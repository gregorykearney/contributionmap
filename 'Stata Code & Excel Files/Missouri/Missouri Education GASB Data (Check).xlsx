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ssouri/"/>
    </mc:Choice>
  </mc:AlternateContent>
  <xr:revisionPtr revIDLastSave="0" documentId="13_ncr:1_{0085DBFC-4AF4-0245-8DE2-D6F18EF2DDA2}" xr6:coauthVersionLast="47" xr6:coauthVersionMax="47" xr10:uidLastSave="{00000000-0000-0000-0000-000000000000}"/>
  <bookViews>
    <workbookView xWindow="-60" yWindow="-21100" windowWidth="21200" windowHeight="21040" xr2:uid="{3DC1C64B-DAC1-3047-A07C-67E8CFAB557E}"/>
  </bookViews>
  <sheets>
    <sheet name="Summary" sheetId="9" r:id="rId1"/>
    <sheet name="GASB Data --&gt;" sheetId="12" r:id="rId2"/>
    <sheet name="2015" sheetId="1" r:id="rId3"/>
    <sheet name="2016" sheetId="2" r:id="rId4"/>
    <sheet name="2017" sheetId="3" r:id="rId5"/>
    <sheet name="2018" sheetId="4" r:id="rId6"/>
    <sheet name="2019" sheetId="5" r:id="rId7"/>
    <sheet name="2020" sheetId="6" r:id="rId8"/>
    <sheet name="2021" sheetId="7" r:id="rId9"/>
    <sheet name="2022" sheetId="8" r:id="rId10"/>
    <sheet name="NCES Data --&gt;" sheetId="11" r:id="rId11"/>
    <sheet name="LEAID Match" sheetId="10" r:id="rId12"/>
  </sheets>
  <definedNames>
    <definedName name="_xlnm._FilterDatabase" localSheetId="2" hidden="1">'2015'!$A$1:$E$1</definedName>
    <definedName name="_xlnm._FilterDatabase" localSheetId="11" hidden="1">'LEAID Match'!$A$1:$B$1</definedName>
    <definedName name="_xlnm._FilterDatabase" localSheetId="0" hidden="1">Summary!$A$1:$K$4295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1801" i="9"/>
  <c r="A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A1815" i="9"/>
  <c r="A1816" i="9"/>
  <c r="A1817" i="9"/>
  <c r="A1818" i="9"/>
  <c r="A1819" i="9"/>
  <c r="A1820" i="9"/>
  <c r="A1821" i="9"/>
  <c r="A1822" i="9"/>
  <c r="A1823" i="9"/>
  <c r="A1824" i="9"/>
  <c r="A1825" i="9"/>
  <c r="A1826" i="9"/>
  <c r="A1827" i="9"/>
  <c r="A1828" i="9"/>
  <c r="A1829" i="9"/>
  <c r="A1830" i="9"/>
  <c r="A1831" i="9"/>
  <c r="A1832" i="9"/>
  <c r="A1833" i="9"/>
  <c r="A1834" i="9"/>
  <c r="A1835" i="9"/>
  <c r="A1836" i="9"/>
  <c r="A1837" i="9"/>
  <c r="A1838" i="9"/>
  <c r="A1839" i="9"/>
  <c r="A1840" i="9"/>
  <c r="A1841" i="9"/>
  <c r="A1842" i="9"/>
  <c r="A1843" i="9"/>
  <c r="A1844" i="9"/>
  <c r="A1845" i="9"/>
  <c r="A1846" i="9"/>
  <c r="A1847" i="9"/>
  <c r="A1848" i="9"/>
  <c r="A1849" i="9"/>
  <c r="A1850" i="9"/>
  <c r="A1851" i="9"/>
  <c r="A1852" i="9"/>
  <c r="A1853" i="9"/>
  <c r="A1854" i="9"/>
  <c r="A1855" i="9"/>
  <c r="A1856" i="9"/>
  <c r="A1857" i="9"/>
  <c r="A1858" i="9"/>
  <c r="A1859" i="9"/>
  <c r="A1860" i="9"/>
  <c r="A1861" i="9"/>
  <c r="A1862" i="9"/>
  <c r="A1863" i="9"/>
  <c r="A1864" i="9"/>
  <c r="A1865" i="9"/>
  <c r="A1866" i="9"/>
  <c r="A1867" i="9"/>
  <c r="A1868" i="9"/>
  <c r="A1869" i="9"/>
  <c r="A1870" i="9"/>
  <c r="A1871" i="9"/>
  <c r="A1872" i="9"/>
  <c r="A1873" i="9"/>
  <c r="A1874" i="9"/>
  <c r="A1875" i="9"/>
  <c r="A1876" i="9"/>
  <c r="A1877" i="9"/>
  <c r="A1878" i="9"/>
  <c r="A1879" i="9"/>
  <c r="A1880" i="9"/>
  <c r="A1881" i="9"/>
  <c r="A1882" i="9"/>
  <c r="A1883" i="9"/>
  <c r="A1884" i="9"/>
  <c r="A1885" i="9"/>
  <c r="A1886" i="9"/>
  <c r="A1887" i="9"/>
  <c r="A1888" i="9"/>
  <c r="A1889" i="9"/>
  <c r="A1890" i="9"/>
  <c r="A1891" i="9"/>
  <c r="A1892" i="9"/>
  <c r="A1893" i="9"/>
  <c r="A1894" i="9"/>
  <c r="A1895" i="9"/>
  <c r="A1896" i="9"/>
  <c r="A1897" i="9"/>
  <c r="A1898" i="9"/>
  <c r="A1899" i="9"/>
  <c r="A1900" i="9"/>
  <c r="A1901" i="9"/>
  <c r="A1902" i="9"/>
  <c r="A1903" i="9"/>
  <c r="A1904" i="9"/>
  <c r="A1905" i="9"/>
  <c r="A1906" i="9"/>
  <c r="A1907" i="9"/>
  <c r="A1908" i="9"/>
  <c r="A1909" i="9"/>
  <c r="A1910" i="9"/>
  <c r="A1911" i="9"/>
  <c r="A1912" i="9"/>
  <c r="A1913" i="9"/>
  <c r="A1914" i="9"/>
  <c r="A1915" i="9"/>
  <c r="A1916" i="9"/>
  <c r="A1917" i="9"/>
  <c r="A1918" i="9"/>
  <c r="A1919" i="9"/>
  <c r="A1920" i="9"/>
  <c r="A1921" i="9"/>
  <c r="A1922" i="9"/>
  <c r="A1923" i="9"/>
  <c r="A1924" i="9"/>
  <c r="A1925" i="9"/>
  <c r="A1926" i="9"/>
  <c r="A1927" i="9"/>
  <c r="A1928" i="9"/>
  <c r="A1929" i="9"/>
  <c r="A1930" i="9"/>
  <c r="A1931" i="9"/>
  <c r="A1932" i="9"/>
  <c r="A1933" i="9"/>
  <c r="A1934" i="9"/>
  <c r="A1935" i="9"/>
  <c r="A1936" i="9"/>
  <c r="A1937" i="9"/>
  <c r="A1938" i="9"/>
  <c r="A1939" i="9"/>
  <c r="A1940" i="9"/>
  <c r="A1941" i="9"/>
  <c r="A1942" i="9"/>
  <c r="A1943" i="9"/>
  <c r="A1944" i="9"/>
  <c r="A1945" i="9"/>
  <c r="A1946" i="9"/>
  <c r="A1947" i="9"/>
  <c r="A1948" i="9"/>
  <c r="A1949" i="9"/>
  <c r="A1950" i="9"/>
  <c r="A1951" i="9"/>
  <c r="A1952" i="9"/>
  <c r="A1953" i="9"/>
  <c r="A1954" i="9"/>
  <c r="A1955" i="9"/>
  <c r="A1956" i="9"/>
  <c r="A1957" i="9"/>
  <c r="A1958" i="9"/>
  <c r="A1959" i="9"/>
  <c r="A1960" i="9"/>
  <c r="A1961" i="9"/>
  <c r="A1962" i="9"/>
  <c r="A1963" i="9"/>
  <c r="A1964" i="9"/>
  <c r="A1965" i="9"/>
  <c r="A1966" i="9"/>
  <c r="A1967" i="9"/>
  <c r="A1968" i="9"/>
  <c r="A1969" i="9"/>
  <c r="A1970" i="9"/>
  <c r="A1971" i="9"/>
  <c r="A1972" i="9"/>
  <c r="A1973" i="9"/>
  <c r="A1974" i="9"/>
  <c r="A1975" i="9"/>
  <c r="A1976" i="9"/>
  <c r="A1977" i="9"/>
  <c r="A1978" i="9"/>
  <c r="A1979" i="9"/>
  <c r="A1980" i="9"/>
  <c r="A1981" i="9"/>
  <c r="A1982" i="9"/>
  <c r="A1983" i="9"/>
  <c r="A1984" i="9"/>
  <c r="A1985" i="9"/>
  <c r="A1986" i="9"/>
  <c r="A1987" i="9"/>
  <c r="A1988" i="9"/>
  <c r="A1989" i="9"/>
  <c r="A1990" i="9"/>
  <c r="A1991" i="9"/>
  <c r="A1992" i="9"/>
  <c r="A1993" i="9"/>
  <c r="A1994" i="9"/>
  <c r="A1995" i="9"/>
  <c r="A1996" i="9"/>
  <c r="A1997" i="9"/>
  <c r="A1998" i="9"/>
  <c r="A1999" i="9"/>
  <c r="A2000" i="9"/>
  <c r="A2001" i="9"/>
  <c r="A2002" i="9"/>
  <c r="A2003" i="9"/>
  <c r="A2004" i="9"/>
  <c r="A2005" i="9"/>
  <c r="A2006" i="9"/>
  <c r="A2007" i="9"/>
  <c r="A2008" i="9"/>
  <c r="A2009" i="9"/>
  <c r="A2010" i="9"/>
  <c r="A2011" i="9"/>
  <c r="A2012" i="9"/>
  <c r="A2013" i="9"/>
  <c r="A2014" i="9"/>
  <c r="A2015" i="9"/>
  <c r="A2016" i="9"/>
  <c r="A2017" i="9"/>
  <c r="A2018" i="9"/>
  <c r="A2019" i="9"/>
  <c r="A2020" i="9"/>
  <c r="A2021" i="9"/>
  <c r="A2022" i="9"/>
  <c r="A2023" i="9"/>
  <c r="A2024" i="9"/>
  <c r="A2025" i="9"/>
  <c r="A2026" i="9"/>
  <c r="A2027" i="9"/>
  <c r="A2028" i="9"/>
  <c r="A2029" i="9"/>
  <c r="A2030" i="9"/>
  <c r="A2031" i="9"/>
  <c r="A2032" i="9"/>
  <c r="A2033" i="9"/>
  <c r="A2034" i="9"/>
  <c r="A2035" i="9"/>
  <c r="A2036" i="9"/>
  <c r="A2037" i="9"/>
  <c r="A2038" i="9"/>
  <c r="A2039" i="9"/>
  <c r="A2040" i="9"/>
  <c r="A2041" i="9"/>
  <c r="A2042" i="9"/>
  <c r="A2043" i="9"/>
  <c r="A2044" i="9"/>
  <c r="A2045" i="9"/>
  <c r="A2046" i="9"/>
  <c r="A2047" i="9"/>
  <c r="A2048" i="9"/>
  <c r="A2049" i="9"/>
  <c r="A2050" i="9"/>
  <c r="A2051" i="9"/>
  <c r="A2052" i="9"/>
  <c r="A2053" i="9"/>
  <c r="A2054" i="9"/>
  <c r="A2055" i="9"/>
  <c r="A2056" i="9"/>
  <c r="A2057" i="9"/>
  <c r="A2058" i="9"/>
  <c r="A2059" i="9"/>
  <c r="A2060" i="9"/>
  <c r="A2061" i="9"/>
  <c r="A2062" i="9"/>
  <c r="A2063" i="9"/>
  <c r="A2064" i="9"/>
  <c r="A2065" i="9"/>
  <c r="A2066" i="9"/>
  <c r="A2067" i="9"/>
  <c r="A2068" i="9"/>
  <c r="A2069" i="9"/>
  <c r="A2070" i="9"/>
  <c r="A2071" i="9"/>
  <c r="A2072" i="9"/>
  <c r="A2073" i="9"/>
  <c r="A2074" i="9"/>
  <c r="A2075" i="9"/>
  <c r="A2076" i="9"/>
  <c r="A2077" i="9"/>
  <c r="A2078" i="9"/>
  <c r="A2079" i="9"/>
  <c r="A2080" i="9"/>
  <c r="A2081" i="9"/>
  <c r="A2082" i="9"/>
  <c r="A2083" i="9"/>
  <c r="A2084" i="9"/>
  <c r="A2085" i="9"/>
  <c r="A2086" i="9"/>
  <c r="A2087" i="9"/>
  <c r="A2088" i="9"/>
  <c r="A2089" i="9"/>
  <c r="A2090" i="9"/>
  <c r="A2091" i="9"/>
  <c r="A2092" i="9"/>
  <c r="A2093" i="9"/>
  <c r="A2094" i="9"/>
  <c r="A2095" i="9"/>
  <c r="A2096" i="9"/>
  <c r="A2097" i="9"/>
  <c r="A2098" i="9"/>
  <c r="A2099" i="9"/>
  <c r="A2100" i="9"/>
  <c r="A2101" i="9"/>
  <c r="A2102" i="9"/>
  <c r="A2103" i="9"/>
  <c r="A2104" i="9"/>
  <c r="A2105" i="9"/>
  <c r="A2106" i="9"/>
  <c r="A2107" i="9"/>
  <c r="A2108" i="9"/>
  <c r="A2109" i="9"/>
  <c r="A2110" i="9"/>
  <c r="A2111" i="9"/>
  <c r="A2112" i="9"/>
  <c r="A2113" i="9"/>
  <c r="A2114" i="9"/>
  <c r="A2115" i="9"/>
  <c r="A2116" i="9"/>
  <c r="A2117" i="9"/>
  <c r="A2118" i="9"/>
  <c r="A2119" i="9"/>
  <c r="A2120" i="9"/>
  <c r="A2121" i="9"/>
  <c r="A2122" i="9"/>
  <c r="A2123" i="9"/>
  <c r="A2124" i="9"/>
  <c r="A2125" i="9"/>
  <c r="A2126" i="9"/>
  <c r="A2127" i="9"/>
  <c r="A2128" i="9"/>
  <c r="A2129" i="9"/>
  <c r="A2130" i="9"/>
  <c r="A2131" i="9"/>
  <c r="A2132" i="9"/>
  <c r="A2133" i="9"/>
  <c r="A2134" i="9"/>
  <c r="A2135" i="9"/>
  <c r="A2136" i="9"/>
  <c r="A2137" i="9"/>
  <c r="A2138" i="9"/>
  <c r="A2139" i="9"/>
  <c r="A2140" i="9"/>
  <c r="A2141" i="9"/>
  <c r="A2142" i="9"/>
  <c r="A2143" i="9"/>
  <c r="A2144" i="9"/>
  <c r="A2145" i="9"/>
  <c r="A2146" i="9"/>
  <c r="A2147" i="9"/>
  <c r="A2148" i="9"/>
  <c r="A2149" i="9"/>
  <c r="A2150" i="9"/>
  <c r="A2151" i="9"/>
  <c r="A2152" i="9"/>
  <c r="A2153" i="9"/>
  <c r="A2154" i="9"/>
  <c r="A2155" i="9"/>
  <c r="A2156" i="9"/>
  <c r="A2157" i="9"/>
  <c r="A2158" i="9"/>
  <c r="A2159" i="9"/>
  <c r="A2160" i="9"/>
  <c r="A2161" i="9"/>
  <c r="A2162" i="9"/>
  <c r="A2163" i="9"/>
  <c r="A2164" i="9"/>
  <c r="A2165" i="9"/>
  <c r="A2166" i="9"/>
  <c r="A2167" i="9"/>
  <c r="A2168" i="9"/>
  <c r="A2169" i="9"/>
  <c r="A2170" i="9"/>
  <c r="A2171" i="9"/>
  <c r="A2172" i="9"/>
  <c r="A2173" i="9"/>
  <c r="A2174" i="9"/>
  <c r="A2175" i="9"/>
  <c r="A2176" i="9"/>
  <c r="A2177" i="9"/>
  <c r="A2178" i="9"/>
  <c r="A2179" i="9"/>
  <c r="A2180" i="9"/>
  <c r="A2181" i="9"/>
  <c r="A2182" i="9"/>
  <c r="A2183" i="9"/>
  <c r="A2184" i="9"/>
  <c r="A2185" i="9"/>
  <c r="A2186" i="9"/>
  <c r="A2187" i="9"/>
  <c r="A2188" i="9"/>
  <c r="A2189" i="9"/>
  <c r="A2190" i="9"/>
  <c r="A2191" i="9"/>
  <c r="A2192" i="9"/>
  <c r="A2193" i="9"/>
  <c r="A2194" i="9"/>
  <c r="A2195" i="9"/>
  <c r="A2196" i="9"/>
  <c r="A2197" i="9"/>
  <c r="A2198" i="9"/>
  <c r="A2199" i="9"/>
  <c r="A2200" i="9"/>
  <c r="A2201" i="9"/>
  <c r="A2202" i="9"/>
  <c r="A2203" i="9"/>
  <c r="A2204" i="9"/>
  <c r="A2205" i="9"/>
  <c r="A2206" i="9"/>
  <c r="A2207" i="9"/>
  <c r="A2208" i="9"/>
  <c r="A2209" i="9"/>
  <c r="A2210" i="9"/>
  <c r="A2211" i="9"/>
  <c r="A2212" i="9"/>
  <c r="A2213" i="9"/>
  <c r="A2214" i="9"/>
  <c r="A2215" i="9"/>
  <c r="A2216" i="9"/>
  <c r="A2217" i="9"/>
  <c r="A2218" i="9"/>
  <c r="A2219" i="9"/>
  <c r="A2220" i="9"/>
  <c r="A2221" i="9"/>
  <c r="A2222" i="9"/>
  <c r="A2223" i="9"/>
  <c r="A2224" i="9"/>
  <c r="A2225" i="9"/>
  <c r="A2226" i="9"/>
  <c r="A2227" i="9"/>
  <c r="A2228" i="9"/>
  <c r="A2229" i="9"/>
  <c r="A2230" i="9"/>
  <c r="A2231" i="9"/>
  <c r="A2232" i="9"/>
  <c r="A2233" i="9"/>
  <c r="A2234" i="9"/>
  <c r="A2235" i="9"/>
  <c r="A2236" i="9"/>
  <c r="A2237" i="9"/>
  <c r="A2238" i="9"/>
  <c r="A2239" i="9"/>
  <c r="A2240" i="9"/>
  <c r="A2241" i="9"/>
  <c r="A2242" i="9"/>
  <c r="A2243" i="9"/>
  <c r="A2244" i="9"/>
  <c r="A2245" i="9"/>
  <c r="A2246" i="9"/>
  <c r="A2247" i="9"/>
  <c r="A2248" i="9"/>
  <c r="A2249" i="9"/>
  <c r="A2250" i="9"/>
  <c r="A2251" i="9"/>
  <c r="A2252" i="9"/>
  <c r="A2253" i="9"/>
  <c r="A2254" i="9"/>
  <c r="A2255" i="9"/>
  <c r="A2256" i="9"/>
  <c r="A2257" i="9"/>
  <c r="A2258" i="9"/>
  <c r="A2259" i="9"/>
  <c r="A2260" i="9"/>
  <c r="A2261" i="9"/>
  <c r="A2262" i="9"/>
  <c r="A2263" i="9"/>
  <c r="A2264" i="9"/>
  <c r="A2265" i="9"/>
  <c r="A2266" i="9"/>
  <c r="A2267" i="9"/>
  <c r="A2268" i="9"/>
  <c r="A2269" i="9"/>
  <c r="A2270" i="9"/>
  <c r="A2271" i="9"/>
  <c r="A2272" i="9"/>
  <c r="A2273" i="9"/>
  <c r="A2274" i="9"/>
  <c r="A2275" i="9"/>
  <c r="A2276" i="9"/>
  <c r="A2277" i="9"/>
  <c r="A2278" i="9"/>
  <c r="A2279" i="9"/>
  <c r="A2280" i="9"/>
  <c r="A2281" i="9"/>
  <c r="A2282" i="9"/>
  <c r="A2283" i="9"/>
  <c r="A2284" i="9"/>
  <c r="A2285" i="9"/>
  <c r="A2286" i="9"/>
  <c r="A2287" i="9"/>
  <c r="A2288" i="9"/>
  <c r="A2289" i="9"/>
  <c r="A2290" i="9"/>
  <c r="A2291" i="9"/>
  <c r="A2292" i="9"/>
  <c r="A2293" i="9"/>
  <c r="A2294" i="9"/>
  <c r="A2295" i="9"/>
  <c r="A2296" i="9"/>
  <c r="A2297" i="9"/>
  <c r="A2298" i="9"/>
  <c r="A2299" i="9"/>
  <c r="A2300" i="9"/>
  <c r="A2301" i="9"/>
  <c r="A2302" i="9"/>
  <c r="A2303" i="9"/>
  <c r="A2304" i="9"/>
  <c r="A2305" i="9"/>
  <c r="A2306" i="9"/>
  <c r="A2307" i="9"/>
  <c r="A2308" i="9"/>
  <c r="A2309" i="9"/>
  <c r="A2310" i="9"/>
  <c r="A2311" i="9"/>
  <c r="A2312" i="9"/>
  <c r="A2313" i="9"/>
  <c r="A2314" i="9"/>
  <c r="A2315" i="9"/>
  <c r="A2316" i="9"/>
  <c r="A2317" i="9"/>
  <c r="A2318" i="9"/>
  <c r="A2319" i="9"/>
  <c r="A2320" i="9"/>
  <c r="A2321" i="9"/>
  <c r="A2322" i="9"/>
  <c r="A2323" i="9"/>
  <c r="A2324" i="9"/>
  <c r="A2325" i="9"/>
  <c r="A2326" i="9"/>
  <c r="A2327" i="9"/>
  <c r="A2328" i="9"/>
  <c r="A2329" i="9"/>
  <c r="A2330" i="9"/>
  <c r="A2331" i="9"/>
  <c r="A2332" i="9"/>
  <c r="A2333" i="9"/>
  <c r="A2334" i="9"/>
  <c r="A2335" i="9"/>
  <c r="A2336" i="9"/>
  <c r="A2337" i="9"/>
  <c r="A2338" i="9"/>
  <c r="A2339" i="9"/>
  <c r="A2340" i="9"/>
  <c r="A2341" i="9"/>
  <c r="A2342" i="9"/>
  <c r="A2343" i="9"/>
  <c r="A2344" i="9"/>
  <c r="A2345" i="9"/>
  <c r="A2346" i="9"/>
  <c r="A2347" i="9"/>
  <c r="A2348" i="9"/>
  <c r="A2349" i="9"/>
  <c r="A2350" i="9"/>
  <c r="A2351" i="9"/>
  <c r="A2352" i="9"/>
  <c r="A2353" i="9"/>
  <c r="A2354" i="9"/>
  <c r="A2355" i="9"/>
  <c r="A2356" i="9"/>
  <c r="A2357" i="9"/>
  <c r="A2358" i="9"/>
  <c r="A2359" i="9"/>
  <c r="A2360" i="9"/>
  <c r="A2361" i="9"/>
  <c r="A2362" i="9"/>
  <c r="A2363" i="9"/>
  <c r="A2364" i="9"/>
  <c r="A2365" i="9"/>
  <c r="A2366" i="9"/>
  <c r="A2367" i="9"/>
  <c r="A2368" i="9"/>
  <c r="A2369" i="9"/>
  <c r="A2370" i="9"/>
  <c r="A2371" i="9"/>
  <c r="A2372" i="9"/>
  <c r="A2373" i="9"/>
  <c r="A2374" i="9"/>
  <c r="A2375" i="9"/>
  <c r="A2376" i="9"/>
  <c r="A2377" i="9"/>
  <c r="A2378" i="9"/>
  <c r="A2379" i="9"/>
  <c r="A2380" i="9"/>
  <c r="A2381" i="9"/>
  <c r="A2382" i="9"/>
  <c r="A2383" i="9"/>
  <c r="A2384" i="9"/>
  <c r="A2385" i="9"/>
  <c r="A2386" i="9"/>
  <c r="A2387" i="9"/>
  <c r="A2388" i="9"/>
  <c r="A2389" i="9"/>
  <c r="A2390" i="9"/>
  <c r="A2391" i="9"/>
  <c r="A2392" i="9"/>
  <c r="A2393" i="9"/>
  <c r="A2394" i="9"/>
  <c r="A2395" i="9"/>
  <c r="A2396" i="9"/>
  <c r="A2397" i="9"/>
  <c r="A2398" i="9"/>
  <c r="A2399" i="9"/>
  <c r="A2400" i="9"/>
  <c r="A2401" i="9"/>
  <c r="A2402" i="9"/>
  <c r="A2403" i="9"/>
  <c r="A2404" i="9"/>
  <c r="A2405" i="9"/>
  <c r="A2406" i="9"/>
  <c r="A2407" i="9"/>
  <c r="A2408" i="9"/>
  <c r="A2409" i="9"/>
  <c r="A2410" i="9"/>
  <c r="A2411" i="9"/>
  <c r="A2412" i="9"/>
  <c r="A2413" i="9"/>
  <c r="A2414" i="9"/>
  <c r="A2415" i="9"/>
  <c r="A2416" i="9"/>
  <c r="A2417" i="9"/>
  <c r="A2418" i="9"/>
  <c r="A2419" i="9"/>
  <c r="A2420" i="9"/>
  <c r="A2421" i="9"/>
  <c r="A2422" i="9"/>
  <c r="A2423" i="9"/>
  <c r="A2424" i="9"/>
  <c r="A2425" i="9"/>
  <c r="A2426" i="9"/>
  <c r="A2427" i="9"/>
  <c r="A2428" i="9"/>
  <c r="A2429" i="9"/>
  <c r="A2430" i="9"/>
  <c r="A2431" i="9"/>
  <c r="A2432" i="9"/>
  <c r="A2433" i="9"/>
  <c r="A2434" i="9"/>
  <c r="A2435" i="9"/>
  <c r="A2436" i="9"/>
  <c r="A2437" i="9"/>
  <c r="A2438" i="9"/>
  <c r="A2439" i="9"/>
  <c r="A2440" i="9"/>
  <c r="A2441" i="9"/>
  <c r="A2442" i="9"/>
  <c r="A2443" i="9"/>
  <c r="A2444" i="9"/>
  <c r="A2445" i="9"/>
  <c r="A2446" i="9"/>
  <c r="A2447" i="9"/>
  <c r="A2448" i="9"/>
  <c r="A2449" i="9"/>
  <c r="A2450" i="9"/>
  <c r="A2451" i="9"/>
  <c r="A2452" i="9"/>
  <c r="A2453" i="9"/>
  <c r="A2454" i="9"/>
  <c r="A2455" i="9"/>
  <c r="A2456" i="9"/>
  <c r="A2457" i="9"/>
  <c r="A2458" i="9"/>
  <c r="A2459" i="9"/>
  <c r="A2460" i="9"/>
  <c r="A2461" i="9"/>
  <c r="A2462" i="9"/>
  <c r="A2463" i="9"/>
  <c r="A2464" i="9"/>
  <c r="A2465" i="9"/>
  <c r="A2466" i="9"/>
  <c r="A2467" i="9"/>
  <c r="A2468" i="9"/>
  <c r="A2469" i="9"/>
  <c r="A2470" i="9"/>
  <c r="A2471" i="9"/>
  <c r="A2472" i="9"/>
  <c r="A2473" i="9"/>
  <c r="A2474" i="9"/>
  <c r="A2475" i="9"/>
  <c r="A2476" i="9"/>
  <c r="A2477" i="9"/>
  <c r="A2478" i="9"/>
  <c r="A2479" i="9"/>
  <c r="A2480" i="9"/>
  <c r="A2481" i="9"/>
  <c r="A2482" i="9"/>
  <c r="A2483" i="9"/>
  <c r="A2484" i="9"/>
  <c r="A2485" i="9"/>
  <c r="A2486" i="9"/>
  <c r="A2487" i="9"/>
  <c r="A2488" i="9"/>
  <c r="A2489" i="9"/>
  <c r="A2490" i="9"/>
  <c r="A2491" i="9"/>
  <c r="A2492" i="9"/>
  <c r="A2493" i="9"/>
  <c r="A2494" i="9"/>
  <c r="A2495" i="9"/>
  <c r="A2496" i="9"/>
  <c r="A2497" i="9"/>
  <c r="A2498" i="9"/>
  <c r="A2499" i="9"/>
  <c r="A2500" i="9"/>
  <c r="A2501" i="9"/>
  <c r="A2502" i="9"/>
  <c r="A2503" i="9"/>
  <c r="A2504" i="9"/>
  <c r="A2505" i="9"/>
  <c r="A2506" i="9"/>
  <c r="A2507" i="9"/>
  <c r="A2508" i="9"/>
  <c r="A2509" i="9"/>
  <c r="A2510" i="9"/>
  <c r="A2511" i="9"/>
  <c r="A2512" i="9"/>
  <c r="A2513" i="9"/>
  <c r="A2514" i="9"/>
  <c r="A2515" i="9"/>
  <c r="A2516" i="9"/>
  <c r="A2517" i="9"/>
  <c r="A2518" i="9"/>
  <c r="A2519" i="9"/>
  <c r="A2520" i="9"/>
  <c r="A2521" i="9"/>
  <c r="A2522" i="9"/>
  <c r="A2523" i="9"/>
  <c r="A2524" i="9"/>
  <c r="A2525" i="9"/>
  <c r="A2526" i="9"/>
  <c r="A2527" i="9"/>
  <c r="A2528" i="9"/>
  <c r="A2529" i="9"/>
  <c r="A2530" i="9"/>
  <c r="A2531" i="9"/>
  <c r="A2532" i="9"/>
  <c r="A2533" i="9"/>
  <c r="A2534" i="9"/>
  <c r="A2535" i="9"/>
  <c r="A2536" i="9"/>
  <c r="A2537" i="9"/>
  <c r="A2538" i="9"/>
  <c r="A2539" i="9"/>
  <c r="A2540" i="9"/>
  <c r="A2541" i="9"/>
  <c r="A2542" i="9"/>
  <c r="A2543" i="9"/>
  <c r="A2544" i="9"/>
  <c r="A2545" i="9"/>
  <c r="A2546" i="9"/>
  <c r="A2547" i="9"/>
  <c r="A2548" i="9"/>
  <c r="A2549" i="9"/>
  <c r="A2550" i="9"/>
  <c r="A2551" i="9"/>
  <c r="A2552" i="9"/>
  <c r="A2553" i="9"/>
  <c r="A2554" i="9"/>
  <c r="A2555" i="9"/>
  <c r="A2556" i="9"/>
  <c r="A2557" i="9"/>
  <c r="A2558" i="9"/>
  <c r="A2559" i="9"/>
  <c r="A2560" i="9"/>
  <c r="A2561" i="9"/>
  <c r="A2562" i="9"/>
  <c r="A2563" i="9"/>
  <c r="A2564" i="9"/>
  <c r="A2565" i="9"/>
  <c r="A2566" i="9"/>
  <c r="A2567" i="9"/>
  <c r="A2568" i="9"/>
  <c r="A2569" i="9"/>
  <c r="A2570" i="9"/>
  <c r="A2571" i="9"/>
  <c r="A2572" i="9"/>
  <c r="A2573" i="9"/>
  <c r="A2574" i="9"/>
  <c r="A2575" i="9"/>
  <c r="A2576" i="9"/>
  <c r="A2577" i="9"/>
  <c r="A2578" i="9"/>
  <c r="A2579" i="9"/>
  <c r="A2580" i="9"/>
  <c r="A2581" i="9"/>
  <c r="A2582" i="9"/>
  <c r="A2583" i="9"/>
  <c r="A2584" i="9"/>
  <c r="A2585" i="9"/>
  <c r="A2586" i="9"/>
  <c r="A2587" i="9"/>
  <c r="A2588" i="9"/>
  <c r="A2589" i="9"/>
  <c r="A2590" i="9"/>
  <c r="A2591" i="9"/>
  <c r="A2592" i="9"/>
  <c r="A2593" i="9"/>
  <c r="A2594" i="9"/>
  <c r="A2595" i="9"/>
  <c r="A2596" i="9"/>
  <c r="A2597" i="9"/>
  <c r="A2598" i="9"/>
  <c r="A2599" i="9"/>
  <c r="A2600" i="9"/>
  <c r="A2601" i="9"/>
  <c r="A2602" i="9"/>
  <c r="A2603" i="9"/>
  <c r="A2604" i="9"/>
  <c r="A2605" i="9"/>
  <c r="A2606" i="9"/>
  <c r="A2607" i="9"/>
  <c r="A2608" i="9"/>
  <c r="A2609" i="9"/>
  <c r="A2610" i="9"/>
  <c r="A2611" i="9"/>
  <c r="A2612" i="9"/>
  <c r="A2613" i="9"/>
  <c r="A2614" i="9"/>
  <c r="A2615" i="9"/>
  <c r="A2616" i="9"/>
  <c r="A2617" i="9"/>
  <c r="A2618" i="9"/>
  <c r="A2619" i="9"/>
  <c r="A2620" i="9"/>
  <c r="A2621" i="9"/>
  <c r="A2622" i="9"/>
  <c r="A2623" i="9"/>
  <c r="A2624" i="9"/>
  <c r="A2625" i="9"/>
  <c r="A2626" i="9"/>
  <c r="A2627" i="9"/>
  <c r="A2628" i="9"/>
  <c r="A2629" i="9"/>
  <c r="A2630" i="9"/>
  <c r="A2631" i="9"/>
  <c r="A2632" i="9"/>
  <c r="A2633" i="9"/>
  <c r="A2634" i="9"/>
  <c r="A2635" i="9"/>
  <c r="A2636" i="9"/>
  <c r="A2637" i="9"/>
  <c r="A2638" i="9"/>
  <c r="A2639" i="9"/>
  <c r="A2640" i="9"/>
  <c r="A2641" i="9"/>
  <c r="A2642" i="9"/>
  <c r="A2643" i="9"/>
  <c r="A2644" i="9"/>
  <c r="A2645" i="9"/>
  <c r="A2646" i="9"/>
  <c r="A2647" i="9"/>
  <c r="A2648" i="9"/>
  <c r="A2649" i="9"/>
  <c r="A2650" i="9"/>
  <c r="A2651" i="9"/>
  <c r="A2652" i="9"/>
  <c r="A2653" i="9"/>
  <c r="A2654" i="9"/>
  <c r="A2655" i="9"/>
  <c r="A2656" i="9"/>
  <c r="A2657" i="9"/>
  <c r="A2658" i="9"/>
  <c r="A2659" i="9"/>
  <c r="A2660" i="9"/>
  <c r="A2661" i="9"/>
  <c r="A2662" i="9"/>
  <c r="A2663" i="9"/>
  <c r="A2664" i="9"/>
  <c r="A2665" i="9"/>
  <c r="A2666" i="9"/>
  <c r="A2667" i="9"/>
  <c r="A2668" i="9"/>
  <c r="A2669" i="9"/>
  <c r="A2670" i="9"/>
  <c r="A2671" i="9"/>
  <c r="A2672" i="9"/>
  <c r="A2673" i="9"/>
  <c r="A2674" i="9"/>
  <c r="A2675" i="9"/>
  <c r="A2676" i="9"/>
  <c r="A2677" i="9"/>
  <c r="A2678" i="9"/>
  <c r="A2679" i="9"/>
  <c r="A2680" i="9"/>
  <c r="A2681" i="9"/>
  <c r="A2682" i="9"/>
  <c r="A2683" i="9"/>
  <c r="A2684" i="9"/>
  <c r="A2685" i="9"/>
  <c r="A2686" i="9"/>
  <c r="A2687" i="9"/>
  <c r="A2688" i="9"/>
  <c r="A2689" i="9"/>
  <c r="A2690" i="9"/>
  <c r="A2691" i="9"/>
  <c r="A2692" i="9"/>
  <c r="A2693" i="9"/>
  <c r="A2694" i="9"/>
  <c r="A2695" i="9"/>
  <c r="A2696" i="9"/>
  <c r="A2697" i="9"/>
  <c r="A2698" i="9"/>
  <c r="A2699" i="9"/>
  <c r="A2700" i="9"/>
  <c r="A2701" i="9"/>
  <c r="A2702" i="9"/>
  <c r="A2703" i="9"/>
  <c r="A2704" i="9"/>
  <c r="A2705" i="9"/>
  <c r="A2706" i="9"/>
  <c r="A2707" i="9"/>
  <c r="A2708" i="9"/>
  <c r="A2709" i="9"/>
  <c r="A2710" i="9"/>
  <c r="A2711" i="9"/>
  <c r="A2712" i="9"/>
  <c r="A2713" i="9"/>
  <c r="A2714" i="9"/>
  <c r="A2715" i="9"/>
  <c r="A2716" i="9"/>
  <c r="A2717" i="9"/>
  <c r="A2718" i="9"/>
  <c r="A2719" i="9"/>
  <c r="A2720" i="9"/>
  <c r="A2721" i="9"/>
  <c r="A2722" i="9"/>
  <c r="A2723" i="9"/>
  <c r="A2724" i="9"/>
  <c r="A2725" i="9"/>
  <c r="A2726" i="9"/>
  <c r="A2727" i="9"/>
  <c r="A2728" i="9"/>
  <c r="A2729" i="9"/>
  <c r="A2730" i="9"/>
  <c r="A2731" i="9"/>
  <c r="A2732" i="9"/>
  <c r="A2733" i="9"/>
  <c r="A2734" i="9"/>
  <c r="A2735" i="9"/>
  <c r="A2736" i="9"/>
  <c r="A2737" i="9"/>
  <c r="A2738" i="9"/>
  <c r="A2739" i="9"/>
  <c r="A2740" i="9"/>
  <c r="A2741" i="9"/>
  <c r="A2742" i="9"/>
  <c r="A2743" i="9"/>
  <c r="A2744" i="9"/>
  <c r="A2745" i="9"/>
  <c r="A2746" i="9"/>
  <c r="A2747" i="9"/>
  <c r="A2748" i="9"/>
  <c r="A2749" i="9"/>
  <c r="A2750" i="9"/>
  <c r="A2751" i="9"/>
  <c r="A2752" i="9"/>
  <c r="A2753" i="9"/>
  <c r="A2754" i="9"/>
  <c r="A2755" i="9"/>
  <c r="A2756" i="9"/>
  <c r="A2757" i="9"/>
  <c r="A2758" i="9"/>
  <c r="A2759" i="9"/>
  <c r="A2760" i="9"/>
  <c r="A2761" i="9"/>
  <c r="A2762" i="9"/>
  <c r="A2763" i="9"/>
  <c r="A2764" i="9"/>
  <c r="A2765" i="9"/>
  <c r="A2766" i="9"/>
  <c r="A2767" i="9"/>
  <c r="A2768" i="9"/>
  <c r="A2769" i="9"/>
  <c r="A2770" i="9"/>
  <c r="A2771" i="9"/>
  <c r="A2772" i="9"/>
  <c r="A2773" i="9"/>
  <c r="A2774" i="9"/>
  <c r="A2775" i="9"/>
  <c r="A2776" i="9"/>
  <c r="A2777" i="9"/>
  <c r="A2778" i="9"/>
  <c r="A2779" i="9"/>
  <c r="A2780" i="9"/>
  <c r="A2781" i="9"/>
  <c r="A2782" i="9"/>
  <c r="A2783" i="9"/>
  <c r="A2784" i="9"/>
  <c r="A2785" i="9"/>
  <c r="A2786" i="9"/>
  <c r="A2787" i="9"/>
  <c r="A2788" i="9"/>
  <c r="A2789" i="9"/>
  <c r="A2790" i="9"/>
  <c r="A2791" i="9"/>
  <c r="A2792" i="9"/>
  <c r="A2793" i="9"/>
  <c r="A2794" i="9"/>
  <c r="A2795" i="9"/>
  <c r="A2796" i="9"/>
  <c r="A2797" i="9"/>
  <c r="A2798" i="9"/>
  <c r="A2799" i="9"/>
  <c r="A2800" i="9"/>
  <c r="A2801" i="9"/>
  <c r="A2802" i="9"/>
  <c r="A2803" i="9"/>
  <c r="A2804" i="9"/>
  <c r="A2805" i="9"/>
  <c r="A2806" i="9"/>
  <c r="A2807" i="9"/>
  <c r="A2808" i="9"/>
  <c r="A2809" i="9"/>
  <c r="A2810" i="9"/>
  <c r="A2811" i="9"/>
  <c r="A2812" i="9"/>
  <c r="A2813" i="9"/>
  <c r="A2814" i="9"/>
  <c r="A2815" i="9"/>
  <c r="A2816" i="9"/>
  <c r="A2817" i="9"/>
  <c r="A2818" i="9"/>
  <c r="A2819" i="9"/>
  <c r="A2820" i="9"/>
  <c r="A2821" i="9"/>
  <c r="A2822" i="9"/>
  <c r="A2823" i="9"/>
  <c r="A2824" i="9"/>
  <c r="A2825" i="9"/>
  <c r="A2826" i="9"/>
  <c r="A2827" i="9"/>
  <c r="A2828" i="9"/>
  <c r="A2829" i="9"/>
  <c r="A2830" i="9"/>
  <c r="A2831" i="9"/>
  <c r="A2832" i="9"/>
  <c r="A2833" i="9"/>
  <c r="A2834" i="9"/>
  <c r="A2835" i="9"/>
  <c r="A2836" i="9"/>
  <c r="A2837" i="9"/>
  <c r="A2838" i="9"/>
  <c r="A2839" i="9"/>
  <c r="A2840" i="9"/>
  <c r="A2841" i="9"/>
  <c r="A2842" i="9"/>
  <c r="A2843" i="9"/>
  <c r="A2844" i="9"/>
  <c r="A2845" i="9"/>
  <c r="A2846" i="9"/>
  <c r="A2847" i="9"/>
  <c r="A2848" i="9"/>
  <c r="A2849" i="9"/>
  <c r="A2850" i="9"/>
  <c r="A2851" i="9"/>
  <c r="A2852" i="9"/>
  <c r="A2853" i="9"/>
  <c r="A2854" i="9"/>
  <c r="A2855" i="9"/>
  <c r="A2856" i="9"/>
  <c r="A2857" i="9"/>
  <c r="A2858" i="9"/>
  <c r="A2859" i="9"/>
  <c r="A2860" i="9"/>
  <c r="A2861" i="9"/>
  <c r="A2862" i="9"/>
  <c r="A2863" i="9"/>
  <c r="A2864" i="9"/>
  <c r="A2865" i="9"/>
  <c r="A2866" i="9"/>
  <c r="A2867" i="9"/>
  <c r="A2868" i="9"/>
  <c r="A2869" i="9"/>
  <c r="A2870" i="9"/>
  <c r="A2871" i="9"/>
  <c r="A2872" i="9"/>
  <c r="A2873" i="9"/>
  <c r="A2874" i="9"/>
  <c r="A2875" i="9"/>
  <c r="A2876" i="9"/>
  <c r="A2877" i="9"/>
  <c r="A2878" i="9"/>
  <c r="A2879" i="9"/>
  <c r="A2880" i="9"/>
  <c r="A2881" i="9"/>
  <c r="A2882" i="9"/>
  <c r="A2883" i="9"/>
  <c r="A2884" i="9"/>
  <c r="A2885" i="9"/>
  <c r="A2886" i="9"/>
  <c r="A2887" i="9"/>
  <c r="A2888" i="9"/>
  <c r="A2889" i="9"/>
  <c r="A2890" i="9"/>
  <c r="A2891" i="9"/>
  <c r="A2892" i="9"/>
  <c r="A2893" i="9"/>
  <c r="A2894" i="9"/>
  <c r="A2895" i="9"/>
  <c r="A2896" i="9"/>
  <c r="A2897" i="9"/>
  <c r="A2898" i="9"/>
  <c r="A2899" i="9"/>
  <c r="A2900" i="9"/>
  <c r="A2901" i="9"/>
  <c r="A2902" i="9"/>
  <c r="A2903" i="9"/>
  <c r="A2904" i="9"/>
  <c r="A2905" i="9"/>
  <c r="A2906" i="9"/>
  <c r="A2907" i="9"/>
  <c r="A2908" i="9"/>
  <c r="A2909" i="9"/>
  <c r="A2910" i="9"/>
  <c r="A2911" i="9"/>
  <c r="A2912" i="9"/>
  <c r="A2913" i="9"/>
  <c r="A2914" i="9"/>
  <c r="A2915" i="9"/>
  <c r="A2916" i="9"/>
  <c r="A2917" i="9"/>
  <c r="A2918" i="9"/>
  <c r="A2919" i="9"/>
  <c r="A2920" i="9"/>
  <c r="A2921" i="9"/>
  <c r="A2922" i="9"/>
  <c r="A2923" i="9"/>
  <c r="A2924" i="9"/>
  <c r="A2925" i="9"/>
  <c r="A2926" i="9"/>
  <c r="A2927" i="9"/>
  <c r="A2928" i="9"/>
  <c r="A2929" i="9"/>
  <c r="A2930" i="9"/>
  <c r="A2931" i="9"/>
  <c r="A2932" i="9"/>
  <c r="A2933" i="9"/>
  <c r="A2934" i="9"/>
  <c r="A2935" i="9"/>
  <c r="A2936" i="9"/>
  <c r="A2937" i="9"/>
  <c r="A2938" i="9"/>
  <c r="A2939" i="9"/>
  <c r="A2940" i="9"/>
  <c r="A2941" i="9"/>
  <c r="A2942" i="9"/>
  <c r="A2943" i="9"/>
  <c r="A2944" i="9"/>
  <c r="A2945" i="9"/>
  <c r="A2946" i="9"/>
  <c r="A2947" i="9"/>
  <c r="A2948" i="9"/>
  <c r="A2949" i="9"/>
  <c r="A2950" i="9"/>
  <c r="A2951" i="9"/>
  <c r="A2952" i="9"/>
  <c r="A2953" i="9"/>
  <c r="A2954" i="9"/>
  <c r="A2955" i="9"/>
  <c r="A2956" i="9"/>
  <c r="A2957" i="9"/>
  <c r="A2958" i="9"/>
  <c r="A2959" i="9"/>
  <c r="A2960" i="9"/>
  <c r="A2961" i="9"/>
  <c r="A2962" i="9"/>
  <c r="A2963" i="9"/>
  <c r="A2964" i="9"/>
  <c r="A2965" i="9"/>
  <c r="A2966" i="9"/>
  <c r="A2967" i="9"/>
  <c r="A2968" i="9"/>
  <c r="A2969" i="9"/>
  <c r="A2970" i="9"/>
  <c r="A2971" i="9"/>
  <c r="A2972" i="9"/>
  <c r="A2973" i="9"/>
  <c r="A2974" i="9"/>
  <c r="A2975" i="9"/>
  <c r="A2976" i="9"/>
  <c r="A2977" i="9"/>
  <c r="A2978" i="9"/>
  <c r="A2979" i="9"/>
  <c r="A2980" i="9"/>
  <c r="A2981" i="9"/>
  <c r="A2982" i="9"/>
  <c r="A2983" i="9"/>
  <c r="A2984" i="9"/>
  <c r="A2985" i="9"/>
  <c r="A2986" i="9"/>
  <c r="A2987" i="9"/>
  <c r="A2988" i="9"/>
  <c r="A2989" i="9"/>
  <c r="A2990" i="9"/>
  <c r="A2991" i="9"/>
  <c r="A2992" i="9"/>
  <c r="A2993" i="9"/>
  <c r="A2994" i="9"/>
  <c r="A2995" i="9"/>
  <c r="A2996" i="9"/>
  <c r="A2997" i="9"/>
  <c r="A2998" i="9"/>
  <c r="A2999" i="9"/>
  <c r="A3000" i="9"/>
  <c r="A3001" i="9"/>
  <c r="A3002" i="9"/>
  <c r="A3003" i="9"/>
  <c r="A3004" i="9"/>
  <c r="A3005" i="9"/>
  <c r="A3006" i="9"/>
  <c r="A3007" i="9"/>
  <c r="A3008" i="9"/>
  <c r="A3009" i="9"/>
  <c r="A3010" i="9"/>
  <c r="A3011" i="9"/>
  <c r="A3012" i="9"/>
  <c r="A3013" i="9"/>
  <c r="A3014" i="9"/>
  <c r="A3015" i="9"/>
  <c r="A3016" i="9"/>
  <c r="A3017" i="9"/>
  <c r="A3018" i="9"/>
  <c r="A3019" i="9"/>
  <c r="A3020" i="9"/>
  <c r="A3021" i="9"/>
  <c r="A3022" i="9"/>
  <c r="A3023" i="9"/>
  <c r="A3024" i="9"/>
  <c r="A3025" i="9"/>
  <c r="A3026" i="9"/>
  <c r="A3027" i="9"/>
  <c r="A3028" i="9"/>
  <c r="A3029" i="9"/>
  <c r="A3030" i="9"/>
  <c r="A3031" i="9"/>
  <c r="A3032" i="9"/>
  <c r="A3033" i="9"/>
  <c r="A3034" i="9"/>
  <c r="A3035" i="9"/>
  <c r="A3036" i="9"/>
  <c r="A3037" i="9"/>
  <c r="A3038" i="9"/>
  <c r="A3039" i="9"/>
  <c r="A3040" i="9"/>
  <c r="A3041" i="9"/>
  <c r="A3042" i="9"/>
  <c r="A3043" i="9"/>
  <c r="A3044" i="9"/>
  <c r="A3045" i="9"/>
  <c r="A3046" i="9"/>
  <c r="A3047" i="9"/>
  <c r="A3048" i="9"/>
  <c r="A3049" i="9"/>
  <c r="A3050" i="9"/>
  <c r="A3051" i="9"/>
  <c r="A3052" i="9"/>
  <c r="A3053" i="9"/>
  <c r="A3054" i="9"/>
  <c r="A3055" i="9"/>
  <c r="A3056" i="9"/>
  <c r="A3057" i="9"/>
  <c r="A3058" i="9"/>
  <c r="A3059" i="9"/>
  <c r="A3060" i="9"/>
  <c r="A3061" i="9"/>
  <c r="A3062" i="9"/>
  <c r="A3063" i="9"/>
  <c r="A3064" i="9"/>
  <c r="A3065" i="9"/>
  <c r="A3066" i="9"/>
  <c r="A3067" i="9"/>
  <c r="A3068" i="9"/>
  <c r="A3069" i="9"/>
  <c r="A3070" i="9"/>
  <c r="A3071" i="9"/>
  <c r="A3072" i="9"/>
  <c r="A3073" i="9"/>
  <c r="A3074" i="9"/>
  <c r="A3075" i="9"/>
  <c r="A3076" i="9"/>
  <c r="A3077" i="9"/>
  <c r="A3078" i="9"/>
  <c r="A3079" i="9"/>
  <c r="A3080" i="9"/>
  <c r="A3081" i="9"/>
  <c r="A3082" i="9"/>
  <c r="A3083" i="9"/>
  <c r="A3084" i="9"/>
  <c r="A3085" i="9"/>
  <c r="A3086" i="9"/>
  <c r="A3087" i="9"/>
  <c r="A3088" i="9"/>
  <c r="A3089" i="9"/>
  <c r="A3090" i="9"/>
  <c r="A3091" i="9"/>
  <c r="A3092" i="9"/>
  <c r="A3093" i="9"/>
  <c r="A3094" i="9"/>
  <c r="A3095" i="9"/>
  <c r="A3096" i="9"/>
  <c r="A3097" i="9"/>
  <c r="A3098" i="9"/>
  <c r="A3099" i="9"/>
  <c r="A3100" i="9"/>
  <c r="A3101" i="9"/>
  <c r="A3102" i="9"/>
  <c r="A3103" i="9"/>
  <c r="A3104" i="9"/>
  <c r="A3105" i="9"/>
  <c r="A3106" i="9"/>
  <c r="A3107" i="9"/>
  <c r="A3108" i="9"/>
  <c r="A3109" i="9"/>
  <c r="A3110" i="9"/>
  <c r="A3111" i="9"/>
  <c r="A3112" i="9"/>
  <c r="A3113" i="9"/>
  <c r="A3114" i="9"/>
  <c r="A3115" i="9"/>
  <c r="A3116" i="9"/>
  <c r="A3117" i="9"/>
  <c r="A3118" i="9"/>
  <c r="A3119" i="9"/>
  <c r="A3120" i="9"/>
  <c r="A3121" i="9"/>
  <c r="A3122" i="9"/>
  <c r="A3123" i="9"/>
  <c r="A3124" i="9"/>
  <c r="A3125" i="9"/>
  <c r="A3126" i="9"/>
  <c r="A3127" i="9"/>
  <c r="A3128" i="9"/>
  <c r="A3129" i="9"/>
  <c r="A3130" i="9"/>
  <c r="A3131" i="9"/>
  <c r="A3132" i="9"/>
  <c r="A3133" i="9"/>
  <c r="A3134" i="9"/>
  <c r="A3135" i="9"/>
  <c r="A3136" i="9"/>
  <c r="A3137" i="9"/>
  <c r="A3138" i="9"/>
  <c r="A3139" i="9"/>
  <c r="A3140" i="9"/>
  <c r="A3141" i="9"/>
  <c r="A3142" i="9"/>
  <c r="A3143" i="9"/>
  <c r="A3144" i="9"/>
  <c r="A3145" i="9"/>
  <c r="A3146" i="9"/>
  <c r="A3147" i="9"/>
  <c r="A3148" i="9"/>
  <c r="A3149" i="9"/>
  <c r="A3150" i="9"/>
  <c r="A3151" i="9"/>
  <c r="A3152" i="9"/>
  <c r="A3153" i="9"/>
  <c r="A3154" i="9"/>
  <c r="A3155" i="9"/>
  <c r="A3156" i="9"/>
  <c r="A3157" i="9"/>
  <c r="A3158" i="9"/>
  <c r="A3159" i="9"/>
  <c r="A3160" i="9"/>
  <c r="A3161" i="9"/>
  <c r="A3162" i="9"/>
  <c r="A3163" i="9"/>
  <c r="A3164" i="9"/>
  <c r="A3165" i="9"/>
  <c r="A3166" i="9"/>
  <c r="A3167" i="9"/>
  <c r="A3168" i="9"/>
  <c r="A3169" i="9"/>
  <c r="A3170" i="9"/>
  <c r="A3171" i="9"/>
  <c r="A3172" i="9"/>
  <c r="A3173" i="9"/>
  <c r="A3174" i="9"/>
  <c r="A3175" i="9"/>
  <c r="A3176" i="9"/>
  <c r="A3177" i="9"/>
  <c r="A3178" i="9"/>
  <c r="A3179" i="9"/>
  <c r="A3180" i="9"/>
  <c r="A3181" i="9"/>
  <c r="A3182" i="9"/>
  <c r="A3183" i="9"/>
  <c r="A3184" i="9"/>
  <c r="A3185" i="9"/>
  <c r="A3186" i="9"/>
  <c r="A3187" i="9"/>
  <c r="A3188" i="9"/>
  <c r="A3189" i="9"/>
  <c r="A3190" i="9"/>
  <c r="A3191" i="9"/>
  <c r="A3192" i="9"/>
  <c r="A3193" i="9"/>
  <c r="A3194" i="9"/>
  <c r="A3195" i="9"/>
  <c r="A3196" i="9"/>
  <c r="A3197" i="9"/>
  <c r="A3198" i="9"/>
  <c r="A3199" i="9"/>
  <c r="A3200" i="9"/>
  <c r="A3201" i="9"/>
  <c r="A3202" i="9"/>
  <c r="A3203" i="9"/>
  <c r="A3204" i="9"/>
  <c r="A3205" i="9"/>
  <c r="A3206" i="9"/>
  <c r="A3207" i="9"/>
  <c r="A3208" i="9"/>
  <c r="A3209" i="9"/>
  <c r="A3210" i="9"/>
  <c r="A3211" i="9"/>
  <c r="A3212" i="9"/>
  <c r="A3213" i="9"/>
  <c r="A3214" i="9"/>
  <c r="A3215" i="9"/>
  <c r="A3216" i="9"/>
  <c r="A3217" i="9"/>
  <c r="A3218" i="9"/>
  <c r="A3219" i="9"/>
  <c r="A3220" i="9"/>
  <c r="A3221" i="9"/>
  <c r="A3222" i="9"/>
  <c r="A3223" i="9"/>
  <c r="A3224" i="9"/>
  <c r="A3225" i="9"/>
  <c r="A3226" i="9"/>
  <c r="A3227" i="9"/>
  <c r="A3228" i="9"/>
  <c r="A3229" i="9"/>
  <c r="A3230" i="9"/>
  <c r="A3231" i="9"/>
  <c r="A3232" i="9"/>
  <c r="A3233" i="9"/>
  <c r="A3234" i="9"/>
  <c r="A3235" i="9"/>
  <c r="A3236" i="9"/>
  <c r="A3237" i="9"/>
  <c r="A3238" i="9"/>
  <c r="A3239" i="9"/>
  <c r="A3240" i="9"/>
  <c r="A3241" i="9"/>
  <c r="A3242" i="9"/>
  <c r="A3243" i="9"/>
  <c r="A3244" i="9"/>
  <c r="A3245" i="9"/>
  <c r="A3246" i="9"/>
  <c r="A3247" i="9"/>
  <c r="A3248" i="9"/>
  <c r="A3249" i="9"/>
  <c r="A3250" i="9"/>
  <c r="A3251" i="9"/>
  <c r="A3252" i="9"/>
  <c r="A3253" i="9"/>
  <c r="A3254" i="9"/>
  <c r="A3255" i="9"/>
  <c r="A3256" i="9"/>
  <c r="A3257" i="9"/>
  <c r="A3258" i="9"/>
  <c r="A3259" i="9"/>
  <c r="A3260" i="9"/>
  <c r="A3261" i="9"/>
  <c r="A3262" i="9"/>
  <c r="A3263" i="9"/>
  <c r="A3264" i="9"/>
  <c r="A3265" i="9"/>
  <c r="A3266" i="9"/>
  <c r="A3267" i="9"/>
  <c r="A3268" i="9"/>
  <c r="A3269" i="9"/>
  <c r="A3270" i="9"/>
  <c r="A3271" i="9"/>
  <c r="A3272" i="9"/>
  <c r="A3273" i="9"/>
  <c r="A3274" i="9"/>
  <c r="A3275" i="9"/>
  <c r="A3276" i="9"/>
  <c r="A3277" i="9"/>
  <c r="A3278" i="9"/>
  <c r="A3279" i="9"/>
  <c r="A3280" i="9"/>
  <c r="A3281" i="9"/>
  <c r="A3282" i="9"/>
  <c r="A3283" i="9"/>
  <c r="A3284" i="9"/>
  <c r="A3285" i="9"/>
  <c r="A3286" i="9"/>
  <c r="A3287" i="9"/>
  <c r="A3288" i="9"/>
  <c r="A3289" i="9"/>
  <c r="A3290" i="9"/>
  <c r="A3291" i="9"/>
  <c r="A3292" i="9"/>
  <c r="A3293" i="9"/>
  <c r="A3294" i="9"/>
  <c r="A3295" i="9"/>
  <c r="A3296" i="9"/>
  <c r="A3297" i="9"/>
  <c r="A3298" i="9"/>
  <c r="A3299" i="9"/>
  <c r="A3300" i="9"/>
  <c r="A3301" i="9"/>
  <c r="A3302" i="9"/>
  <c r="A3303" i="9"/>
  <c r="A3304" i="9"/>
  <c r="A3305" i="9"/>
  <c r="A3306" i="9"/>
  <c r="A3307" i="9"/>
  <c r="A3308" i="9"/>
  <c r="A3309" i="9"/>
  <c r="A3310" i="9"/>
  <c r="A3311" i="9"/>
  <c r="A3312" i="9"/>
  <c r="A3313" i="9"/>
  <c r="A3314" i="9"/>
  <c r="A3315" i="9"/>
  <c r="A3316" i="9"/>
  <c r="A3317" i="9"/>
  <c r="A3318" i="9"/>
  <c r="A3319" i="9"/>
  <c r="A3320" i="9"/>
  <c r="A3321" i="9"/>
  <c r="A3322" i="9"/>
  <c r="A3323" i="9"/>
  <c r="A3324" i="9"/>
  <c r="A3325" i="9"/>
  <c r="A3326" i="9"/>
  <c r="A3327" i="9"/>
  <c r="A3328" i="9"/>
  <c r="A3329" i="9"/>
  <c r="A3330" i="9"/>
  <c r="A3331" i="9"/>
  <c r="A3332" i="9"/>
  <c r="A3333" i="9"/>
  <c r="A3334" i="9"/>
  <c r="A3335" i="9"/>
  <c r="A3336" i="9"/>
  <c r="A3337" i="9"/>
  <c r="A3338" i="9"/>
  <c r="A3339" i="9"/>
  <c r="A3340" i="9"/>
  <c r="A3341" i="9"/>
  <c r="A3342" i="9"/>
  <c r="A3343" i="9"/>
  <c r="A3344" i="9"/>
  <c r="A3345" i="9"/>
  <c r="A3346" i="9"/>
  <c r="A3347" i="9"/>
  <c r="A3348" i="9"/>
  <c r="A3349" i="9"/>
  <c r="A3350" i="9"/>
  <c r="A3351" i="9"/>
  <c r="A3352" i="9"/>
  <c r="A3353" i="9"/>
  <c r="A3354" i="9"/>
  <c r="A3355" i="9"/>
  <c r="A3356" i="9"/>
  <c r="A3357" i="9"/>
  <c r="A3358" i="9"/>
  <c r="A3359" i="9"/>
  <c r="A3360" i="9"/>
  <c r="A3361" i="9"/>
  <c r="A3362" i="9"/>
  <c r="A3363" i="9"/>
  <c r="A3364" i="9"/>
  <c r="A3365" i="9"/>
  <c r="A3366" i="9"/>
  <c r="A3367" i="9"/>
  <c r="A3368" i="9"/>
  <c r="A3369" i="9"/>
  <c r="A3370" i="9"/>
  <c r="A3371" i="9"/>
  <c r="A3372" i="9"/>
  <c r="A3373" i="9"/>
  <c r="A3374" i="9"/>
  <c r="A3375" i="9"/>
  <c r="A3376" i="9"/>
  <c r="A3377" i="9"/>
  <c r="A3378" i="9"/>
  <c r="A3379" i="9"/>
  <c r="A3380" i="9"/>
  <c r="A3381" i="9"/>
  <c r="A3382" i="9"/>
  <c r="A3383" i="9"/>
  <c r="A3384" i="9"/>
  <c r="A3385" i="9"/>
  <c r="A3386" i="9"/>
  <c r="A3387" i="9"/>
  <c r="A3388" i="9"/>
  <c r="A3389" i="9"/>
  <c r="A3390" i="9"/>
  <c r="A3391" i="9"/>
  <c r="A3392" i="9"/>
  <c r="A3393" i="9"/>
  <c r="A3394" i="9"/>
  <c r="A3395" i="9"/>
  <c r="A3396" i="9"/>
  <c r="A3397" i="9"/>
  <c r="A3398" i="9"/>
  <c r="A3399" i="9"/>
  <c r="A3400" i="9"/>
  <c r="A3401" i="9"/>
  <c r="A3402" i="9"/>
  <c r="A3403" i="9"/>
  <c r="A3404" i="9"/>
  <c r="A3405" i="9"/>
  <c r="A3406" i="9"/>
  <c r="A3407" i="9"/>
  <c r="A3408" i="9"/>
  <c r="A3409" i="9"/>
  <c r="A3410" i="9"/>
  <c r="A3411" i="9"/>
  <c r="A3412" i="9"/>
  <c r="A3413" i="9"/>
  <c r="A3414" i="9"/>
  <c r="A3415" i="9"/>
  <c r="A3416" i="9"/>
  <c r="A3417" i="9"/>
  <c r="A3418" i="9"/>
  <c r="A3419" i="9"/>
  <c r="A3420" i="9"/>
  <c r="A3421" i="9"/>
  <c r="A3422" i="9"/>
  <c r="A3423" i="9"/>
  <c r="A3424" i="9"/>
  <c r="A3425" i="9"/>
  <c r="A3426" i="9"/>
  <c r="A3427" i="9"/>
  <c r="A3428" i="9"/>
  <c r="A3429" i="9"/>
  <c r="A3430" i="9"/>
  <c r="A3431" i="9"/>
  <c r="A3432" i="9"/>
  <c r="A3433" i="9"/>
  <c r="A3434" i="9"/>
  <c r="A3435" i="9"/>
  <c r="A3436" i="9"/>
  <c r="A3437" i="9"/>
  <c r="A3438" i="9"/>
  <c r="A3439" i="9"/>
  <c r="A3440" i="9"/>
  <c r="A3441" i="9"/>
  <c r="A3442" i="9"/>
  <c r="A3443" i="9"/>
  <c r="A3444" i="9"/>
  <c r="A3445" i="9"/>
  <c r="A3446" i="9"/>
  <c r="A3447" i="9"/>
  <c r="A3448" i="9"/>
  <c r="A3449" i="9"/>
  <c r="A3450" i="9"/>
  <c r="A3451" i="9"/>
  <c r="A3452" i="9"/>
  <c r="A3453" i="9"/>
  <c r="A3454" i="9"/>
  <c r="A3455" i="9"/>
  <c r="A3456" i="9"/>
  <c r="A3457" i="9"/>
  <c r="A3458" i="9"/>
  <c r="A3459" i="9"/>
  <c r="A3460" i="9"/>
  <c r="A3461" i="9"/>
  <c r="A3462" i="9"/>
  <c r="A3463" i="9"/>
  <c r="A3464" i="9"/>
  <c r="A3465" i="9"/>
  <c r="A3466" i="9"/>
  <c r="A3467" i="9"/>
  <c r="A3468" i="9"/>
  <c r="A3469" i="9"/>
  <c r="A3470" i="9"/>
  <c r="A3471" i="9"/>
  <c r="A3472" i="9"/>
  <c r="A3473" i="9"/>
  <c r="A3474" i="9"/>
  <c r="A3475" i="9"/>
  <c r="A3476" i="9"/>
  <c r="A3477" i="9"/>
  <c r="A3478" i="9"/>
  <c r="A3479" i="9"/>
  <c r="A3480" i="9"/>
  <c r="A3481" i="9"/>
  <c r="A3482" i="9"/>
  <c r="A3483" i="9"/>
  <c r="A3484" i="9"/>
  <c r="A3485" i="9"/>
  <c r="A3486" i="9"/>
  <c r="A3487" i="9"/>
  <c r="A3488" i="9"/>
  <c r="A3489" i="9"/>
  <c r="A3490" i="9"/>
  <c r="A3491" i="9"/>
  <c r="A3492" i="9"/>
  <c r="A3493" i="9"/>
  <c r="A3494" i="9"/>
  <c r="A3495" i="9"/>
  <c r="A3496" i="9"/>
  <c r="A3497" i="9"/>
  <c r="A3498" i="9"/>
  <c r="A3499" i="9"/>
  <c r="A3500" i="9"/>
  <c r="A3501" i="9"/>
  <c r="A3502" i="9"/>
  <c r="A3503" i="9"/>
  <c r="A3504" i="9"/>
  <c r="A3505" i="9"/>
  <c r="A3506" i="9"/>
  <c r="A3507" i="9"/>
  <c r="A3508" i="9"/>
  <c r="A3509" i="9"/>
  <c r="A3510" i="9"/>
  <c r="A3511" i="9"/>
  <c r="A3512" i="9"/>
  <c r="A3513" i="9"/>
  <c r="A3514" i="9"/>
  <c r="A3515" i="9"/>
  <c r="A3516" i="9"/>
  <c r="A3517" i="9"/>
  <c r="A3518" i="9"/>
  <c r="A3519" i="9"/>
  <c r="A3520" i="9"/>
  <c r="A3521" i="9"/>
  <c r="A3522" i="9"/>
  <c r="A3523" i="9"/>
  <c r="A3524" i="9"/>
  <c r="A3525" i="9"/>
  <c r="A3526" i="9"/>
  <c r="A3527" i="9"/>
  <c r="A3528" i="9"/>
  <c r="A3529" i="9"/>
  <c r="A3530" i="9"/>
  <c r="A3531" i="9"/>
  <c r="A3532" i="9"/>
  <c r="A3533" i="9"/>
  <c r="A3534" i="9"/>
  <c r="A3535" i="9"/>
  <c r="A3536" i="9"/>
  <c r="A3537" i="9"/>
  <c r="A3538" i="9"/>
  <c r="A3539" i="9"/>
  <c r="A3540" i="9"/>
  <c r="A3541" i="9"/>
  <c r="A3542" i="9"/>
  <c r="A3543" i="9"/>
  <c r="A3544" i="9"/>
  <c r="A3545" i="9"/>
  <c r="A3546" i="9"/>
  <c r="A3547" i="9"/>
  <c r="A3548" i="9"/>
  <c r="A3549" i="9"/>
  <c r="A3550" i="9"/>
  <c r="A3551" i="9"/>
  <c r="A3552" i="9"/>
  <c r="A3553" i="9"/>
  <c r="A3554" i="9"/>
  <c r="A3555" i="9"/>
  <c r="A3556" i="9"/>
  <c r="A3557" i="9"/>
  <c r="A3558" i="9"/>
  <c r="A3559" i="9"/>
  <c r="A3560" i="9"/>
  <c r="A3561" i="9"/>
  <c r="A3562" i="9"/>
  <c r="A3563" i="9"/>
  <c r="A3564" i="9"/>
  <c r="A3565" i="9"/>
  <c r="A3566" i="9"/>
  <c r="A3567" i="9"/>
  <c r="A3568" i="9"/>
  <c r="A3569" i="9"/>
  <c r="A3570" i="9"/>
  <c r="A3571" i="9"/>
  <c r="A3572" i="9"/>
  <c r="A3573" i="9"/>
  <c r="A3574" i="9"/>
  <c r="A3575" i="9"/>
  <c r="A3576" i="9"/>
  <c r="A3577" i="9"/>
  <c r="A3578" i="9"/>
  <c r="A3579" i="9"/>
  <c r="A3580" i="9"/>
  <c r="A3581" i="9"/>
  <c r="A3582" i="9"/>
  <c r="A3583" i="9"/>
  <c r="A3584" i="9"/>
  <c r="A3585" i="9"/>
  <c r="A3586" i="9"/>
  <c r="A3587" i="9"/>
  <c r="A3588" i="9"/>
  <c r="A3589" i="9"/>
  <c r="A3590" i="9"/>
  <c r="A3591" i="9"/>
  <c r="A3592" i="9"/>
  <c r="A3593" i="9"/>
  <c r="A3594" i="9"/>
  <c r="A3595" i="9"/>
  <c r="A3596" i="9"/>
  <c r="A3597" i="9"/>
  <c r="A3598" i="9"/>
  <c r="A3599" i="9"/>
  <c r="A3600" i="9"/>
  <c r="A3601" i="9"/>
  <c r="A3602" i="9"/>
  <c r="A3603" i="9"/>
  <c r="A3604" i="9"/>
  <c r="A3605" i="9"/>
  <c r="A3606" i="9"/>
  <c r="A3607" i="9"/>
  <c r="A3608" i="9"/>
  <c r="A3609" i="9"/>
  <c r="A3610" i="9"/>
  <c r="A3611" i="9"/>
  <c r="A3612" i="9"/>
  <c r="A3613" i="9"/>
  <c r="A3614" i="9"/>
  <c r="A3615" i="9"/>
  <c r="A3616" i="9"/>
  <c r="A3617" i="9"/>
  <c r="A3618" i="9"/>
  <c r="A3619" i="9"/>
  <c r="A3620" i="9"/>
  <c r="A3621" i="9"/>
  <c r="A3622" i="9"/>
  <c r="A3623" i="9"/>
  <c r="A3624" i="9"/>
  <c r="A3625" i="9"/>
  <c r="A3626" i="9"/>
  <c r="A3627" i="9"/>
  <c r="A3628" i="9"/>
  <c r="A3629" i="9"/>
  <c r="A3630" i="9"/>
  <c r="A3631" i="9"/>
  <c r="A3632" i="9"/>
  <c r="A3633" i="9"/>
  <c r="A3634" i="9"/>
  <c r="A3635" i="9"/>
  <c r="A3636" i="9"/>
  <c r="A3637" i="9"/>
  <c r="A3638" i="9"/>
  <c r="A3639" i="9"/>
  <c r="A3640" i="9"/>
  <c r="A3641" i="9"/>
  <c r="A3642" i="9"/>
  <c r="A3643" i="9"/>
  <c r="A3644" i="9"/>
  <c r="A3645" i="9"/>
  <c r="A3646" i="9"/>
  <c r="A3647" i="9"/>
  <c r="A3648" i="9"/>
  <c r="A3649" i="9"/>
  <c r="A3650" i="9"/>
  <c r="A3651" i="9"/>
  <c r="A3652" i="9"/>
  <c r="A3653" i="9"/>
  <c r="A3654" i="9"/>
  <c r="A3655" i="9"/>
  <c r="A3656" i="9"/>
  <c r="A3657" i="9"/>
  <c r="A3658" i="9"/>
  <c r="A3659" i="9"/>
  <c r="A3660" i="9"/>
  <c r="A3661" i="9"/>
  <c r="A3662" i="9"/>
  <c r="A3663" i="9"/>
  <c r="A3664" i="9"/>
  <c r="A3665" i="9"/>
  <c r="A3666" i="9"/>
  <c r="A3667" i="9"/>
  <c r="A3668" i="9"/>
  <c r="A3669" i="9"/>
  <c r="A3670" i="9"/>
  <c r="A3671" i="9"/>
  <c r="A3672" i="9"/>
  <c r="A3673" i="9"/>
  <c r="A3674" i="9"/>
  <c r="A3675" i="9"/>
  <c r="A3676" i="9"/>
  <c r="A3677" i="9"/>
  <c r="A3678" i="9"/>
  <c r="A3679" i="9"/>
  <c r="A3680" i="9"/>
  <c r="A3681" i="9"/>
  <c r="A3682" i="9"/>
  <c r="A3683" i="9"/>
  <c r="A3684" i="9"/>
  <c r="A3685" i="9"/>
  <c r="A3686" i="9"/>
  <c r="A3687" i="9"/>
  <c r="A3688" i="9"/>
  <c r="A3689" i="9"/>
  <c r="A3690" i="9"/>
  <c r="A3691" i="9"/>
  <c r="A3692" i="9"/>
  <c r="A3693" i="9"/>
  <c r="A3694" i="9"/>
  <c r="A3695" i="9"/>
  <c r="A3696" i="9"/>
  <c r="A3697" i="9"/>
  <c r="A3698" i="9"/>
  <c r="A3699" i="9"/>
  <c r="A3700" i="9"/>
  <c r="A3701" i="9"/>
  <c r="A3702" i="9"/>
  <c r="A3703" i="9"/>
  <c r="A3704" i="9"/>
  <c r="A3705" i="9"/>
  <c r="A3706" i="9"/>
  <c r="A3707" i="9"/>
  <c r="A3708" i="9"/>
  <c r="A3709" i="9"/>
  <c r="A3710" i="9"/>
  <c r="A3711" i="9"/>
  <c r="A3712" i="9"/>
  <c r="A3713" i="9"/>
  <c r="A3714" i="9"/>
  <c r="A3715" i="9"/>
  <c r="A3716" i="9"/>
  <c r="A3717" i="9"/>
  <c r="A3718" i="9"/>
  <c r="A3719" i="9"/>
  <c r="A3720" i="9"/>
  <c r="A3721" i="9"/>
  <c r="A3722" i="9"/>
  <c r="A3723" i="9"/>
  <c r="A3724" i="9"/>
  <c r="A3725" i="9"/>
  <c r="A3726" i="9"/>
  <c r="A3727" i="9"/>
  <c r="A3728" i="9"/>
  <c r="A3729" i="9"/>
  <c r="A3730" i="9"/>
  <c r="A3731" i="9"/>
  <c r="A3732" i="9"/>
  <c r="A3733" i="9"/>
  <c r="A3734" i="9"/>
  <c r="A3735" i="9"/>
  <c r="A3736" i="9"/>
  <c r="A3737" i="9"/>
  <c r="A3738" i="9"/>
  <c r="A3739" i="9"/>
  <c r="A3740" i="9"/>
  <c r="A3741" i="9"/>
  <c r="A3742" i="9"/>
  <c r="A3743" i="9"/>
  <c r="A3744" i="9"/>
  <c r="A3745" i="9"/>
  <c r="A3746" i="9"/>
  <c r="A3747" i="9"/>
  <c r="A3748" i="9"/>
  <c r="A3749" i="9"/>
  <c r="A3750" i="9"/>
  <c r="A3751" i="9"/>
  <c r="A3752" i="9"/>
  <c r="A3753" i="9"/>
  <c r="A3754" i="9"/>
  <c r="A3755" i="9"/>
  <c r="A3756" i="9"/>
  <c r="A3757" i="9"/>
  <c r="A3758" i="9"/>
  <c r="A3759" i="9"/>
  <c r="A3760" i="9"/>
  <c r="A3761" i="9"/>
  <c r="A3762" i="9"/>
  <c r="A3763" i="9"/>
  <c r="A3764" i="9"/>
  <c r="A3765" i="9"/>
  <c r="A3766" i="9"/>
  <c r="A3767" i="9"/>
  <c r="A3768" i="9"/>
  <c r="A3769" i="9"/>
  <c r="A3770" i="9"/>
  <c r="A3771" i="9"/>
  <c r="A3772" i="9"/>
  <c r="A3773" i="9"/>
  <c r="A3774" i="9"/>
  <c r="A3775" i="9"/>
  <c r="A3776" i="9"/>
  <c r="A3777" i="9"/>
  <c r="A3778" i="9"/>
  <c r="A3779" i="9"/>
  <c r="A3780" i="9"/>
  <c r="A3781" i="9"/>
  <c r="A3782" i="9"/>
  <c r="A3783" i="9"/>
  <c r="A3784" i="9"/>
  <c r="A3785" i="9"/>
  <c r="A3786" i="9"/>
  <c r="A3787" i="9"/>
  <c r="A3788" i="9"/>
  <c r="A3789" i="9"/>
  <c r="A3790" i="9"/>
  <c r="A3791" i="9"/>
  <c r="A3792" i="9"/>
  <c r="A3793" i="9"/>
  <c r="A3794" i="9"/>
  <c r="A3795" i="9"/>
  <c r="A3796" i="9"/>
  <c r="A3797" i="9"/>
  <c r="A3798" i="9"/>
  <c r="A3799" i="9"/>
  <c r="A3800" i="9"/>
  <c r="A3801" i="9"/>
  <c r="A3802" i="9"/>
  <c r="A3803" i="9"/>
  <c r="A3804" i="9"/>
  <c r="A3805" i="9"/>
  <c r="A3806" i="9"/>
  <c r="A3807" i="9"/>
  <c r="A3808" i="9"/>
  <c r="A3809" i="9"/>
  <c r="A3810" i="9"/>
  <c r="A3811" i="9"/>
  <c r="A3812" i="9"/>
  <c r="A3813" i="9"/>
  <c r="A3814" i="9"/>
  <c r="A3815" i="9"/>
  <c r="A3816" i="9"/>
  <c r="A3817" i="9"/>
  <c r="A3818" i="9"/>
  <c r="A3819" i="9"/>
  <c r="A3820" i="9"/>
  <c r="A3821" i="9"/>
  <c r="A3822" i="9"/>
  <c r="A3823" i="9"/>
  <c r="A3824" i="9"/>
  <c r="A3825" i="9"/>
  <c r="A3826" i="9"/>
  <c r="A3827" i="9"/>
  <c r="A3828" i="9"/>
  <c r="A3829" i="9"/>
  <c r="A3830" i="9"/>
  <c r="A3831" i="9"/>
  <c r="A3832" i="9"/>
  <c r="A3833" i="9"/>
  <c r="A3834" i="9"/>
  <c r="A3835" i="9"/>
  <c r="A3836" i="9"/>
  <c r="A3837" i="9"/>
  <c r="A3838" i="9"/>
  <c r="A3839" i="9"/>
  <c r="A3840" i="9"/>
  <c r="A3841" i="9"/>
  <c r="A3842" i="9"/>
  <c r="A3843" i="9"/>
  <c r="A3844" i="9"/>
  <c r="A3845" i="9"/>
  <c r="A3846" i="9"/>
  <c r="A3847" i="9"/>
  <c r="A3848" i="9"/>
  <c r="A3849" i="9"/>
  <c r="A3850" i="9"/>
  <c r="A3851" i="9"/>
  <c r="A3852" i="9"/>
  <c r="A3853" i="9"/>
  <c r="A3854" i="9"/>
  <c r="A3855" i="9"/>
  <c r="A3856" i="9"/>
  <c r="A3857" i="9"/>
  <c r="A3858" i="9"/>
  <c r="A3859" i="9"/>
  <c r="A3860" i="9"/>
  <c r="A3861" i="9"/>
  <c r="A3862" i="9"/>
  <c r="A3863" i="9"/>
  <c r="A3864" i="9"/>
  <c r="A3865" i="9"/>
  <c r="A3866" i="9"/>
  <c r="A3867" i="9"/>
  <c r="A3868" i="9"/>
  <c r="A3869" i="9"/>
  <c r="A3870" i="9"/>
  <c r="A3871" i="9"/>
  <c r="A3872" i="9"/>
  <c r="A3873" i="9"/>
  <c r="A3874" i="9"/>
  <c r="A3875" i="9"/>
  <c r="A3876" i="9"/>
  <c r="A3877" i="9"/>
  <c r="A3878" i="9"/>
  <c r="A3879" i="9"/>
  <c r="A3880" i="9"/>
  <c r="A3881" i="9"/>
  <c r="A3882" i="9"/>
  <c r="A3883" i="9"/>
  <c r="A3884" i="9"/>
  <c r="A3885" i="9"/>
  <c r="A3886" i="9"/>
  <c r="A3887" i="9"/>
  <c r="A3888" i="9"/>
  <c r="A3889" i="9"/>
  <c r="A3890" i="9"/>
  <c r="A3891" i="9"/>
  <c r="A3892" i="9"/>
  <c r="A3893" i="9"/>
  <c r="A3894" i="9"/>
  <c r="A3895" i="9"/>
  <c r="A3896" i="9"/>
  <c r="A3897" i="9"/>
  <c r="A3898" i="9"/>
  <c r="A3899" i="9"/>
  <c r="A3900" i="9"/>
  <c r="A3901" i="9"/>
  <c r="A3902" i="9"/>
  <c r="A3903" i="9"/>
  <c r="A3904" i="9"/>
  <c r="A3905" i="9"/>
  <c r="A3906" i="9"/>
  <c r="A3907" i="9"/>
  <c r="A3908" i="9"/>
  <c r="A3909" i="9"/>
  <c r="A3910" i="9"/>
  <c r="A3911" i="9"/>
  <c r="A3912" i="9"/>
  <c r="A3913" i="9"/>
  <c r="A3914" i="9"/>
  <c r="A3915" i="9"/>
  <c r="A3916" i="9"/>
  <c r="A3917" i="9"/>
  <c r="A3918" i="9"/>
  <c r="A3919" i="9"/>
  <c r="A3920" i="9"/>
  <c r="A3921" i="9"/>
  <c r="A3922" i="9"/>
  <c r="A3923" i="9"/>
  <c r="A3924" i="9"/>
  <c r="A3925" i="9"/>
  <c r="A3926" i="9"/>
  <c r="A3927" i="9"/>
  <c r="A3928" i="9"/>
  <c r="A3929" i="9"/>
  <c r="A3930" i="9"/>
  <c r="A3931" i="9"/>
  <c r="A3932" i="9"/>
  <c r="A3933" i="9"/>
  <c r="A3934" i="9"/>
  <c r="A3935" i="9"/>
  <c r="A3936" i="9"/>
  <c r="A3937" i="9"/>
  <c r="A3938" i="9"/>
  <c r="A3939" i="9"/>
  <c r="A3940" i="9"/>
  <c r="A3941" i="9"/>
  <c r="A3942" i="9"/>
  <c r="A3943" i="9"/>
  <c r="A3944" i="9"/>
  <c r="A3945" i="9"/>
  <c r="A3946" i="9"/>
  <c r="A3947" i="9"/>
  <c r="A3948" i="9"/>
  <c r="A3949" i="9"/>
  <c r="A3950" i="9"/>
  <c r="A3951" i="9"/>
  <c r="A3952" i="9"/>
  <c r="A3953" i="9"/>
  <c r="A3954" i="9"/>
  <c r="A3955" i="9"/>
  <c r="A3956" i="9"/>
  <c r="A3957" i="9"/>
  <c r="A3958" i="9"/>
  <c r="A3959" i="9"/>
  <c r="A3960" i="9"/>
  <c r="A3961" i="9"/>
  <c r="A3962" i="9"/>
  <c r="A3963" i="9"/>
  <c r="A3964" i="9"/>
  <c r="A3965" i="9"/>
  <c r="A3966" i="9"/>
  <c r="A3967" i="9"/>
  <c r="A3968" i="9"/>
  <c r="A3969" i="9"/>
  <c r="A3970" i="9"/>
  <c r="A3971" i="9"/>
  <c r="A3972" i="9"/>
  <c r="A3973" i="9"/>
  <c r="A3974" i="9"/>
  <c r="A3975" i="9"/>
  <c r="A3976" i="9"/>
  <c r="A3977" i="9"/>
  <c r="A3978" i="9"/>
  <c r="A3979" i="9"/>
  <c r="A3980" i="9"/>
  <c r="A3981" i="9"/>
  <c r="A3982" i="9"/>
  <c r="A3983" i="9"/>
  <c r="A3984" i="9"/>
  <c r="A3985" i="9"/>
  <c r="A3986" i="9"/>
  <c r="A3987" i="9"/>
  <c r="A3988" i="9"/>
  <c r="A3989" i="9"/>
  <c r="A3990" i="9"/>
  <c r="A3991" i="9"/>
  <c r="A3992" i="9"/>
  <c r="A3993" i="9"/>
  <c r="A3994" i="9"/>
  <c r="A3995" i="9"/>
  <c r="A3996" i="9"/>
  <c r="A3997" i="9"/>
  <c r="A3998" i="9"/>
  <c r="A3999" i="9"/>
  <c r="A4000" i="9"/>
  <c r="A4001" i="9"/>
  <c r="A4002" i="9"/>
  <c r="A4003" i="9"/>
  <c r="A4004" i="9"/>
  <c r="A4005" i="9"/>
  <c r="A4006" i="9"/>
  <c r="A4007" i="9"/>
  <c r="A4008" i="9"/>
  <c r="A4009" i="9"/>
  <c r="A4010" i="9"/>
  <c r="A4011" i="9"/>
  <c r="A4012" i="9"/>
  <c r="A4013" i="9"/>
  <c r="A4014" i="9"/>
  <c r="A4015" i="9"/>
  <c r="A4016" i="9"/>
  <c r="A4017" i="9"/>
  <c r="A4018" i="9"/>
  <c r="A4019" i="9"/>
  <c r="A4020" i="9"/>
  <c r="A4021" i="9"/>
  <c r="A4022" i="9"/>
  <c r="A4023" i="9"/>
  <c r="A4024" i="9"/>
  <c r="A4025" i="9"/>
  <c r="A4026" i="9"/>
  <c r="A4027" i="9"/>
  <c r="A4028" i="9"/>
  <c r="A4029" i="9"/>
  <c r="A4030" i="9"/>
  <c r="A4031" i="9"/>
  <c r="A4032" i="9"/>
  <c r="A4033" i="9"/>
  <c r="A4034" i="9"/>
  <c r="A4035" i="9"/>
  <c r="A4036" i="9"/>
  <c r="A4037" i="9"/>
  <c r="A4038" i="9"/>
  <c r="A4039" i="9"/>
  <c r="A4040" i="9"/>
  <c r="A4041" i="9"/>
  <c r="A4042" i="9"/>
  <c r="A4043" i="9"/>
  <c r="A4044" i="9"/>
  <c r="A4045" i="9"/>
  <c r="A4046" i="9"/>
  <c r="A4047" i="9"/>
  <c r="A4048" i="9"/>
  <c r="A4049" i="9"/>
  <c r="A4050" i="9"/>
  <c r="A4051" i="9"/>
  <c r="A4052" i="9"/>
  <c r="A4053" i="9"/>
  <c r="A4054" i="9"/>
  <c r="A4055" i="9"/>
  <c r="A4056" i="9"/>
  <c r="A4057" i="9"/>
  <c r="A4058" i="9"/>
  <c r="A4059" i="9"/>
  <c r="A4060" i="9"/>
  <c r="A4061" i="9"/>
  <c r="A4062" i="9"/>
  <c r="A4063" i="9"/>
  <c r="A4064" i="9"/>
  <c r="A4065" i="9"/>
  <c r="A4066" i="9"/>
  <c r="A4067" i="9"/>
  <c r="A4068" i="9"/>
  <c r="A4069" i="9"/>
  <c r="A4070" i="9"/>
  <c r="A4071" i="9"/>
  <c r="A4072" i="9"/>
  <c r="A4073" i="9"/>
  <c r="A4074" i="9"/>
  <c r="A4075" i="9"/>
  <c r="A4076" i="9"/>
  <c r="A4077" i="9"/>
  <c r="A4078" i="9"/>
  <c r="A4079" i="9"/>
  <c r="A4080" i="9"/>
  <c r="A4081" i="9"/>
  <c r="A4082" i="9"/>
  <c r="A4083" i="9"/>
  <c r="A4084" i="9"/>
  <c r="A4085" i="9"/>
  <c r="A4086" i="9"/>
  <c r="A4087" i="9"/>
  <c r="A4088" i="9"/>
  <c r="A4089" i="9"/>
  <c r="A4090" i="9"/>
  <c r="A4091" i="9"/>
  <c r="A4092" i="9"/>
  <c r="A4093" i="9"/>
  <c r="A4094" i="9"/>
  <c r="A4095" i="9"/>
  <c r="A4096" i="9"/>
  <c r="A4097" i="9"/>
  <c r="A4098" i="9"/>
  <c r="A4099" i="9"/>
  <c r="A4100" i="9"/>
  <c r="A4101" i="9"/>
  <c r="A4102" i="9"/>
  <c r="A4103" i="9"/>
  <c r="A4104" i="9"/>
  <c r="A4105" i="9"/>
  <c r="A4106" i="9"/>
  <c r="A4107" i="9"/>
  <c r="A4108" i="9"/>
  <c r="A4109" i="9"/>
  <c r="A4110" i="9"/>
  <c r="A4111" i="9"/>
  <c r="A4112" i="9"/>
  <c r="A4113" i="9"/>
  <c r="A4114" i="9"/>
  <c r="A4115" i="9"/>
  <c r="A4116" i="9"/>
  <c r="A4117" i="9"/>
  <c r="A4118" i="9"/>
  <c r="A4119" i="9"/>
  <c r="A4120" i="9"/>
  <c r="A4121" i="9"/>
  <c r="A4122" i="9"/>
  <c r="A4123" i="9"/>
  <c r="A4124" i="9"/>
  <c r="A4125" i="9"/>
  <c r="A4126" i="9"/>
  <c r="A4127" i="9"/>
  <c r="A4128" i="9"/>
  <c r="A4129" i="9"/>
  <c r="A4130" i="9"/>
  <c r="A4131" i="9"/>
  <c r="A4132" i="9"/>
  <c r="A4133" i="9"/>
  <c r="A4134" i="9"/>
  <c r="A4135" i="9"/>
  <c r="A4136" i="9"/>
  <c r="A4137" i="9"/>
  <c r="A4138" i="9"/>
  <c r="A4139" i="9"/>
  <c r="A4140" i="9"/>
  <c r="A4141" i="9"/>
  <c r="A4142" i="9"/>
  <c r="A4143" i="9"/>
  <c r="A4144" i="9"/>
  <c r="A4145" i="9"/>
  <c r="A4146" i="9"/>
  <c r="A4147" i="9"/>
  <c r="A4148" i="9"/>
  <c r="A4149" i="9"/>
  <c r="A4150" i="9"/>
  <c r="A4151" i="9"/>
  <c r="A4152" i="9"/>
  <c r="A4153" i="9"/>
  <c r="A4154" i="9"/>
  <c r="A4155" i="9"/>
  <c r="A4156" i="9"/>
  <c r="A4157" i="9"/>
  <c r="A4158" i="9"/>
  <c r="A4159" i="9"/>
  <c r="A4160" i="9"/>
  <c r="A4161" i="9"/>
  <c r="A4162" i="9"/>
  <c r="A4163" i="9"/>
  <c r="A4164" i="9"/>
  <c r="A4165" i="9"/>
  <c r="A4166" i="9"/>
  <c r="A4167" i="9"/>
  <c r="A4168" i="9"/>
  <c r="A4169" i="9"/>
  <c r="A4170" i="9"/>
  <c r="A4171" i="9"/>
  <c r="A4172" i="9"/>
  <c r="A4173" i="9"/>
  <c r="A4174" i="9"/>
  <c r="A4175" i="9"/>
  <c r="A4176" i="9"/>
  <c r="A4177" i="9"/>
  <c r="A4178" i="9"/>
  <c r="A4179" i="9"/>
  <c r="A4180" i="9"/>
  <c r="A4181" i="9"/>
  <c r="A4182" i="9"/>
  <c r="A4183" i="9"/>
  <c r="A4184" i="9"/>
  <c r="A4185" i="9"/>
  <c r="A4186" i="9"/>
  <c r="A4187" i="9"/>
  <c r="A4188" i="9"/>
  <c r="A4189" i="9"/>
  <c r="A4190" i="9"/>
  <c r="A4191" i="9"/>
  <c r="A4192" i="9"/>
  <c r="A4193" i="9"/>
  <c r="A4194" i="9"/>
  <c r="A4195" i="9"/>
  <c r="A4196" i="9"/>
  <c r="A4197" i="9"/>
  <c r="A4198" i="9"/>
  <c r="A4199" i="9"/>
  <c r="A4200" i="9"/>
  <c r="A4201" i="9"/>
  <c r="A4202" i="9"/>
  <c r="A4203" i="9"/>
  <c r="A4204" i="9"/>
  <c r="A4205" i="9"/>
  <c r="A4206" i="9"/>
  <c r="A4207" i="9"/>
  <c r="A4208" i="9"/>
  <c r="A4209" i="9"/>
  <c r="A4210" i="9"/>
  <c r="A4211" i="9"/>
  <c r="A4212" i="9"/>
  <c r="A4213" i="9"/>
  <c r="A4214" i="9"/>
  <c r="A4215" i="9"/>
  <c r="A4216" i="9"/>
  <c r="A4217" i="9"/>
  <c r="A4218" i="9"/>
  <c r="A4219" i="9"/>
  <c r="A4220" i="9"/>
  <c r="A4221" i="9"/>
  <c r="A4222" i="9"/>
  <c r="A4223" i="9"/>
  <c r="A4224" i="9"/>
  <c r="A4225" i="9"/>
  <c r="A4226" i="9"/>
  <c r="A4227" i="9"/>
  <c r="A4228" i="9"/>
  <c r="A4229" i="9"/>
  <c r="A4230" i="9"/>
  <c r="A4231" i="9"/>
  <c r="A4232" i="9"/>
  <c r="A4233" i="9"/>
  <c r="A4234" i="9"/>
  <c r="A4235" i="9"/>
  <c r="A4236" i="9"/>
  <c r="A4237" i="9"/>
  <c r="A4238" i="9"/>
  <c r="A4239" i="9"/>
  <c r="A4240" i="9"/>
  <c r="A4241" i="9"/>
  <c r="A4242" i="9"/>
  <c r="A4243" i="9"/>
  <c r="A4244" i="9"/>
  <c r="A4245" i="9"/>
  <c r="A4246" i="9"/>
  <c r="A4247" i="9"/>
  <c r="A4248" i="9"/>
  <c r="A4249" i="9"/>
  <c r="A4250" i="9"/>
  <c r="A4251" i="9"/>
  <c r="A4252" i="9"/>
  <c r="A4253" i="9"/>
  <c r="A4254" i="9"/>
  <c r="A4255" i="9"/>
  <c r="A4256" i="9"/>
  <c r="A4257" i="9"/>
  <c r="A4258" i="9"/>
  <c r="A4259" i="9"/>
  <c r="A4260" i="9"/>
  <c r="A4261" i="9"/>
  <c r="A4262" i="9"/>
  <c r="A4263" i="9"/>
  <c r="A4264" i="9"/>
  <c r="A4265" i="9"/>
  <c r="A4266" i="9"/>
  <c r="A4267" i="9"/>
  <c r="A4268" i="9"/>
  <c r="A4269" i="9"/>
  <c r="A4270" i="9"/>
  <c r="A4271" i="9"/>
  <c r="A4272" i="9"/>
  <c r="A4273" i="9"/>
  <c r="A4274" i="9"/>
  <c r="A4275" i="9"/>
  <c r="A4276" i="9"/>
  <c r="A4277" i="9"/>
  <c r="A4278" i="9"/>
  <c r="A4279" i="9"/>
  <c r="A4280" i="9"/>
  <c r="A4281" i="9"/>
  <c r="A4282" i="9"/>
  <c r="A4283" i="9"/>
  <c r="A4284" i="9"/>
  <c r="A4285" i="9"/>
  <c r="A4286" i="9"/>
  <c r="A4287" i="9"/>
  <c r="A4288" i="9"/>
  <c r="A4289" i="9"/>
  <c r="A4290" i="9"/>
  <c r="A4291" i="9"/>
  <c r="A4292" i="9"/>
  <c r="A4293" i="9"/>
  <c r="A4294" i="9"/>
  <c r="A4295" i="9"/>
  <c r="A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7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2010" i="9"/>
  <c r="J2011" i="9"/>
  <c r="J2012" i="9"/>
  <c r="J2013" i="9"/>
  <c r="J2014" i="9"/>
  <c r="J2015" i="9"/>
  <c r="J2016" i="9"/>
  <c r="J2017" i="9"/>
  <c r="J2018" i="9"/>
  <c r="J2019" i="9"/>
  <c r="J2020" i="9"/>
  <c r="J2021" i="9"/>
  <c r="J2022" i="9"/>
  <c r="J2023" i="9"/>
  <c r="J2024" i="9"/>
  <c r="J2025" i="9"/>
  <c r="J2026" i="9"/>
  <c r="J2027" i="9"/>
  <c r="J2028" i="9"/>
  <c r="J2029" i="9"/>
  <c r="J2030" i="9"/>
  <c r="J2031" i="9"/>
  <c r="J2032" i="9"/>
  <c r="J2033" i="9"/>
  <c r="J2034" i="9"/>
  <c r="J2035" i="9"/>
  <c r="J2036" i="9"/>
  <c r="J2037" i="9"/>
  <c r="J2038" i="9"/>
  <c r="J2039" i="9"/>
  <c r="J2040" i="9"/>
  <c r="J2041" i="9"/>
  <c r="J2042" i="9"/>
  <c r="J2043" i="9"/>
  <c r="J2044" i="9"/>
  <c r="J2045" i="9"/>
  <c r="J2046" i="9"/>
  <c r="J2047" i="9"/>
  <c r="J2048" i="9"/>
  <c r="J2049" i="9"/>
  <c r="J2050" i="9"/>
  <c r="J2051" i="9"/>
  <c r="J2052" i="9"/>
  <c r="J2053" i="9"/>
  <c r="J2054" i="9"/>
  <c r="J2055" i="9"/>
  <c r="J2056" i="9"/>
  <c r="J2057" i="9"/>
  <c r="J2058" i="9"/>
  <c r="J2059" i="9"/>
  <c r="J2060" i="9"/>
  <c r="J2061" i="9"/>
  <c r="J2062" i="9"/>
  <c r="J2063" i="9"/>
  <c r="J2064" i="9"/>
  <c r="J2065" i="9"/>
  <c r="J2066" i="9"/>
  <c r="J2067" i="9"/>
  <c r="J2068" i="9"/>
  <c r="J2069" i="9"/>
  <c r="J2070" i="9"/>
  <c r="J2071" i="9"/>
  <c r="J2072" i="9"/>
  <c r="J2073" i="9"/>
  <c r="J2074" i="9"/>
  <c r="J2075" i="9"/>
  <c r="J2076" i="9"/>
  <c r="J2077" i="9"/>
  <c r="J2078" i="9"/>
  <c r="J2079" i="9"/>
  <c r="J2080" i="9"/>
  <c r="J2081" i="9"/>
  <c r="J2082" i="9"/>
  <c r="J2083" i="9"/>
  <c r="J2084" i="9"/>
  <c r="J2085" i="9"/>
  <c r="J2086" i="9"/>
  <c r="J2087" i="9"/>
  <c r="J2088" i="9"/>
  <c r="J2089" i="9"/>
  <c r="J2090" i="9"/>
  <c r="J2091" i="9"/>
  <c r="J2092" i="9"/>
  <c r="J2093" i="9"/>
  <c r="J2094" i="9"/>
  <c r="J2095" i="9"/>
  <c r="J2096" i="9"/>
  <c r="J2097" i="9"/>
  <c r="J2098" i="9"/>
  <c r="J2099" i="9"/>
  <c r="J2100" i="9"/>
  <c r="J2101" i="9"/>
  <c r="J2102" i="9"/>
  <c r="J2103" i="9"/>
  <c r="J2104" i="9"/>
  <c r="J2105" i="9"/>
  <c r="J2106" i="9"/>
  <c r="J2107" i="9"/>
  <c r="J2108" i="9"/>
  <c r="J2109" i="9"/>
  <c r="J2110" i="9"/>
  <c r="J2111" i="9"/>
  <c r="J2112" i="9"/>
  <c r="J2113" i="9"/>
  <c r="J2114" i="9"/>
  <c r="J2115" i="9"/>
  <c r="J2116" i="9"/>
  <c r="J2117" i="9"/>
  <c r="J2118" i="9"/>
  <c r="J2119" i="9"/>
  <c r="J2120" i="9"/>
  <c r="J2121" i="9"/>
  <c r="J2122" i="9"/>
  <c r="J2123" i="9"/>
  <c r="J2124" i="9"/>
  <c r="J2125" i="9"/>
  <c r="J2126" i="9"/>
  <c r="J2127" i="9"/>
  <c r="J2128" i="9"/>
  <c r="J2129" i="9"/>
  <c r="J2130" i="9"/>
  <c r="J2131" i="9"/>
  <c r="J2132" i="9"/>
  <c r="J2133" i="9"/>
  <c r="J2134" i="9"/>
  <c r="J2135" i="9"/>
  <c r="J2136" i="9"/>
  <c r="J2137" i="9"/>
  <c r="J2138" i="9"/>
  <c r="J2139" i="9"/>
  <c r="J2140" i="9"/>
  <c r="J2141" i="9"/>
  <c r="J2142" i="9"/>
  <c r="J2143" i="9"/>
  <c r="J2144" i="9"/>
  <c r="J2145" i="9"/>
  <c r="J2146" i="9"/>
  <c r="J2147" i="9"/>
  <c r="J2148" i="9"/>
  <c r="J2149" i="9"/>
  <c r="J2150" i="9"/>
  <c r="J2151" i="9"/>
  <c r="J2152" i="9"/>
  <c r="J2153" i="9"/>
  <c r="J2154" i="9"/>
  <c r="J2155" i="9"/>
  <c r="J2156" i="9"/>
  <c r="J2157" i="9"/>
  <c r="J2158" i="9"/>
  <c r="J2159" i="9"/>
  <c r="J2160" i="9"/>
  <c r="J2161" i="9"/>
  <c r="J2162" i="9"/>
  <c r="J2163" i="9"/>
  <c r="J2164" i="9"/>
  <c r="J2165" i="9"/>
  <c r="J2166" i="9"/>
  <c r="J2167" i="9"/>
  <c r="J2168" i="9"/>
  <c r="J2169" i="9"/>
  <c r="J2170" i="9"/>
  <c r="J2171" i="9"/>
  <c r="J2172" i="9"/>
  <c r="J2173" i="9"/>
  <c r="J2174" i="9"/>
  <c r="J2175" i="9"/>
  <c r="J2176" i="9"/>
  <c r="J2177" i="9"/>
  <c r="J2178" i="9"/>
  <c r="J2179" i="9"/>
  <c r="J2180" i="9"/>
  <c r="J2181" i="9"/>
  <c r="J2182" i="9"/>
  <c r="J2183" i="9"/>
  <c r="J2184" i="9"/>
  <c r="J2185" i="9"/>
  <c r="J2186" i="9"/>
  <c r="J2187" i="9"/>
  <c r="J2188" i="9"/>
  <c r="J2189" i="9"/>
  <c r="J2190" i="9"/>
  <c r="J2191" i="9"/>
  <c r="J2192" i="9"/>
  <c r="J2193" i="9"/>
  <c r="J2194" i="9"/>
  <c r="J2195" i="9"/>
  <c r="J2196" i="9"/>
  <c r="J2197" i="9"/>
  <c r="J2198" i="9"/>
  <c r="J2199" i="9"/>
  <c r="J2200" i="9"/>
  <c r="J2201" i="9"/>
  <c r="J2202" i="9"/>
  <c r="J2203" i="9"/>
  <c r="J2204" i="9"/>
  <c r="J2205" i="9"/>
  <c r="J2206" i="9"/>
  <c r="J2207" i="9"/>
  <c r="J2208" i="9"/>
  <c r="J2209" i="9"/>
  <c r="J2210" i="9"/>
  <c r="J2211" i="9"/>
  <c r="J2212" i="9"/>
  <c r="J2213" i="9"/>
  <c r="J2214" i="9"/>
  <c r="J2215" i="9"/>
  <c r="J2216" i="9"/>
  <c r="J2217" i="9"/>
  <c r="J2218" i="9"/>
  <c r="J2219" i="9"/>
  <c r="J2220" i="9"/>
  <c r="J2221" i="9"/>
  <c r="J2222" i="9"/>
  <c r="J2223" i="9"/>
  <c r="J2224" i="9"/>
  <c r="J2225" i="9"/>
  <c r="J2226" i="9"/>
  <c r="J2227" i="9"/>
  <c r="J2228" i="9"/>
  <c r="J2229" i="9"/>
  <c r="J2230" i="9"/>
  <c r="J2231" i="9"/>
  <c r="J2232" i="9"/>
  <c r="J2233" i="9"/>
  <c r="J2234" i="9"/>
  <c r="K2234" i="9" s="1"/>
  <c r="J2235" i="9"/>
  <c r="J2236" i="9"/>
  <c r="J2237" i="9"/>
  <c r="J2238" i="9"/>
  <c r="J2239" i="9"/>
  <c r="J2240" i="9"/>
  <c r="J2241" i="9"/>
  <c r="J2242" i="9"/>
  <c r="J2243" i="9"/>
  <c r="J2244" i="9"/>
  <c r="J2245" i="9"/>
  <c r="J2246" i="9"/>
  <c r="J2247" i="9"/>
  <c r="J2248" i="9"/>
  <c r="J2249" i="9"/>
  <c r="J2250" i="9"/>
  <c r="J2251" i="9"/>
  <c r="J2252" i="9"/>
  <c r="J2253" i="9"/>
  <c r="J2254" i="9"/>
  <c r="J2255" i="9"/>
  <c r="J2256" i="9"/>
  <c r="J2257" i="9"/>
  <c r="J2258" i="9"/>
  <c r="J2259" i="9"/>
  <c r="J2260" i="9"/>
  <c r="J2261" i="9"/>
  <c r="J2262" i="9"/>
  <c r="J2263" i="9"/>
  <c r="J2264" i="9"/>
  <c r="J2265" i="9"/>
  <c r="J2266" i="9"/>
  <c r="J2267" i="9"/>
  <c r="J2268" i="9"/>
  <c r="J2269" i="9"/>
  <c r="J2270" i="9"/>
  <c r="J2271" i="9"/>
  <c r="J2272" i="9"/>
  <c r="J2273" i="9"/>
  <c r="J2274" i="9"/>
  <c r="J2275" i="9"/>
  <c r="J2276" i="9"/>
  <c r="J2277" i="9"/>
  <c r="J2278" i="9"/>
  <c r="J2279" i="9"/>
  <c r="J2280" i="9"/>
  <c r="J2281" i="9"/>
  <c r="J2282" i="9"/>
  <c r="J2283" i="9"/>
  <c r="J2284" i="9"/>
  <c r="J2285" i="9"/>
  <c r="J2286" i="9"/>
  <c r="J2287" i="9"/>
  <c r="J2288" i="9"/>
  <c r="J2289" i="9"/>
  <c r="J2290" i="9"/>
  <c r="J2291" i="9"/>
  <c r="J2292" i="9"/>
  <c r="J2293" i="9"/>
  <c r="J2294" i="9"/>
  <c r="J2295" i="9"/>
  <c r="J2296" i="9"/>
  <c r="J2297" i="9"/>
  <c r="J2298" i="9"/>
  <c r="J2299" i="9"/>
  <c r="J2300" i="9"/>
  <c r="J2301" i="9"/>
  <c r="J2302" i="9"/>
  <c r="J2303" i="9"/>
  <c r="J2304" i="9"/>
  <c r="J2305" i="9"/>
  <c r="J2306" i="9"/>
  <c r="J2307" i="9"/>
  <c r="J2308" i="9"/>
  <c r="J2309" i="9"/>
  <c r="J2310" i="9"/>
  <c r="J2311" i="9"/>
  <c r="J2312" i="9"/>
  <c r="J2313" i="9"/>
  <c r="J2314" i="9"/>
  <c r="J2315" i="9"/>
  <c r="J2316" i="9"/>
  <c r="J2317" i="9"/>
  <c r="J2318" i="9"/>
  <c r="J2319" i="9"/>
  <c r="J2320" i="9"/>
  <c r="J2321" i="9"/>
  <c r="J2322" i="9"/>
  <c r="J2323" i="9"/>
  <c r="J2324" i="9"/>
  <c r="J2325" i="9"/>
  <c r="J2326" i="9"/>
  <c r="J2327" i="9"/>
  <c r="J2328" i="9"/>
  <c r="J2329" i="9"/>
  <c r="J2330" i="9"/>
  <c r="J2331" i="9"/>
  <c r="J2332" i="9"/>
  <c r="J2333" i="9"/>
  <c r="J2334" i="9"/>
  <c r="J2335" i="9"/>
  <c r="J2336" i="9"/>
  <c r="J2337" i="9"/>
  <c r="J2338" i="9"/>
  <c r="J2339" i="9"/>
  <c r="J2340" i="9"/>
  <c r="J2341" i="9"/>
  <c r="J2342" i="9"/>
  <c r="J2343" i="9"/>
  <c r="J2344" i="9"/>
  <c r="J2345" i="9"/>
  <c r="J2346" i="9"/>
  <c r="J2347" i="9"/>
  <c r="J2348" i="9"/>
  <c r="J2349" i="9"/>
  <c r="J2350" i="9"/>
  <c r="J2351" i="9"/>
  <c r="J2352" i="9"/>
  <c r="J2353" i="9"/>
  <c r="J2354" i="9"/>
  <c r="J2355" i="9"/>
  <c r="J2356" i="9"/>
  <c r="J2357" i="9"/>
  <c r="J2358" i="9"/>
  <c r="J2359" i="9"/>
  <c r="J2360" i="9"/>
  <c r="J2361" i="9"/>
  <c r="J2362" i="9"/>
  <c r="J2363" i="9"/>
  <c r="J2364" i="9"/>
  <c r="J2365" i="9"/>
  <c r="J2366" i="9"/>
  <c r="J2367" i="9"/>
  <c r="J2368" i="9"/>
  <c r="J2369" i="9"/>
  <c r="J2370" i="9"/>
  <c r="J2371" i="9"/>
  <c r="J2372" i="9"/>
  <c r="J2373" i="9"/>
  <c r="J2374" i="9"/>
  <c r="J2375" i="9"/>
  <c r="J2376" i="9"/>
  <c r="J2377" i="9"/>
  <c r="J2378" i="9"/>
  <c r="J2379" i="9"/>
  <c r="J2380" i="9"/>
  <c r="J2381" i="9"/>
  <c r="J2382" i="9"/>
  <c r="J2383" i="9"/>
  <c r="J2384" i="9"/>
  <c r="J2385" i="9"/>
  <c r="J2386" i="9"/>
  <c r="J2387" i="9"/>
  <c r="J2388" i="9"/>
  <c r="J2389" i="9"/>
  <c r="J2390" i="9"/>
  <c r="J2391" i="9"/>
  <c r="J2392" i="9"/>
  <c r="J2393" i="9"/>
  <c r="J2394" i="9"/>
  <c r="J2395" i="9"/>
  <c r="J2396" i="9"/>
  <c r="J2397" i="9"/>
  <c r="J2398" i="9"/>
  <c r="J2399" i="9"/>
  <c r="J2400" i="9"/>
  <c r="J2401" i="9"/>
  <c r="J2402" i="9"/>
  <c r="J2403" i="9"/>
  <c r="J2404" i="9"/>
  <c r="J2405" i="9"/>
  <c r="J2406" i="9"/>
  <c r="J2407" i="9"/>
  <c r="J2408" i="9"/>
  <c r="J2409" i="9"/>
  <c r="J2410" i="9"/>
  <c r="J2411" i="9"/>
  <c r="J2412" i="9"/>
  <c r="J2413" i="9"/>
  <c r="J2414" i="9"/>
  <c r="J2415" i="9"/>
  <c r="J2416" i="9"/>
  <c r="J2417" i="9"/>
  <c r="J2418" i="9"/>
  <c r="J2419" i="9"/>
  <c r="J2420" i="9"/>
  <c r="J2421" i="9"/>
  <c r="J2422" i="9"/>
  <c r="J2423" i="9"/>
  <c r="J2424" i="9"/>
  <c r="J2425" i="9"/>
  <c r="J2426" i="9"/>
  <c r="J2427" i="9"/>
  <c r="J2428" i="9"/>
  <c r="J2429" i="9"/>
  <c r="J2430" i="9"/>
  <c r="J2431" i="9"/>
  <c r="J2432" i="9"/>
  <c r="J2433" i="9"/>
  <c r="J2434" i="9"/>
  <c r="J2435" i="9"/>
  <c r="J2436" i="9"/>
  <c r="J2437" i="9"/>
  <c r="J2438" i="9"/>
  <c r="J2439" i="9"/>
  <c r="J2440" i="9"/>
  <c r="J2441" i="9"/>
  <c r="J2442" i="9"/>
  <c r="J2443" i="9"/>
  <c r="J2444" i="9"/>
  <c r="J2445" i="9"/>
  <c r="J2446" i="9"/>
  <c r="J2447" i="9"/>
  <c r="J2448" i="9"/>
  <c r="J2449" i="9"/>
  <c r="J2450" i="9"/>
  <c r="J2451" i="9"/>
  <c r="J2452" i="9"/>
  <c r="J2453" i="9"/>
  <c r="J2454" i="9"/>
  <c r="J2455" i="9"/>
  <c r="J2456" i="9"/>
  <c r="J2457" i="9"/>
  <c r="J2458" i="9"/>
  <c r="J2459" i="9"/>
  <c r="J2460" i="9"/>
  <c r="J2461" i="9"/>
  <c r="J2462" i="9"/>
  <c r="J2463" i="9"/>
  <c r="J2464" i="9"/>
  <c r="J2465" i="9"/>
  <c r="J2466" i="9"/>
  <c r="J2467" i="9"/>
  <c r="J2468" i="9"/>
  <c r="J2469" i="9"/>
  <c r="J2470" i="9"/>
  <c r="J2471" i="9"/>
  <c r="J2472" i="9"/>
  <c r="J2473" i="9"/>
  <c r="J2474" i="9"/>
  <c r="J2475" i="9"/>
  <c r="J2476" i="9"/>
  <c r="J2477" i="9"/>
  <c r="J2478" i="9"/>
  <c r="J2479" i="9"/>
  <c r="J2480" i="9"/>
  <c r="J2481" i="9"/>
  <c r="J2482" i="9"/>
  <c r="J2483" i="9"/>
  <c r="J2484" i="9"/>
  <c r="J2485" i="9"/>
  <c r="J2486" i="9"/>
  <c r="J2487" i="9"/>
  <c r="J2488" i="9"/>
  <c r="J2489" i="9"/>
  <c r="J2490" i="9"/>
  <c r="J2491" i="9"/>
  <c r="J2492" i="9"/>
  <c r="J2493" i="9"/>
  <c r="J2494" i="9"/>
  <c r="J2495" i="9"/>
  <c r="J2496" i="9"/>
  <c r="J2497" i="9"/>
  <c r="J2498" i="9"/>
  <c r="J2499" i="9"/>
  <c r="J2500" i="9"/>
  <c r="J2501" i="9"/>
  <c r="J2502" i="9"/>
  <c r="J2503" i="9"/>
  <c r="J2504" i="9"/>
  <c r="J2505" i="9"/>
  <c r="J2506" i="9"/>
  <c r="J2507" i="9"/>
  <c r="J2508" i="9"/>
  <c r="J2509" i="9"/>
  <c r="J2510" i="9"/>
  <c r="J2511" i="9"/>
  <c r="J2512" i="9"/>
  <c r="J2513" i="9"/>
  <c r="J2514" i="9"/>
  <c r="J2515" i="9"/>
  <c r="J2516" i="9"/>
  <c r="J2517" i="9"/>
  <c r="J2518" i="9"/>
  <c r="J2519" i="9"/>
  <c r="J2520" i="9"/>
  <c r="J2521" i="9"/>
  <c r="J2522" i="9"/>
  <c r="J2523" i="9"/>
  <c r="J2524" i="9"/>
  <c r="J2525" i="9"/>
  <c r="J2526" i="9"/>
  <c r="J2527" i="9"/>
  <c r="J2528" i="9"/>
  <c r="J2529" i="9"/>
  <c r="J2530" i="9"/>
  <c r="J2531" i="9"/>
  <c r="J2532" i="9"/>
  <c r="J2533" i="9"/>
  <c r="J2534" i="9"/>
  <c r="J2535" i="9"/>
  <c r="J2536" i="9"/>
  <c r="J2537" i="9"/>
  <c r="J2538" i="9"/>
  <c r="J2539" i="9"/>
  <c r="J2540" i="9"/>
  <c r="J2541" i="9"/>
  <c r="J2542" i="9"/>
  <c r="J2543" i="9"/>
  <c r="J2544" i="9"/>
  <c r="J2545" i="9"/>
  <c r="J2546" i="9"/>
  <c r="J2547" i="9"/>
  <c r="J2548" i="9"/>
  <c r="J2549" i="9"/>
  <c r="J2550" i="9"/>
  <c r="J2551" i="9"/>
  <c r="J2552" i="9"/>
  <c r="J2553" i="9"/>
  <c r="J2554" i="9"/>
  <c r="J2555" i="9"/>
  <c r="J2556" i="9"/>
  <c r="J2557" i="9"/>
  <c r="J2558" i="9"/>
  <c r="J2559" i="9"/>
  <c r="J2560" i="9"/>
  <c r="J2561" i="9"/>
  <c r="J2562" i="9"/>
  <c r="J2563" i="9"/>
  <c r="J2564" i="9"/>
  <c r="J2565" i="9"/>
  <c r="J2566" i="9"/>
  <c r="J2567" i="9"/>
  <c r="J2568" i="9"/>
  <c r="J2569" i="9"/>
  <c r="J2570" i="9"/>
  <c r="J2571" i="9"/>
  <c r="J2572" i="9"/>
  <c r="J2573" i="9"/>
  <c r="J2574" i="9"/>
  <c r="J2575" i="9"/>
  <c r="J2576" i="9"/>
  <c r="J2577" i="9"/>
  <c r="J2578" i="9"/>
  <c r="J2579" i="9"/>
  <c r="J2580" i="9"/>
  <c r="J2581" i="9"/>
  <c r="J2582" i="9"/>
  <c r="J2583" i="9"/>
  <c r="J2584" i="9"/>
  <c r="J2585" i="9"/>
  <c r="J2586" i="9"/>
  <c r="J2587" i="9"/>
  <c r="J2588" i="9"/>
  <c r="J2589" i="9"/>
  <c r="J2590" i="9"/>
  <c r="J2591" i="9"/>
  <c r="J2592" i="9"/>
  <c r="J2593" i="9"/>
  <c r="J2594" i="9"/>
  <c r="J2595" i="9"/>
  <c r="J2596" i="9"/>
  <c r="J2597" i="9"/>
  <c r="J2598" i="9"/>
  <c r="J2599" i="9"/>
  <c r="J2600" i="9"/>
  <c r="J2601" i="9"/>
  <c r="J2602" i="9"/>
  <c r="J2603" i="9"/>
  <c r="J2604" i="9"/>
  <c r="J2605" i="9"/>
  <c r="J2606" i="9"/>
  <c r="J2607" i="9"/>
  <c r="J2608" i="9"/>
  <c r="J2609" i="9"/>
  <c r="J2610" i="9"/>
  <c r="J2611" i="9"/>
  <c r="J2612" i="9"/>
  <c r="J2613" i="9"/>
  <c r="J2614" i="9"/>
  <c r="J2615" i="9"/>
  <c r="J2616" i="9"/>
  <c r="J2617" i="9"/>
  <c r="J2618" i="9"/>
  <c r="J2619" i="9"/>
  <c r="J2620" i="9"/>
  <c r="J2621" i="9"/>
  <c r="J2622" i="9"/>
  <c r="J2623" i="9"/>
  <c r="J2624" i="9"/>
  <c r="J2625" i="9"/>
  <c r="J2626" i="9"/>
  <c r="J2627" i="9"/>
  <c r="J2628" i="9"/>
  <c r="J2629" i="9"/>
  <c r="J2630" i="9"/>
  <c r="J2631" i="9"/>
  <c r="J2632" i="9"/>
  <c r="J2633" i="9"/>
  <c r="J2634" i="9"/>
  <c r="J2635" i="9"/>
  <c r="J2636" i="9"/>
  <c r="J2637" i="9"/>
  <c r="J2638" i="9"/>
  <c r="J2639" i="9"/>
  <c r="J2640" i="9"/>
  <c r="J2641" i="9"/>
  <c r="J2642" i="9"/>
  <c r="J2643" i="9"/>
  <c r="J2644" i="9"/>
  <c r="J2645" i="9"/>
  <c r="J2646" i="9"/>
  <c r="J2647" i="9"/>
  <c r="J2648" i="9"/>
  <c r="J2649" i="9"/>
  <c r="J2650" i="9"/>
  <c r="J2651" i="9"/>
  <c r="J2652" i="9"/>
  <c r="J2653" i="9"/>
  <c r="J2654" i="9"/>
  <c r="J2655" i="9"/>
  <c r="J2656" i="9"/>
  <c r="J2657" i="9"/>
  <c r="J2658" i="9"/>
  <c r="J2659" i="9"/>
  <c r="J2660" i="9"/>
  <c r="J2661" i="9"/>
  <c r="J2662" i="9"/>
  <c r="J2663" i="9"/>
  <c r="J2664" i="9"/>
  <c r="J2665" i="9"/>
  <c r="J2666" i="9"/>
  <c r="J2667" i="9"/>
  <c r="J2668" i="9"/>
  <c r="J2669" i="9"/>
  <c r="J2670" i="9"/>
  <c r="J2671" i="9"/>
  <c r="J2672" i="9"/>
  <c r="J2673" i="9"/>
  <c r="J2674" i="9"/>
  <c r="J2675" i="9"/>
  <c r="J2676" i="9"/>
  <c r="J2677" i="9"/>
  <c r="J2678" i="9"/>
  <c r="J2679" i="9"/>
  <c r="J2680" i="9"/>
  <c r="J2681" i="9"/>
  <c r="J2682" i="9"/>
  <c r="J2683" i="9"/>
  <c r="J2684" i="9"/>
  <c r="J2685" i="9"/>
  <c r="J2686" i="9"/>
  <c r="J2687" i="9"/>
  <c r="J2688" i="9"/>
  <c r="J2689" i="9"/>
  <c r="J2690" i="9"/>
  <c r="J2691" i="9"/>
  <c r="J2692" i="9"/>
  <c r="J2693" i="9"/>
  <c r="J2694" i="9"/>
  <c r="J2695" i="9"/>
  <c r="J2696" i="9"/>
  <c r="J2697" i="9"/>
  <c r="J2698" i="9"/>
  <c r="J2699" i="9"/>
  <c r="J2700" i="9"/>
  <c r="J2701" i="9"/>
  <c r="J2702" i="9"/>
  <c r="J2703" i="9"/>
  <c r="J2704" i="9"/>
  <c r="J2705" i="9"/>
  <c r="J2706" i="9"/>
  <c r="J2707" i="9"/>
  <c r="J2708" i="9"/>
  <c r="J2709" i="9"/>
  <c r="J2710" i="9"/>
  <c r="J2711" i="9"/>
  <c r="J2712" i="9"/>
  <c r="J2713" i="9"/>
  <c r="J2714" i="9"/>
  <c r="J2715" i="9"/>
  <c r="J2716" i="9"/>
  <c r="J2717" i="9"/>
  <c r="J2718" i="9"/>
  <c r="J2719" i="9"/>
  <c r="J2720" i="9"/>
  <c r="J2721" i="9"/>
  <c r="J2722" i="9"/>
  <c r="J2723" i="9"/>
  <c r="J2724" i="9"/>
  <c r="J2725" i="9"/>
  <c r="J2726" i="9"/>
  <c r="J2727" i="9"/>
  <c r="J2728" i="9"/>
  <c r="J2729" i="9"/>
  <c r="J2730" i="9"/>
  <c r="J2731" i="9"/>
  <c r="J2732" i="9"/>
  <c r="J2733" i="9"/>
  <c r="J2734" i="9"/>
  <c r="J2735" i="9"/>
  <c r="J2736" i="9"/>
  <c r="J2737" i="9"/>
  <c r="J2738" i="9"/>
  <c r="J2739" i="9"/>
  <c r="J2740" i="9"/>
  <c r="J2741" i="9"/>
  <c r="J2742" i="9"/>
  <c r="J2743" i="9"/>
  <c r="J2744" i="9"/>
  <c r="J2745" i="9"/>
  <c r="J2746" i="9"/>
  <c r="J2747" i="9"/>
  <c r="J2748" i="9"/>
  <c r="J2749" i="9"/>
  <c r="J2750" i="9"/>
  <c r="J2751" i="9"/>
  <c r="J2752" i="9"/>
  <c r="J2753" i="9"/>
  <c r="J2754" i="9"/>
  <c r="J2755" i="9"/>
  <c r="J2756" i="9"/>
  <c r="J2757" i="9"/>
  <c r="J2758" i="9"/>
  <c r="J2759" i="9"/>
  <c r="J2760" i="9"/>
  <c r="J2761" i="9"/>
  <c r="J2762" i="9"/>
  <c r="J2763" i="9"/>
  <c r="J2764" i="9"/>
  <c r="J2765" i="9"/>
  <c r="J2766" i="9"/>
  <c r="J2767" i="9"/>
  <c r="J2768" i="9"/>
  <c r="J2769" i="9"/>
  <c r="J2770" i="9"/>
  <c r="J2771" i="9"/>
  <c r="J2772" i="9"/>
  <c r="J2773" i="9"/>
  <c r="J2774" i="9"/>
  <c r="J2775" i="9"/>
  <c r="J2776" i="9"/>
  <c r="J2777" i="9"/>
  <c r="J2778" i="9"/>
  <c r="J2779" i="9"/>
  <c r="J2780" i="9"/>
  <c r="J2781" i="9"/>
  <c r="J2782" i="9"/>
  <c r="J2783" i="9"/>
  <c r="J2784" i="9"/>
  <c r="J2785" i="9"/>
  <c r="J2786" i="9"/>
  <c r="J2787" i="9"/>
  <c r="J2788" i="9"/>
  <c r="J2789" i="9"/>
  <c r="J2790" i="9"/>
  <c r="J2791" i="9"/>
  <c r="J2792" i="9"/>
  <c r="J2793" i="9"/>
  <c r="J2794" i="9"/>
  <c r="J2795" i="9"/>
  <c r="J2796" i="9"/>
  <c r="J2797" i="9"/>
  <c r="J2798" i="9"/>
  <c r="J2799" i="9"/>
  <c r="J2800" i="9"/>
  <c r="J2801" i="9"/>
  <c r="J2802" i="9"/>
  <c r="J2803" i="9"/>
  <c r="J2804" i="9"/>
  <c r="J2805" i="9"/>
  <c r="J2806" i="9"/>
  <c r="J2807" i="9"/>
  <c r="J2808" i="9"/>
  <c r="J2809" i="9"/>
  <c r="J2810" i="9"/>
  <c r="J2811" i="9"/>
  <c r="J2812" i="9"/>
  <c r="J2813" i="9"/>
  <c r="J2814" i="9"/>
  <c r="J2815" i="9"/>
  <c r="J2816" i="9"/>
  <c r="J2817" i="9"/>
  <c r="J2818" i="9"/>
  <c r="J2819" i="9"/>
  <c r="J2820" i="9"/>
  <c r="J2821" i="9"/>
  <c r="J2822" i="9"/>
  <c r="J2823" i="9"/>
  <c r="J2824" i="9"/>
  <c r="J2825" i="9"/>
  <c r="J2826" i="9"/>
  <c r="J2827" i="9"/>
  <c r="J2828" i="9"/>
  <c r="J2829" i="9"/>
  <c r="J2830" i="9"/>
  <c r="J2831" i="9"/>
  <c r="J2832" i="9"/>
  <c r="J2833" i="9"/>
  <c r="J2834" i="9"/>
  <c r="J2835" i="9"/>
  <c r="J2836" i="9"/>
  <c r="J2837" i="9"/>
  <c r="J2838" i="9"/>
  <c r="J2839" i="9"/>
  <c r="J2840" i="9"/>
  <c r="J2841" i="9"/>
  <c r="J2842" i="9"/>
  <c r="J2843" i="9"/>
  <c r="J2844" i="9"/>
  <c r="J2845" i="9"/>
  <c r="J2846" i="9"/>
  <c r="J2847" i="9"/>
  <c r="J2848" i="9"/>
  <c r="J2849" i="9"/>
  <c r="J2850" i="9"/>
  <c r="J2851" i="9"/>
  <c r="J2852" i="9"/>
  <c r="J2853" i="9"/>
  <c r="J2854" i="9"/>
  <c r="J2855" i="9"/>
  <c r="J2856" i="9"/>
  <c r="J2857" i="9"/>
  <c r="J2858" i="9"/>
  <c r="J2859" i="9"/>
  <c r="J2860" i="9"/>
  <c r="J2861" i="9"/>
  <c r="J2862" i="9"/>
  <c r="J2863" i="9"/>
  <c r="J2864" i="9"/>
  <c r="J2865" i="9"/>
  <c r="J2866" i="9"/>
  <c r="J2867" i="9"/>
  <c r="J2868" i="9"/>
  <c r="J2869" i="9"/>
  <c r="J2870" i="9"/>
  <c r="J2871" i="9"/>
  <c r="J2872" i="9"/>
  <c r="J2873" i="9"/>
  <c r="J2874" i="9"/>
  <c r="J2875" i="9"/>
  <c r="J2876" i="9"/>
  <c r="J2877" i="9"/>
  <c r="J2878" i="9"/>
  <c r="J2879" i="9"/>
  <c r="J2880" i="9"/>
  <c r="J2881" i="9"/>
  <c r="J2882" i="9"/>
  <c r="J2883" i="9"/>
  <c r="J2884" i="9"/>
  <c r="J2885" i="9"/>
  <c r="J2886" i="9"/>
  <c r="J2887" i="9"/>
  <c r="J2888" i="9"/>
  <c r="J2889" i="9"/>
  <c r="J2890" i="9"/>
  <c r="J2891" i="9"/>
  <c r="J2892" i="9"/>
  <c r="J2893" i="9"/>
  <c r="J2894" i="9"/>
  <c r="J2895" i="9"/>
  <c r="J2896" i="9"/>
  <c r="J2897" i="9"/>
  <c r="J2898" i="9"/>
  <c r="J2899" i="9"/>
  <c r="J2900" i="9"/>
  <c r="J2901" i="9"/>
  <c r="J2902" i="9"/>
  <c r="J2903" i="9"/>
  <c r="J2904" i="9"/>
  <c r="J2905" i="9"/>
  <c r="J2906" i="9"/>
  <c r="J2907" i="9"/>
  <c r="J2908" i="9"/>
  <c r="J2909" i="9"/>
  <c r="J2910" i="9"/>
  <c r="J2911" i="9"/>
  <c r="J2912" i="9"/>
  <c r="J2913" i="9"/>
  <c r="J2914" i="9"/>
  <c r="J2915" i="9"/>
  <c r="J2916" i="9"/>
  <c r="J2917" i="9"/>
  <c r="J2918" i="9"/>
  <c r="J2919" i="9"/>
  <c r="J2920" i="9"/>
  <c r="J2921" i="9"/>
  <c r="J2922" i="9"/>
  <c r="J2923" i="9"/>
  <c r="J2924" i="9"/>
  <c r="J2925" i="9"/>
  <c r="J2926" i="9"/>
  <c r="J2927" i="9"/>
  <c r="J2928" i="9"/>
  <c r="J2929" i="9"/>
  <c r="J2930" i="9"/>
  <c r="J2931" i="9"/>
  <c r="J2932" i="9"/>
  <c r="J2933" i="9"/>
  <c r="J2934" i="9"/>
  <c r="J2935" i="9"/>
  <c r="J2936" i="9"/>
  <c r="J2937" i="9"/>
  <c r="J2938" i="9"/>
  <c r="J2939" i="9"/>
  <c r="J2940" i="9"/>
  <c r="J2941" i="9"/>
  <c r="J2942" i="9"/>
  <c r="J2943" i="9"/>
  <c r="J2944" i="9"/>
  <c r="J2945" i="9"/>
  <c r="J2946" i="9"/>
  <c r="J2947" i="9"/>
  <c r="J2948" i="9"/>
  <c r="J2949" i="9"/>
  <c r="J2950" i="9"/>
  <c r="J2951" i="9"/>
  <c r="J2952" i="9"/>
  <c r="J2953" i="9"/>
  <c r="J2954" i="9"/>
  <c r="J2955" i="9"/>
  <c r="J2956" i="9"/>
  <c r="J2957" i="9"/>
  <c r="J2958" i="9"/>
  <c r="J2959" i="9"/>
  <c r="J2960" i="9"/>
  <c r="J2961" i="9"/>
  <c r="J2962" i="9"/>
  <c r="J2963" i="9"/>
  <c r="J2964" i="9"/>
  <c r="J2965" i="9"/>
  <c r="J2966" i="9"/>
  <c r="J2967" i="9"/>
  <c r="J2968" i="9"/>
  <c r="J2969" i="9"/>
  <c r="J2970" i="9"/>
  <c r="J2971" i="9"/>
  <c r="J2972" i="9"/>
  <c r="J2973" i="9"/>
  <c r="J2974" i="9"/>
  <c r="J2975" i="9"/>
  <c r="J2976" i="9"/>
  <c r="J2977" i="9"/>
  <c r="J2978" i="9"/>
  <c r="J2979" i="9"/>
  <c r="J2980" i="9"/>
  <c r="J2981" i="9"/>
  <c r="J2982" i="9"/>
  <c r="J2983" i="9"/>
  <c r="J2984" i="9"/>
  <c r="J2985" i="9"/>
  <c r="J2986" i="9"/>
  <c r="J2987" i="9"/>
  <c r="J2988" i="9"/>
  <c r="J2989" i="9"/>
  <c r="J2990" i="9"/>
  <c r="J2991" i="9"/>
  <c r="J2992" i="9"/>
  <c r="J2993" i="9"/>
  <c r="J2994" i="9"/>
  <c r="J2995" i="9"/>
  <c r="J2996" i="9"/>
  <c r="J2997" i="9"/>
  <c r="J2998" i="9"/>
  <c r="J2999" i="9"/>
  <c r="J3000" i="9"/>
  <c r="J3001" i="9"/>
  <c r="J3002" i="9"/>
  <c r="J3003" i="9"/>
  <c r="J3004" i="9"/>
  <c r="J3005" i="9"/>
  <c r="J3006" i="9"/>
  <c r="J3007" i="9"/>
  <c r="J3008" i="9"/>
  <c r="J3009" i="9"/>
  <c r="J3010" i="9"/>
  <c r="J3011" i="9"/>
  <c r="J3012" i="9"/>
  <c r="J3013" i="9"/>
  <c r="J3014" i="9"/>
  <c r="J3015" i="9"/>
  <c r="J3016" i="9"/>
  <c r="J3017" i="9"/>
  <c r="J3018" i="9"/>
  <c r="J3019" i="9"/>
  <c r="J3020" i="9"/>
  <c r="J3021" i="9"/>
  <c r="J3022" i="9"/>
  <c r="J3023" i="9"/>
  <c r="J3024" i="9"/>
  <c r="J3025" i="9"/>
  <c r="J3026" i="9"/>
  <c r="J3027" i="9"/>
  <c r="J3028" i="9"/>
  <c r="J3029" i="9"/>
  <c r="J3030" i="9"/>
  <c r="J3031" i="9"/>
  <c r="J3032" i="9"/>
  <c r="J3033" i="9"/>
  <c r="J3034" i="9"/>
  <c r="J3035" i="9"/>
  <c r="J3036" i="9"/>
  <c r="J3037" i="9"/>
  <c r="J3038" i="9"/>
  <c r="J3039" i="9"/>
  <c r="J3040" i="9"/>
  <c r="J3041" i="9"/>
  <c r="J3042" i="9"/>
  <c r="J3043" i="9"/>
  <c r="J3044" i="9"/>
  <c r="J3045" i="9"/>
  <c r="J3046" i="9"/>
  <c r="J3047" i="9"/>
  <c r="J3048" i="9"/>
  <c r="J3049" i="9"/>
  <c r="J3050" i="9"/>
  <c r="J3051" i="9"/>
  <c r="J3052" i="9"/>
  <c r="J3053" i="9"/>
  <c r="J3054" i="9"/>
  <c r="J3055" i="9"/>
  <c r="J3056" i="9"/>
  <c r="J3057" i="9"/>
  <c r="J3058" i="9"/>
  <c r="J3059" i="9"/>
  <c r="J3060" i="9"/>
  <c r="J3061" i="9"/>
  <c r="J3062" i="9"/>
  <c r="J3063" i="9"/>
  <c r="J3064" i="9"/>
  <c r="J3065" i="9"/>
  <c r="J3066" i="9"/>
  <c r="J3067" i="9"/>
  <c r="J3068" i="9"/>
  <c r="J3069" i="9"/>
  <c r="J3070" i="9"/>
  <c r="J3071" i="9"/>
  <c r="J3072" i="9"/>
  <c r="J3073" i="9"/>
  <c r="J3074" i="9"/>
  <c r="J3075" i="9"/>
  <c r="J3076" i="9"/>
  <c r="J3077" i="9"/>
  <c r="J3078" i="9"/>
  <c r="J3079" i="9"/>
  <c r="J3080" i="9"/>
  <c r="J3081" i="9"/>
  <c r="J3082" i="9"/>
  <c r="J3083" i="9"/>
  <c r="J3084" i="9"/>
  <c r="J3085" i="9"/>
  <c r="J3086" i="9"/>
  <c r="J3087" i="9"/>
  <c r="J3088" i="9"/>
  <c r="J3089" i="9"/>
  <c r="J3090" i="9"/>
  <c r="J3091" i="9"/>
  <c r="J3092" i="9"/>
  <c r="J3093" i="9"/>
  <c r="J3094" i="9"/>
  <c r="J3095" i="9"/>
  <c r="J3096" i="9"/>
  <c r="J3097" i="9"/>
  <c r="J3098" i="9"/>
  <c r="J3099" i="9"/>
  <c r="J3100" i="9"/>
  <c r="J3101" i="9"/>
  <c r="J3102" i="9"/>
  <c r="J3103" i="9"/>
  <c r="J3104" i="9"/>
  <c r="J3105" i="9"/>
  <c r="J3106" i="9"/>
  <c r="J3107" i="9"/>
  <c r="J3108" i="9"/>
  <c r="J3109" i="9"/>
  <c r="J3110" i="9"/>
  <c r="J3111" i="9"/>
  <c r="J3112" i="9"/>
  <c r="J3113" i="9"/>
  <c r="J3114" i="9"/>
  <c r="J3115" i="9"/>
  <c r="J3116" i="9"/>
  <c r="J3117" i="9"/>
  <c r="J3118" i="9"/>
  <c r="J3119" i="9"/>
  <c r="J3120" i="9"/>
  <c r="J3121" i="9"/>
  <c r="J3122" i="9"/>
  <c r="J3123" i="9"/>
  <c r="J3124" i="9"/>
  <c r="J3125" i="9"/>
  <c r="J3126" i="9"/>
  <c r="J3127" i="9"/>
  <c r="J3128" i="9"/>
  <c r="J3129" i="9"/>
  <c r="J3130" i="9"/>
  <c r="J3131" i="9"/>
  <c r="J3132" i="9"/>
  <c r="J3133" i="9"/>
  <c r="J3134" i="9"/>
  <c r="J3135" i="9"/>
  <c r="J3136" i="9"/>
  <c r="J3137" i="9"/>
  <c r="J3138" i="9"/>
  <c r="J3139" i="9"/>
  <c r="J3140" i="9"/>
  <c r="J3141" i="9"/>
  <c r="J3142" i="9"/>
  <c r="J3143" i="9"/>
  <c r="J3144" i="9"/>
  <c r="J3145" i="9"/>
  <c r="J3146" i="9"/>
  <c r="J3147" i="9"/>
  <c r="J3148" i="9"/>
  <c r="J3149" i="9"/>
  <c r="J3150" i="9"/>
  <c r="J3151" i="9"/>
  <c r="J3152" i="9"/>
  <c r="J3153" i="9"/>
  <c r="J3154" i="9"/>
  <c r="J3155" i="9"/>
  <c r="J3156" i="9"/>
  <c r="J3157" i="9"/>
  <c r="J3158" i="9"/>
  <c r="J3159" i="9"/>
  <c r="J3160" i="9"/>
  <c r="J3161" i="9"/>
  <c r="J3162" i="9"/>
  <c r="J3163" i="9"/>
  <c r="J3164" i="9"/>
  <c r="J3165" i="9"/>
  <c r="J3166" i="9"/>
  <c r="J3167" i="9"/>
  <c r="J3168" i="9"/>
  <c r="J3169" i="9"/>
  <c r="J3170" i="9"/>
  <c r="J3171" i="9"/>
  <c r="J3172" i="9"/>
  <c r="J3173" i="9"/>
  <c r="J3174" i="9"/>
  <c r="J3175" i="9"/>
  <c r="J3176" i="9"/>
  <c r="J3177" i="9"/>
  <c r="J3178" i="9"/>
  <c r="J3179" i="9"/>
  <c r="J3180" i="9"/>
  <c r="J3181" i="9"/>
  <c r="J3182" i="9"/>
  <c r="J3183" i="9"/>
  <c r="J3184" i="9"/>
  <c r="J3185" i="9"/>
  <c r="J3186" i="9"/>
  <c r="J3187" i="9"/>
  <c r="J3188" i="9"/>
  <c r="J3189" i="9"/>
  <c r="J3190" i="9"/>
  <c r="J3191" i="9"/>
  <c r="J3192" i="9"/>
  <c r="J3193" i="9"/>
  <c r="J3194" i="9"/>
  <c r="J3195" i="9"/>
  <c r="J3196" i="9"/>
  <c r="J3197" i="9"/>
  <c r="J3198" i="9"/>
  <c r="J3199" i="9"/>
  <c r="J3200" i="9"/>
  <c r="J3201" i="9"/>
  <c r="J3202" i="9"/>
  <c r="J3203" i="9"/>
  <c r="J3204" i="9"/>
  <c r="J3205" i="9"/>
  <c r="J3206" i="9"/>
  <c r="J3207" i="9"/>
  <c r="J3208" i="9"/>
  <c r="J3209" i="9"/>
  <c r="J3210" i="9"/>
  <c r="J3211" i="9"/>
  <c r="J3212" i="9"/>
  <c r="J3213" i="9"/>
  <c r="J3214" i="9"/>
  <c r="J3215" i="9"/>
  <c r="J3216" i="9"/>
  <c r="J3217" i="9"/>
  <c r="J3218" i="9"/>
  <c r="J3219" i="9"/>
  <c r="J3220" i="9"/>
  <c r="J3221" i="9"/>
  <c r="J3222" i="9"/>
  <c r="J3223" i="9"/>
  <c r="J3224" i="9"/>
  <c r="J3225" i="9"/>
  <c r="J3226" i="9"/>
  <c r="J3227" i="9"/>
  <c r="J3228" i="9"/>
  <c r="J3229" i="9"/>
  <c r="J3230" i="9"/>
  <c r="J3231" i="9"/>
  <c r="J3232" i="9"/>
  <c r="J3233" i="9"/>
  <c r="J3234" i="9"/>
  <c r="J3235" i="9"/>
  <c r="J3236" i="9"/>
  <c r="J3237" i="9"/>
  <c r="J3238" i="9"/>
  <c r="J3239" i="9"/>
  <c r="J3240" i="9"/>
  <c r="J3241" i="9"/>
  <c r="J3242" i="9"/>
  <c r="J3243" i="9"/>
  <c r="J3244" i="9"/>
  <c r="J3245" i="9"/>
  <c r="J3246" i="9"/>
  <c r="J3247" i="9"/>
  <c r="J3248" i="9"/>
  <c r="J3249" i="9"/>
  <c r="J3250" i="9"/>
  <c r="J3251" i="9"/>
  <c r="J3252" i="9"/>
  <c r="J3253" i="9"/>
  <c r="J3254" i="9"/>
  <c r="J3255" i="9"/>
  <c r="J3256" i="9"/>
  <c r="J3257" i="9"/>
  <c r="J3258" i="9"/>
  <c r="J3259" i="9"/>
  <c r="J3260" i="9"/>
  <c r="J3261" i="9"/>
  <c r="J3262" i="9"/>
  <c r="J3263" i="9"/>
  <c r="J3264" i="9"/>
  <c r="J3265" i="9"/>
  <c r="J3266" i="9"/>
  <c r="J3267" i="9"/>
  <c r="J3268" i="9"/>
  <c r="J3269" i="9"/>
  <c r="J3270" i="9"/>
  <c r="J3271" i="9"/>
  <c r="J3272" i="9"/>
  <c r="J3273" i="9"/>
  <c r="J3274" i="9"/>
  <c r="J3275" i="9"/>
  <c r="J3276" i="9"/>
  <c r="J3277" i="9"/>
  <c r="J3278" i="9"/>
  <c r="J3279" i="9"/>
  <c r="J3280" i="9"/>
  <c r="J3281" i="9"/>
  <c r="J3282" i="9"/>
  <c r="J3283" i="9"/>
  <c r="J3284" i="9"/>
  <c r="J3285" i="9"/>
  <c r="J3286" i="9"/>
  <c r="J3287" i="9"/>
  <c r="J3288" i="9"/>
  <c r="J3289" i="9"/>
  <c r="J3290" i="9"/>
  <c r="J3291" i="9"/>
  <c r="J3292" i="9"/>
  <c r="J3293" i="9"/>
  <c r="J3294" i="9"/>
  <c r="J3295" i="9"/>
  <c r="J3296" i="9"/>
  <c r="J3297" i="9"/>
  <c r="J3298" i="9"/>
  <c r="J3299" i="9"/>
  <c r="J3300" i="9"/>
  <c r="J3301" i="9"/>
  <c r="J3302" i="9"/>
  <c r="J3303" i="9"/>
  <c r="J3304" i="9"/>
  <c r="J3305" i="9"/>
  <c r="J3306" i="9"/>
  <c r="J3307" i="9"/>
  <c r="J3308" i="9"/>
  <c r="J3309" i="9"/>
  <c r="J3310" i="9"/>
  <c r="J3311" i="9"/>
  <c r="J3312" i="9"/>
  <c r="J3313" i="9"/>
  <c r="J3314" i="9"/>
  <c r="J3315" i="9"/>
  <c r="J3316" i="9"/>
  <c r="J3317" i="9"/>
  <c r="J3318" i="9"/>
  <c r="J3319" i="9"/>
  <c r="J3320" i="9"/>
  <c r="J3321" i="9"/>
  <c r="J3322" i="9"/>
  <c r="J3323" i="9"/>
  <c r="J3324" i="9"/>
  <c r="J3325" i="9"/>
  <c r="J3326" i="9"/>
  <c r="J3327" i="9"/>
  <c r="J3328" i="9"/>
  <c r="J3329" i="9"/>
  <c r="J3330" i="9"/>
  <c r="J3331" i="9"/>
  <c r="J3332" i="9"/>
  <c r="J3333" i="9"/>
  <c r="J3334" i="9"/>
  <c r="J3335" i="9"/>
  <c r="J3336" i="9"/>
  <c r="J3337" i="9"/>
  <c r="J3338" i="9"/>
  <c r="J3339" i="9"/>
  <c r="J3340" i="9"/>
  <c r="J3341" i="9"/>
  <c r="J3342" i="9"/>
  <c r="J3343" i="9"/>
  <c r="J3344" i="9"/>
  <c r="J3345" i="9"/>
  <c r="J3346" i="9"/>
  <c r="J3347" i="9"/>
  <c r="J3348" i="9"/>
  <c r="J3349" i="9"/>
  <c r="J3350" i="9"/>
  <c r="J3351" i="9"/>
  <c r="J3352" i="9"/>
  <c r="J3353" i="9"/>
  <c r="J3354" i="9"/>
  <c r="J3355" i="9"/>
  <c r="J3356" i="9"/>
  <c r="J3357" i="9"/>
  <c r="J3358" i="9"/>
  <c r="J3359" i="9"/>
  <c r="J3360" i="9"/>
  <c r="J3361" i="9"/>
  <c r="J3362" i="9"/>
  <c r="J3363" i="9"/>
  <c r="J3364" i="9"/>
  <c r="J3365" i="9"/>
  <c r="J3366" i="9"/>
  <c r="J3367" i="9"/>
  <c r="J3368" i="9"/>
  <c r="J3369" i="9"/>
  <c r="J3370" i="9"/>
  <c r="J3371" i="9"/>
  <c r="J3372" i="9"/>
  <c r="J3373" i="9"/>
  <c r="J3374" i="9"/>
  <c r="J3375" i="9"/>
  <c r="J3376" i="9"/>
  <c r="J3377" i="9"/>
  <c r="J3378" i="9"/>
  <c r="J3379" i="9"/>
  <c r="J3380" i="9"/>
  <c r="J3381" i="9"/>
  <c r="J3382" i="9"/>
  <c r="J3383" i="9"/>
  <c r="J3384" i="9"/>
  <c r="J3385" i="9"/>
  <c r="J3386" i="9"/>
  <c r="J3387" i="9"/>
  <c r="J3388" i="9"/>
  <c r="J3389" i="9"/>
  <c r="J3390" i="9"/>
  <c r="J3391" i="9"/>
  <c r="J3392" i="9"/>
  <c r="J3393" i="9"/>
  <c r="J3394" i="9"/>
  <c r="J3395" i="9"/>
  <c r="J3396" i="9"/>
  <c r="J3397" i="9"/>
  <c r="J3398" i="9"/>
  <c r="J3399" i="9"/>
  <c r="J3400" i="9"/>
  <c r="J3401" i="9"/>
  <c r="J3402" i="9"/>
  <c r="J3403" i="9"/>
  <c r="J3404" i="9"/>
  <c r="J3405" i="9"/>
  <c r="J3406" i="9"/>
  <c r="J3407" i="9"/>
  <c r="J3408" i="9"/>
  <c r="J3409" i="9"/>
  <c r="J3410" i="9"/>
  <c r="J3411" i="9"/>
  <c r="J3412" i="9"/>
  <c r="J3413" i="9"/>
  <c r="J3414" i="9"/>
  <c r="J3415" i="9"/>
  <c r="J3416" i="9"/>
  <c r="J3417" i="9"/>
  <c r="J3418" i="9"/>
  <c r="J3419" i="9"/>
  <c r="J3420" i="9"/>
  <c r="J3421" i="9"/>
  <c r="J3422" i="9"/>
  <c r="J3423" i="9"/>
  <c r="J3424" i="9"/>
  <c r="J3425" i="9"/>
  <c r="J3426" i="9"/>
  <c r="J3427" i="9"/>
  <c r="J3428" i="9"/>
  <c r="J3429" i="9"/>
  <c r="J3430" i="9"/>
  <c r="J3431" i="9"/>
  <c r="J3432" i="9"/>
  <c r="J3433" i="9"/>
  <c r="J3434" i="9"/>
  <c r="J3435" i="9"/>
  <c r="J3436" i="9"/>
  <c r="J3437" i="9"/>
  <c r="J3438" i="9"/>
  <c r="J3439" i="9"/>
  <c r="J3440" i="9"/>
  <c r="J3441" i="9"/>
  <c r="J3442" i="9"/>
  <c r="J3443" i="9"/>
  <c r="J3444" i="9"/>
  <c r="J3445" i="9"/>
  <c r="J3446" i="9"/>
  <c r="J3447" i="9"/>
  <c r="J3448" i="9"/>
  <c r="J3449" i="9"/>
  <c r="J3450" i="9"/>
  <c r="J3451" i="9"/>
  <c r="J3452" i="9"/>
  <c r="J3453" i="9"/>
  <c r="J3454" i="9"/>
  <c r="J3455" i="9"/>
  <c r="J3456" i="9"/>
  <c r="J3457" i="9"/>
  <c r="J3458" i="9"/>
  <c r="J3459" i="9"/>
  <c r="J3460" i="9"/>
  <c r="J3461" i="9"/>
  <c r="J3462" i="9"/>
  <c r="J3463" i="9"/>
  <c r="J3464" i="9"/>
  <c r="J3465" i="9"/>
  <c r="J3466" i="9"/>
  <c r="J3467" i="9"/>
  <c r="J3468" i="9"/>
  <c r="J3469" i="9"/>
  <c r="J3470" i="9"/>
  <c r="J3471" i="9"/>
  <c r="J3472" i="9"/>
  <c r="J3473" i="9"/>
  <c r="J3474" i="9"/>
  <c r="J3475" i="9"/>
  <c r="J3476" i="9"/>
  <c r="J3477" i="9"/>
  <c r="J3478" i="9"/>
  <c r="J3479" i="9"/>
  <c r="J3480" i="9"/>
  <c r="J3481" i="9"/>
  <c r="J3482" i="9"/>
  <c r="J3483" i="9"/>
  <c r="J3484" i="9"/>
  <c r="J3485" i="9"/>
  <c r="J3486" i="9"/>
  <c r="J3487" i="9"/>
  <c r="J3488" i="9"/>
  <c r="J3489" i="9"/>
  <c r="J3490" i="9"/>
  <c r="J3491" i="9"/>
  <c r="J3492" i="9"/>
  <c r="J3493" i="9"/>
  <c r="J3494" i="9"/>
  <c r="J3495" i="9"/>
  <c r="J3496" i="9"/>
  <c r="J3497" i="9"/>
  <c r="J3498" i="9"/>
  <c r="J3499" i="9"/>
  <c r="J3500" i="9"/>
  <c r="J3501" i="9"/>
  <c r="J3502" i="9"/>
  <c r="J3503" i="9"/>
  <c r="J3504" i="9"/>
  <c r="J3505" i="9"/>
  <c r="J3506" i="9"/>
  <c r="J3507" i="9"/>
  <c r="J3508" i="9"/>
  <c r="J3509" i="9"/>
  <c r="J3510" i="9"/>
  <c r="J3511" i="9"/>
  <c r="J3512" i="9"/>
  <c r="J3513" i="9"/>
  <c r="J3514" i="9"/>
  <c r="J3515" i="9"/>
  <c r="J3516" i="9"/>
  <c r="J3517" i="9"/>
  <c r="J3518" i="9"/>
  <c r="J3519" i="9"/>
  <c r="J3520" i="9"/>
  <c r="J3521" i="9"/>
  <c r="J3522" i="9"/>
  <c r="J3523" i="9"/>
  <c r="J3524" i="9"/>
  <c r="J3525" i="9"/>
  <c r="J3526" i="9"/>
  <c r="J3527" i="9"/>
  <c r="J3528" i="9"/>
  <c r="J3529" i="9"/>
  <c r="J3530" i="9"/>
  <c r="J3531" i="9"/>
  <c r="J3532" i="9"/>
  <c r="J3533" i="9"/>
  <c r="J3534" i="9"/>
  <c r="J3535" i="9"/>
  <c r="J3536" i="9"/>
  <c r="J3537" i="9"/>
  <c r="J3538" i="9"/>
  <c r="J3539" i="9"/>
  <c r="J3540" i="9"/>
  <c r="J3541" i="9"/>
  <c r="J3542" i="9"/>
  <c r="J3543" i="9"/>
  <c r="J3544" i="9"/>
  <c r="J3545" i="9"/>
  <c r="J3546" i="9"/>
  <c r="J3547" i="9"/>
  <c r="J3548" i="9"/>
  <c r="J3549" i="9"/>
  <c r="J3550" i="9"/>
  <c r="J3551" i="9"/>
  <c r="J3552" i="9"/>
  <c r="J3553" i="9"/>
  <c r="J3554" i="9"/>
  <c r="J3555" i="9"/>
  <c r="J3556" i="9"/>
  <c r="J3557" i="9"/>
  <c r="J3558" i="9"/>
  <c r="J3559" i="9"/>
  <c r="J3560" i="9"/>
  <c r="J3561" i="9"/>
  <c r="J3562" i="9"/>
  <c r="J3563" i="9"/>
  <c r="J3564" i="9"/>
  <c r="J3565" i="9"/>
  <c r="J3566" i="9"/>
  <c r="J3567" i="9"/>
  <c r="J3568" i="9"/>
  <c r="J3569" i="9"/>
  <c r="J3570" i="9"/>
  <c r="J3571" i="9"/>
  <c r="J3572" i="9"/>
  <c r="J3573" i="9"/>
  <c r="J3574" i="9"/>
  <c r="J3575" i="9"/>
  <c r="J3576" i="9"/>
  <c r="J3577" i="9"/>
  <c r="J3578" i="9"/>
  <c r="J3579" i="9"/>
  <c r="J3580" i="9"/>
  <c r="J3581" i="9"/>
  <c r="J3582" i="9"/>
  <c r="J3583" i="9"/>
  <c r="J3584" i="9"/>
  <c r="J3585" i="9"/>
  <c r="J3586" i="9"/>
  <c r="J3587" i="9"/>
  <c r="J3588" i="9"/>
  <c r="J3589" i="9"/>
  <c r="J3590" i="9"/>
  <c r="J3591" i="9"/>
  <c r="J3592" i="9"/>
  <c r="J3593" i="9"/>
  <c r="J3594" i="9"/>
  <c r="J3595" i="9"/>
  <c r="J3596" i="9"/>
  <c r="J3597" i="9"/>
  <c r="J3598" i="9"/>
  <c r="J3599" i="9"/>
  <c r="J3600" i="9"/>
  <c r="J3601" i="9"/>
  <c r="J3602" i="9"/>
  <c r="J3603" i="9"/>
  <c r="J3604" i="9"/>
  <c r="J3605" i="9"/>
  <c r="J3606" i="9"/>
  <c r="J3607" i="9"/>
  <c r="J3608" i="9"/>
  <c r="J3609" i="9"/>
  <c r="J3610" i="9"/>
  <c r="J3611" i="9"/>
  <c r="J3612" i="9"/>
  <c r="J3613" i="9"/>
  <c r="J3614" i="9"/>
  <c r="J3615" i="9"/>
  <c r="J3616" i="9"/>
  <c r="J3617" i="9"/>
  <c r="J3618" i="9"/>
  <c r="J3619" i="9"/>
  <c r="J3620" i="9"/>
  <c r="J3621" i="9"/>
  <c r="J3622" i="9"/>
  <c r="J3623" i="9"/>
  <c r="J3624" i="9"/>
  <c r="J3625" i="9"/>
  <c r="J3626" i="9"/>
  <c r="J3627" i="9"/>
  <c r="J3628" i="9"/>
  <c r="J3629" i="9"/>
  <c r="J3630" i="9"/>
  <c r="J3631" i="9"/>
  <c r="J3632" i="9"/>
  <c r="J3633" i="9"/>
  <c r="J3634" i="9"/>
  <c r="J3635" i="9"/>
  <c r="J3636" i="9"/>
  <c r="J3637" i="9"/>
  <c r="J3638" i="9"/>
  <c r="J3639" i="9"/>
  <c r="J3640" i="9"/>
  <c r="J3641" i="9"/>
  <c r="J3642" i="9"/>
  <c r="J3643" i="9"/>
  <c r="J3644" i="9"/>
  <c r="J3645" i="9"/>
  <c r="J3646" i="9"/>
  <c r="J3647" i="9"/>
  <c r="J3648" i="9"/>
  <c r="J3649" i="9"/>
  <c r="J3650" i="9"/>
  <c r="J3651" i="9"/>
  <c r="J3652" i="9"/>
  <c r="J3653" i="9"/>
  <c r="J3654" i="9"/>
  <c r="J3655" i="9"/>
  <c r="J3656" i="9"/>
  <c r="J3657" i="9"/>
  <c r="J3658" i="9"/>
  <c r="J3659" i="9"/>
  <c r="J3660" i="9"/>
  <c r="J3661" i="9"/>
  <c r="J3662" i="9"/>
  <c r="J3663" i="9"/>
  <c r="J3664" i="9"/>
  <c r="J3665" i="9"/>
  <c r="J3666" i="9"/>
  <c r="J3667" i="9"/>
  <c r="J3668" i="9"/>
  <c r="J3669" i="9"/>
  <c r="J3670" i="9"/>
  <c r="J3671" i="9"/>
  <c r="J3672" i="9"/>
  <c r="J3673" i="9"/>
  <c r="J3674" i="9"/>
  <c r="J3675" i="9"/>
  <c r="J3676" i="9"/>
  <c r="J3677" i="9"/>
  <c r="J3678" i="9"/>
  <c r="J3679" i="9"/>
  <c r="J3680" i="9"/>
  <c r="J3681" i="9"/>
  <c r="J3682" i="9"/>
  <c r="J3683" i="9"/>
  <c r="J3684" i="9"/>
  <c r="J3685" i="9"/>
  <c r="J3686" i="9"/>
  <c r="J3687" i="9"/>
  <c r="J3688" i="9"/>
  <c r="J3689" i="9"/>
  <c r="J3690" i="9"/>
  <c r="J3691" i="9"/>
  <c r="J3692" i="9"/>
  <c r="J3693" i="9"/>
  <c r="J3694" i="9"/>
  <c r="J3695" i="9"/>
  <c r="J3696" i="9"/>
  <c r="J3697" i="9"/>
  <c r="J3698" i="9"/>
  <c r="J3699" i="9"/>
  <c r="J3700" i="9"/>
  <c r="J3701" i="9"/>
  <c r="J3702" i="9"/>
  <c r="J3703" i="9"/>
  <c r="J3704" i="9"/>
  <c r="J3705" i="9"/>
  <c r="J3706" i="9"/>
  <c r="J3707" i="9"/>
  <c r="J3708" i="9"/>
  <c r="J3709" i="9"/>
  <c r="J3710" i="9"/>
  <c r="J3711" i="9"/>
  <c r="J3712" i="9"/>
  <c r="J3713" i="9"/>
  <c r="J3714" i="9"/>
  <c r="J3715" i="9"/>
  <c r="J3716" i="9"/>
  <c r="J3717" i="9"/>
  <c r="J3718" i="9"/>
  <c r="J3719" i="9"/>
  <c r="J3720" i="9"/>
  <c r="J3721" i="9"/>
  <c r="J3722" i="9"/>
  <c r="J3723" i="9"/>
  <c r="J3724" i="9"/>
  <c r="J3725" i="9"/>
  <c r="J3726" i="9"/>
  <c r="J3727" i="9"/>
  <c r="J3728" i="9"/>
  <c r="J3729" i="9"/>
  <c r="J3730" i="9"/>
  <c r="J3731" i="9"/>
  <c r="J3732" i="9"/>
  <c r="J3733" i="9"/>
  <c r="J3734" i="9"/>
  <c r="J3735" i="9"/>
  <c r="J3736" i="9"/>
  <c r="J3737" i="9"/>
  <c r="J3738" i="9"/>
  <c r="J3739" i="9"/>
  <c r="J3740" i="9"/>
  <c r="J3741" i="9"/>
  <c r="J3742" i="9"/>
  <c r="J3743" i="9"/>
  <c r="J3744" i="9"/>
  <c r="J3745" i="9"/>
  <c r="J3746" i="9"/>
  <c r="J3747" i="9"/>
  <c r="J3748" i="9"/>
  <c r="J3749" i="9"/>
  <c r="J3750" i="9"/>
  <c r="J3751" i="9"/>
  <c r="J3752" i="9"/>
  <c r="J3753" i="9"/>
  <c r="J3754" i="9"/>
  <c r="J3755" i="9"/>
  <c r="J3756" i="9"/>
  <c r="J3757" i="9"/>
  <c r="J3758" i="9"/>
  <c r="J3759" i="9"/>
  <c r="J3760" i="9"/>
  <c r="J3761" i="9"/>
  <c r="J3762" i="9"/>
  <c r="J3763" i="9"/>
  <c r="J3764" i="9"/>
  <c r="J3765" i="9"/>
  <c r="J3766" i="9"/>
  <c r="J3767" i="9"/>
  <c r="J3768" i="9"/>
  <c r="J3769" i="9"/>
  <c r="J3770" i="9"/>
  <c r="J3771" i="9"/>
  <c r="J3772" i="9"/>
  <c r="J3773" i="9"/>
  <c r="J3774" i="9"/>
  <c r="J3775" i="9"/>
  <c r="J3776" i="9"/>
  <c r="J3777" i="9"/>
  <c r="J3778" i="9"/>
  <c r="J3779" i="9"/>
  <c r="J3780" i="9"/>
  <c r="J3781" i="9"/>
  <c r="J3782" i="9"/>
  <c r="J3783" i="9"/>
  <c r="J3784" i="9"/>
  <c r="J3785" i="9"/>
  <c r="J3786" i="9"/>
  <c r="J3787" i="9"/>
  <c r="J3788" i="9"/>
  <c r="J3789" i="9"/>
  <c r="J3790" i="9"/>
  <c r="J3791" i="9"/>
  <c r="J3792" i="9"/>
  <c r="J3793" i="9"/>
  <c r="J3794" i="9"/>
  <c r="J3795" i="9"/>
  <c r="J3796" i="9"/>
  <c r="J3797" i="9"/>
  <c r="J3798" i="9"/>
  <c r="J3799" i="9"/>
  <c r="J3800" i="9"/>
  <c r="J3801" i="9"/>
  <c r="J3802" i="9"/>
  <c r="J3803" i="9"/>
  <c r="J3804" i="9"/>
  <c r="J3805" i="9"/>
  <c r="J3806" i="9"/>
  <c r="J3807" i="9"/>
  <c r="J3808" i="9"/>
  <c r="J3809" i="9"/>
  <c r="J3810" i="9"/>
  <c r="J3811" i="9"/>
  <c r="J3812" i="9"/>
  <c r="J3813" i="9"/>
  <c r="J3814" i="9"/>
  <c r="J3815" i="9"/>
  <c r="J3816" i="9"/>
  <c r="J3817" i="9"/>
  <c r="J3818" i="9"/>
  <c r="J3819" i="9"/>
  <c r="J3820" i="9"/>
  <c r="J3821" i="9"/>
  <c r="J3822" i="9"/>
  <c r="J3823" i="9"/>
  <c r="J3824" i="9"/>
  <c r="J3825" i="9"/>
  <c r="J3826" i="9"/>
  <c r="J3827" i="9"/>
  <c r="J3828" i="9"/>
  <c r="J3829" i="9"/>
  <c r="J3830" i="9"/>
  <c r="J3831" i="9"/>
  <c r="J3832" i="9"/>
  <c r="J3833" i="9"/>
  <c r="J3834" i="9"/>
  <c r="J3835" i="9"/>
  <c r="J3836" i="9"/>
  <c r="J3837" i="9"/>
  <c r="J3838" i="9"/>
  <c r="J3839" i="9"/>
  <c r="J3840" i="9"/>
  <c r="J3841" i="9"/>
  <c r="J3842" i="9"/>
  <c r="J3843" i="9"/>
  <c r="J3844" i="9"/>
  <c r="J3845" i="9"/>
  <c r="J3846" i="9"/>
  <c r="J3847" i="9"/>
  <c r="J3848" i="9"/>
  <c r="J3849" i="9"/>
  <c r="J3850" i="9"/>
  <c r="J3851" i="9"/>
  <c r="J3852" i="9"/>
  <c r="J3853" i="9"/>
  <c r="J3854" i="9"/>
  <c r="J3855" i="9"/>
  <c r="J3856" i="9"/>
  <c r="J3857" i="9"/>
  <c r="J3858" i="9"/>
  <c r="J3859" i="9"/>
  <c r="J3860" i="9"/>
  <c r="J3861" i="9"/>
  <c r="J3862" i="9"/>
  <c r="J3863" i="9"/>
  <c r="J3864" i="9"/>
  <c r="J3865" i="9"/>
  <c r="J3866" i="9"/>
  <c r="J3867" i="9"/>
  <c r="J3868" i="9"/>
  <c r="J3869" i="9"/>
  <c r="J3870" i="9"/>
  <c r="J3871" i="9"/>
  <c r="J3872" i="9"/>
  <c r="J3873" i="9"/>
  <c r="J3874" i="9"/>
  <c r="J3875" i="9"/>
  <c r="J3876" i="9"/>
  <c r="J3877" i="9"/>
  <c r="J3878" i="9"/>
  <c r="J3879" i="9"/>
  <c r="J3880" i="9"/>
  <c r="J3881" i="9"/>
  <c r="J3882" i="9"/>
  <c r="J3883" i="9"/>
  <c r="J3884" i="9"/>
  <c r="J3885" i="9"/>
  <c r="J3886" i="9"/>
  <c r="J3887" i="9"/>
  <c r="J3888" i="9"/>
  <c r="J3889" i="9"/>
  <c r="J3890" i="9"/>
  <c r="J3891" i="9"/>
  <c r="J3892" i="9"/>
  <c r="J3893" i="9"/>
  <c r="J3894" i="9"/>
  <c r="J3895" i="9"/>
  <c r="J3896" i="9"/>
  <c r="J3897" i="9"/>
  <c r="J3898" i="9"/>
  <c r="J3899" i="9"/>
  <c r="J3900" i="9"/>
  <c r="J3901" i="9"/>
  <c r="J3902" i="9"/>
  <c r="J3903" i="9"/>
  <c r="J3904" i="9"/>
  <c r="J3905" i="9"/>
  <c r="J3906" i="9"/>
  <c r="J3907" i="9"/>
  <c r="J3908" i="9"/>
  <c r="J3909" i="9"/>
  <c r="J3910" i="9"/>
  <c r="J3911" i="9"/>
  <c r="J3912" i="9"/>
  <c r="J3913" i="9"/>
  <c r="J3914" i="9"/>
  <c r="J3915" i="9"/>
  <c r="J3916" i="9"/>
  <c r="J3917" i="9"/>
  <c r="J3918" i="9"/>
  <c r="J3919" i="9"/>
  <c r="J3920" i="9"/>
  <c r="J3921" i="9"/>
  <c r="J3922" i="9"/>
  <c r="J3923" i="9"/>
  <c r="J3924" i="9"/>
  <c r="J3925" i="9"/>
  <c r="J3926" i="9"/>
  <c r="J3927" i="9"/>
  <c r="J3928" i="9"/>
  <c r="J3929" i="9"/>
  <c r="J3930" i="9"/>
  <c r="J3931" i="9"/>
  <c r="J3932" i="9"/>
  <c r="J3933" i="9"/>
  <c r="J3934" i="9"/>
  <c r="J3935" i="9"/>
  <c r="J3936" i="9"/>
  <c r="J3937" i="9"/>
  <c r="J3938" i="9"/>
  <c r="J3939" i="9"/>
  <c r="J3940" i="9"/>
  <c r="J3941" i="9"/>
  <c r="J3942" i="9"/>
  <c r="J3943" i="9"/>
  <c r="J3944" i="9"/>
  <c r="J3945" i="9"/>
  <c r="J3946" i="9"/>
  <c r="J3947" i="9"/>
  <c r="J3948" i="9"/>
  <c r="J3949" i="9"/>
  <c r="J3950" i="9"/>
  <c r="J3951" i="9"/>
  <c r="J3952" i="9"/>
  <c r="J3953" i="9"/>
  <c r="J3954" i="9"/>
  <c r="J3955" i="9"/>
  <c r="J3956" i="9"/>
  <c r="J3957" i="9"/>
  <c r="J3958" i="9"/>
  <c r="J3959" i="9"/>
  <c r="J3960" i="9"/>
  <c r="J3961" i="9"/>
  <c r="J3962" i="9"/>
  <c r="J3963" i="9"/>
  <c r="J3964" i="9"/>
  <c r="J3965" i="9"/>
  <c r="J3966" i="9"/>
  <c r="J3967" i="9"/>
  <c r="J3968" i="9"/>
  <c r="J3969" i="9"/>
  <c r="J3970" i="9"/>
  <c r="J3971" i="9"/>
  <c r="J3972" i="9"/>
  <c r="J3973" i="9"/>
  <c r="J3974" i="9"/>
  <c r="J3975" i="9"/>
  <c r="J3976" i="9"/>
  <c r="J3977" i="9"/>
  <c r="J3978" i="9"/>
  <c r="J3979" i="9"/>
  <c r="J3980" i="9"/>
  <c r="J3981" i="9"/>
  <c r="J3982" i="9"/>
  <c r="J3983" i="9"/>
  <c r="J3984" i="9"/>
  <c r="J3985" i="9"/>
  <c r="J3986" i="9"/>
  <c r="J3987" i="9"/>
  <c r="J3988" i="9"/>
  <c r="J3989" i="9"/>
  <c r="J3990" i="9"/>
  <c r="J3991" i="9"/>
  <c r="J3992" i="9"/>
  <c r="J3993" i="9"/>
  <c r="J3994" i="9"/>
  <c r="J3995" i="9"/>
  <c r="J3996" i="9"/>
  <c r="J3997" i="9"/>
  <c r="J3998" i="9"/>
  <c r="J3999" i="9"/>
  <c r="J4000" i="9"/>
  <c r="J4001" i="9"/>
  <c r="J4002" i="9"/>
  <c r="J4003" i="9"/>
  <c r="J4004" i="9"/>
  <c r="J4005" i="9"/>
  <c r="J4006" i="9"/>
  <c r="J4007" i="9"/>
  <c r="J4008" i="9"/>
  <c r="J4009" i="9"/>
  <c r="J4010" i="9"/>
  <c r="J4011" i="9"/>
  <c r="J4012" i="9"/>
  <c r="J4013" i="9"/>
  <c r="J4014" i="9"/>
  <c r="J4015" i="9"/>
  <c r="J4016" i="9"/>
  <c r="J4017" i="9"/>
  <c r="J4018" i="9"/>
  <c r="J4019" i="9"/>
  <c r="J4020" i="9"/>
  <c r="J4021" i="9"/>
  <c r="J4022" i="9"/>
  <c r="J4023" i="9"/>
  <c r="J4024" i="9"/>
  <c r="J4025" i="9"/>
  <c r="J4026" i="9"/>
  <c r="J4027" i="9"/>
  <c r="J4028" i="9"/>
  <c r="J4029" i="9"/>
  <c r="J4030" i="9"/>
  <c r="J4031" i="9"/>
  <c r="J4032" i="9"/>
  <c r="J4033" i="9"/>
  <c r="J4034" i="9"/>
  <c r="J4035" i="9"/>
  <c r="J4036" i="9"/>
  <c r="J4037" i="9"/>
  <c r="J4038" i="9"/>
  <c r="J4039" i="9"/>
  <c r="J4040" i="9"/>
  <c r="J4041" i="9"/>
  <c r="J4042" i="9"/>
  <c r="J4043" i="9"/>
  <c r="J4044" i="9"/>
  <c r="J4045" i="9"/>
  <c r="J4046" i="9"/>
  <c r="J4047" i="9"/>
  <c r="J4048" i="9"/>
  <c r="J4049" i="9"/>
  <c r="J4050" i="9"/>
  <c r="J4051" i="9"/>
  <c r="J4052" i="9"/>
  <c r="J4053" i="9"/>
  <c r="J4054" i="9"/>
  <c r="J4055" i="9"/>
  <c r="J4056" i="9"/>
  <c r="J4057" i="9"/>
  <c r="J4058" i="9"/>
  <c r="J4059" i="9"/>
  <c r="J4060" i="9"/>
  <c r="J4061" i="9"/>
  <c r="J4062" i="9"/>
  <c r="J4063" i="9"/>
  <c r="J4064" i="9"/>
  <c r="J4065" i="9"/>
  <c r="J4066" i="9"/>
  <c r="J4067" i="9"/>
  <c r="J4068" i="9"/>
  <c r="J4069" i="9"/>
  <c r="J4070" i="9"/>
  <c r="J4071" i="9"/>
  <c r="J4072" i="9"/>
  <c r="J4073" i="9"/>
  <c r="J4074" i="9"/>
  <c r="J4075" i="9"/>
  <c r="J4076" i="9"/>
  <c r="J4077" i="9"/>
  <c r="J4078" i="9"/>
  <c r="J4079" i="9"/>
  <c r="J4080" i="9"/>
  <c r="J4081" i="9"/>
  <c r="J4082" i="9"/>
  <c r="J4083" i="9"/>
  <c r="J4084" i="9"/>
  <c r="J4085" i="9"/>
  <c r="J4086" i="9"/>
  <c r="J4087" i="9"/>
  <c r="J4088" i="9"/>
  <c r="J4089" i="9"/>
  <c r="J4090" i="9"/>
  <c r="J4091" i="9"/>
  <c r="J4092" i="9"/>
  <c r="J4093" i="9"/>
  <c r="J4094" i="9"/>
  <c r="J4095" i="9"/>
  <c r="J4096" i="9"/>
  <c r="J4097" i="9"/>
  <c r="J4098" i="9"/>
  <c r="J4099" i="9"/>
  <c r="J4100" i="9"/>
  <c r="J4101" i="9"/>
  <c r="J4102" i="9"/>
  <c r="J4103" i="9"/>
  <c r="J4104" i="9"/>
  <c r="J4105" i="9"/>
  <c r="J4106" i="9"/>
  <c r="J4107" i="9"/>
  <c r="J4108" i="9"/>
  <c r="J4109" i="9"/>
  <c r="J4110" i="9"/>
  <c r="J4111" i="9"/>
  <c r="J4112" i="9"/>
  <c r="J4113" i="9"/>
  <c r="J4114" i="9"/>
  <c r="J4115" i="9"/>
  <c r="J4116" i="9"/>
  <c r="J4117" i="9"/>
  <c r="J4118" i="9"/>
  <c r="J4119" i="9"/>
  <c r="J4120" i="9"/>
  <c r="J4121" i="9"/>
  <c r="J4122" i="9"/>
  <c r="J4123" i="9"/>
  <c r="J4124" i="9"/>
  <c r="J4125" i="9"/>
  <c r="J4126" i="9"/>
  <c r="J4127" i="9"/>
  <c r="J4128" i="9"/>
  <c r="J4129" i="9"/>
  <c r="J4130" i="9"/>
  <c r="J4131" i="9"/>
  <c r="J4132" i="9"/>
  <c r="J4133" i="9"/>
  <c r="J4134" i="9"/>
  <c r="J4135" i="9"/>
  <c r="J4136" i="9"/>
  <c r="J4137" i="9"/>
  <c r="J4138" i="9"/>
  <c r="J4139" i="9"/>
  <c r="J4140" i="9"/>
  <c r="J4141" i="9"/>
  <c r="J4142" i="9"/>
  <c r="J4143" i="9"/>
  <c r="J4144" i="9"/>
  <c r="J4145" i="9"/>
  <c r="J4146" i="9"/>
  <c r="J4147" i="9"/>
  <c r="J4148" i="9"/>
  <c r="J4149" i="9"/>
  <c r="J4150" i="9"/>
  <c r="J4151" i="9"/>
  <c r="J4152" i="9"/>
  <c r="J4153" i="9"/>
  <c r="J4154" i="9"/>
  <c r="J4155" i="9"/>
  <c r="J4156" i="9"/>
  <c r="J4157" i="9"/>
  <c r="J4158" i="9"/>
  <c r="J4159" i="9"/>
  <c r="J4160" i="9"/>
  <c r="J4161" i="9"/>
  <c r="J4162" i="9"/>
  <c r="J4163" i="9"/>
  <c r="J4164" i="9"/>
  <c r="J4165" i="9"/>
  <c r="J4166" i="9"/>
  <c r="J4167" i="9"/>
  <c r="J4168" i="9"/>
  <c r="J4169" i="9"/>
  <c r="J4170" i="9"/>
  <c r="J4171" i="9"/>
  <c r="J4172" i="9"/>
  <c r="J4173" i="9"/>
  <c r="J4174" i="9"/>
  <c r="J4175" i="9"/>
  <c r="J4176" i="9"/>
  <c r="J4177" i="9"/>
  <c r="J4178" i="9"/>
  <c r="J4179" i="9"/>
  <c r="J4180" i="9"/>
  <c r="J4181" i="9"/>
  <c r="J4182" i="9"/>
  <c r="J4183" i="9"/>
  <c r="J4184" i="9"/>
  <c r="J4185" i="9"/>
  <c r="J4186" i="9"/>
  <c r="J4187" i="9"/>
  <c r="J4188" i="9"/>
  <c r="J4189" i="9"/>
  <c r="J4190" i="9"/>
  <c r="J4191" i="9"/>
  <c r="J4192" i="9"/>
  <c r="J4193" i="9"/>
  <c r="J4194" i="9"/>
  <c r="J4195" i="9"/>
  <c r="J4196" i="9"/>
  <c r="J4197" i="9"/>
  <c r="J4198" i="9"/>
  <c r="J4199" i="9"/>
  <c r="J4200" i="9"/>
  <c r="J4201" i="9"/>
  <c r="J4202" i="9"/>
  <c r="J4203" i="9"/>
  <c r="J4204" i="9"/>
  <c r="J4205" i="9"/>
  <c r="J4206" i="9"/>
  <c r="J4207" i="9"/>
  <c r="J4208" i="9"/>
  <c r="J4209" i="9"/>
  <c r="J4210" i="9"/>
  <c r="J4211" i="9"/>
  <c r="J4212" i="9"/>
  <c r="J4213" i="9"/>
  <c r="J4214" i="9"/>
  <c r="J4215" i="9"/>
  <c r="J4216" i="9"/>
  <c r="J4217" i="9"/>
  <c r="J4218" i="9"/>
  <c r="J4219" i="9"/>
  <c r="J4220" i="9"/>
  <c r="J4221" i="9"/>
  <c r="J4222" i="9"/>
  <c r="J4223" i="9"/>
  <c r="J4224" i="9"/>
  <c r="J4225" i="9"/>
  <c r="J4226" i="9"/>
  <c r="J4227" i="9"/>
  <c r="J4228" i="9"/>
  <c r="J4229" i="9"/>
  <c r="J4230" i="9"/>
  <c r="J4231" i="9"/>
  <c r="J4232" i="9"/>
  <c r="J4233" i="9"/>
  <c r="J4234" i="9"/>
  <c r="J4235" i="9"/>
  <c r="J4236" i="9"/>
  <c r="J4237" i="9"/>
  <c r="J4238" i="9"/>
  <c r="J4239" i="9"/>
  <c r="J4240" i="9"/>
  <c r="J4241" i="9"/>
  <c r="J4242" i="9"/>
  <c r="J4243" i="9"/>
  <c r="J4244" i="9"/>
  <c r="J4245" i="9"/>
  <c r="J4246" i="9"/>
  <c r="J4247" i="9"/>
  <c r="J4248" i="9"/>
  <c r="J4249" i="9"/>
  <c r="J4250" i="9"/>
  <c r="J4251" i="9"/>
  <c r="J4252" i="9"/>
  <c r="J4253" i="9"/>
  <c r="J4254" i="9"/>
  <c r="J4255" i="9"/>
  <c r="J4256" i="9"/>
  <c r="J4257" i="9"/>
  <c r="J4258" i="9"/>
  <c r="J4259" i="9"/>
  <c r="J4260" i="9"/>
  <c r="J4261" i="9"/>
  <c r="J4262" i="9"/>
  <c r="J4263" i="9"/>
  <c r="J4264" i="9"/>
  <c r="J4265" i="9"/>
  <c r="J4266" i="9"/>
  <c r="J4267" i="9"/>
  <c r="J4268" i="9"/>
  <c r="J4269" i="9"/>
  <c r="J4270" i="9"/>
  <c r="J4271" i="9"/>
  <c r="J4272" i="9"/>
  <c r="J4273" i="9"/>
  <c r="J4274" i="9"/>
  <c r="J4275" i="9"/>
  <c r="J4276" i="9"/>
  <c r="J4277" i="9"/>
  <c r="J4278" i="9"/>
  <c r="J4279" i="9"/>
  <c r="J4280" i="9"/>
  <c r="J4281" i="9"/>
  <c r="J4282" i="9"/>
  <c r="J4283" i="9"/>
  <c r="J4284" i="9"/>
  <c r="J4285" i="9"/>
  <c r="J4286" i="9"/>
  <c r="J4287" i="9"/>
  <c r="J4288" i="9"/>
  <c r="J4289" i="9"/>
  <c r="J4290" i="9"/>
  <c r="J4291" i="9"/>
  <c r="J4292" i="9"/>
  <c r="J4293" i="9"/>
  <c r="J4294" i="9"/>
  <c r="J4295" i="9"/>
  <c r="J2" i="9"/>
  <c r="E542" i="8"/>
  <c r="E538" i="8"/>
  <c r="E542" i="7"/>
  <c r="E538" i="7"/>
  <c r="E543" i="6"/>
  <c r="E539" i="6"/>
  <c r="E543" i="5"/>
  <c r="E539" i="5"/>
  <c r="E539" i="4"/>
  <c r="E543" i="4" s="1"/>
  <c r="E543" i="3"/>
  <c r="E539" i="3"/>
  <c r="E539" i="2"/>
  <c r="E543" i="2" s="1"/>
  <c r="E539" i="1"/>
  <c r="D538" i="8"/>
  <c r="D542" i="8" s="1"/>
  <c r="D538" i="7"/>
  <c r="D542" i="7" s="1"/>
  <c r="D539" i="6"/>
  <c r="D543" i="6" s="1"/>
  <c r="D539" i="5"/>
  <c r="D543" i="5" s="1"/>
  <c r="D539" i="4"/>
  <c r="D543" i="4" s="1"/>
  <c r="D539" i="3"/>
  <c r="D543" i="3" s="1"/>
  <c r="D539" i="2"/>
  <c r="D543" i="2" s="1"/>
  <c r="K4284" i="9" l="1"/>
  <c r="K4236" i="9"/>
  <c r="K4228" i="9"/>
  <c r="K4220" i="9"/>
  <c r="K4188" i="9"/>
  <c r="K4116" i="9"/>
  <c r="K4292" i="9"/>
  <c r="K4107" i="9"/>
  <c r="K4020" i="9"/>
  <c r="K4275" i="9"/>
  <c r="K4243" i="9"/>
  <c r="K4099" i="9"/>
  <c r="K4011" i="9"/>
  <c r="K3923" i="9"/>
  <c r="K4282" i="9"/>
  <c r="K4242" i="9"/>
  <c r="K4114" i="9"/>
  <c r="K4018" i="9"/>
  <c r="K3930" i="9"/>
  <c r="K3866" i="9"/>
  <c r="K3682" i="9"/>
  <c r="K3642" i="9"/>
  <c r="K3602" i="9"/>
  <c r="K3562" i="9"/>
  <c r="K3554" i="9"/>
  <c r="K3546" i="9"/>
  <c r="K3538" i="9"/>
  <c r="K3530" i="9"/>
  <c r="K3522" i="9"/>
  <c r="K3514" i="9"/>
  <c r="K3506" i="9"/>
  <c r="K3498" i="9"/>
  <c r="K3490" i="9"/>
  <c r="K3482" i="9"/>
  <c r="K3474" i="9"/>
  <c r="K3466" i="9"/>
  <c r="K3458" i="9"/>
  <c r="K3450" i="9"/>
  <c r="K3442" i="9"/>
  <c r="K3434" i="9"/>
  <c r="K3426" i="9"/>
  <c r="K3418" i="9"/>
  <c r="K3410" i="9"/>
  <c r="K3402" i="9"/>
  <c r="K3394" i="9"/>
  <c r="K3386" i="9"/>
  <c r="K3378" i="9"/>
  <c r="K3370" i="9"/>
  <c r="K3362" i="9"/>
  <c r="K3354" i="9"/>
  <c r="K3346" i="9"/>
  <c r="K3338" i="9"/>
  <c r="K3330" i="9"/>
  <c r="K3322" i="9"/>
  <c r="K3314" i="9"/>
  <c r="K3306" i="9"/>
  <c r="K3298" i="9"/>
  <c r="K3290" i="9"/>
  <c r="K3282" i="9"/>
  <c r="K3274" i="9"/>
  <c r="K3266" i="9"/>
  <c r="K3258" i="9"/>
  <c r="K3250" i="9"/>
  <c r="K3242" i="9"/>
  <c r="K3234" i="9"/>
  <c r="K3226" i="9"/>
  <c r="K3218" i="9"/>
  <c r="K3210" i="9"/>
  <c r="K3202" i="9"/>
  <c r="K3194" i="9"/>
  <c r="K3186" i="9"/>
  <c r="K3178" i="9"/>
  <c r="K3170" i="9"/>
  <c r="K3162" i="9"/>
  <c r="K3154" i="9"/>
  <c r="K3146" i="9"/>
  <c r="K3138" i="9"/>
  <c r="K3130" i="9"/>
  <c r="K3122" i="9"/>
  <c r="K3114" i="9"/>
  <c r="K3106" i="9"/>
  <c r="K3098" i="9"/>
  <c r="K3090" i="9"/>
  <c r="K3082" i="9"/>
  <c r="K3074" i="9"/>
  <c r="K3066" i="9"/>
  <c r="K3058" i="9"/>
  <c r="K3050" i="9"/>
  <c r="K3042" i="9"/>
  <c r="K3034" i="9"/>
  <c r="K3026" i="9"/>
  <c r="K3018" i="9"/>
  <c r="K3010" i="9"/>
  <c r="K3002" i="9"/>
  <c r="K2994" i="9"/>
  <c r="K2986" i="9"/>
  <c r="K2978" i="9"/>
  <c r="K2970" i="9"/>
  <c r="K2962" i="9"/>
  <c r="K2954" i="9"/>
  <c r="K2946" i="9"/>
  <c r="K2938" i="9"/>
  <c r="K2930" i="9"/>
  <c r="K2922" i="9"/>
  <c r="K2914" i="9"/>
  <c r="K2906" i="9"/>
  <c r="K2898" i="9"/>
  <c r="K2890" i="9"/>
  <c r="K2882" i="9"/>
  <c r="K2874" i="9"/>
  <c r="K2866" i="9"/>
  <c r="K2858" i="9"/>
  <c r="K2850" i="9"/>
  <c r="K2842" i="9"/>
  <c r="K2834" i="9"/>
  <c r="K2826" i="9"/>
  <c r="K2818" i="9"/>
  <c r="K2810" i="9"/>
  <c r="K2802" i="9"/>
  <c r="K2794" i="9"/>
  <c r="K2786" i="9"/>
  <c r="K2778" i="9"/>
  <c r="K2770" i="9"/>
  <c r="K2762" i="9"/>
  <c r="K2754" i="9"/>
  <c r="K2746" i="9"/>
  <c r="K2738" i="9"/>
  <c r="K2730" i="9"/>
  <c r="K2722" i="9"/>
  <c r="K2714" i="9"/>
  <c r="K2706" i="9"/>
  <c r="K2698" i="9"/>
  <c r="K2690" i="9"/>
  <c r="K2682" i="9"/>
  <c r="K2674" i="9"/>
  <c r="K2666" i="9"/>
  <c r="K2658" i="9"/>
  <c r="K2650" i="9"/>
  <c r="K2642" i="9"/>
  <c r="K2634" i="9"/>
  <c r="K2626" i="9"/>
  <c r="K2618" i="9"/>
  <c r="K2610" i="9"/>
  <c r="K2602" i="9"/>
  <c r="K2594" i="9"/>
  <c r="K2586" i="9"/>
  <c r="K2578" i="9"/>
  <c r="K4204" i="9"/>
  <c r="K4124" i="9"/>
  <c r="K4084" i="9"/>
  <c r="K4052" i="9"/>
  <c r="K4291" i="9"/>
  <c r="K4267" i="9"/>
  <c r="K4187" i="9"/>
  <c r="K4131" i="9"/>
  <c r="K4075" i="9"/>
  <c r="K4043" i="9"/>
  <c r="K3987" i="9"/>
  <c r="K3955" i="9"/>
  <c r="K3899" i="9"/>
  <c r="K3867" i="9"/>
  <c r="K3835" i="9"/>
  <c r="K4226" i="9"/>
  <c r="K4210" i="9"/>
  <c r="K4202" i="9"/>
  <c r="K4194" i="9"/>
  <c r="K4178" i="9"/>
  <c r="K4130" i="9"/>
  <c r="K4074" i="9"/>
  <c r="K4050" i="9"/>
  <c r="K4002" i="9"/>
  <c r="K3962" i="9"/>
  <c r="K3938" i="9"/>
  <c r="K3906" i="9"/>
  <c r="K3874" i="9"/>
  <c r="K3842" i="9"/>
  <c r="K3810" i="9"/>
  <c r="K3794" i="9"/>
  <c r="K3746" i="9"/>
  <c r="K3722" i="9"/>
  <c r="K3674" i="9"/>
  <c r="K3658" i="9"/>
  <c r="K3634" i="9"/>
  <c r="K3586" i="9"/>
  <c r="K4281" i="9"/>
  <c r="K4265" i="9"/>
  <c r="K4249" i="9"/>
  <c r="K4185" i="9"/>
  <c r="K4161" i="9"/>
  <c r="K4145" i="9"/>
  <c r="K4121" i="9"/>
  <c r="K4089" i="9"/>
  <c r="K4049" i="9"/>
  <c r="K4025" i="9"/>
  <c r="K4017" i="9"/>
  <c r="K4009" i="9"/>
  <c r="K4001" i="9"/>
  <c r="K3993" i="9"/>
  <c r="K3985" i="9"/>
  <c r="K3977" i="9"/>
  <c r="K3969" i="9"/>
  <c r="K3961" i="9"/>
  <c r="K3953" i="9"/>
  <c r="K3945" i="9"/>
  <c r="K3937" i="9"/>
  <c r="K3929" i="9"/>
  <c r="K3921" i="9"/>
  <c r="K3913" i="9"/>
  <c r="K3905" i="9"/>
  <c r="K3897" i="9"/>
  <c r="K3889" i="9"/>
  <c r="K3881" i="9"/>
  <c r="K3873" i="9"/>
  <c r="K3865" i="9"/>
  <c r="K3857" i="9"/>
  <c r="K3849" i="9"/>
  <c r="K3841" i="9"/>
  <c r="K3833" i="9"/>
  <c r="K3825" i="9"/>
  <c r="K3817" i="9"/>
  <c r="K3809" i="9"/>
  <c r="K3801" i="9"/>
  <c r="K3793" i="9"/>
  <c r="K3785" i="9"/>
  <c r="K3777" i="9"/>
  <c r="K3769" i="9"/>
  <c r="K3761" i="9"/>
  <c r="K3753" i="9"/>
  <c r="K3745" i="9"/>
  <c r="K3737" i="9"/>
  <c r="K3729" i="9"/>
  <c r="K3721" i="9"/>
  <c r="K3713" i="9"/>
  <c r="K3705" i="9"/>
  <c r="K3697" i="9"/>
  <c r="K3689" i="9"/>
  <c r="K3681" i="9"/>
  <c r="K3673" i="9"/>
  <c r="K3665" i="9"/>
  <c r="K3657" i="9"/>
  <c r="K3649" i="9"/>
  <c r="K3641" i="9"/>
  <c r="K3633" i="9"/>
  <c r="K3625" i="9"/>
  <c r="K3617" i="9"/>
  <c r="K3609" i="9"/>
  <c r="K3601" i="9"/>
  <c r="K3593" i="9"/>
  <c r="K3585" i="9"/>
  <c r="K3577" i="9"/>
  <c r="K3569" i="9"/>
  <c r="K3561" i="9"/>
  <c r="K3553" i="9"/>
  <c r="K3545" i="9"/>
  <c r="K3537" i="9"/>
  <c r="K3529" i="9"/>
  <c r="K3521" i="9"/>
  <c r="K3513" i="9"/>
  <c r="K3505" i="9"/>
  <c r="K3497" i="9"/>
  <c r="K3489" i="9"/>
  <c r="K3481" i="9"/>
  <c r="K3473" i="9"/>
  <c r="K3465" i="9"/>
  <c r="K3457" i="9"/>
  <c r="K3449" i="9"/>
  <c r="K3441" i="9"/>
  <c r="K3433" i="9"/>
  <c r="K3425" i="9"/>
  <c r="K3417" i="9"/>
  <c r="K3409" i="9"/>
  <c r="K3401" i="9"/>
  <c r="K3393" i="9"/>
  <c r="K3385" i="9"/>
  <c r="K3377" i="9"/>
  <c r="K3369" i="9"/>
  <c r="K3361" i="9"/>
  <c r="K3353" i="9"/>
  <c r="K3345" i="9"/>
  <c r="K3337" i="9"/>
  <c r="K3329" i="9"/>
  <c r="K3321" i="9"/>
  <c r="K3313" i="9"/>
  <c r="K3305" i="9"/>
  <c r="K3297" i="9"/>
  <c r="K3289" i="9"/>
  <c r="K3281" i="9"/>
  <c r="K3273" i="9"/>
  <c r="K3265" i="9"/>
  <c r="K3257" i="9"/>
  <c r="K3249" i="9"/>
  <c r="K3241" i="9"/>
  <c r="K3233" i="9"/>
  <c r="K3225" i="9"/>
  <c r="K3217" i="9"/>
  <c r="K3209" i="9"/>
  <c r="K3201" i="9"/>
  <c r="K3193" i="9"/>
  <c r="K3185" i="9"/>
  <c r="K3177" i="9"/>
  <c r="K3169" i="9"/>
  <c r="K3161" i="9"/>
  <c r="K3153" i="9"/>
  <c r="K3145" i="9"/>
  <c r="K3137" i="9"/>
  <c r="K3129" i="9"/>
  <c r="K3121" i="9"/>
  <c r="K3113" i="9"/>
  <c r="K3105" i="9"/>
  <c r="K3097" i="9"/>
  <c r="K3089" i="9"/>
  <c r="K3081" i="9"/>
  <c r="K3073" i="9"/>
  <c r="K3065" i="9"/>
  <c r="K3057" i="9"/>
  <c r="K3049" i="9"/>
  <c r="K3041" i="9"/>
  <c r="K3033" i="9"/>
  <c r="K3025" i="9"/>
  <c r="K3017" i="9"/>
  <c r="K3009" i="9"/>
  <c r="K3001" i="9"/>
  <c r="K2993" i="9"/>
  <c r="K2985" i="9"/>
  <c r="K2977" i="9"/>
  <c r="K2969" i="9"/>
  <c r="K2961" i="9"/>
  <c r="K2953" i="9"/>
  <c r="K2945" i="9"/>
  <c r="K2937" i="9"/>
  <c r="K2929" i="9"/>
  <c r="K2921" i="9"/>
  <c r="K2913" i="9"/>
  <c r="K2905" i="9"/>
  <c r="K2897" i="9"/>
  <c r="K2889" i="9"/>
  <c r="K2881" i="9"/>
  <c r="K2873" i="9"/>
  <c r="K2865" i="9"/>
  <c r="K2857" i="9"/>
  <c r="K2849" i="9"/>
  <c r="K2841" i="9"/>
  <c r="K2833" i="9"/>
  <c r="K2825" i="9"/>
  <c r="K2817" i="9"/>
  <c r="K2809" i="9"/>
  <c r="K2801" i="9"/>
  <c r="K2793" i="9"/>
  <c r="K2785" i="9"/>
  <c r="K2777" i="9"/>
  <c r="K2769" i="9"/>
  <c r="K2761" i="9"/>
  <c r="K2753" i="9"/>
  <c r="K2745" i="9"/>
  <c r="K2737" i="9"/>
  <c r="K2729" i="9"/>
  <c r="K2721" i="9"/>
  <c r="K2713" i="9"/>
  <c r="K2705" i="9"/>
  <c r="K2697" i="9"/>
  <c r="K2689" i="9"/>
  <c r="K2681" i="9"/>
  <c r="K4196" i="9"/>
  <c r="K4132" i="9"/>
  <c r="K4092" i="9"/>
  <c r="K4044" i="9"/>
  <c r="K4283" i="9"/>
  <c r="K4259" i="9"/>
  <c r="K4251" i="9"/>
  <c r="K4171" i="9"/>
  <c r="K4115" i="9"/>
  <c r="K4059" i="9"/>
  <c r="K4027" i="9"/>
  <c r="K3971" i="9"/>
  <c r="K3939" i="9"/>
  <c r="K3883" i="9"/>
  <c r="K3851" i="9"/>
  <c r="K3819" i="9"/>
  <c r="K4274" i="9"/>
  <c r="K4266" i="9"/>
  <c r="K4258" i="9"/>
  <c r="K4186" i="9"/>
  <c r="K4122" i="9"/>
  <c r="K4082" i="9"/>
  <c r="K4042" i="9"/>
  <c r="K4010" i="9"/>
  <c r="K3970" i="9"/>
  <c r="K3946" i="9"/>
  <c r="K3914" i="9"/>
  <c r="K3882" i="9"/>
  <c r="K3850" i="9"/>
  <c r="K3818" i="9"/>
  <c r="K3786" i="9"/>
  <c r="K3754" i="9"/>
  <c r="K3730" i="9"/>
  <c r="K3714" i="9"/>
  <c r="K3666" i="9"/>
  <c r="K3626" i="9"/>
  <c r="K3578" i="9"/>
  <c r="K4289" i="9"/>
  <c r="K4273" i="9"/>
  <c r="K4257" i="9"/>
  <c r="K4241" i="9"/>
  <c r="K4169" i="9"/>
  <c r="K4153" i="9"/>
  <c r="K4129" i="9"/>
  <c r="K4081" i="9"/>
  <c r="K4057" i="9"/>
  <c r="K4033" i="9"/>
  <c r="K4288" i="9"/>
  <c r="K4272" i="9"/>
  <c r="K4256" i="9"/>
  <c r="K4232" i="9"/>
  <c r="K4216" i="9"/>
  <c r="K4200" i="9"/>
  <c r="K4184" i="9"/>
  <c r="K4168" i="9"/>
  <c r="K4152" i="9"/>
  <c r="K4136" i="9"/>
  <c r="K4120" i="9"/>
  <c r="K4112" i="9"/>
  <c r="K4096" i="9"/>
  <c r="K3944" i="9"/>
  <c r="K3928" i="9"/>
  <c r="K3856" i="9"/>
  <c r="K3832" i="9"/>
  <c r="K3808" i="9"/>
  <c r="K3800" i="9"/>
  <c r="K3696" i="9"/>
  <c r="K3680" i="9"/>
  <c r="K3664" i="9"/>
  <c r="K3648" i="9"/>
  <c r="K3624" i="9"/>
  <c r="K3584" i="9"/>
  <c r="K3560" i="9"/>
  <c r="K3544" i="9"/>
  <c r="K3512" i="9"/>
  <c r="K3496" i="9"/>
  <c r="K3488" i="9"/>
  <c r="K3472" i="9"/>
  <c r="K3464" i="9"/>
  <c r="K3440" i="9"/>
  <c r="K3424" i="9"/>
  <c r="K3416" i="9"/>
  <c r="K3344" i="9"/>
  <c r="K3152" i="9"/>
  <c r="K3112" i="9"/>
  <c r="K3088" i="9"/>
  <c r="K3080" i="9"/>
  <c r="K3072" i="9"/>
  <c r="K3064" i="9"/>
  <c r="K3056" i="9"/>
  <c r="K3048" i="9"/>
  <c r="K3040" i="9"/>
  <c r="K3032" i="9"/>
  <c r="K3024" i="9"/>
  <c r="K3016" i="9"/>
  <c r="K3008" i="9"/>
  <c r="K3000" i="9"/>
  <c r="K2992" i="9"/>
  <c r="K2984" i="9"/>
  <c r="K2976" i="9"/>
  <c r="K2968" i="9"/>
  <c r="K2960" i="9"/>
  <c r="K2952" i="9"/>
  <c r="K2944" i="9"/>
  <c r="K2936" i="9"/>
  <c r="K2928" i="9"/>
  <c r="K2920" i="9"/>
  <c r="K2912" i="9"/>
  <c r="K2904" i="9"/>
  <c r="K2896" i="9"/>
  <c r="K2888" i="9"/>
  <c r="K2880" i="9"/>
  <c r="K2872" i="9"/>
  <c r="K2864" i="9"/>
  <c r="K2856" i="9"/>
  <c r="K2848" i="9"/>
  <c r="K2840" i="9"/>
  <c r="K2832" i="9"/>
  <c r="K2824" i="9"/>
  <c r="K2816" i="9"/>
  <c r="K2808" i="9"/>
  <c r="K2800" i="9"/>
  <c r="K2792" i="9"/>
  <c r="K2784" i="9"/>
  <c r="K2776" i="9"/>
  <c r="K2768" i="9"/>
  <c r="K2760" i="9"/>
  <c r="K2752" i="9"/>
  <c r="K2744" i="9"/>
  <c r="K2736" i="9"/>
  <c r="K2728" i="9"/>
  <c r="K2720" i="9"/>
  <c r="K2712" i="9"/>
  <c r="K2704" i="9"/>
  <c r="K2696" i="9"/>
  <c r="K2688" i="9"/>
  <c r="K2680" i="9"/>
  <c r="K2672" i="9"/>
  <c r="K4276" i="9"/>
  <c r="K4260" i="9"/>
  <c r="K4252" i="9"/>
  <c r="K4172" i="9"/>
  <c r="K4156" i="9"/>
  <c r="K4100" i="9"/>
  <c r="K4068" i="9"/>
  <c r="K4028" i="9"/>
  <c r="K4235" i="9"/>
  <c r="K4211" i="9"/>
  <c r="K4203" i="9"/>
  <c r="K4195" i="9"/>
  <c r="K4179" i="9"/>
  <c r="K4123" i="9"/>
  <c r="K4067" i="9"/>
  <c r="K4035" i="9"/>
  <c r="K3979" i="9"/>
  <c r="K3947" i="9"/>
  <c r="K3891" i="9"/>
  <c r="K3859" i="9"/>
  <c r="K3827" i="9"/>
  <c r="K4218" i="9"/>
  <c r="K4162" i="9"/>
  <c r="K4154" i="9"/>
  <c r="K4146" i="9"/>
  <c r="K4138" i="9"/>
  <c r="K4090" i="9"/>
  <c r="K4058" i="9"/>
  <c r="K4026" i="9"/>
  <c r="K3978" i="9"/>
  <c r="K3770" i="9"/>
  <c r="K3690" i="9"/>
  <c r="K3610" i="9"/>
  <c r="K4225" i="9"/>
  <c r="K4201" i="9"/>
  <c r="K4177" i="9"/>
  <c r="K4097" i="9"/>
  <c r="K4041" i="9"/>
  <c r="K4072" i="9"/>
  <c r="K4032" i="9"/>
  <c r="K3984" i="9"/>
  <c r="K3960" i="9"/>
  <c r="K3848" i="9"/>
  <c r="K3816" i="9"/>
  <c r="K3792" i="9"/>
  <c r="K3752" i="9"/>
  <c r="K3736" i="9"/>
  <c r="K3688" i="9"/>
  <c r="K3672" i="9"/>
  <c r="K3656" i="9"/>
  <c r="K3616" i="9"/>
  <c r="K3576" i="9"/>
  <c r="K3552" i="9"/>
  <c r="K3504" i="9"/>
  <c r="K3456" i="9"/>
  <c r="K3432" i="9"/>
  <c r="K3392" i="9"/>
  <c r="K3360" i="9"/>
  <c r="K3352" i="9"/>
  <c r="K3280" i="9"/>
  <c r="K3264" i="9"/>
  <c r="K3248" i="9"/>
  <c r="K3232" i="9"/>
  <c r="K3216" i="9"/>
  <c r="K3208" i="9"/>
  <c r="K3200" i="9"/>
  <c r="K3192" i="9"/>
  <c r="K3120" i="9"/>
  <c r="K4175" i="9"/>
  <c r="K4159" i="9"/>
  <c r="K4135" i="9"/>
  <c r="K4095" i="9"/>
  <c r="K4039" i="9"/>
  <c r="K4023" i="9"/>
  <c r="K3999" i="9"/>
  <c r="K3975" i="9"/>
  <c r="K3959" i="9"/>
  <c r="K3943" i="9"/>
  <c r="K3927" i="9"/>
  <c r="K3919" i="9"/>
  <c r="K3911" i="9"/>
  <c r="K3887" i="9"/>
  <c r="K3791" i="9"/>
  <c r="K3615" i="9"/>
  <c r="K3607" i="9"/>
  <c r="K3591" i="9"/>
  <c r="K3575" i="9"/>
  <c r="K3559" i="9"/>
  <c r="K3543" i="9"/>
  <c r="K3535" i="9"/>
  <c r="K3527" i="9"/>
  <c r="K3511" i="9"/>
  <c r="K3495" i="9"/>
  <c r="K3479" i="9"/>
  <c r="K3463" i="9"/>
  <c r="K3447" i="9"/>
  <c r="K3383" i="9"/>
  <c r="K3367" i="9"/>
  <c r="K3351" i="9"/>
  <c r="K3343" i="9"/>
  <c r="K3335" i="9"/>
  <c r="K3319" i="9"/>
  <c r="K3303" i="9"/>
  <c r="K3287" i="9"/>
  <c r="K3279" i="9"/>
  <c r="K3271" i="9"/>
  <c r="K3263" i="9"/>
  <c r="K3247" i="9"/>
  <c r="K3239" i="9"/>
  <c r="K3231" i="9"/>
  <c r="K3215" i="9"/>
  <c r="K3207" i="9"/>
  <c r="K3199" i="9"/>
  <c r="K3191" i="9"/>
  <c r="K3183" i="9"/>
  <c r="K3175" i="9"/>
  <c r="K3167" i="9"/>
  <c r="K3159" i="9"/>
  <c r="K3151" i="9"/>
  <c r="K3143" i="9"/>
  <c r="K3135" i="9"/>
  <c r="K3127" i="9"/>
  <c r="K3119" i="9"/>
  <c r="K3111" i="9"/>
  <c r="K3103" i="9"/>
  <c r="K3095" i="9"/>
  <c r="K3087" i="9"/>
  <c r="K3079" i="9"/>
  <c r="K3071" i="9"/>
  <c r="K3063" i="9"/>
  <c r="K3055" i="9"/>
  <c r="K3047" i="9"/>
  <c r="K3039" i="9"/>
  <c r="K3031" i="9"/>
  <c r="K3023" i="9"/>
  <c r="K3015" i="9"/>
  <c r="K3007" i="9"/>
  <c r="K2999" i="9"/>
  <c r="K2991" i="9"/>
  <c r="K2983" i="9"/>
  <c r="K2975" i="9"/>
  <c r="K2967" i="9"/>
  <c r="K2959" i="9"/>
  <c r="K2951" i="9"/>
  <c r="K2943" i="9"/>
  <c r="K2935" i="9"/>
  <c r="K2927" i="9"/>
  <c r="K2919" i="9"/>
  <c r="K4268" i="9"/>
  <c r="K4244" i="9"/>
  <c r="K4164" i="9"/>
  <c r="K4148" i="9"/>
  <c r="K4108" i="9"/>
  <c r="K4060" i="9"/>
  <c r="K4012" i="9"/>
  <c r="K4219" i="9"/>
  <c r="K4163" i="9"/>
  <c r="K4155" i="9"/>
  <c r="K4147" i="9"/>
  <c r="K4139" i="9"/>
  <c r="K4083" i="9"/>
  <c r="K4051" i="9"/>
  <c r="K3995" i="9"/>
  <c r="K3963" i="9"/>
  <c r="K3915" i="9"/>
  <c r="K3875" i="9"/>
  <c r="K3843" i="9"/>
  <c r="K4234" i="9"/>
  <c r="K4170" i="9"/>
  <c r="K4098" i="9"/>
  <c r="K4066" i="9"/>
  <c r="K4034" i="9"/>
  <c r="K3994" i="9"/>
  <c r="K3954" i="9"/>
  <c r="K3922" i="9"/>
  <c r="K3890" i="9"/>
  <c r="K3858" i="9"/>
  <c r="K3826" i="9"/>
  <c r="K3802" i="9"/>
  <c r="K3762" i="9"/>
  <c r="K3738" i="9"/>
  <c r="K3698" i="9"/>
  <c r="K3618" i="9"/>
  <c r="K4233" i="9"/>
  <c r="K4209" i="9"/>
  <c r="K4193" i="9"/>
  <c r="K4105" i="9"/>
  <c r="K4080" i="9"/>
  <c r="K4048" i="9"/>
  <c r="K4016" i="9"/>
  <c r="K3992" i="9"/>
  <c r="K3896" i="9"/>
  <c r="K3784" i="9"/>
  <c r="K3744" i="9"/>
  <c r="K3704" i="9"/>
  <c r="K3608" i="9"/>
  <c r="K3592" i="9"/>
  <c r="K3568" i="9"/>
  <c r="K3528" i="9"/>
  <c r="K3480" i="9"/>
  <c r="K3448" i="9"/>
  <c r="K3368" i="9"/>
  <c r="K3312" i="9"/>
  <c r="K3304" i="9"/>
  <c r="K3296" i="9"/>
  <c r="K3288" i="9"/>
  <c r="K3168" i="9"/>
  <c r="K3104" i="9"/>
  <c r="K4295" i="9"/>
  <c r="K4279" i="9"/>
  <c r="K4263" i="9"/>
  <c r="K4247" i="9"/>
  <c r="K4223" i="9"/>
  <c r="K4191" i="9"/>
  <c r="K4167" i="9"/>
  <c r="K4143" i="9"/>
  <c r="K4119" i="9"/>
  <c r="K4111" i="9"/>
  <c r="K4087" i="9"/>
  <c r="K4071" i="9"/>
  <c r="K4063" i="9"/>
  <c r="K4055" i="9"/>
  <c r="K4047" i="9"/>
  <c r="K4031" i="9"/>
  <c r="K4007" i="9"/>
  <c r="K3991" i="9"/>
  <c r="K3967" i="9"/>
  <c r="K3951" i="9"/>
  <c r="K3935" i="9"/>
  <c r="K3903" i="9"/>
  <c r="K3855" i="9"/>
  <c r="K3839" i="9"/>
  <c r="K3807" i="9"/>
  <c r="K3799" i="9"/>
  <c r="K3783" i="9"/>
  <c r="K3775" i="9"/>
  <c r="K3767" i="9"/>
  <c r="K3759" i="9"/>
  <c r="K3751" i="9"/>
  <c r="K3743" i="9"/>
  <c r="K3735" i="9"/>
  <c r="K3727" i="9"/>
  <c r="K3719" i="9"/>
  <c r="K3711" i="9"/>
  <c r="K3695" i="9"/>
  <c r="K3679" i="9"/>
  <c r="K3663" i="9"/>
  <c r="K3647" i="9"/>
  <c r="K3631" i="9"/>
  <c r="K3599" i="9"/>
  <c r="K3583" i="9"/>
  <c r="K3567" i="9"/>
  <c r="K3431" i="9"/>
  <c r="K3415" i="9"/>
  <c r="K3407" i="9"/>
  <c r="K3399" i="9"/>
  <c r="K3391" i="9"/>
  <c r="K3311" i="9"/>
  <c r="K3295" i="9"/>
  <c r="K3255" i="9"/>
  <c r="K3223" i="9"/>
  <c r="K4286" i="9"/>
  <c r="K4270" i="9"/>
  <c r="K4238" i="9"/>
  <c r="K4222" i="9"/>
  <c r="K4198" i="9"/>
  <c r="K4174" i="9"/>
  <c r="K4158" i="9"/>
  <c r="K4142" i="9"/>
  <c r="K4126" i="9"/>
  <c r="K4102" i="9"/>
  <c r="K4070" i="9"/>
  <c r="K4054" i="9"/>
  <c r="K4030" i="9"/>
  <c r="K3982" i="9"/>
  <c r="K3926" i="9"/>
  <c r="K3798" i="9"/>
  <c r="K3726" i="9"/>
  <c r="K3686" i="9"/>
  <c r="K3582" i="9"/>
  <c r="K3574" i="9"/>
  <c r="K3566" i="9"/>
  <c r="K3550" i="9"/>
  <c r="K3454" i="9"/>
  <c r="K4076" i="9"/>
  <c r="K4227" i="9"/>
  <c r="K4091" i="9"/>
  <c r="K4003" i="9"/>
  <c r="K3907" i="9"/>
  <c r="K4290" i="9"/>
  <c r="K4250" i="9"/>
  <c r="K4106" i="9"/>
  <c r="K3986" i="9"/>
  <c r="K3898" i="9"/>
  <c r="K3834" i="9"/>
  <c r="K3778" i="9"/>
  <c r="K3706" i="9"/>
  <c r="K3650" i="9"/>
  <c r="K3594" i="9"/>
  <c r="K3570" i="9"/>
  <c r="K4217" i="9"/>
  <c r="K4137" i="9"/>
  <c r="K4113" i="9"/>
  <c r="K4073" i="9"/>
  <c r="K4065" i="9"/>
  <c r="K2" i="9"/>
  <c r="K4280" i="9"/>
  <c r="K4264" i="9"/>
  <c r="K4248" i="9"/>
  <c r="K4240" i="9"/>
  <c r="K4224" i="9"/>
  <c r="K4208" i="9"/>
  <c r="K4192" i="9"/>
  <c r="K4176" i="9"/>
  <c r="K4160" i="9"/>
  <c r="K4144" i="9"/>
  <c r="K4128" i="9"/>
  <c r="K4104" i="9"/>
  <c r="K4088" i="9"/>
  <c r="K4064" i="9"/>
  <c r="K4056" i="9"/>
  <c r="K4040" i="9"/>
  <c r="K4024" i="9"/>
  <c r="K4008" i="9"/>
  <c r="K4000" i="9"/>
  <c r="K3976" i="9"/>
  <c r="K3968" i="9"/>
  <c r="K3952" i="9"/>
  <c r="K3936" i="9"/>
  <c r="K3920" i="9"/>
  <c r="K3912" i="9"/>
  <c r="K3904" i="9"/>
  <c r="K3888" i="9"/>
  <c r="K3880" i="9"/>
  <c r="K3872" i="9"/>
  <c r="K3864" i="9"/>
  <c r="K3840" i="9"/>
  <c r="K3824" i="9"/>
  <c r="K3776" i="9"/>
  <c r="K3768" i="9"/>
  <c r="K3760" i="9"/>
  <c r="K3728" i="9"/>
  <c r="K3720" i="9"/>
  <c r="K3712" i="9"/>
  <c r="K3640" i="9"/>
  <c r="K3632" i="9"/>
  <c r="K3600" i="9"/>
  <c r="K3536" i="9"/>
  <c r="K3520" i="9"/>
  <c r="K3408" i="9"/>
  <c r="K3400" i="9"/>
  <c r="K3384" i="9"/>
  <c r="K3376" i="9"/>
  <c r="K3336" i="9"/>
  <c r="K3328" i="9"/>
  <c r="K3320" i="9"/>
  <c r="K3272" i="9"/>
  <c r="K3256" i="9"/>
  <c r="K3240" i="9"/>
  <c r="K3224" i="9"/>
  <c r="K3184" i="9"/>
  <c r="K3176" i="9"/>
  <c r="K3160" i="9"/>
  <c r="K3144" i="9"/>
  <c r="K3136" i="9"/>
  <c r="K3128" i="9"/>
  <c r="K3096" i="9"/>
  <c r="K4287" i="9"/>
  <c r="K4271" i="9"/>
  <c r="K4255" i="9"/>
  <c r="K4239" i="9"/>
  <c r="K4231" i="9"/>
  <c r="K4215" i="9"/>
  <c r="K4207" i="9"/>
  <c r="K4199" i="9"/>
  <c r="K4183" i="9"/>
  <c r="K4151" i="9"/>
  <c r="K4127" i="9"/>
  <c r="K4103" i="9"/>
  <c r="K4079" i="9"/>
  <c r="K4015" i="9"/>
  <c r="K3983" i="9"/>
  <c r="K3895" i="9"/>
  <c r="K3879" i="9"/>
  <c r="K3871" i="9"/>
  <c r="K3863" i="9"/>
  <c r="K3847" i="9"/>
  <c r="K3831" i="9"/>
  <c r="K3823" i="9"/>
  <c r="K3815" i="9"/>
  <c r="K3703" i="9"/>
  <c r="K3687" i="9"/>
  <c r="K3671" i="9"/>
  <c r="K3655" i="9"/>
  <c r="K3639" i="9"/>
  <c r="K3623" i="9"/>
  <c r="K3551" i="9"/>
  <c r="K3519" i="9"/>
  <c r="K3503" i="9"/>
  <c r="K3487" i="9"/>
  <c r="K3471" i="9"/>
  <c r="K3455" i="9"/>
  <c r="K3439" i="9"/>
  <c r="K3423" i="9"/>
  <c r="K3375" i="9"/>
  <c r="K3359" i="9"/>
  <c r="K3327" i="9"/>
  <c r="K4294" i="9"/>
  <c r="K4278" i="9"/>
  <c r="K4262" i="9"/>
  <c r="K4254" i="9"/>
  <c r="K4246" i="9"/>
  <c r="K4230" i="9"/>
  <c r="K4214" i="9"/>
  <c r="K4206" i="9"/>
  <c r="K4190" i="9"/>
  <c r="K4182" i="9"/>
  <c r="K4166" i="9"/>
  <c r="K4150" i="9"/>
  <c r="K4134" i="9"/>
  <c r="K4118" i="9"/>
  <c r="K4110" i="9"/>
  <c r="K4094" i="9"/>
  <c r="K4086" i="9"/>
  <c r="K4078" i="9"/>
  <c r="K4062" i="9"/>
  <c r="K4046" i="9"/>
  <c r="K4038" i="9"/>
  <c r="K4022" i="9"/>
  <c r="K4014" i="9"/>
  <c r="K4006" i="9"/>
  <c r="K3998" i="9"/>
  <c r="K3990" i="9"/>
  <c r="K3974" i="9"/>
  <c r="K3966" i="9"/>
  <c r="K3958" i="9"/>
  <c r="K3950" i="9"/>
  <c r="K3942" i="9"/>
  <c r="K3934" i="9"/>
  <c r="K3918" i="9"/>
  <c r="K3910" i="9"/>
  <c r="K3902" i="9"/>
  <c r="K3894" i="9"/>
  <c r="K3886" i="9"/>
  <c r="K3878" i="9"/>
  <c r="K3870" i="9"/>
  <c r="K3862" i="9"/>
  <c r="K3854" i="9"/>
  <c r="K3846" i="9"/>
  <c r="K3838" i="9"/>
  <c r="K3830" i="9"/>
  <c r="K3822" i="9"/>
  <c r="K3814" i="9"/>
  <c r="K3806" i="9"/>
  <c r="K3790" i="9"/>
  <c r="K3782" i="9"/>
  <c r="K3774" i="9"/>
  <c r="K3766" i="9"/>
  <c r="K3758" i="9"/>
  <c r="K3750" i="9"/>
  <c r="K3742" i="9"/>
  <c r="K3734" i="9"/>
  <c r="K3718" i="9"/>
  <c r="K3710" i="9"/>
  <c r="K3702" i="9"/>
  <c r="K3694" i="9"/>
  <c r="K3678" i="9"/>
  <c r="K3670" i="9"/>
  <c r="K3662" i="9"/>
  <c r="K3654" i="9"/>
  <c r="K3646" i="9"/>
  <c r="K3638" i="9"/>
  <c r="K3630" i="9"/>
  <c r="K3622" i="9"/>
  <c r="K3614" i="9"/>
  <c r="K3606" i="9"/>
  <c r="K3598" i="9"/>
  <c r="K3590" i="9"/>
  <c r="K3558" i="9"/>
  <c r="K3542" i="9"/>
  <c r="K3534" i="9"/>
  <c r="K3526" i="9"/>
  <c r="K3518" i="9"/>
  <c r="K3510" i="9"/>
  <c r="K3502" i="9"/>
  <c r="K3494" i="9"/>
  <c r="K3486" i="9"/>
  <c r="K3478" i="9"/>
  <c r="K3470" i="9"/>
  <c r="K3462" i="9"/>
  <c r="K3446" i="9"/>
  <c r="K4212" i="9"/>
  <c r="K4180" i="9"/>
  <c r="K4140" i="9"/>
  <c r="K4036" i="9"/>
  <c r="K4004" i="9"/>
  <c r="K3996" i="9"/>
  <c r="K3988" i="9"/>
  <c r="K3980" i="9"/>
  <c r="K3972" i="9"/>
  <c r="K3964" i="9"/>
  <c r="K3956" i="9"/>
  <c r="K3948" i="9"/>
  <c r="K3940" i="9"/>
  <c r="K3932" i="9"/>
  <c r="K3924" i="9"/>
  <c r="K3916" i="9"/>
  <c r="K3908" i="9"/>
  <c r="K3900" i="9"/>
  <c r="K3892" i="9"/>
  <c r="K3884" i="9"/>
  <c r="K3876" i="9"/>
  <c r="K3868" i="9"/>
  <c r="K3860" i="9"/>
  <c r="K3852" i="9"/>
  <c r="K3844" i="9"/>
  <c r="K3836" i="9"/>
  <c r="K3828" i="9"/>
  <c r="K3820" i="9"/>
  <c r="K3812" i="9"/>
  <c r="K3804" i="9"/>
  <c r="K3796" i="9"/>
  <c r="K3788" i="9"/>
  <c r="K3780" i="9"/>
  <c r="K3772" i="9"/>
  <c r="K3764" i="9"/>
  <c r="K3756" i="9"/>
  <c r="K3748" i="9"/>
  <c r="K3740" i="9"/>
  <c r="K3732" i="9"/>
  <c r="K3724" i="9"/>
  <c r="K3716" i="9"/>
  <c r="K3708" i="9"/>
  <c r="K3700" i="9"/>
  <c r="K3692" i="9"/>
  <c r="K3684" i="9"/>
  <c r="K3676" i="9"/>
  <c r="K3668" i="9"/>
  <c r="K3660" i="9"/>
  <c r="K3652" i="9"/>
  <c r="K3644" i="9"/>
  <c r="K3636" i="9"/>
  <c r="K3628" i="9"/>
  <c r="K3620" i="9"/>
  <c r="K3612" i="9"/>
  <c r="K3604" i="9"/>
  <c r="K3596" i="9"/>
  <c r="K3588" i="9"/>
  <c r="K3580" i="9"/>
  <c r="K3572" i="9"/>
  <c r="K3564" i="9"/>
  <c r="K3556" i="9"/>
  <c r="K3548" i="9"/>
  <c r="K3540" i="9"/>
  <c r="K3532" i="9"/>
  <c r="K3524" i="9"/>
  <c r="K3516" i="9"/>
  <c r="K3508" i="9"/>
  <c r="K3500" i="9"/>
  <c r="K3492" i="9"/>
  <c r="K3484" i="9"/>
  <c r="K3476" i="9"/>
  <c r="K3468" i="9"/>
  <c r="K3460" i="9"/>
  <c r="K3452" i="9"/>
  <c r="K3444" i="9"/>
  <c r="K3436" i="9"/>
  <c r="K3428" i="9"/>
  <c r="K3420" i="9"/>
  <c r="K3412" i="9"/>
  <c r="K3404" i="9"/>
  <c r="K3396" i="9"/>
  <c r="K3388" i="9"/>
  <c r="K3380" i="9"/>
  <c r="K3372" i="9"/>
  <c r="K3364" i="9"/>
  <c r="K3356" i="9"/>
  <c r="K3348" i="9"/>
  <c r="K3340" i="9"/>
  <c r="K3332" i="9"/>
  <c r="K3324" i="9"/>
  <c r="K3316" i="9"/>
  <c r="K3308" i="9"/>
  <c r="K3300" i="9"/>
  <c r="K3292" i="9"/>
  <c r="K3284" i="9"/>
  <c r="K3276" i="9"/>
  <c r="K3268" i="9"/>
  <c r="K3260" i="9"/>
  <c r="K3252" i="9"/>
  <c r="K3244" i="9"/>
  <c r="K3236" i="9"/>
  <c r="K3228" i="9"/>
  <c r="K3220" i="9"/>
  <c r="K3212" i="9"/>
  <c r="K3204" i="9"/>
  <c r="K3196" i="9"/>
  <c r="K3188" i="9"/>
  <c r="K3180" i="9"/>
  <c r="K3172" i="9"/>
  <c r="K3164" i="9"/>
  <c r="K3156" i="9"/>
  <c r="K3148" i="9"/>
  <c r="K3140" i="9"/>
  <c r="K3132" i="9"/>
  <c r="K3124" i="9"/>
  <c r="K3116" i="9"/>
  <c r="K3108" i="9"/>
  <c r="K3100" i="9"/>
  <c r="K3092" i="9"/>
  <c r="K3084" i="9"/>
  <c r="K3076" i="9"/>
  <c r="K3068" i="9"/>
  <c r="K3060" i="9"/>
  <c r="K3052" i="9"/>
  <c r="K3044" i="9"/>
  <c r="K3036" i="9"/>
  <c r="K3028" i="9"/>
  <c r="K3020" i="9"/>
  <c r="K3012" i="9"/>
  <c r="K3004" i="9"/>
  <c r="K2996" i="9"/>
  <c r="K2988" i="9"/>
  <c r="K2980" i="9"/>
  <c r="K2972" i="9"/>
  <c r="K2964" i="9"/>
  <c r="K2956" i="9"/>
  <c r="K2948" i="9"/>
  <c r="K2940" i="9"/>
  <c r="K2932" i="9"/>
  <c r="K2924" i="9"/>
  <c r="K2916" i="9"/>
  <c r="K2908" i="9"/>
  <c r="K2900" i="9"/>
  <c r="K2892" i="9"/>
  <c r="K2884" i="9"/>
  <c r="K2876" i="9"/>
  <c r="K2868" i="9"/>
  <c r="K2860" i="9"/>
  <c r="K2852" i="9"/>
  <c r="K2844" i="9"/>
  <c r="K2836" i="9"/>
  <c r="K2828" i="9"/>
  <c r="K2820" i="9"/>
  <c r="K2812" i="9"/>
  <c r="K2804" i="9"/>
  <c r="K4019" i="9"/>
  <c r="K3931" i="9"/>
  <c r="K3811" i="9"/>
  <c r="K3803" i="9"/>
  <c r="K3795" i="9"/>
  <c r="K3787" i="9"/>
  <c r="K3779" i="9"/>
  <c r="K3771" i="9"/>
  <c r="K3763" i="9"/>
  <c r="K3755" i="9"/>
  <c r="K3747" i="9"/>
  <c r="K3739" i="9"/>
  <c r="K3731" i="9"/>
  <c r="K3723" i="9"/>
  <c r="K3715" i="9"/>
  <c r="K3707" i="9"/>
  <c r="K3699" i="9"/>
  <c r="K3691" i="9"/>
  <c r="K3683" i="9"/>
  <c r="K3675" i="9"/>
  <c r="K3667" i="9"/>
  <c r="K3659" i="9"/>
  <c r="K3651" i="9"/>
  <c r="K3643" i="9"/>
  <c r="K3635" i="9"/>
  <c r="K3627" i="9"/>
  <c r="K3619" i="9"/>
  <c r="K3611" i="9"/>
  <c r="K3603" i="9"/>
  <c r="K3595" i="9"/>
  <c r="K3587" i="9"/>
  <c r="K3579" i="9"/>
  <c r="K3571" i="9"/>
  <c r="K3563" i="9"/>
  <c r="K3555" i="9"/>
  <c r="K3547" i="9"/>
  <c r="K3539" i="9"/>
  <c r="K3531" i="9"/>
  <c r="K3523" i="9"/>
  <c r="K3515" i="9"/>
  <c r="K3507" i="9"/>
  <c r="K3499" i="9"/>
  <c r="K3491" i="9"/>
  <c r="K3483" i="9"/>
  <c r="K3475" i="9"/>
  <c r="K3467" i="9"/>
  <c r="K3459" i="9"/>
  <c r="K3451" i="9"/>
  <c r="K3443" i="9"/>
  <c r="K3435" i="9"/>
  <c r="K3427" i="9"/>
  <c r="K3419" i="9"/>
  <c r="K3411" i="9"/>
  <c r="K3403" i="9"/>
  <c r="K3395" i="9"/>
  <c r="K3387" i="9"/>
  <c r="K3379" i="9"/>
  <c r="K3371" i="9"/>
  <c r="K3363" i="9"/>
  <c r="K3355" i="9"/>
  <c r="K3347" i="9"/>
  <c r="K3339" i="9"/>
  <c r="K3331" i="9"/>
  <c r="K3323" i="9"/>
  <c r="K3315" i="9"/>
  <c r="K3307" i="9"/>
  <c r="K3299" i="9"/>
  <c r="K3291" i="9"/>
  <c r="K3283" i="9"/>
  <c r="K3275" i="9"/>
  <c r="K3267" i="9"/>
  <c r="K3259" i="9"/>
  <c r="K3251" i="9"/>
  <c r="K3243" i="9"/>
  <c r="K3235" i="9"/>
  <c r="K3227" i="9"/>
  <c r="K3219" i="9"/>
  <c r="K3211" i="9"/>
  <c r="K3203" i="9"/>
  <c r="K3195" i="9"/>
  <c r="K3187" i="9"/>
  <c r="K3179" i="9"/>
  <c r="K3171" i="9"/>
  <c r="K3163" i="9"/>
  <c r="K3155" i="9"/>
  <c r="K3147" i="9"/>
  <c r="K3139" i="9"/>
  <c r="K3131" i="9"/>
  <c r="K3123" i="9"/>
  <c r="K3115" i="9"/>
  <c r="K3107" i="9"/>
  <c r="K3099" i="9"/>
  <c r="K3091" i="9"/>
  <c r="K3083" i="9"/>
  <c r="K3075" i="9"/>
  <c r="K3067" i="9"/>
  <c r="K3059" i="9"/>
  <c r="K3051" i="9"/>
  <c r="K3043" i="9"/>
  <c r="K3035" i="9"/>
  <c r="K3027" i="9"/>
  <c r="K3019" i="9"/>
  <c r="K3011" i="9"/>
  <c r="K3003" i="9"/>
  <c r="K2995" i="9"/>
  <c r="K2987" i="9"/>
  <c r="K2979" i="9"/>
  <c r="K2971" i="9"/>
  <c r="K2963" i="9"/>
  <c r="K2955" i="9"/>
  <c r="K2947" i="9"/>
  <c r="K2939" i="9"/>
  <c r="K2931" i="9"/>
  <c r="K2923" i="9"/>
  <c r="K2915" i="9"/>
  <c r="K2907" i="9"/>
  <c r="K2899" i="9"/>
  <c r="K2891" i="9"/>
  <c r="K2883" i="9"/>
  <c r="K2875" i="9"/>
  <c r="K2867" i="9"/>
  <c r="K2859" i="9"/>
  <c r="K2851" i="9"/>
  <c r="K2843" i="9"/>
  <c r="K2835" i="9"/>
  <c r="K2827" i="9"/>
  <c r="K2819" i="9"/>
  <c r="K2811" i="9"/>
  <c r="K2803" i="9"/>
  <c r="K2795" i="9"/>
  <c r="K2787" i="9"/>
  <c r="K2779" i="9"/>
  <c r="K2771" i="9"/>
  <c r="K2763" i="9"/>
  <c r="K2755" i="9"/>
  <c r="K2747" i="9"/>
  <c r="K2739" i="9"/>
  <c r="K2731" i="9"/>
  <c r="K2723" i="9"/>
  <c r="K2715" i="9"/>
  <c r="K2707" i="9"/>
  <c r="K2699" i="9"/>
  <c r="K2691" i="9"/>
  <c r="K2683" i="9"/>
  <c r="K2675" i="9"/>
  <c r="K2667" i="9"/>
  <c r="K2659" i="9"/>
  <c r="K2651" i="9"/>
  <c r="K2643" i="9"/>
  <c r="K2635" i="9"/>
  <c r="K2627" i="9"/>
  <c r="K2619" i="9"/>
  <c r="K2611" i="9"/>
  <c r="K2603" i="9"/>
  <c r="K2595" i="9"/>
  <c r="K2587" i="9"/>
  <c r="K2579" i="9"/>
  <c r="K2570" i="9"/>
  <c r="K2562" i="9"/>
  <c r="K2554" i="9"/>
  <c r="K2546" i="9"/>
  <c r="K2538" i="9"/>
  <c r="K2530" i="9"/>
  <c r="K2522" i="9"/>
  <c r="K2514" i="9"/>
  <c r="K2506" i="9"/>
  <c r="K2498" i="9"/>
  <c r="K2490" i="9"/>
  <c r="K2482" i="9"/>
  <c r="K2474" i="9"/>
  <c r="K2466" i="9"/>
  <c r="K2458" i="9"/>
  <c r="K2450" i="9"/>
  <c r="K2442" i="9"/>
  <c r="K2434" i="9"/>
  <c r="K2426" i="9"/>
  <c r="K2418" i="9"/>
  <c r="K2410" i="9"/>
  <c r="K2402" i="9"/>
  <c r="K2394" i="9"/>
  <c r="K2386" i="9"/>
  <c r="K2378" i="9"/>
  <c r="K2370" i="9"/>
  <c r="K2362" i="9"/>
  <c r="K2354" i="9"/>
  <c r="K2346" i="9"/>
  <c r="K2338" i="9"/>
  <c r="K2330" i="9"/>
  <c r="K2322" i="9"/>
  <c r="K2314" i="9"/>
  <c r="K2306" i="9"/>
  <c r="K2298" i="9"/>
  <c r="K2290" i="9"/>
  <c r="K2282" i="9"/>
  <c r="K2274" i="9"/>
  <c r="K2266" i="9"/>
  <c r="K2258" i="9"/>
  <c r="K2250" i="9"/>
  <c r="K2242" i="9"/>
  <c r="K2226" i="9"/>
  <c r="K2218" i="9"/>
  <c r="K2210" i="9"/>
  <c r="K2202" i="9"/>
  <c r="K2194" i="9"/>
  <c r="K2186" i="9"/>
  <c r="K2178" i="9"/>
  <c r="K2170" i="9"/>
  <c r="K2162" i="9"/>
  <c r="K2154" i="9"/>
  <c r="K2146" i="9"/>
  <c r="K2138" i="9"/>
  <c r="K2130" i="9"/>
  <c r="K2122" i="9"/>
  <c r="K2114" i="9"/>
  <c r="K2106" i="9"/>
  <c r="K2098" i="9"/>
  <c r="K2090" i="9"/>
  <c r="K2082" i="9"/>
  <c r="K2074" i="9"/>
  <c r="K2066" i="9"/>
  <c r="K2058" i="9"/>
  <c r="K2050" i="9"/>
  <c r="K2042" i="9"/>
  <c r="K2034" i="9"/>
  <c r="K2026" i="9"/>
  <c r="K2018" i="9"/>
  <c r="K2010" i="9"/>
  <c r="K2002" i="9"/>
  <c r="K1994" i="9"/>
  <c r="K1986" i="9"/>
  <c r="K1978" i="9"/>
  <c r="K1970" i="9"/>
  <c r="K1962" i="9"/>
  <c r="K1954" i="9"/>
  <c r="K1946" i="9"/>
  <c r="K1938" i="9"/>
  <c r="K1930" i="9"/>
  <c r="K1922" i="9"/>
  <c r="K1914" i="9"/>
  <c r="K1906" i="9"/>
  <c r="K1898" i="9"/>
  <c r="K1890" i="9"/>
  <c r="K1882" i="9"/>
  <c r="K1874" i="9"/>
  <c r="K1866" i="9"/>
  <c r="K1858" i="9"/>
  <c r="K1850" i="9"/>
  <c r="K1842" i="9"/>
  <c r="K1834" i="9"/>
  <c r="K1826" i="9"/>
  <c r="K1818" i="9"/>
  <c r="K1810" i="9"/>
  <c r="K1802" i="9"/>
  <c r="K1794" i="9"/>
  <c r="K1786" i="9"/>
  <c r="K1778" i="9"/>
  <c r="K1770" i="9"/>
  <c r="K1762" i="9"/>
  <c r="K1754" i="9"/>
  <c r="K1746" i="9"/>
  <c r="K1738" i="9"/>
  <c r="K1730" i="9"/>
  <c r="K1722" i="9"/>
  <c r="K1714" i="9"/>
  <c r="K1706" i="9"/>
  <c r="K1698" i="9"/>
  <c r="K1690" i="9"/>
  <c r="K1682" i="9"/>
  <c r="K1674" i="9"/>
  <c r="K1666" i="9"/>
  <c r="K1658" i="9"/>
  <c r="K1650" i="9"/>
  <c r="K1642" i="9"/>
  <c r="K1634" i="9"/>
  <c r="K1626" i="9"/>
  <c r="K1618" i="9"/>
  <c r="K1610" i="9"/>
  <c r="K1602" i="9"/>
  <c r="K1594" i="9"/>
  <c r="K1586" i="9"/>
  <c r="K1578" i="9"/>
  <c r="K1570" i="9"/>
  <c r="K1562" i="9"/>
  <c r="K1554" i="9"/>
  <c r="K1546" i="9"/>
  <c r="K1538" i="9"/>
  <c r="K1530" i="9"/>
  <c r="K1522" i="9"/>
  <c r="K1514" i="9"/>
  <c r="K1506" i="9"/>
  <c r="K1498" i="9"/>
  <c r="K1490" i="9"/>
  <c r="K1482" i="9"/>
  <c r="K1474" i="9"/>
  <c r="K1466" i="9"/>
  <c r="K1458" i="9"/>
  <c r="K1450" i="9"/>
  <c r="K1442" i="9"/>
  <c r="K1434" i="9"/>
  <c r="K1426" i="9"/>
  <c r="K1418" i="9"/>
  <c r="K1410" i="9"/>
  <c r="K1402" i="9"/>
  <c r="K1394" i="9"/>
  <c r="K1386" i="9"/>
  <c r="K1378" i="9"/>
  <c r="K1370" i="9"/>
  <c r="K1362" i="9"/>
  <c r="K1354" i="9"/>
  <c r="K1346" i="9"/>
  <c r="K1338" i="9"/>
  <c r="K1330" i="9"/>
  <c r="K1322" i="9"/>
  <c r="K1314" i="9"/>
  <c r="K1306" i="9"/>
  <c r="K1298" i="9"/>
  <c r="K1290" i="9"/>
  <c r="K1282" i="9"/>
  <c r="K1274" i="9"/>
  <c r="K1266" i="9"/>
  <c r="K1258" i="9"/>
  <c r="K1250" i="9"/>
  <c r="K1242" i="9"/>
  <c r="K1234" i="9"/>
  <c r="K1226" i="9"/>
  <c r="K1218" i="9"/>
  <c r="K2673" i="9"/>
  <c r="K2665" i="9"/>
  <c r="K2657" i="9"/>
  <c r="K2649" i="9"/>
  <c r="K2641" i="9"/>
  <c r="K2633" i="9"/>
  <c r="K2625" i="9"/>
  <c r="K2617" i="9"/>
  <c r="K2609" i="9"/>
  <c r="K2601" i="9"/>
  <c r="K2593" i="9"/>
  <c r="K2585" i="9"/>
  <c r="K2577" i="9"/>
  <c r="K2569" i="9"/>
  <c r="K2561" i="9"/>
  <c r="K2553" i="9"/>
  <c r="K2545" i="9"/>
  <c r="K2537" i="9"/>
  <c r="K2529" i="9"/>
  <c r="K2521" i="9"/>
  <c r="K2513" i="9"/>
  <c r="K2505" i="9"/>
  <c r="K2497" i="9"/>
  <c r="K2489" i="9"/>
  <c r="K2481" i="9"/>
  <c r="K2473" i="9"/>
  <c r="K2465" i="9"/>
  <c r="K2457" i="9"/>
  <c r="K2449" i="9"/>
  <c r="K2441" i="9"/>
  <c r="K2433" i="9"/>
  <c r="K2425" i="9"/>
  <c r="K2417" i="9"/>
  <c r="K2409" i="9"/>
  <c r="K2401" i="9"/>
  <c r="K2393" i="9"/>
  <c r="K2385" i="9"/>
  <c r="K2377" i="9"/>
  <c r="K2369" i="9"/>
  <c r="K2361" i="9"/>
  <c r="K2353" i="9"/>
  <c r="K2345" i="9"/>
  <c r="K2337" i="9"/>
  <c r="K2329" i="9"/>
  <c r="K2321" i="9"/>
  <c r="K2313" i="9"/>
  <c r="K2305" i="9"/>
  <c r="K2297" i="9"/>
  <c r="K2289" i="9"/>
  <c r="K2281" i="9"/>
  <c r="K2273" i="9"/>
  <c r="K2265" i="9"/>
  <c r="K2257" i="9"/>
  <c r="K2249" i="9"/>
  <c r="K2241" i="9"/>
  <c r="K2233" i="9"/>
  <c r="K2225" i="9"/>
  <c r="K2217" i="9"/>
  <c r="K2209" i="9"/>
  <c r="K2201" i="9"/>
  <c r="K2193" i="9"/>
  <c r="K2185" i="9"/>
  <c r="K2177" i="9"/>
  <c r="K2169" i="9"/>
  <c r="K2161" i="9"/>
  <c r="K2153" i="9"/>
  <c r="K2145" i="9"/>
  <c r="K2137" i="9"/>
  <c r="K2129" i="9"/>
  <c r="K2121" i="9"/>
  <c r="K2113" i="9"/>
  <c r="K2105" i="9"/>
  <c r="K2097" i="9"/>
  <c r="K2089" i="9"/>
  <c r="K2081" i="9"/>
  <c r="K2073" i="9"/>
  <c r="K2065" i="9"/>
  <c r="K2057" i="9"/>
  <c r="K2049" i="9"/>
  <c r="K2041" i="9"/>
  <c r="K2033" i="9"/>
  <c r="K2025" i="9"/>
  <c r="K2017" i="9"/>
  <c r="K2009" i="9"/>
  <c r="K2001" i="9"/>
  <c r="K1993" i="9"/>
  <c r="K1985" i="9"/>
  <c r="K1977" i="9"/>
  <c r="K1969" i="9"/>
  <c r="K1961" i="9"/>
  <c r="K1953" i="9"/>
  <c r="K1945" i="9"/>
  <c r="K1937" i="9"/>
  <c r="K1929" i="9"/>
  <c r="K1921" i="9"/>
  <c r="K1913" i="9"/>
  <c r="K1905" i="9"/>
  <c r="K1897" i="9"/>
  <c r="K1889" i="9"/>
  <c r="K1881" i="9"/>
  <c r="K1873" i="9"/>
  <c r="K1865" i="9"/>
  <c r="K1857" i="9"/>
  <c r="K1849" i="9"/>
  <c r="K1841" i="9"/>
  <c r="K1833" i="9"/>
  <c r="K1825" i="9"/>
  <c r="K1817" i="9"/>
  <c r="K1809" i="9"/>
  <c r="K1801" i="9"/>
  <c r="K1793" i="9"/>
  <c r="K1785" i="9"/>
  <c r="K1777" i="9"/>
  <c r="K1769" i="9"/>
  <c r="K1761" i="9"/>
  <c r="K1753" i="9"/>
  <c r="K1745" i="9"/>
  <c r="K1737" i="9"/>
  <c r="K1729" i="9"/>
  <c r="K1721" i="9"/>
  <c r="K1713" i="9"/>
  <c r="K1705" i="9"/>
  <c r="K1697" i="9"/>
  <c r="K1689" i="9"/>
  <c r="K1681" i="9"/>
  <c r="K1673" i="9"/>
  <c r="K1665" i="9"/>
  <c r="K1657" i="9"/>
  <c r="K1649" i="9"/>
  <c r="K1641" i="9"/>
  <c r="K1633" i="9"/>
  <c r="K1625" i="9"/>
  <c r="K1617" i="9"/>
  <c r="K1609" i="9"/>
  <c r="K1601" i="9"/>
  <c r="K1593" i="9"/>
  <c r="K1585" i="9"/>
  <c r="K1577" i="9"/>
  <c r="K1569" i="9"/>
  <c r="K1561" i="9"/>
  <c r="K1553" i="9"/>
  <c r="K1545" i="9"/>
  <c r="K1537" i="9"/>
  <c r="K1529" i="9"/>
  <c r="K1521" i="9"/>
  <c r="K1513" i="9"/>
  <c r="K1505" i="9"/>
  <c r="K1497" i="9"/>
  <c r="K1489" i="9"/>
  <c r="K1481" i="9"/>
  <c r="K1473" i="9"/>
  <c r="K1465" i="9"/>
  <c r="K1457" i="9"/>
  <c r="K1449" i="9"/>
  <c r="K2664" i="9"/>
  <c r="K2656" i="9"/>
  <c r="K2648" i="9"/>
  <c r="K2640" i="9"/>
  <c r="K2632" i="9"/>
  <c r="K2624" i="9"/>
  <c r="K2616" i="9"/>
  <c r="K2608" i="9"/>
  <c r="K2600" i="9"/>
  <c r="K2592" i="9"/>
  <c r="K2584" i="9"/>
  <c r="K2576" i="9"/>
  <c r="K2568" i="9"/>
  <c r="K2560" i="9"/>
  <c r="K2552" i="9"/>
  <c r="K2544" i="9"/>
  <c r="K2536" i="9"/>
  <c r="K2528" i="9"/>
  <c r="K2520" i="9"/>
  <c r="K2512" i="9"/>
  <c r="K2504" i="9"/>
  <c r="K2496" i="9"/>
  <c r="K2488" i="9"/>
  <c r="K2480" i="9"/>
  <c r="K2472" i="9"/>
  <c r="K2464" i="9"/>
  <c r="K2456" i="9"/>
  <c r="K2448" i="9"/>
  <c r="K2440" i="9"/>
  <c r="K2432" i="9"/>
  <c r="K2424" i="9"/>
  <c r="K2416" i="9"/>
  <c r="K2408" i="9"/>
  <c r="K2400" i="9"/>
  <c r="K2392" i="9"/>
  <c r="K2384" i="9"/>
  <c r="K2376" i="9"/>
  <c r="K2368" i="9"/>
  <c r="K2360" i="9"/>
  <c r="K2352" i="9"/>
  <c r="K2344" i="9"/>
  <c r="K2336" i="9"/>
  <c r="K2328" i="9"/>
  <c r="K2320" i="9"/>
  <c r="K2312" i="9"/>
  <c r="K2304" i="9"/>
  <c r="K2296" i="9"/>
  <c r="K2288" i="9"/>
  <c r="K2280" i="9"/>
  <c r="K2272" i="9"/>
  <c r="K2264" i="9"/>
  <c r="K2256" i="9"/>
  <c r="K2248" i="9"/>
  <c r="K2240" i="9"/>
  <c r="K2232" i="9"/>
  <c r="K2224" i="9"/>
  <c r="K2216" i="9"/>
  <c r="K2208" i="9"/>
  <c r="K2200" i="9"/>
  <c r="K2192" i="9"/>
  <c r="K2184" i="9"/>
  <c r="K2176" i="9"/>
  <c r="K2168" i="9"/>
  <c r="K2160" i="9"/>
  <c r="K2152" i="9"/>
  <c r="K2144" i="9"/>
  <c r="K2136" i="9"/>
  <c r="K2128" i="9"/>
  <c r="K2120" i="9"/>
  <c r="K2112" i="9"/>
  <c r="K2104" i="9"/>
  <c r="K2096" i="9"/>
  <c r="K2088" i="9"/>
  <c r="K2080" i="9"/>
  <c r="K2072" i="9"/>
  <c r="K2064" i="9"/>
  <c r="K2056" i="9"/>
  <c r="K2048" i="9"/>
  <c r="K2040" i="9"/>
  <c r="K2032" i="9"/>
  <c r="K2024" i="9"/>
  <c r="K2016" i="9"/>
  <c r="K2008" i="9"/>
  <c r="K2000" i="9"/>
  <c r="K1992" i="9"/>
  <c r="K1984" i="9"/>
  <c r="K1976" i="9"/>
  <c r="K1968" i="9"/>
  <c r="K1960" i="9"/>
  <c r="K1952" i="9"/>
  <c r="K1944" i="9"/>
  <c r="K1936" i="9"/>
  <c r="K1928" i="9"/>
  <c r="K1920" i="9"/>
  <c r="K1912" i="9"/>
  <c r="K1904" i="9"/>
  <c r="K1896" i="9"/>
  <c r="K1888" i="9"/>
  <c r="K1880" i="9"/>
  <c r="K1872" i="9"/>
  <c r="K1864" i="9"/>
  <c r="K1856" i="9"/>
  <c r="K1848" i="9"/>
  <c r="K1840" i="9"/>
  <c r="K1832" i="9"/>
  <c r="K1824" i="9"/>
  <c r="K1816" i="9"/>
  <c r="K1808" i="9"/>
  <c r="K1800" i="9"/>
  <c r="K1792" i="9"/>
  <c r="K1784" i="9"/>
  <c r="K2911" i="9"/>
  <c r="K2903" i="9"/>
  <c r="K2895" i="9"/>
  <c r="K2887" i="9"/>
  <c r="K2879" i="9"/>
  <c r="K2871" i="9"/>
  <c r="K2863" i="9"/>
  <c r="K2855" i="9"/>
  <c r="K2847" i="9"/>
  <c r="K2839" i="9"/>
  <c r="K2831" i="9"/>
  <c r="K2823" i="9"/>
  <c r="K2815" i="9"/>
  <c r="K2807" i="9"/>
  <c r="K2799" i="9"/>
  <c r="K2791" i="9"/>
  <c r="K2783" i="9"/>
  <c r="K2775" i="9"/>
  <c r="K2767" i="9"/>
  <c r="K2759" i="9"/>
  <c r="K2751" i="9"/>
  <c r="K2743" i="9"/>
  <c r="K2735" i="9"/>
  <c r="K2727" i="9"/>
  <c r="K2719" i="9"/>
  <c r="K2711" i="9"/>
  <c r="K2703" i="9"/>
  <c r="K2695" i="9"/>
  <c r="K2687" i="9"/>
  <c r="K2679" i="9"/>
  <c r="K2671" i="9"/>
  <c r="K2663" i="9"/>
  <c r="K2655" i="9"/>
  <c r="K2647" i="9"/>
  <c r="K2639" i="9"/>
  <c r="K2631" i="9"/>
  <c r="K2623" i="9"/>
  <c r="K2615" i="9"/>
  <c r="K2607" i="9"/>
  <c r="K2599" i="9"/>
  <c r="K2591" i="9"/>
  <c r="K2583" i="9"/>
  <c r="K2575" i="9"/>
  <c r="K2567" i="9"/>
  <c r="K2559" i="9"/>
  <c r="K2551" i="9"/>
  <c r="K2543" i="9"/>
  <c r="K2535" i="9"/>
  <c r="K2527" i="9"/>
  <c r="K2519" i="9"/>
  <c r="K2511" i="9"/>
  <c r="K2503" i="9"/>
  <c r="K2495" i="9"/>
  <c r="K2487" i="9"/>
  <c r="K2479" i="9"/>
  <c r="K2471" i="9"/>
  <c r="K2463" i="9"/>
  <c r="K2455" i="9"/>
  <c r="K2447" i="9"/>
  <c r="K2439" i="9"/>
  <c r="K2431" i="9"/>
  <c r="K2423" i="9"/>
  <c r="K2415" i="9"/>
  <c r="K2407" i="9"/>
  <c r="K2399" i="9"/>
  <c r="K2391" i="9"/>
  <c r="K2383" i="9"/>
  <c r="K2375" i="9"/>
  <c r="K2367" i="9"/>
  <c r="K2359" i="9"/>
  <c r="K2351" i="9"/>
  <c r="K2343" i="9"/>
  <c r="K2335" i="9"/>
  <c r="K2327" i="9"/>
  <c r="K2319" i="9"/>
  <c r="K2311" i="9"/>
  <c r="K2303" i="9"/>
  <c r="K2295" i="9"/>
  <c r="K2287" i="9"/>
  <c r="K2279" i="9"/>
  <c r="K2271" i="9"/>
  <c r="K2263" i="9"/>
  <c r="K2255" i="9"/>
  <c r="K2247" i="9"/>
  <c r="K2239" i="9"/>
  <c r="K2231" i="9"/>
  <c r="K2223" i="9"/>
  <c r="K2215" i="9"/>
  <c r="K2207" i="9"/>
  <c r="K2199" i="9"/>
  <c r="K2191" i="9"/>
  <c r="K2183" i="9"/>
  <c r="K2175" i="9"/>
  <c r="K2167" i="9"/>
  <c r="K2159" i="9"/>
  <c r="K2151" i="9"/>
  <c r="K2143" i="9"/>
  <c r="K2135" i="9"/>
  <c r="K2127" i="9"/>
  <c r="K2119" i="9"/>
  <c r="K2111" i="9"/>
  <c r="K2103" i="9"/>
  <c r="K2095" i="9"/>
  <c r="K2087" i="9"/>
  <c r="K2079" i="9"/>
  <c r="K2071" i="9"/>
  <c r="K2063" i="9"/>
  <c r="K2055" i="9"/>
  <c r="K2047" i="9"/>
  <c r="K2039" i="9"/>
  <c r="K2031" i="9"/>
  <c r="K2023" i="9"/>
  <c r="K2015" i="9"/>
  <c r="K2007" i="9"/>
  <c r="K1999" i="9"/>
  <c r="K1991" i="9"/>
  <c r="K1983" i="9"/>
  <c r="K1975" i="9"/>
  <c r="K1967" i="9"/>
  <c r="K1959" i="9"/>
  <c r="K1951" i="9"/>
  <c r="K1943" i="9"/>
  <c r="K1935" i="9"/>
  <c r="K1927" i="9"/>
  <c r="K1919" i="9"/>
  <c r="K1911" i="9"/>
  <c r="K1903" i="9"/>
  <c r="K1895" i="9"/>
  <c r="K1887" i="9"/>
  <c r="K1879" i="9"/>
  <c r="K1871" i="9"/>
  <c r="K1863" i="9"/>
  <c r="K1855" i="9"/>
  <c r="K1847" i="9"/>
  <c r="K1839" i="9"/>
  <c r="K1831" i="9"/>
  <c r="K1823" i="9"/>
  <c r="K1815" i="9"/>
  <c r="K1807" i="9"/>
  <c r="K1799" i="9"/>
  <c r="K1791" i="9"/>
  <c r="K1783" i="9"/>
  <c r="K1775" i="9"/>
  <c r="K1767" i="9"/>
  <c r="K1759" i="9"/>
  <c r="K1751" i="9"/>
  <c r="K1743" i="9"/>
  <c r="K1735" i="9"/>
  <c r="K1727" i="9"/>
  <c r="K1719" i="9"/>
  <c r="K1711" i="9"/>
  <c r="K1703" i="9"/>
  <c r="K1695" i="9"/>
  <c r="K1687" i="9"/>
  <c r="K1679" i="9"/>
  <c r="K1671" i="9"/>
  <c r="K3438" i="9"/>
  <c r="K3430" i="9"/>
  <c r="K3422" i="9"/>
  <c r="K3406" i="9"/>
  <c r="K3390" i="9"/>
  <c r="K3374" i="9"/>
  <c r="K3366" i="9"/>
  <c r="K3350" i="9"/>
  <c r="K3334" i="9"/>
  <c r="K3326" i="9"/>
  <c r="K3310" i="9"/>
  <c r="K3302" i="9"/>
  <c r="K3294" i="9"/>
  <c r="K3286" i="9"/>
  <c r="K3270" i="9"/>
  <c r="K3262" i="9"/>
  <c r="K3246" i="9"/>
  <c r="K3230" i="9"/>
  <c r="K3214" i="9"/>
  <c r="K3182" i="9"/>
  <c r="K3174" i="9"/>
  <c r="K3166" i="9"/>
  <c r="K3158" i="9"/>
  <c r="K3150" i="9"/>
  <c r="K3110" i="9"/>
  <c r="K3094" i="9"/>
  <c r="K3086" i="9"/>
  <c r="K3070" i="9"/>
  <c r="K3054" i="9"/>
  <c r="K3038" i="9"/>
  <c r="K3030" i="9"/>
  <c r="K3006" i="9"/>
  <c r="K2998" i="9"/>
  <c r="K2958" i="9"/>
  <c r="K2942" i="9"/>
  <c r="K2926" i="9"/>
  <c r="K2910" i="9"/>
  <c r="K2894" i="9"/>
  <c r="K2878" i="9"/>
  <c r="K2854" i="9"/>
  <c r="K2846" i="9"/>
  <c r="K2830" i="9"/>
  <c r="K2822" i="9"/>
  <c r="K2814" i="9"/>
  <c r="K2806" i="9"/>
  <c r="K2798" i="9"/>
  <c r="K2782" i="9"/>
  <c r="K2774" i="9"/>
  <c r="K2758" i="9"/>
  <c r="K2750" i="9"/>
  <c r="K2734" i="9"/>
  <c r="K2718" i="9"/>
  <c r="K2702" i="9"/>
  <c r="K2694" i="9"/>
  <c r="K2686" i="9"/>
  <c r="K2678" i="9"/>
  <c r="K2670" i="9"/>
  <c r="K2662" i="9"/>
  <c r="K2646" i="9"/>
  <c r="K2622" i="9"/>
  <c r="K2614" i="9"/>
  <c r="K2606" i="9"/>
  <c r="K2598" i="9"/>
  <c r="K2590" i="9"/>
  <c r="K2574" i="9"/>
  <c r="K2566" i="9"/>
  <c r="K2558" i="9"/>
  <c r="K2542" i="9"/>
  <c r="K2526" i="9"/>
  <c r="K2510" i="9"/>
  <c r="K2486" i="9"/>
  <c r="K2454" i="9"/>
  <c r="K2438" i="9"/>
  <c r="K2406" i="9"/>
  <c r="K2398" i="9"/>
  <c r="K2390" i="9"/>
  <c r="K2382" i="9"/>
  <c r="K2374" i="9"/>
  <c r="K2366" i="9"/>
  <c r="K2358" i="9"/>
  <c r="K2350" i="9"/>
  <c r="K2342" i="9"/>
  <c r="K2334" i="9"/>
  <c r="K2326" i="9"/>
  <c r="K2318" i="9"/>
  <c r="K2310" i="9"/>
  <c r="K2302" i="9"/>
  <c r="K2294" i="9"/>
  <c r="K2286" i="9"/>
  <c r="K2278" i="9"/>
  <c r="K2270" i="9"/>
  <c r="K2262" i="9"/>
  <c r="K2254" i="9"/>
  <c r="K2246" i="9"/>
  <c r="K2238" i="9"/>
  <c r="K2230" i="9"/>
  <c r="K2222" i="9"/>
  <c r="K2214" i="9"/>
  <c r="K2206" i="9"/>
  <c r="K2198" i="9"/>
  <c r="K2190" i="9"/>
  <c r="K2182" i="9"/>
  <c r="K2174" i="9"/>
  <c r="K2166" i="9"/>
  <c r="K2158" i="9"/>
  <c r="K2150" i="9"/>
  <c r="K2142" i="9"/>
  <c r="K2134" i="9"/>
  <c r="K2126" i="9"/>
  <c r="K2118" i="9"/>
  <c r="K2110" i="9"/>
  <c r="K2102" i="9"/>
  <c r="K2094" i="9"/>
  <c r="K2086" i="9"/>
  <c r="K2078" i="9"/>
  <c r="K2070" i="9"/>
  <c r="K2062" i="9"/>
  <c r="K2054" i="9"/>
  <c r="K2046" i="9"/>
  <c r="K2038" i="9"/>
  <c r="K2030" i="9"/>
  <c r="K2022" i="9"/>
  <c r="K2014" i="9"/>
  <c r="K2006" i="9"/>
  <c r="K1998" i="9"/>
  <c r="K1990" i="9"/>
  <c r="K1982" i="9"/>
  <c r="K1974" i="9"/>
  <c r="K1966" i="9"/>
  <c r="K1958" i="9"/>
  <c r="K1950" i="9"/>
  <c r="K1942" i="9"/>
  <c r="K1934" i="9"/>
  <c r="K1926" i="9"/>
  <c r="K1918" i="9"/>
  <c r="K1910" i="9"/>
  <c r="K1902" i="9"/>
  <c r="K1894" i="9"/>
  <c r="K1886" i="9"/>
  <c r="K1878" i="9"/>
  <c r="K1870" i="9"/>
  <c r="K1862" i="9"/>
  <c r="K1854" i="9"/>
  <c r="K1846" i="9"/>
  <c r="K1838" i="9"/>
  <c r="K3414" i="9"/>
  <c r="K3398" i="9"/>
  <c r="K3382" i="9"/>
  <c r="K3358" i="9"/>
  <c r="K3342" i="9"/>
  <c r="K3318" i="9"/>
  <c r="K3278" i="9"/>
  <c r="K3254" i="9"/>
  <c r="K3238" i="9"/>
  <c r="K3222" i="9"/>
  <c r="K3206" i="9"/>
  <c r="K3198" i="9"/>
  <c r="K3190" i="9"/>
  <c r="K3142" i="9"/>
  <c r="K3134" i="9"/>
  <c r="K3126" i="9"/>
  <c r="K3118" i="9"/>
  <c r="K3102" i="9"/>
  <c r="K3078" i="9"/>
  <c r="K3062" i="9"/>
  <c r="K3046" i="9"/>
  <c r="K3022" i="9"/>
  <c r="K3014" i="9"/>
  <c r="K2990" i="9"/>
  <c r="K2982" i="9"/>
  <c r="K2974" i="9"/>
  <c r="K2966" i="9"/>
  <c r="K2950" i="9"/>
  <c r="K2934" i="9"/>
  <c r="K2918" i="9"/>
  <c r="K2902" i="9"/>
  <c r="K2886" i="9"/>
  <c r="K2870" i="9"/>
  <c r="K2862" i="9"/>
  <c r="K2838" i="9"/>
  <c r="K2790" i="9"/>
  <c r="K2766" i="9"/>
  <c r="K2742" i="9"/>
  <c r="K2726" i="9"/>
  <c r="K2710" i="9"/>
  <c r="K2654" i="9"/>
  <c r="K2638" i="9"/>
  <c r="K2630" i="9"/>
  <c r="K2582" i="9"/>
  <c r="K2550" i="9"/>
  <c r="K2534" i="9"/>
  <c r="K2518" i="9"/>
  <c r="K2502" i="9"/>
  <c r="K2494" i="9"/>
  <c r="K2478" i="9"/>
  <c r="K2470" i="9"/>
  <c r="K2462" i="9"/>
  <c r="K2446" i="9"/>
  <c r="K2430" i="9"/>
  <c r="K2422" i="9"/>
  <c r="K2414" i="9"/>
  <c r="K4293" i="9"/>
  <c r="K4285" i="9"/>
  <c r="K4277" i="9"/>
  <c r="K4269" i="9"/>
  <c r="K4261" i="9"/>
  <c r="K4253" i="9"/>
  <c r="K4245" i="9"/>
  <c r="K4237" i="9"/>
  <c r="K4229" i="9"/>
  <c r="K4221" i="9"/>
  <c r="K4213" i="9"/>
  <c r="K4205" i="9"/>
  <c r="K4197" i="9"/>
  <c r="K4189" i="9"/>
  <c r="K4181" i="9"/>
  <c r="K4173" i="9"/>
  <c r="K4165" i="9"/>
  <c r="K4157" i="9"/>
  <c r="K4149" i="9"/>
  <c r="K4141" i="9"/>
  <c r="K4133" i="9"/>
  <c r="K4125" i="9"/>
  <c r="K4117" i="9"/>
  <c r="K4109" i="9"/>
  <c r="K4101" i="9"/>
  <c r="K4093" i="9"/>
  <c r="K4085" i="9"/>
  <c r="K4077" i="9"/>
  <c r="K4069" i="9"/>
  <c r="K4061" i="9"/>
  <c r="K4053" i="9"/>
  <c r="K4045" i="9"/>
  <c r="K4037" i="9"/>
  <c r="K4029" i="9"/>
  <c r="K4021" i="9"/>
  <c r="K4013" i="9"/>
  <c r="K4005" i="9"/>
  <c r="K3997" i="9"/>
  <c r="K3989" i="9"/>
  <c r="K3981" i="9"/>
  <c r="K3973" i="9"/>
  <c r="K3965" i="9"/>
  <c r="K3957" i="9"/>
  <c r="K3949" i="9"/>
  <c r="K3941" i="9"/>
  <c r="K3933" i="9"/>
  <c r="K3925" i="9"/>
  <c r="K3917" i="9"/>
  <c r="K3909" i="9"/>
  <c r="K3901" i="9"/>
  <c r="K3893" i="9"/>
  <c r="K3885" i="9"/>
  <c r="K3877" i="9"/>
  <c r="K3869" i="9"/>
  <c r="K3861" i="9"/>
  <c r="K3853" i="9"/>
  <c r="K3845" i="9"/>
  <c r="K3837" i="9"/>
  <c r="K3829" i="9"/>
  <c r="K3821" i="9"/>
  <c r="K3813" i="9"/>
  <c r="K3805" i="9"/>
  <c r="K3797" i="9"/>
  <c r="K3789" i="9"/>
  <c r="K3781" i="9"/>
  <c r="K3773" i="9"/>
  <c r="K3765" i="9"/>
  <c r="K3757" i="9"/>
  <c r="K3749" i="9"/>
  <c r="K3741" i="9"/>
  <c r="K3733" i="9"/>
  <c r="K3725" i="9"/>
  <c r="K3717" i="9"/>
  <c r="K3709" i="9"/>
  <c r="K3701" i="9"/>
  <c r="K3693" i="9"/>
  <c r="K3685" i="9"/>
  <c r="K3677" i="9"/>
  <c r="K3669" i="9"/>
  <c r="K3661" i="9"/>
  <c r="K3653" i="9"/>
  <c r="K3645" i="9"/>
  <c r="K3637" i="9"/>
  <c r="K3629" i="9"/>
  <c r="K3621" i="9"/>
  <c r="K3613" i="9"/>
  <c r="K3605" i="9"/>
  <c r="K3597" i="9"/>
  <c r="K3589" i="9"/>
  <c r="K3581" i="9"/>
  <c r="K3573" i="9"/>
  <c r="K3565" i="9"/>
  <c r="K3557" i="9"/>
  <c r="K3549" i="9"/>
  <c r="K3541" i="9"/>
  <c r="K3533" i="9"/>
  <c r="K3525" i="9"/>
  <c r="K3517" i="9"/>
  <c r="K3509" i="9"/>
  <c r="K3501" i="9"/>
  <c r="K3493" i="9"/>
  <c r="K3485" i="9"/>
  <c r="K3477" i="9"/>
  <c r="K3469" i="9"/>
  <c r="K3461" i="9"/>
  <c r="K3453" i="9"/>
  <c r="K3445" i="9"/>
  <c r="K3437" i="9"/>
  <c r="K3429" i="9"/>
  <c r="K3421" i="9"/>
  <c r="K3413" i="9"/>
  <c r="K3405" i="9"/>
  <c r="K3397" i="9"/>
  <c r="K3389" i="9"/>
  <c r="K3381" i="9"/>
  <c r="K3373" i="9"/>
  <c r="K3365" i="9"/>
  <c r="K3357" i="9"/>
  <c r="K3349" i="9"/>
  <c r="K3341" i="9"/>
  <c r="K3333" i="9"/>
  <c r="K3325" i="9"/>
  <c r="K3317" i="9"/>
  <c r="K3309" i="9"/>
  <c r="K3301" i="9"/>
  <c r="K3293" i="9"/>
  <c r="K3285" i="9"/>
  <c r="K3277" i="9"/>
  <c r="K3269" i="9"/>
  <c r="K3261" i="9"/>
  <c r="K3253" i="9"/>
  <c r="K3245" i="9"/>
  <c r="K3237" i="9"/>
  <c r="K3229" i="9"/>
  <c r="K3221" i="9"/>
  <c r="K3213" i="9"/>
  <c r="K3205" i="9"/>
  <c r="K3197" i="9"/>
  <c r="K3189" i="9"/>
  <c r="K3181" i="9"/>
  <c r="K3173" i="9"/>
  <c r="K3165" i="9"/>
  <c r="K3157" i="9"/>
  <c r="K3149" i="9"/>
  <c r="K3141" i="9"/>
  <c r="K3133" i="9"/>
  <c r="K3125" i="9"/>
  <c r="K3117" i="9"/>
  <c r="K3109" i="9"/>
  <c r="K3101" i="9"/>
  <c r="K3093" i="9"/>
  <c r="K3085" i="9"/>
  <c r="K3077" i="9"/>
  <c r="K3069" i="9"/>
  <c r="K2796" i="9"/>
  <c r="K2788" i="9"/>
  <c r="K2780" i="9"/>
  <c r="K2772" i="9"/>
  <c r="K2764" i="9"/>
  <c r="K2756" i="9"/>
  <c r="K2748" i="9"/>
  <c r="K2740" i="9"/>
  <c r="K2732" i="9"/>
  <c r="K2724" i="9"/>
  <c r="K2716" i="9"/>
  <c r="K2708" i="9"/>
  <c r="K2700" i="9"/>
  <c r="K2692" i="9"/>
  <c r="K2684" i="9"/>
  <c r="K2676" i="9"/>
  <c r="K2668" i="9"/>
  <c r="K2660" i="9"/>
  <c r="K2652" i="9"/>
  <c r="K2644" i="9"/>
  <c r="K2636" i="9"/>
  <c r="K2628" i="9"/>
  <c r="K2620" i="9"/>
  <c r="K2612" i="9"/>
  <c r="K2604" i="9"/>
  <c r="K2596" i="9"/>
  <c r="K2588" i="9"/>
  <c r="K2580" i="9"/>
  <c r="K2572" i="9"/>
  <c r="K2564" i="9"/>
  <c r="K2556" i="9"/>
  <c r="K2548" i="9"/>
  <c r="K2540" i="9"/>
  <c r="K2532" i="9"/>
  <c r="K2524" i="9"/>
  <c r="K2516" i="9"/>
  <c r="K2508" i="9"/>
  <c r="K2500" i="9"/>
  <c r="K2492" i="9"/>
  <c r="K2484" i="9"/>
  <c r="K2476" i="9"/>
  <c r="K2468" i="9"/>
  <c r="K2460" i="9"/>
  <c r="K2452" i="9"/>
  <c r="K2444" i="9"/>
  <c r="K2436" i="9"/>
  <c r="K2428" i="9"/>
  <c r="K2420" i="9"/>
  <c r="K2412" i="9"/>
  <c r="K2404" i="9"/>
  <c r="K2396" i="9"/>
  <c r="K2388" i="9"/>
  <c r="K2380" i="9"/>
  <c r="K2372" i="9"/>
  <c r="K2364" i="9"/>
  <c r="K2356" i="9"/>
  <c r="K2348" i="9"/>
  <c r="K2340" i="9"/>
  <c r="K2332" i="9"/>
  <c r="K2324" i="9"/>
  <c r="K2316" i="9"/>
  <c r="K2308" i="9"/>
  <c r="K2300" i="9"/>
  <c r="K2292" i="9"/>
  <c r="K2284" i="9"/>
  <c r="K2276" i="9"/>
  <c r="K2268" i="9"/>
  <c r="K2260" i="9"/>
  <c r="K2252" i="9"/>
  <c r="K2244" i="9"/>
  <c r="K2236" i="9"/>
  <c r="K2228" i="9"/>
  <c r="K2220" i="9"/>
  <c r="K2212" i="9"/>
  <c r="K2204" i="9"/>
  <c r="K2196" i="9"/>
  <c r="K2188" i="9"/>
  <c r="K2180" i="9"/>
  <c r="K2172" i="9"/>
  <c r="K2164" i="9"/>
  <c r="K2156" i="9"/>
  <c r="K2148" i="9"/>
  <c r="K2140" i="9"/>
  <c r="K2132" i="9"/>
  <c r="K2124" i="9"/>
  <c r="K2116" i="9"/>
  <c r="K2108" i="9"/>
  <c r="K2100" i="9"/>
  <c r="K2092" i="9"/>
  <c r="K2084" i="9"/>
  <c r="K2076" i="9"/>
  <c r="K2068" i="9"/>
  <c r="K2060" i="9"/>
  <c r="K2052" i="9"/>
  <c r="K2044" i="9"/>
  <c r="K2036" i="9"/>
  <c r="K2028" i="9"/>
  <c r="K2020" i="9"/>
  <c r="K2012" i="9"/>
  <c r="K2004" i="9"/>
  <c r="K1996" i="9"/>
  <c r="K1988" i="9"/>
  <c r="K1980" i="9"/>
  <c r="K1972" i="9"/>
  <c r="K1964" i="9"/>
  <c r="K1956" i="9"/>
  <c r="K1948" i="9"/>
  <c r="K1940" i="9"/>
  <c r="K1932" i="9"/>
  <c r="K1924" i="9"/>
  <c r="K1916" i="9"/>
  <c r="K1908" i="9"/>
  <c r="K1900" i="9"/>
  <c r="K1892" i="9"/>
  <c r="K1884" i="9"/>
  <c r="K1876" i="9"/>
  <c r="K1868" i="9"/>
  <c r="K1860" i="9"/>
  <c r="K1852" i="9"/>
  <c r="K1844" i="9"/>
  <c r="K2571" i="9"/>
  <c r="K2563" i="9"/>
  <c r="K2555" i="9"/>
  <c r="K2547" i="9"/>
  <c r="K2539" i="9"/>
  <c r="K2531" i="9"/>
  <c r="K2523" i="9"/>
  <c r="K2515" i="9"/>
  <c r="K2507" i="9"/>
  <c r="K2499" i="9"/>
  <c r="K2491" i="9"/>
  <c r="K2483" i="9"/>
  <c r="K2475" i="9"/>
  <c r="K2467" i="9"/>
  <c r="K2459" i="9"/>
  <c r="K2451" i="9"/>
  <c r="K2443" i="9"/>
  <c r="K2435" i="9"/>
  <c r="K2427" i="9"/>
  <c r="K2419" i="9"/>
  <c r="K2411" i="9"/>
  <c r="K2403" i="9"/>
  <c r="K2395" i="9"/>
  <c r="K2387" i="9"/>
  <c r="K2379" i="9"/>
  <c r="K2371" i="9"/>
  <c r="K2363" i="9"/>
  <c r="K2355" i="9"/>
  <c r="K2347" i="9"/>
  <c r="K2339" i="9"/>
  <c r="K2331" i="9"/>
  <c r="K2323" i="9"/>
  <c r="K2315" i="9"/>
  <c r="K2307" i="9"/>
  <c r="K2299" i="9"/>
  <c r="K2291" i="9"/>
  <c r="K2283" i="9"/>
  <c r="K2275" i="9"/>
  <c r="K2267" i="9"/>
  <c r="K2259" i="9"/>
  <c r="K2251" i="9"/>
  <c r="K2243" i="9"/>
  <c r="K2235" i="9"/>
  <c r="K2227" i="9"/>
  <c r="K2219" i="9"/>
  <c r="K2211" i="9"/>
  <c r="K2203" i="9"/>
  <c r="K2195" i="9"/>
  <c r="K2187" i="9"/>
  <c r="K2179" i="9"/>
  <c r="K2171" i="9"/>
  <c r="K2163" i="9"/>
  <c r="K2155" i="9"/>
  <c r="K2147" i="9"/>
  <c r="K2139" i="9"/>
  <c r="K2131" i="9"/>
  <c r="K2123" i="9"/>
  <c r="K2115" i="9"/>
  <c r="K2107" i="9"/>
  <c r="K2099" i="9"/>
  <c r="K2091" i="9"/>
  <c r="K2083" i="9"/>
  <c r="K2075" i="9"/>
  <c r="K2067" i="9"/>
  <c r="K2059" i="9"/>
  <c r="K2051" i="9"/>
  <c r="K2043" i="9"/>
  <c r="K2035" i="9"/>
  <c r="K2027" i="9"/>
  <c r="K2019" i="9"/>
  <c r="K2011" i="9"/>
  <c r="K2003" i="9"/>
  <c r="K1995" i="9"/>
  <c r="K1987" i="9"/>
  <c r="K1979" i="9"/>
  <c r="K1971" i="9"/>
  <c r="K1963" i="9"/>
  <c r="K1955" i="9"/>
  <c r="K1947" i="9"/>
  <c r="K1939" i="9"/>
  <c r="K1931" i="9"/>
  <c r="K1923" i="9"/>
  <c r="K1915" i="9"/>
  <c r="K1907" i="9"/>
  <c r="K1899" i="9"/>
  <c r="K1891" i="9"/>
  <c r="K1883" i="9"/>
  <c r="K1875" i="9"/>
  <c r="K1867" i="9"/>
  <c r="K1859" i="9"/>
  <c r="K1851" i="9"/>
  <c r="K1843" i="9"/>
  <c r="K1835" i="9"/>
  <c r="K1827" i="9"/>
  <c r="K1819" i="9"/>
  <c r="K1811" i="9"/>
  <c r="K1803" i="9"/>
  <c r="K1795" i="9"/>
  <c r="K1787" i="9"/>
  <c r="K1779" i="9"/>
  <c r="K1771" i="9"/>
  <c r="K1763" i="9"/>
  <c r="K1755" i="9"/>
  <c r="K1747" i="9"/>
  <c r="K1739" i="9"/>
  <c r="K1731" i="9"/>
  <c r="K1723" i="9"/>
  <c r="K1715" i="9"/>
  <c r="K1707" i="9"/>
  <c r="K1699" i="9"/>
  <c r="K1691" i="9"/>
  <c r="K1683" i="9"/>
  <c r="K1675" i="9"/>
  <c r="K1667" i="9"/>
  <c r="K1659" i="9"/>
  <c r="K1651" i="9"/>
  <c r="K1643" i="9"/>
  <c r="K1635" i="9"/>
  <c r="K1627" i="9"/>
  <c r="K1619" i="9"/>
  <c r="K1611" i="9"/>
  <c r="K1603" i="9"/>
  <c r="K1210" i="9"/>
  <c r="K1202" i="9"/>
  <c r="K1194" i="9"/>
  <c r="K1186" i="9"/>
  <c r="K1178" i="9"/>
  <c r="K1170" i="9"/>
  <c r="K1162" i="9"/>
  <c r="K1154" i="9"/>
  <c r="K1146" i="9"/>
  <c r="K1138" i="9"/>
  <c r="K1130" i="9"/>
  <c r="K1122" i="9"/>
  <c r="K1114" i="9"/>
  <c r="K1106" i="9"/>
  <c r="K1098" i="9"/>
  <c r="K1090" i="9"/>
  <c r="K1082" i="9"/>
  <c r="K1074" i="9"/>
  <c r="K1066" i="9"/>
  <c r="K1058" i="9"/>
  <c r="K1050" i="9"/>
  <c r="K1042" i="9"/>
  <c r="K1034" i="9"/>
  <c r="K1026" i="9"/>
  <c r="K1018" i="9"/>
  <c r="K1010" i="9"/>
  <c r="K1002" i="9"/>
  <c r="K994" i="9"/>
  <c r="K986" i="9"/>
  <c r="K978" i="9"/>
  <c r="K970" i="9"/>
  <c r="K962" i="9"/>
  <c r="K954" i="9"/>
  <c r="K946" i="9"/>
  <c r="K938" i="9"/>
  <c r="K930" i="9"/>
  <c r="K922" i="9"/>
  <c r="K914" i="9"/>
  <c r="K906" i="9"/>
  <c r="K898" i="9"/>
  <c r="K890" i="9"/>
  <c r="K882" i="9"/>
  <c r="K874" i="9"/>
  <c r="K866" i="9"/>
  <c r="K858" i="9"/>
  <c r="K850" i="9"/>
  <c r="K842" i="9"/>
  <c r="K834" i="9"/>
  <c r="K826" i="9"/>
  <c r="K818" i="9"/>
  <c r="K810" i="9"/>
  <c r="K802" i="9"/>
  <c r="K794" i="9"/>
  <c r="K786" i="9"/>
  <c r="K778" i="9"/>
  <c r="K770" i="9"/>
  <c r="K762" i="9"/>
  <c r="K754" i="9"/>
  <c r="K746" i="9"/>
  <c r="K738" i="9"/>
  <c r="K730" i="9"/>
  <c r="K722" i="9"/>
  <c r="K714" i="9"/>
  <c r="K706" i="9"/>
  <c r="K698" i="9"/>
  <c r="K690" i="9"/>
  <c r="K682" i="9"/>
  <c r="K674" i="9"/>
  <c r="K666" i="9"/>
  <c r="K658" i="9"/>
  <c r="K650" i="9"/>
  <c r="K642" i="9"/>
  <c r="K634" i="9"/>
  <c r="K626" i="9"/>
  <c r="K618" i="9"/>
  <c r="K610" i="9"/>
  <c r="K602" i="9"/>
  <c r="K594" i="9"/>
  <c r="K586" i="9"/>
  <c r="K578" i="9"/>
  <c r="K570" i="9"/>
  <c r="K562" i="9"/>
  <c r="K554" i="9"/>
  <c r="K546" i="9"/>
  <c r="K538" i="9"/>
  <c r="K530" i="9"/>
  <c r="K522" i="9"/>
  <c r="K514" i="9"/>
  <c r="K506" i="9"/>
  <c r="K498" i="9"/>
  <c r="K490" i="9"/>
  <c r="K482" i="9"/>
  <c r="K474" i="9"/>
  <c r="K1441" i="9"/>
  <c r="K1433" i="9"/>
  <c r="K1425" i="9"/>
  <c r="K1417" i="9"/>
  <c r="K1409" i="9"/>
  <c r="K1401" i="9"/>
  <c r="K1393" i="9"/>
  <c r="K1385" i="9"/>
  <c r="K1377" i="9"/>
  <c r="K1369" i="9"/>
  <c r="K1361" i="9"/>
  <c r="K1353" i="9"/>
  <c r="K1345" i="9"/>
  <c r="K1337" i="9"/>
  <c r="K1329" i="9"/>
  <c r="K1321" i="9"/>
  <c r="K1313" i="9"/>
  <c r="K1305" i="9"/>
  <c r="K1297" i="9"/>
  <c r="K1289" i="9"/>
  <c r="K1281" i="9"/>
  <c r="K1273" i="9"/>
  <c r="K1265" i="9"/>
  <c r="K1257" i="9"/>
  <c r="K1249" i="9"/>
  <c r="K1241" i="9"/>
  <c r="K1233" i="9"/>
  <c r="K1225" i="9"/>
  <c r="K1217" i="9"/>
  <c r="K1209" i="9"/>
  <c r="K1201" i="9"/>
  <c r="K1193" i="9"/>
  <c r="K1185" i="9"/>
  <c r="K1177" i="9"/>
  <c r="K1169" i="9"/>
  <c r="K1161" i="9"/>
  <c r="K1153" i="9"/>
  <c r="K1145" i="9"/>
  <c r="K1137" i="9"/>
  <c r="K1129" i="9"/>
  <c r="K1121" i="9"/>
  <c r="K1113" i="9"/>
  <c r="K1105" i="9"/>
  <c r="K1097" i="9"/>
  <c r="K1089" i="9"/>
  <c r="K1081" i="9"/>
  <c r="K1073" i="9"/>
  <c r="K1065" i="9"/>
  <c r="K1057" i="9"/>
  <c r="K1049" i="9"/>
  <c r="K1041" i="9"/>
  <c r="K1033" i="9"/>
  <c r="K1025" i="9"/>
  <c r="K1017" i="9"/>
  <c r="K1009" i="9"/>
  <c r="K1001" i="9"/>
  <c r="K993" i="9"/>
  <c r="K985" i="9"/>
  <c r="K977" i="9"/>
  <c r="K969" i="9"/>
  <c r="K961" i="9"/>
  <c r="K953" i="9"/>
  <c r="K945" i="9"/>
  <c r="K937" i="9"/>
  <c r="K929" i="9"/>
  <c r="K921" i="9"/>
  <c r="K913" i="9"/>
  <c r="K905" i="9"/>
  <c r="K897" i="9"/>
  <c r="K889" i="9"/>
  <c r="K881" i="9"/>
  <c r="K873" i="9"/>
  <c r="K865" i="9"/>
  <c r="K857" i="9"/>
  <c r="K849" i="9"/>
  <c r="K841" i="9"/>
  <c r="K833" i="9"/>
  <c r="K825" i="9"/>
  <c r="K817" i="9"/>
  <c r="K809" i="9"/>
  <c r="K801" i="9"/>
  <c r="K793" i="9"/>
  <c r="K785" i="9"/>
  <c r="K777" i="9"/>
  <c r="K769" i="9"/>
  <c r="K761" i="9"/>
  <c r="K753" i="9"/>
  <c r="K745" i="9"/>
  <c r="K737" i="9"/>
  <c r="K729" i="9"/>
  <c r="K721" i="9"/>
  <c r="K713" i="9"/>
  <c r="K705" i="9"/>
  <c r="K697" i="9"/>
  <c r="K689" i="9"/>
  <c r="K681" i="9"/>
  <c r="K673" i="9"/>
  <c r="K665" i="9"/>
  <c r="K657" i="9"/>
  <c r="K649" i="9"/>
  <c r="K641" i="9"/>
  <c r="K633" i="9"/>
  <c r="K625" i="9"/>
  <c r="K617" i="9"/>
  <c r="K609" i="9"/>
  <c r="K601" i="9"/>
  <c r="K593" i="9"/>
  <c r="K585" i="9"/>
  <c r="K577" i="9"/>
  <c r="K569" i="9"/>
  <c r="K561" i="9"/>
  <c r="K553" i="9"/>
  <c r="K545" i="9"/>
  <c r="K537" i="9"/>
  <c r="K529" i="9"/>
  <c r="K521" i="9"/>
  <c r="K513" i="9"/>
  <c r="K505" i="9"/>
  <c r="K497" i="9"/>
  <c r="K489" i="9"/>
  <c r="K481" i="9"/>
  <c r="K1776" i="9"/>
  <c r="K1768" i="9"/>
  <c r="K1760" i="9"/>
  <c r="K1752" i="9"/>
  <c r="K1744" i="9"/>
  <c r="K1736" i="9"/>
  <c r="K1728" i="9"/>
  <c r="K1720" i="9"/>
  <c r="K1712" i="9"/>
  <c r="K1704" i="9"/>
  <c r="K1696" i="9"/>
  <c r="K1688" i="9"/>
  <c r="K1680" i="9"/>
  <c r="K1672" i="9"/>
  <c r="K1664" i="9"/>
  <c r="K1656" i="9"/>
  <c r="K1648" i="9"/>
  <c r="K1640" i="9"/>
  <c r="K1632" i="9"/>
  <c r="K1624" i="9"/>
  <c r="K1616" i="9"/>
  <c r="K1608" i="9"/>
  <c r="K1600" i="9"/>
  <c r="K1592" i="9"/>
  <c r="K1584" i="9"/>
  <c r="K1576" i="9"/>
  <c r="K1568" i="9"/>
  <c r="K1560" i="9"/>
  <c r="K1552" i="9"/>
  <c r="K1544" i="9"/>
  <c r="K1536" i="9"/>
  <c r="K1528" i="9"/>
  <c r="K1520" i="9"/>
  <c r="K1512" i="9"/>
  <c r="K1504" i="9"/>
  <c r="K1496" i="9"/>
  <c r="K1488" i="9"/>
  <c r="K1480" i="9"/>
  <c r="K1472" i="9"/>
  <c r="K1464" i="9"/>
  <c r="K1456" i="9"/>
  <c r="K1448" i="9"/>
  <c r="K1440" i="9"/>
  <c r="K1432" i="9"/>
  <c r="K1424" i="9"/>
  <c r="K1416" i="9"/>
  <c r="K1408" i="9"/>
  <c r="K1400" i="9"/>
  <c r="K1392" i="9"/>
  <c r="K1384" i="9"/>
  <c r="K1376" i="9"/>
  <c r="K1368" i="9"/>
  <c r="K1360" i="9"/>
  <c r="K1352" i="9"/>
  <c r="K1344" i="9"/>
  <c r="K1336" i="9"/>
  <c r="K1328" i="9"/>
  <c r="K1320" i="9"/>
  <c r="K1312" i="9"/>
  <c r="K1304" i="9"/>
  <c r="K1296" i="9"/>
  <c r="K1288" i="9"/>
  <c r="K1280" i="9"/>
  <c r="K1272" i="9"/>
  <c r="K1264" i="9"/>
  <c r="K1256" i="9"/>
  <c r="K1248" i="9"/>
  <c r="K1240" i="9"/>
  <c r="K1232" i="9"/>
  <c r="K1224" i="9"/>
  <c r="K1216" i="9"/>
  <c r="K1208" i="9"/>
  <c r="K1200" i="9"/>
  <c r="K1192" i="9"/>
  <c r="K1184" i="9"/>
  <c r="K1176" i="9"/>
  <c r="K1168" i="9"/>
  <c r="K1160" i="9"/>
  <c r="K1152" i="9"/>
  <c r="K1144" i="9"/>
  <c r="K1136" i="9"/>
  <c r="K1128" i="9"/>
  <c r="K1120" i="9"/>
  <c r="K1112" i="9"/>
  <c r="K1104" i="9"/>
  <c r="K1096" i="9"/>
  <c r="K1088" i="9"/>
  <c r="K1080" i="9"/>
  <c r="K1072" i="9"/>
  <c r="K1064" i="9"/>
  <c r="K1056" i="9"/>
  <c r="K1048" i="9"/>
  <c r="K1040" i="9"/>
  <c r="K1032" i="9"/>
  <c r="K1024" i="9"/>
  <c r="K1016" i="9"/>
  <c r="K1008" i="9"/>
  <c r="K1000" i="9"/>
  <c r="K992" i="9"/>
  <c r="K984" i="9"/>
  <c r="K976" i="9"/>
  <c r="K968" i="9"/>
  <c r="K960" i="9"/>
  <c r="K952" i="9"/>
  <c r="K944" i="9"/>
  <c r="K936" i="9"/>
  <c r="K928" i="9"/>
  <c r="K920" i="9"/>
  <c r="K912" i="9"/>
  <c r="K904" i="9"/>
  <c r="K896" i="9"/>
  <c r="K888" i="9"/>
  <c r="K880" i="9"/>
  <c r="K872" i="9"/>
  <c r="K864" i="9"/>
  <c r="K856" i="9"/>
  <c r="K848" i="9"/>
  <c r="K840" i="9"/>
  <c r="K832" i="9"/>
  <c r="K824" i="9"/>
  <c r="K816" i="9"/>
  <c r="K808" i="9"/>
  <c r="K800" i="9"/>
  <c r="K792" i="9"/>
  <c r="K784" i="9"/>
  <c r="K776" i="9"/>
  <c r="K768" i="9"/>
  <c r="K760" i="9"/>
  <c r="K752" i="9"/>
  <c r="K744" i="9"/>
  <c r="K736" i="9"/>
  <c r="K728" i="9"/>
  <c r="K720" i="9"/>
  <c r="K712" i="9"/>
  <c r="K704" i="9"/>
  <c r="K1663" i="9"/>
  <c r="K1655" i="9"/>
  <c r="K1647" i="9"/>
  <c r="K1639" i="9"/>
  <c r="K1631" i="9"/>
  <c r="K1623" i="9"/>
  <c r="K1615" i="9"/>
  <c r="K1607" i="9"/>
  <c r="K1599" i="9"/>
  <c r="K1591" i="9"/>
  <c r="K1583" i="9"/>
  <c r="K1575" i="9"/>
  <c r="K1567" i="9"/>
  <c r="K1559" i="9"/>
  <c r="K1551" i="9"/>
  <c r="K1543" i="9"/>
  <c r="K1535" i="9"/>
  <c r="K1527" i="9"/>
  <c r="K1519" i="9"/>
  <c r="K1511" i="9"/>
  <c r="K1503" i="9"/>
  <c r="K1495" i="9"/>
  <c r="K1487" i="9"/>
  <c r="K1479" i="9"/>
  <c r="K1471" i="9"/>
  <c r="K1463" i="9"/>
  <c r="K1455" i="9"/>
  <c r="K1447" i="9"/>
  <c r="K1439" i="9"/>
  <c r="K1431" i="9"/>
  <c r="K1423" i="9"/>
  <c r="K1415" i="9"/>
  <c r="K1407" i="9"/>
  <c r="K1399" i="9"/>
  <c r="K1391" i="9"/>
  <c r="K1383" i="9"/>
  <c r="K1375" i="9"/>
  <c r="K1367" i="9"/>
  <c r="K1359" i="9"/>
  <c r="K1351" i="9"/>
  <c r="K1343" i="9"/>
  <c r="K1335" i="9"/>
  <c r="K1327" i="9"/>
  <c r="K1319" i="9"/>
  <c r="K1311" i="9"/>
  <c r="K1303" i="9"/>
  <c r="K1295" i="9"/>
  <c r="K1287" i="9"/>
  <c r="K1279" i="9"/>
  <c r="K1271" i="9"/>
  <c r="K1263" i="9"/>
  <c r="K1255" i="9"/>
  <c r="K1247" i="9"/>
  <c r="K1239" i="9"/>
  <c r="K1231" i="9"/>
  <c r="K1223" i="9"/>
  <c r="K1215" i="9"/>
  <c r="K1207" i="9"/>
  <c r="K1199" i="9"/>
  <c r="K1191" i="9"/>
  <c r="K1183" i="9"/>
  <c r="K1175" i="9"/>
  <c r="K1167" i="9"/>
  <c r="K1159" i="9"/>
  <c r="K1151" i="9"/>
  <c r="K1143" i="9"/>
  <c r="K1135" i="9"/>
  <c r="K1127" i="9"/>
  <c r="K1119" i="9"/>
  <c r="K1111" i="9"/>
  <c r="K1103" i="9"/>
  <c r="K1095" i="9"/>
  <c r="K1087" i="9"/>
  <c r="K1079" i="9"/>
  <c r="K1071" i="9"/>
  <c r="K1063" i="9"/>
  <c r="K1055" i="9"/>
  <c r="K1047" i="9"/>
  <c r="K1830" i="9"/>
  <c r="K1822" i="9"/>
  <c r="K1814" i="9"/>
  <c r="K1806" i="9"/>
  <c r="K1798" i="9"/>
  <c r="K1790" i="9"/>
  <c r="K1782" i="9"/>
  <c r="K1774" i="9"/>
  <c r="K1766" i="9"/>
  <c r="K1758" i="9"/>
  <c r="K1750" i="9"/>
  <c r="K1742" i="9"/>
  <c r="K1734" i="9"/>
  <c r="K1726" i="9"/>
  <c r="K1718" i="9"/>
  <c r="K1710" i="9"/>
  <c r="K1702" i="9"/>
  <c r="K1694" i="9"/>
  <c r="K1686" i="9"/>
  <c r="K1678" i="9"/>
  <c r="K1670" i="9"/>
  <c r="K1662" i="9"/>
  <c r="K1654" i="9"/>
  <c r="K1646" i="9"/>
  <c r="K1638" i="9"/>
  <c r="K1630" i="9"/>
  <c r="K1622" i="9"/>
  <c r="K1614" i="9"/>
  <c r="K1606" i="9"/>
  <c r="K1598" i="9"/>
  <c r="K1590" i="9"/>
  <c r="K1582" i="9"/>
  <c r="K1574" i="9"/>
  <c r="K1566" i="9"/>
  <c r="K1558" i="9"/>
  <c r="K1550" i="9"/>
  <c r="K1542" i="9"/>
  <c r="K1534" i="9"/>
  <c r="K1526" i="9"/>
  <c r="K1518" i="9"/>
  <c r="K1510" i="9"/>
  <c r="K1502" i="9"/>
  <c r="K1494" i="9"/>
  <c r="K1486" i="9"/>
  <c r="K1478" i="9"/>
  <c r="K1470" i="9"/>
  <c r="K1462" i="9"/>
  <c r="K1454" i="9"/>
  <c r="K1446" i="9"/>
  <c r="K1438" i="9"/>
  <c r="K1430" i="9"/>
  <c r="K1422" i="9"/>
  <c r="K1414" i="9"/>
  <c r="K1406" i="9"/>
  <c r="K1398" i="9"/>
  <c r="K1390" i="9"/>
  <c r="K1382" i="9"/>
  <c r="K1374" i="9"/>
  <c r="K1366" i="9"/>
  <c r="K1358" i="9"/>
  <c r="K1350" i="9"/>
  <c r="K1342" i="9"/>
  <c r="K1334" i="9"/>
  <c r="K1326" i="9"/>
  <c r="K1318" i="9"/>
  <c r="K1310" i="9"/>
  <c r="K1302" i="9"/>
  <c r="K1294" i="9"/>
  <c r="K1286" i="9"/>
  <c r="K1278" i="9"/>
  <c r="K1270" i="9"/>
  <c r="K1262" i="9"/>
  <c r="K1254" i="9"/>
  <c r="K1246" i="9"/>
  <c r="K1238" i="9"/>
  <c r="K1230" i="9"/>
  <c r="K1222" i="9"/>
  <c r="K1214" i="9"/>
  <c r="K1206" i="9"/>
  <c r="K1198" i="9"/>
  <c r="K1190" i="9"/>
  <c r="K1182" i="9"/>
  <c r="K1174" i="9"/>
  <c r="K1166" i="9"/>
  <c r="K1158" i="9"/>
  <c r="K1150" i="9"/>
  <c r="K1142" i="9"/>
  <c r="K1134" i="9"/>
  <c r="K1126" i="9"/>
  <c r="K1118" i="9"/>
  <c r="K1110" i="9"/>
  <c r="K1102" i="9"/>
  <c r="K1094" i="9"/>
  <c r="K1086" i="9"/>
  <c r="K1078" i="9"/>
  <c r="K1070" i="9"/>
  <c r="K1062" i="9"/>
  <c r="K1054" i="9"/>
  <c r="K1046" i="9"/>
  <c r="K1038" i="9"/>
  <c r="K1030" i="9"/>
  <c r="K1022" i="9"/>
  <c r="K1014" i="9"/>
  <c r="K1006" i="9"/>
  <c r="K998" i="9"/>
  <c r="K990" i="9"/>
  <c r="K982" i="9"/>
  <c r="K974" i="9"/>
  <c r="K966" i="9"/>
  <c r="K958" i="9"/>
  <c r="K950" i="9"/>
  <c r="K942" i="9"/>
  <c r="K934" i="9"/>
  <c r="K926" i="9"/>
  <c r="K918" i="9"/>
  <c r="K910" i="9"/>
  <c r="K902" i="9"/>
  <c r="K894" i="9"/>
  <c r="K886" i="9"/>
  <c r="K878" i="9"/>
  <c r="K870" i="9"/>
  <c r="K862" i="9"/>
  <c r="K854" i="9"/>
  <c r="K846" i="9"/>
  <c r="K838" i="9"/>
  <c r="K830" i="9"/>
  <c r="K822" i="9"/>
  <c r="K814" i="9"/>
  <c r="K806" i="9"/>
  <c r="K798" i="9"/>
  <c r="K790" i="9"/>
  <c r="K782" i="9"/>
  <c r="K774" i="9"/>
  <c r="K766" i="9"/>
  <c r="K758" i="9"/>
  <c r="K750" i="9"/>
  <c r="K742" i="9"/>
  <c r="K734" i="9"/>
  <c r="K726" i="9"/>
  <c r="K718" i="9"/>
  <c r="K710" i="9"/>
  <c r="K702" i="9"/>
  <c r="K694" i="9"/>
  <c r="K686" i="9"/>
  <c r="K678" i="9"/>
  <c r="K670" i="9"/>
  <c r="K662" i="9"/>
  <c r="K654" i="9"/>
  <c r="K646" i="9"/>
  <c r="K638" i="9"/>
  <c r="K630" i="9"/>
  <c r="K622" i="9"/>
  <c r="K614" i="9"/>
  <c r="K606" i="9"/>
  <c r="K598" i="9"/>
  <c r="K590" i="9"/>
  <c r="K582" i="9"/>
  <c r="K574" i="9"/>
  <c r="K566" i="9"/>
  <c r="K558" i="9"/>
  <c r="K550" i="9"/>
  <c r="K542" i="9"/>
  <c r="K534" i="9"/>
  <c r="K526" i="9"/>
  <c r="K518" i="9"/>
  <c r="K510" i="9"/>
  <c r="K502" i="9"/>
  <c r="K494" i="9"/>
  <c r="K486" i="9"/>
  <c r="K478" i="9"/>
  <c r="K3061" i="9"/>
  <c r="K3053" i="9"/>
  <c r="K3045" i="9"/>
  <c r="K3037" i="9"/>
  <c r="K3029" i="9"/>
  <c r="K3021" i="9"/>
  <c r="K3013" i="9"/>
  <c r="K3005" i="9"/>
  <c r="K2997" i="9"/>
  <c r="K2989" i="9"/>
  <c r="K2981" i="9"/>
  <c r="K2973" i="9"/>
  <c r="K2965" i="9"/>
  <c r="K2957" i="9"/>
  <c r="K2949" i="9"/>
  <c r="K2941" i="9"/>
  <c r="K2933" i="9"/>
  <c r="K2925" i="9"/>
  <c r="K2917" i="9"/>
  <c r="K2909" i="9"/>
  <c r="K2901" i="9"/>
  <c r="K2893" i="9"/>
  <c r="K2885" i="9"/>
  <c r="K2877" i="9"/>
  <c r="K2869" i="9"/>
  <c r="K2861" i="9"/>
  <c r="K2853" i="9"/>
  <c r="K2845" i="9"/>
  <c r="K2837" i="9"/>
  <c r="K2829" i="9"/>
  <c r="K2821" i="9"/>
  <c r="K2813" i="9"/>
  <c r="K2805" i="9"/>
  <c r="K2797" i="9"/>
  <c r="K2789" i="9"/>
  <c r="K2781" i="9"/>
  <c r="K2773" i="9"/>
  <c r="K2765" i="9"/>
  <c r="K2757" i="9"/>
  <c r="K2749" i="9"/>
  <c r="K2741" i="9"/>
  <c r="K2733" i="9"/>
  <c r="K2725" i="9"/>
  <c r="K2717" i="9"/>
  <c r="K2709" i="9"/>
  <c r="K2701" i="9"/>
  <c r="K2693" i="9"/>
  <c r="K2685" i="9"/>
  <c r="K2677" i="9"/>
  <c r="K2669" i="9"/>
  <c r="K2661" i="9"/>
  <c r="K2653" i="9"/>
  <c r="K2645" i="9"/>
  <c r="K2637" i="9"/>
  <c r="K2629" i="9"/>
  <c r="K2621" i="9"/>
  <c r="K2613" i="9"/>
  <c r="K2605" i="9"/>
  <c r="K2597" i="9"/>
  <c r="K2589" i="9"/>
  <c r="K2581" i="9"/>
  <c r="K2573" i="9"/>
  <c r="K2565" i="9"/>
  <c r="K2557" i="9"/>
  <c r="K2549" i="9"/>
  <c r="K2541" i="9"/>
  <c r="K2533" i="9"/>
  <c r="K2525" i="9"/>
  <c r="K2517" i="9"/>
  <c r="K2509" i="9"/>
  <c r="K2501" i="9"/>
  <c r="K2493" i="9"/>
  <c r="K2485" i="9"/>
  <c r="K2477" i="9"/>
  <c r="K2469" i="9"/>
  <c r="K2461" i="9"/>
  <c r="K2453" i="9"/>
  <c r="K2445" i="9"/>
  <c r="K2437" i="9"/>
  <c r="K2429" i="9"/>
  <c r="K2421" i="9"/>
  <c r="K2413" i="9"/>
  <c r="K2405" i="9"/>
  <c r="K2397" i="9"/>
  <c r="K2389" i="9"/>
  <c r="K2381" i="9"/>
  <c r="K2373" i="9"/>
  <c r="K2365" i="9"/>
  <c r="K2357" i="9"/>
  <c r="K2349" i="9"/>
  <c r="K2341" i="9"/>
  <c r="K2333" i="9"/>
  <c r="K2325" i="9"/>
  <c r="K2317" i="9"/>
  <c r="K2309" i="9"/>
  <c r="K2301" i="9"/>
  <c r="K2293" i="9"/>
  <c r="K2285" i="9"/>
  <c r="K2277" i="9"/>
  <c r="K2269" i="9"/>
  <c r="K2261" i="9"/>
  <c r="K2253" i="9"/>
  <c r="K2245" i="9"/>
  <c r="K2237" i="9"/>
  <c r="K2229" i="9"/>
  <c r="K2221" i="9"/>
  <c r="K2213" i="9"/>
  <c r="K2205" i="9"/>
  <c r="K2197" i="9"/>
  <c r="K2189" i="9"/>
  <c r="K2181" i="9"/>
  <c r="K2173" i="9"/>
  <c r="K2165" i="9"/>
  <c r="K2157" i="9"/>
  <c r="K2149" i="9"/>
  <c r="K2141" i="9"/>
  <c r="K2133" i="9"/>
  <c r="K2125" i="9"/>
  <c r="K2117" i="9"/>
  <c r="K2109" i="9"/>
  <c r="K2101" i="9"/>
  <c r="K2093" i="9"/>
  <c r="K2085" i="9"/>
  <c r="K2077" i="9"/>
  <c r="K2069" i="9"/>
  <c r="K2061" i="9"/>
  <c r="K2053" i="9"/>
  <c r="K2045" i="9"/>
  <c r="K2037" i="9"/>
  <c r="K2029" i="9"/>
  <c r="K2021" i="9"/>
  <c r="K2013" i="9"/>
  <c r="K2005" i="9"/>
  <c r="K1997" i="9"/>
  <c r="K1989" i="9"/>
  <c r="K1981" i="9"/>
  <c r="K1973" i="9"/>
  <c r="K1965" i="9"/>
  <c r="K1957" i="9"/>
  <c r="K1949" i="9"/>
  <c r="K1941" i="9"/>
  <c r="K1933" i="9"/>
  <c r="K1925" i="9"/>
  <c r="K1917" i="9"/>
  <c r="K1909" i="9"/>
  <c r="K1901" i="9"/>
  <c r="K1893" i="9"/>
  <c r="K1885" i="9"/>
  <c r="K1877" i="9"/>
  <c r="K1869" i="9"/>
  <c r="K1861" i="9"/>
  <c r="K1853" i="9"/>
  <c r="K1845" i="9"/>
  <c r="K1837" i="9"/>
  <c r="K1829" i="9"/>
  <c r="K1821" i="9"/>
  <c r="K1813" i="9"/>
  <c r="K1805" i="9"/>
  <c r="K1797" i="9"/>
  <c r="K1789" i="9"/>
  <c r="K1781" i="9"/>
  <c r="K1773" i="9"/>
  <c r="K1765" i="9"/>
  <c r="K1757" i="9"/>
  <c r="K1749" i="9"/>
  <c r="K1741" i="9"/>
  <c r="K1733" i="9"/>
  <c r="K1725" i="9"/>
  <c r="K1717" i="9"/>
  <c r="K1709" i="9"/>
  <c r="K1701" i="9"/>
  <c r="K1693" i="9"/>
  <c r="K1685" i="9"/>
  <c r="K1677" i="9"/>
  <c r="K1669" i="9"/>
  <c r="K1661" i="9"/>
  <c r="K1836" i="9"/>
  <c r="K1828" i="9"/>
  <c r="K1820" i="9"/>
  <c r="K1812" i="9"/>
  <c r="K1804" i="9"/>
  <c r="K1796" i="9"/>
  <c r="K1788" i="9"/>
  <c r="K1780" i="9"/>
  <c r="K1772" i="9"/>
  <c r="K1764" i="9"/>
  <c r="K1756" i="9"/>
  <c r="K1748" i="9"/>
  <c r="K1740" i="9"/>
  <c r="K1732" i="9"/>
  <c r="K1724" i="9"/>
  <c r="K1716" i="9"/>
  <c r="K1708" i="9"/>
  <c r="K1700" i="9"/>
  <c r="K1692" i="9"/>
  <c r="K1684" i="9"/>
  <c r="K1676" i="9"/>
  <c r="K1668" i="9"/>
  <c r="K1660" i="9"/>
  <c r="K1652" i="9"/>
  <c r="K1644" i="9"/>
  <c r="K1636" i="9"/>
  <c r="K1628" i="9"/>
  <c r="K1620" i="9"/>
  <c r="K1612" i="9"/>
  <c r="K1604" i="9"/>
  <c r="K1596" i="9"/>
  <c r="K1588" i="9"/>
  <c r="K1580" i="9"/>
  <c r="K1572" i="9"/>
  <c r="K1564" i="9"/>
  <c r="K1556" i="9"/>
  <c r="K1548" i="9"/>
  <c r="K1540" i="9"/>
  <c r="K1532" i="9"/>
  <c r="K1524" i="9"/>
  <c r="K1516" i="9"/>
  <c r="K1508" i="9"/>
  <c r="K1500" i="9"/>
  <c r="K1492" i="9"/>
  <c r="K1484" i="9"/>
  <c r="K1476" i="9"/>
  <c r="K1468" i="9"/>
  <c r="K1460" i="9"/>
  <c r="K1452" i="9"/>
  <c r="K1444" i="9"/>
  <c r="K1436" i="9"/>
  <c r="K1428" i="9"/>
  <c r="K1420" i="9"/>
  <c r="K1412" i="9"/>
  <c r="K1404" i="9"/>
  <c r="K1396" i="9"/>
  <c r="K1388" i="9"/>
  <c r="K1380" i="9"/>
  <c r="K1372" i="9"/>
  <c r="K1364" i="9"/>
  <c r="K1356" i="9"/>
  <c r="K1348" i="9"/>
  <c r="K1340" i="9"/>
  <c r="K1332" i="9"/>
  <c r="K1324" i="9"/>
  <c r="K1316" i="9"/>
  <c r="K1308" i="9"/>
  <c r="K1300" i="9"/>
  <c r="K1292" i="9"/>
  <c r="K1284" i="9"/>
  <c r="K1276" i="9"/>
  <c r="K1268" i="9"/>
  <c r="K1260" i="9"/>
  <c r="K1252" i="9"/>
  <c r="K1244" i="9"/>
  <c r="K1236" i="9"/>
  <c r="K1228" i="9"/>
  <c r="K1220" i="9"/>
  <c r="K1212" i="9"/>
  <c r="K1204" i="9"/>
  <c r="K1196" i="9"/>
  <c r="K1188" i="9"/>
  <c r="K1180" i="9"/>
  <c r="K1172" i="9"/>
  <c r="K1164" i="9"/>
  <c r="K1156" i="9"/>
  <c r="K1148" i="9"/>
  <c r="K1140" i="9"/>
  <c r="K1132" i="9"/>
  <c r="K1124" i="9"/>
  <c r="K1116" i="9"/>
  <c r="K1108" i="9"/>
  <c r="K1100" i="9"/>
  <c r="K1092" i="9"/>
  <c r="K1084" i="9"/>
  <c r="K1076" i="9"/>
  <c r="K1068" i="9"/>
  <c r="K1060" i="9"/>
  <c r="K1052" i="9"/>
  <c r="K1044" i="9"/>
  <c r="K1036" i="9"/>
  <c r="K1028" i="9"/>
  <c r="K1020" i="9"/>
  <c r="K1012" i="9"/>
  <c r="K1004" i="9"/>
  <c r="K996" i="9"/>
  <c r="K988" i="9"/>
  <c r="K980" i="9"/>
  <c r="K972" i="9"/>
  <c r="K964" i="9"/>
  <c r="K956" i="9"/>
  <c r="K948" i="9"/>
  <c r="K940" i="9"/>
  <c r="K932" i="9"/>
  <c r="K924" i="9"/>
  <c r="K916" i="9"/>
  <c r="K908" i="9"/>
  <c r="K900" i="9"/>
  <c r="K892" i="9"/>
  <c r="K884" i="9"/>
  <c r="K876" i="9"/>
  <c r="K868" i="9"/>
  <c r="K860" i="9"/>
  <c r="K852" i="9"/>
  <c r="K844" i="9"/>
  <c r="K836" i="9"/>
  <c r="K828" i="9"/>
  <c r="K820" i="9"/>
  <c r="K812" i="9"/>
  <c r="K804" i="9"/>
  <c r="K796" i="9"/>
  <c r="K788" i="9"/>
  <c r="K780" i="9"/>
  <c r="K772" i="9"/>
  <c r="K764" i="9"/>
  <c r="K756" i="9"/>
  <c r="K748" i="9"/>
  <c r="K740" i="9"/>
  <c r="K732" i="9"/>
  <c r="K724" i="9"/>
  <c r="K716" i="9"/>
  <c r="K708" i="9"/>
  <c r="K700" i="9"/>
  <c r="K692" i="9"/>
  <c r="K684" i="9"/>
  <c r="K676" i="9"/>
  <c r="K668" i="9"/>
  <c r="K1595" i="9"/>
  <c r="K1587" i="9"/>
  <c r="K1579" i="9"/>
  <c r="K1571" i="9"/>
  <c r="K1563" i="9"/>
  <c r="K1555" i="9"/>
  <c r="K1547" i="9"/>
  <c r="K1539" i="9"/>
  <c r="K1531" i="9"/>
  <c r="K1523" i="9"/>
  <c r="K1515" i="9"/>
  <c r="K1507" i="9"/>
  <c r="K1499" i="9"/>
  <c r="K1491" i="9"/>
  <c r="K1483" i="9"/>
  <c r="K1475" i="9"/>
  <c r="K1467" i="9"/>
  <c r="K1459" i="9"/>
  <c r="K1451" i="9"/>
  <c r="K1443" i="9"/>
  <c r="K1435" i="9"/>
  <c r="K1427" i="9"/>
  <c r="K1419" i="9"/>
  <c r="K1411" i="9"/>
  <c r="K1403" i="9"/>
  <c r="K1395" i="9"/>
  <c r="K1387" i="9"/>
  <c r="K1379" i="9"/>
  <c r="K1371" i="9"/>
  <c r="K1363" i="9"/>
  <c r="K1355" i="9"/>
  <c r="K1347" i="9"/>
  <c r="K1339" i="9"/>
  <c r="K1331" i="9"/>
  <c r="K1323" i="9"/>
  <c r="K1315" i="9"/>
  <c r="K1307" i="9"/>
  <c r="K1299" i="9"/>
  <c r="K1291" i="9"/>
  <c r="K1283" i="9"/>
  <c r="K1275" i="9"/>
  <c r="K1267" i="9"/>
  <c r="K1259" i="9"/>
  <c r="K1251" i="9"/>
  <c r="K1243" i="9"/>
  <c r="K1235" i="9"/>
  <c r="K1227" i="9"/>
  <c r="K1219" i="9"/>
  <c r="K1211" i="9"/>
  <c r="K1203" i="9"/>
  <c r="K1195" i="9"/>
  <c r="K1187" i="9"/>
  <c r="K1179" i="9"/>
  <c r="K1171" i="9"/>
  <c r="K1163" i="9"/>
  <c r="K1155" i="9"/>
  <c r="K1147" i="9"/>
  <c r="K1139" i="9"/>
  <c r="K1131" i="9"/>
  <c r="K1123" i="9"/>
  <c r="K1115" i="9"/>
  <c r="K1107" i="9"/>
  <c r="K1099" i="9"/>
  <c r="K1091" i="9"/>
  <c r="K1083" i="9"/>
  <c r="K1075" i="9"/>
  <c r="K1067" i="9"/>
  <c r="K1059" i="9"/>
  <c r="K1051" i="9"/>
  <c r="K1043" i="9"/>
  <c r="K1035" i="9"/>
  <c r="K1027" i="9"/>
  <c r="K1019" i="9"/>
  <c r="K1011" i="9"/>
  <c r="K1003" i="9"/>
  <c r="K995" i="9"/>
  <c r="K987" i="9"/>
  <c r="K979" i="9"/>
  <c r="K971" i="9"/>
  <c r="K963" i="9"/>
  <c r="K955" i="9"/>
  <c r="K947" i="9"/>
  <c r="K939" i="9"/>
  <c r="K931" i="9"/>
  <c r="K923" i="9"/>
  <c r="K915" i="9"/>
  <c r="K907" i="9"/>
  <c r="K899" i="9"/>
  <c r="K891" i="9"/>
  <c r="K883" i="9"/>
  <c r="K875" i="9"/>
  <c r="K867" i="9"/>
  <c r="K859" i="9"/>
  <c r="K851" i="9"/>
  <c r="K843" i="9"/>
  <c r="K835" i="9"/>
  <c r="K827" i="9"/>
  <c r="K819" i="9"/>
  <c r="K466" i="9"/>
  <c r="K458" i="9"/>
  <c r="K450" i="9"/>
  <c r="K442" i="9"/>
  <c r="K434" i="9"/>
  <c r="K426" i="9"/>
  <c r="K418" i="9"/>
  <c r="K410" i="9"/>
  <c r="K402" i="9"/>
  <c r="K394" i="9"/>
  <c r="K386" i="9"/>
  <c r="K378" i="9"/>
  <c r="K370" i="9"/>
  <c r="K362" i="9"/>
  <c r="K354" i="9"/>
  <c r="K346" i="9"/>
  <c r="K338" i="9"/>
  <c r="K330" i="9"/>
  <c r="K322" i="9"/>
  <c r="K314" i="9"/>
  <c r="K306" i="9"/>
  <c r="K298" i="9"/>
  <c r="K290" i="9"/>
  <c r="K282" i="9"/>
  <c r="K274" i="9"/>
  <c r="K266" i="9"/>
  <c r="K258" i="9"/>
  <c r="K250" i="9"/>
  <c r="K242" i="9"/>
  <c r="K234" i="9"/>
  <c r="K226" i="9"/>
  <c r="K218" i="9"/>
  <c r="K210" i="9"/>
  <c r="K202" i="9"/>
  <c r="K194" i="9"/>
  <c r="K186" i="9"/>
  <c r="K178" i="9"/>
  <c r="K170" i="9"/>
  <c r="K162" i="9"/>
  <c r="K473" i="9"/>
  <c r="K465" i="9"/>
  <c r="K457" i="9"/>
  <c r="K449" i="9"/>
  <c r="K441" i="9"/>
  <c r="K433" i="9"/>
  <c r="K425" i="9"/>
  <c r="K417" i="9"/>
  <c r="K409" i="9"/>
  <c r="K401" i="9"/>
  <c r="K393" i="9"/>
  <c r="K385" i="9"/>
  <c r="K377" i="9"/>
  <c r="K369" i="9"/>
  <c r="K361" i="9"/>
  <c r="K353" i="9"/>
  <c r="K345" i="9"/>
  <c r="K337" i="9"/>
  <c r="K329" i="9"/>
  <c r="K321" i="9"/>
  <c r="K313" i="9"/>
  <c r="K305" i="9"/>
  <c r="K297" i="9"/>
  <c r="K289" i="9"/>
  <c r="K281" i="9"/>
  <c r="K273" i="9"/>
  <c r="K265" i="9"/>
  <c r="K257" i="9"/>
  <c r="K249" i="9"/>
  <c r="K241" i="9"/>
  <c r="K233" i="9"/>
  <c r="K225" i="9"/>
  <c r="K217" i="9"/>
  <c r="K209" i="9"/>
  <c r="K201" i="9"/>
  <c r="K193" i="9"/>
  <c r="K185" i="9"/>
  <c r="K696" i="9"/>
  <c r="K688" i="9"/>
  <c r="K680" i="9"/>
  <c r="K672" i="9"/>
  <c r="K664" i="9"/>
  <c r="K656" i="9"/>
  <c r="K648" i="9"/>
  <c r="K640" i="9"/>
  <c r="K632" i="9"/>
  <c r="K624" i="9"/>
  <c r="K616" i="9"/>
  <c r="K608" i="9"/>
  <c r="K600" i="9"/>
  <c r="K592" i="9"/>
  <c r="K584" i="9"/>
  <c r="K576" i="9"/>
  <c r="K568" i="9"/>
  <c r="K560" i="9"/>
  <c r="K552" i="9"/>
  <c r="K544" i="9"/>
  <c r="K536" i="9"/>
  <c r="K528" i="9"/>
  <c r="K520" i="9"/>
  <c r="K512" i="9"/>
  <c r="K504" i="9"/>
  <c r="K496" i="9"/>
  <c r="K488" i="9"/>
  <c r="K480" i="9"/>
  <c r="K472" i="9"/>
  <c r="K464" i="9"/>
  <c r="K456" i="9"/>
  <c r="K448" i="9"/>
  <c r="K440" i="9"/>
  <c r="K432" i="9"/>
  <c r="K424" i="9"/>
  <c r="K416" i="9"/>
  <c r="K408" i="9"/>
  <c r="K400" i="9"/>
  <c r="K392" i="9"/>
  <c r="K384" i="9"/>
  <c r="K376" i="9"/>
  <c r="K368" i="9"/>
  <c r="K360" i="9"/>
  <c r="K352" i="9"/>
  <c r="K344" i="9"/>
  <c r="K336" i="9"/>
  <c r="K328" i="9"/>
  <c r="K320" i="9"/>
  <c r="K312" i="9"/>
  <c r="K304" i="9"/>
  <c r="K296" i="9"/>
  <c r="K288" i="9"/>
  <c r="K280" i="9"/>
  <c r="K272" i="9"/>
  <c r="K264" i="9"/>
  <c r="K256" i="9"/>
  <c r="K248" i="9"/>
  <c r="K240" i="9"/>
  <c r="K1039" i="9"/>
  <c r="K1031" i="9"/>
  <c r="K1023" i="9"/>
  <c r="K1015" i="9"/>
  <c r="K1007" i="9"/>
  <c r="K999" i="9"/>
  <c r="K991" i="9"/>
  <c r="K983" i="9"/>
  <c r="K975" i="9"/>
  <c r="K967" i="9"/>
  <c r="K959" i="9"/>
  <c r="K951" i="9"/>
  <c r="K943" i="9"/>
  <c r="K935" i="9"/>
  <c r="K927" i="9"/>
  <c r="K919" i="9"/>
  <c r="K911" i="9"/>
  <c r="K903" i="9"/>
  <c r="K895" i="9"/>
  <c r="K887" i="9"/>
  <c r="K879" i="9"/>
  <c r="K871" i="9"/>
  <c r="K863" i="9"/>
  <c r="K855" i="9"/>
  <c r="K847" i="9"/>
  <c r="K839" i="9"/>
  <c r="K831" i="9"/>
  <c r="K823" i="9"/>
  <c r="K815" i="9"/>
  <c r="K807" i="9"/>
  <c r="K799" i="9"/>
  <c r="K791" i="9"/>
  <c r="K783" i="9"/>
  <c r="K775" i="9"/>
  <c r="K767" i="9"/>
  <c r="K759" i="9"/>
  <c r="K751" i="9"/>
  <c r="K743" i="9"/>
  <c r="K735" i="9"/>
  <c r="K727" i="9"/>
  <c r="K719" i="9"/>
  <c r="K711" i="9"/>
  <c r="K703" i="9"/>
  <c r="K695" i="9"/>
  <c r="K687" i="9"/>
  <c r="K679" i="9"/>
  <c r="K671" i="9"/>
  <c r="K663" i="9"/>
  <c r="K655" i="9"/>
  <c r="K647" i="9"/>
  <c r="K639" i="9"/>
  <c r="K631" i="9"/>
  <c r="K623" i="9"/>
  <c r="K615" i="9"/>
  <c r="K607" i="9"/>
  <c r="K599" i="9"/>
  <c r="K591" i="9"/>
  <c r="K583" i="9"/>
  <c r="K575" i="9"/>
  <c r="K567" i="9"/>
  <c r="K559" i="9"/>
  <c r="K551" i="9"/>
  <c r="K543" i="9"/>
  <c r="K535" i="9"/>
  <c r="K527" i="9"/>
  <c r="K519" i="9"/>
  <c r="K511" i="9"/>
  <c r="K503" i="9"/>
  <c r="K495" i="9"/>
  <c r="K487" i="9"/>
  <c r="K479" i="9"/>
  <c r="K471" i="9"/>
  <c r="K463" i="9"/>
  <c r="K455" i="9"/>
  <c r="K447" i="9"/>
  <c r="K439" i="9"/>
  <c r="K431" i="9"/>
  <c r="K423" i="9"/>
  <c r="K415" i="9"/>
  <c r="K407" i="9"/>
  <c r="K399" i="9"/>
  <c r="K391" i="9"/>
  <c r="K383" i="9"/>
  <c r="K375" i="9"/>
  <c r="K367" i="9"/>
  <c r="K470" i="9"/>
  <c r="K462" i="9"/>
  <c r="K454" i="9"/>
  <c r="K446" i="9"/>
  <c r="K438" i="9"/>
  <c r="K430" i="9"/>
  <c r="K422" i="9"/>
  <c r="K414" i="9"/>
  <c r="K406" i="9"/>
  <c r="K398" i="9"/>
  <c r="K390" i="9"/>
  <c r="K382" i="9"/>
  <c r="K374" i="9"/>
  <c r="K366" i="9"/>
  <c r="K358" i="9"/>
  <c r="K350" i="9"/>
  <c r="K342" i="9"/>
  <c r="K334" i="9"/>
  <c r="K326" i="9"/>
  <c r="K318" i="9"/>
  <c r="K310" i="9"/>
  <c r="K302" i="9"/>
  <c r="K294" i="9"/>
  <c r="K286" i="9"/>
  <c r="K278" i="9"/>
  <c r="K270" i="9"/>
  <c r="K262" i="9"/>
  <c r="K254" i="9"/>
  <c r="K246" i="9"/>
  <c r="K238" i="9"/>
  <c r="K230" i="9"/>
  <c r="K222" i="9"/>
  <c r="K214" i="9"/>
  <c r="K206" i="9"/>
  <c r="K198" i="9"/>
  <c r="K190" i="9"/>
  <c r="K182" i="9"/>
  <c r="K174" i="9"/>
  <c r="K166" i="9"/>
  <c r="K158" i="9"/>
  <c r="K150" i="9"/>
  <c r="K142" i="9"/>
  <c r="K1653" i="9"/>
  <c r="K1645" i="9"/>
  <c r="K1637" i="9"/>
  <c r="K1629" i="9"/>
  <c r="K1621" i="9"/>
  <c r="K1613" i="9"/>
  <c r="K1605" i="9"/>
  <c r="K1597" i="9"/>
  <c r="K1589" i="9"/>
  <c r="K1581" i="9"/>
  <c r="K1573" i="9"/>
  <c r="K1565" i="9"/>
  <c r="K1557" i="9"/>
  <c r="K1549" i="9"/>
  <c r="K1541" i="9"/>
  <c r="K1533" i="9"/>
  <c r="K1525" i="9"/>
  <c r="K1517" i="9"/>
  <c r="K1509" i="9"/>
  <c r="K1501" i="9"/>
  <c r="K1493" i="9"/>
  <c r="K1485" i="9"/>
  <c r="K1477" i="9"/>
  <c r="K1469" i="9"/>
  <c r="K1461" i="9"/>
  <c r="K1453" i="9"/>
  <c r="K1445" i="9"/>
  <c r="K1437" i="9"/>
  <c r="K1429" i="9"/>
  <c r="K1421" i="9"/>
  <c r="K1413" i="9"/>
  <c r="K1405" i="9"/>
  <c r="K1397" i="9"/>
  <c r="K1389" i="9"/>
  <c r="K1381" i="9"/>
  <c r="K1373" i="9"/>
  <c r="K1365" i="9"/>
  <c r="K1357" i="9"/>
  <c r="K1349" i="9"/>
  <c r="K1341" i="9"/>
  <c r="K1333" i="9"/>
  <c r="K1325" i="9"/>
  <c r="K1317" i="9"/>
  <c r="K1309" i="9"/>
  <c r="K1301" i="9"/>
  <c r="K1293" i="9"/>
  <c r="K1285" i="9"/>
  <c r="K1277" i="9"/>
  <c r="K1269" i="9"/>
  <c r="K1261" i="9"/>
  <c r="K1253" i="9"/>
  <c r="K1245" i="9"/>
  <c r="K1237" i="9"/>
  <c r="K1229" i="9"/>
  <c r="K1221" i="9"/>
  <c r="K1213" i="9"/>
  <c r="K1205" i="9"/>
  <c r="K1197" i="9"/>
  <c r="K1189" i="9"/>
  <c r="K1181" i="9"/>
  <c r="K1173" i="9"/>
  <c r="K1165" i="9"/>
  <c r="K1157" i="9"/>
  <c r="K1149" i="9"/>
  <c r="K1141" i="9"/>
  <c r="K1133" i="9"/>
  <c r="K1125" i="9"/>
  <c r="K1117" i="9"/>
  <c r="K1109" i="9"/>
  <c r="K1101" i="9"/>
  <c r="K1093" i="9"/>
  <c r="K1085" i="9"/>
  <c r="K1077" i="9"/>
  <c r="K1069" i="9"/>
  <c r="K1061" i="9"/>
  <c r="K1053" i="9"/>
  <c r="K1045" i="9"/>
  <c r="K1037" i="9"/>
  <c r="K1029" i="9"/>
  <c r="K1021" i="9"/>
  <c r="K1013" i="9"/>
  <c r="K1005" i="9"/>
  <c r="K997" i="9"/>
  <c r="K989" i="9"/>
  <c r="K981" i="9"/>
  <c r="K973" i="9"/>
  <c r="K965" i="9"/>
  <c r="K957" i="9"/>
  <c r="K949" i="9"/>
  <c r="K941" i="9"/>
  <c r="K933" i="9"/>
  <c r="K925" i="9"/>
  <c r="K917" i="9"/>
  <c r="K909" i="9"/>
  <c r="K901" i="9"/>
  <c r="K893" i="9"/>
  <c r="K885" i="9"/>
  <c r="K877" i="9"/>
  <c r="K869" i="9"/>
  <c r="K861" i="9"/>
  <c r="K853" i="9"/>
  <c r="K845" i="9"/>
  <c r="K837" i="9"/>
  <c r="K829" i="9"/>
  <c r="K821" i="9"/>
  <c r="K813" i="9"/>
  <c r="K805" i="9"/>
  <c r="K797" i="9"/>
  <c r="K789" i="9"/>
  <c r="K781" i="9"/>
  <c r="K773" i="9"/>
  <c r="K765" i="9"/>
  <c r="K757" i="9"/>
  <c r="K749" i="9"/>
  <c r="K741" i="9"/>
  <c r="K733" i="9"/>
  <c r="K725" i="9"/>
  <c r="K717" i="9"/>
  <c r="K709" i="9"/>
  <c r="K701" i="9"/>
  <c r="K693" i="9"/>
  <c r="K685" i="9"/>
  <c r="K677" i="9"/>
  <c r="K669" i="9"/>
  <c r="K661" i="9"/>
  <c r="K653" i="9"/>
  <c r="K645" i="9"/>
  <c r="K637" i="9"/>
  <c r="K629" i="9"/>
  <c r="K621" i="9"/>
  <c r="K613" i="9"/>
  <c r="K605" i="9"/>
  <c r="K597" i="9"/>
  <c r="K589" i="9"/>
  <c r="K581" i="9"/>
  <c r="K573" i="9"/>
  <c r="K565" i="9"/>
  <c r="K557" i="9"/>
  <c r="K549" i="9"/>
  <c r="K541" i="9"/>
  <c r="K533" i="9"/>
  <c r="K525" i="9"/>
  <c r="K517" i="9"/>
  <c r="K509" i="9"/>
  <c r="K501" i="9"/>
  <c r="K493" i="9"/>
  <c r="K485" i="9"/>
  <c r="K477" i="9"/>
  <c r="K469" i="9"/>
  <c r="K461" i="9"/>
  <c r="K453" i="9"/>
  <c r="K445" i="9"/>
  <c r="K437" i="9"/>
  <c r="K429" i="9"/>
  <c r="K421" i="9"/>
  <c r="K413" i="9"/>
  <c r="K405" i="9"/>
  <c r="K397" i="9"/>
  <c r="K389" i="9"/>
  <c r="K381" i="9"/>
  <c r="K373" i="9"/>
  <c r="K365" i="9"/>
  <c r="K357" i="9"/>
  <c r="K349" i="9"/>
  <c r="K341" i="9"/>
  <c r="K333" i="9"/>
  <c r="K325" i="9"/>
  <c r="K317" i="9"/>
  <c r="K309" i="9"/>
  <c r="K660" i="9"/>
  <c r="K652" i="9"/>
  <c r="K644" i="9"/>
  <c r="K636" i="9"/>
  <c r="K628" i="9"/>
  <c r="K620" i="9"/>
  <c r="K612" i="9"/>
  <c r="K604" i="9"/>
  <c r="K596" i="9"/>
  <c r="K588" i="9"/>
  <c r="K580" i="9"/>
  <c r="K572" i="9"/>
  <c r="K564" i="9"/>
  <c r="K556" i="9"/>
  <c r="K548" i="9"/>
  <c r="K540" i="9"/>
  <c r="K532" i="9"/>
  <c r="K524" i="9"/>
  <c r="K516" i="9"/>
  <c r="K508" i="9"/>
  <c r="K500" i="9"/>
  <c r="K492" i="9"/>
  <c r="K484" i="9"/>
  <c r="K476" i="9"/>
  <c r="K468" i="9"/>
  <c r="K460" i="9"/>
  <c r="K452" i="9"/>
  <c r="K444" i="9"/>
  <c r="K436" i="9"/>
  <c r="K428" i="9"/>
  <c r="K420" i="9"/>
  <c r="K412" i="9"/>
  <c r="K404" i="9"/>
  <c r="K396" i="9"/>
  <c r="K388" i="9"/>
  <c r="K380" i="9"/>
  <c r="K372" i="9"/>
  <c r="K364" i="9"/>
  <c r="K356" i="9"/>
  <c r="K348" i="9"/>
  <c r="K340" i="9"/>
  <c r="K332" i="9"/>
  <c r="K324" i="9"/>
  <c r="K316" i="9"/>
  <c r="K308" i="9"/>
  <c r="K300" i="9"/>
  <c r="K292" i="9"/>
  <c r="K284" i="9"/>
  <c r="K276" i="9"/>
  <c r="K268" i="9"/>
  <c r="K260" i="9"/>
  <c r="K252" i="9"/>
  <c r="K244" i="9"/>
  <c r="K236" i="9"/>
  <c r="K228" i="9"/>
  <c r="K220" i="9"/>
  <c r="K212" i="9"/>
  <c r="K811" i="9"/>
  <c r="K803" i="9"/>
  <c r="K795" i="9"/>
  <c r="K787" i="9"/>
  <c r="K779" i="9"/>
  <c r="K771" i="9"/>
  <c r="K763" i="9"/>
  <c r="K755" i="9"/>
  <c r="K747" i="9"/>
  <c r="K739" i="9"/>
  <c r="K731" i="9"/>
  <c r="K723" i="9"/>
  <c r="K715" i="9"/>
  <c r="K707" i="9"/>
  <c r="K699" i="9"/>
  <c r="K691" i="9"/>
  <c r="K683" i="9"/>
  <c r="K675" i="9"/>
  <c r="K667" i="9"/>
  <c r="K659" i="9"/>
  <c r="K651" i="9"/>
  <c r="K643" i="9"/>
  <c r="K635" i="9"/>
  <c r="K627" i="9"/>
  <c r="K619" i="9"/>
  <c r="K611" i="9"/>
  <c r="K603" i="9"/>
  <c r="K595" i="9"/>
  <c r="K587" i="9"/>
  <c r="K579" i="9"/>
  <c r="K571" i="9"/>
  <c r="K563" i="9"/>
  <c r="K555" i="9"/>
  <c r="K547" i="9"/>
  <c r="K539" i="9"/>
  <c r="K531" i="9"/>
  <c r="K523" i="9"/>
  <c r="K515" i="9"/>
  <c r="K507" i="9"/>
  <c r="K499" i="9"/>
  <c r="K491" i="9"/>
  <c r="K483" i="9"/>
  <c r="K475" i="9"/>
  <c r="K467" i="9"/>
  <c r="K459" i="9"/>
  <c r="K451" i="9"/>
  <c r="K443" i="9"/>
  <c r="K204" i="9"/>
  <c r="K196" i="9"/>
  <c r="K188" i="9"/>
  <c r="K180" i="9"/>
  <c r="K172" i="9"/>
  <c r="K164" i="9"/>
  <c r="K156" i="9"/>
  <c r="K148" i="9"/>
  <c r="K140" i="9"/>
  <c r="K132" i="9"/>
  <c r="K124" i="9"/>
  <c r="K116" i="9"/>
  <c r="K108" i="9"/>
  <c r="K100" i="9"/>
  <c r="K92" i="9"/>
  <c r="K84" i="9"/>
  <c r="K76" i="9"/>
  <c r="K68" i="9"/>
  <c r="K60" i="9"/>
  <c r="K52" i="9"/>
  <c r="K44" i="9"/>
  <c r="K36" i="9"/>
  <c r="K28" i="9"/>
  <c r="K20" i="9"/>
  <c r="K12" i="9"/>
  <c r="K4" i="9"/>
  <c r="K435" i="9"/>
  <c r="K427" i="9"/>
  <c r="K419" i="9"/>
  <c r="K411" i="9"/>
  <c r="K403" i="9"/>
  <c r="K395" i="9"/>
  <c r="K387" i="9"/>
  <c r="K379" i="9"/>
  <c r="K371" i="9"/>
  <c r="K363" i="9"/>
  <c r="K355" i="9"/>
  <c r="K347" i="9"/>
  <c r="K339" i="9"/>
  <c r="K331" i="9"/>
  <c r="K323" i="9"/>
  <c r="K315" i="9"/>
  <c r="K307" i="9"/>
  <c r="K299" i="9"/>
  <c r="K291" i="9"/>
  <c r="K283" i="9"/>
  <c r="K275" i="9"/>
  <c r="K267" i="9"/>
  <c r="K259" i="9"/>
  <c r="K251" i="9"/>
  <c r="K243" i="9"/>
  <c r="K235" i="9"/>
  <c r="K227" i="9"/>
  <c r="K219" i="9"/>
  <c r="K211" i="9"/>
  <c r="K203" i="9"/>
  <c r="K195" i="9"/>
  <c r="K187" i="9"/>
  <c r="K179" i="9"/>
  <c r="K171" i="9"/>
  <c r="K163" i="9"/>
  <c r="K155" i="9"/>
  <c r="K147" i="9"/>
  <c r="K139" i="9"/>
  <c r="K131" i="9"/>
  <c r="K123" i="9"/>
  <c r="K115" i="9"/>
  <c r="K107" i="9"/>
  <c r="K99" i="9"/>
  <c r="K91" i="9"/>
  <c r="K83" i="9"/>
  <c r="K75" i="9"/>
  <c r="K67" i="9"/>
  <c r="K59" i="9"/>
  <c r="K51" i="9"/>
  <c r="K43" i="9"/>
  <c r="K35" i="9"/>
  <c r="K27" i="9"/>
  <c r="K19" i="9"/>
  <c r="K11" i="9"/>
  <c r="K3" i="9"/>
  <c r="K154" i="9"/>
  <c r="K146" i="9"/>
  <c r="K138" i="9"/>
  <c r="K130" i="9"/>
  <c r="K122" i="9"/>
  <c r="K114" i="9"/>
  <c r="K106" i="9"/>
  <c r="K98" i="9"/>
  <c r="K90" i="9"/>
  <c r="K82" i="9"/>
  <c r="K74" i="9"/>
  <c r="K66" i="9"/>
  <c r="K58" i="9"/>
  <c r="K50" i="9"/>
  <c r="K42" i="9"/>
  <c r="K34" i="9"/>
  <c r="K26" i="9"/>
  <c r="K18" i="9"/>
  <c r="K10" i="9"/>
  <c r="K177" i="9"/>
  <c r="K169" i="9"/>
  <c r="K161" i="9"/>
  <c r="K153" i="9"/>
  <c r="K145" i="9"/>
  <c r="K137" i="9"/>
  <c r="K129" i="9"/>
  <c r="K121" i="9"/>
  <c r="K113" i="9"/>
  <c r="K105" i="9"/>
  <c r="K97" i="9"/>
  <c r="K89" i="9"/>
  <c r="K81" i="9"/>
  <c r="K73" i="9"/>
  <c r="K65" i="9"/>
  <c r="K57" i="9"/>
  <c r="K49" i="9"/>
  <c r="K41" i="9"/>
  <c r="K33" i="9"/>
  <c r="K25" i="9"/>
  <c r="K17" i="9"/>
  <c r="K9" i="9"/>
  <c r="K232" i="9"/>
  <c r="K224" i="9"/>
  <c r="K216" i="9"/>
  <c r="K208" i="9"/>
  <c r="K200" i="9"/>
  <c r="K192" i="9"/>
  <c r="K184" i="9"/>
  <c r="K176" i="9"/>
  <c r="K168" i="9"/>
  <c r="K160" i="9"/>
  <c r="K152" i="9"/>
  <c r="K144" i="9"/>
  <c r="K136" i="9"/>
  <c r="K128" i="9"/>
  <c r="K120" i="9"/>
  <c r="K112" i="9"/>
  <c r="K104" i="9"/>
  <c r="K96" i="9"/>
  <c r="K88" i="9"/>
  <c r="K80" i="9"/>
  <c r="K72" i="9"/>
  <c r="K64" i="9"/>
  <c r="K56" i="9"/>
  <c r="K48" i="9"/>
  <c r="K40" i="9"/>
  <c r="K32" i="9"/>
  <c r="K24" i="9"/>
  <c r="K16" i="9"/>
  <c r="K8" i="9"/>
  <c r="K359" i="9"/>
  <c r="K351" i="9"/>
  <c r="K343" i="9"/>
  <c r="K335" i="9"/>
  <c r="K327" i="9"/>
  <c r="K319" i="9"/>
  <c r="K311" i="9"/>
  <c r="K303" i="9"/>
  <c r="K295" i="9"/>
  <c r="K287" i="9"/>
  <c r="K279" i="9"/>
  <c r="K271" i="9"/>
  <c r="K263" i="9"/>
  <c r="K255" i="9"/>
  <c r="K247" i="9"/>
  <c r="K239" i="9"/>
  <c r="K231" i="9"/>
  <c r="K223" i="9"/>
  <c r="K215" i="9"/>
  <c r="K207" i="9"/>
  <c r="K199" i="9"/>
  <c r="K191" i="9"/>
  <c r="K183" i="9"/>
  <c r="K175" i="9"/>
  <c r="K167" i="9"/>
  <c r="K159" i="9"/>
  <c r="K151" i="9"/>
  <c r="K143" i="9"/>
  <c r="K135" i="9"/>
  <c r="K127" i="9"/>
  <c r="K119" i="9"/>
  <c r="K111" i="9"/>
  <c r="K103" i="9"/>
  <c r="K95" i="9"/>
  <c r="K87" i="9"/>
  <c r="K79" i="9"/>
  <c r="K71" i="9"/>
  <c r="K63" i="9"/>
  <c r="K55" i="9"/>
  <c r="K47" i="9"/>
  <c r="K39" i="9"/>
  <c r="K31" i="9"/>
  <c r="K23" i="9"/>
  <c r="K15" i="9"/>
  <c r="K7" i="9"/>
  <c r="K134" i="9"/>
  <c r="K126" i="9"/>
  <c r="K118" i="9"/>
  <c r="K110" i="9"/>
  <c r="K102" i="9"/>
  <c r="K94" i="9"/>
  <c r="K86" i="9"/>
  <c r="K78" i="9"/>
  <c r="K70" i="9"/>
  <c r="K62" i="9"/>
  <c r="K54" i="9"/>
  <c r="K46" i="9"/>
  <c r="K38" i="9"/>
  <c r="K30" i="9"/>
  <c r="K22" i="9"/>
  <c r="K14" i="9"/>
  <c r="K6" i="9"/>
  <c r="K301" i="9"/>
  <c r="K293" i="9"/>
  <c r="K285" i="9"/>
  <c r="K277" i="9"/>
  <c r="K269" i="9"/>
  <c r="K261" i="9"/>
  <c r="K253" i="9"/>
  <c r="K245" i="9"/>
  <c r="K237" i="9"/>
  <c r="K229" i="9"/>
  <c r="K221" i="9"/>
  <c r="K213" i="9"/>
  <c r="K205" i="9"/>
  <c r="K197" i="9"/>
  <c r="K189" i="9"/>
  <c r="K181" i="9"/>
  <c r="K173" i="9"/>
  <c r="K165" i="9"/>
  <c r="K157" i="9"/>
  <c r="K149" i="9"/>
  <c r="K141" i="9"/>
  <c r="K133" i="9"/>
  <c r="K125" i="9"/>
  <c r="K117" i="9"/>
  <c r="K109" i="9"/>
  <c r="K101" i="9"/>
  <c r="K93" i="9"/>
  <c r="K85" i="9"/>
  <c r="K77" i="9"/>
  <c r="K69" i="9"/>
  <c r="K61" i="9"/>
  <c r="K53" i="9"/>
  <c r="K45" i="9"/>
  <c r="K37" i="9"/>
  <c r="K29" i="9"/>
  <c r="K21" i="9"/>
  <c r="K13" i="9"/>
  <c r="K5" i="9"/>
</calcChain>
</file>

<file path=xl/sharedStrings.xml><?xml version="1.0" encoding="utf-8"?>
<sst xmlns="http://schemas.openxmlformats.org/spreadsheetml/2006/main" count="22066" uniqueCount="745">
  <si>
    <t>Adair Co. R-1 Schools</t>
  </si>
  <si>
    <t>Adair County R-II Schools</t>
  </si>
  <si>
    <t>Kirksville R-3 School District</t>
  </si>
  <si>
    <t>Savannah R-III Schools</t>
  </si>
  <si>
    <t>North Andrew Co. R-VI Schools</t>
  </si>
  <si>
    <t>Avenue City R-IX Schools</t>
  </si>
  <si>
    <t>Tarkio R-I Schools</t>
  </si>
  <si>
    <t>Rock Port R-II Schools</t>
  </si>
  <si>
    <t>Fairfax R-III Schools</t>
  </si>
  <si>
    <t>Van-Far R-I Schools</t>
  </si>
  <si>
    <t>Community R-VI Schools</t>
  </si>
  <si>
    <t>Mexico Public Schools</t>
  </si>
  <si>
    <t>Monett R-1 Schools</t>
  </si>
  <si>
    <t>Purdy R-II Schools</t>
  </si>
  <si>
    <t>Wheaton R-III Schools</t>
  </si>
  <si>
    <t>Cassville R-IV Schools</t>
  </si>
  <si>
    <t>Southwest R-V Schools</t>
  </si>
  <si>
    <t>Exeter R-VI Schools</t>
  </si>
  <si>
    <t>Shell Knob Public Schools</t>
  </si>
  <si>
    <t>Lamar R-1 Schools</t>
  </si>
  <si>
    <t>Liberal R-11 Schools</t>
  </si>
  <si>
    <t>Golden City R-III Schools</t>
  </si>
  <si>
    <t>Miami R-I Schools</t>
  </si>
  <si>
    <t>Ballard R-11 Schools</t>
  </si>
  <si>
    <t>Adrian R-III Schools</t>
  </si>
  <si>
    <t>Rich Hill R-IV Schools</t>
  </si>
  <si>
    <t>Butler R-V Schools</t>
  </si>
  <si>
    <t>Hume R-VIII Schools</t>
  </si>
  <si>
    <t>Hudson R-IX Schools</t>
  </si>
  <si>
    <t>Cole Camp R-1 Schools</t>
  </si>
  <si>
    <t>Lincoln R-11 Schools</t>
  </si>
  <si>
    <t>Warsaw R-IX Schools</t>
  </si>
  <si>
    <t>Meadow Heights R-II Schools</t>
  </si>
  <si>
    <t>Leopold R-III Schools</t>
  </si>
  <si>
    <t>Woodland R-IV Schools</t>
  </si>
  <si>
    <t>Zalma R-V Schools</t>
  </si>
  <si>
    <t>Southern Boone Co R-I Schools</t>
  </si>
  <si>
    <t>Boone County R-IV Schools</t>
  </si>
  <si>
    <t>Sturgeon R-V Schools</t>
  </si>
  <si>
    <t>Centralia R-VI Schools</t>
  </si>
  <si>
    <t>Harrisburg R-VIII Schools</t>
  </si>
  <si>
    <t>Columbia Public Schools</t>
  </si>
  <si>
    <t>Buchanan Co. R-IV Schools</t>
  </si>
  <si>
    <t>Mid-Buchanan Co R-V Schools</t>
  </si>
  <si>
    <t>East Buchanan Co C-1 Schools</t>
  </si>
  <si>
    <t>St. Joseph Public Schools</t>
  </si>
  <si>
    <t>Poplar BluffR-1 Schools</t>
  </si>
  <si>
    <t>Neelyville R-IV Schools</t>
  </si>
  <si>
    <t>Twin Rivers R-X Schools</t>
  </si>
  <si>
    <t>Breckenridge R-1 Schools</t>
  </si>
  <si>
    <t>Hamilton R-II Schools</t>
  </si>
  <si>
    <t>New York R-IV Schools</t>
  </si>
  <si>
    <t>Cowgill R-VI Schools</t>
  </si>
  <si>
    <t>Polo R-VII Schools</t>
  </si>
  <si>
    <t>Mirabile C-1 Schools</t>
  </si>
  <si>
    <t>Braymer C-4 Schools</t>
  </si>
  <si>
    <t>Kingston Public Schools</t>
  </si>
  <si>
    <t>North Callaway Co R-1 Schools</t>
  </si>
  <si>
    <t>Callaway County R-III Schools</t>
  </si>
  <si>
    <t>Fulton Public Schools</t>
  </si>
  <si>
    <t>Camden County R-II Schools</t>
  </si>
  <si>
    <t>Camdenton R-III Schools</t>
  </si>
  <si>
    <t>Climax Springs R-IV Schools</t>
  </si>
  <si>
    <t>Macks Creek R-5 Schools</t>
  </si>
  <si>
    <t>Jackson R-11 Schools</t>
  </si>
  <si>
    <t>Nell Holcomb R-IV Schools</t>
  </si>
  <si>
    <t>Delta R-V Schools</t>
  </si>
  <si>
    <t>Oak Ridge R-VI Schools</t>
  </si>
  <si>
    <t>Cape Girardeau Public Schools</t>
  </si>
  <si>
    <t>Hale R-I Schools</t>
  </si>
  <si>
    <t>Tina-Avalon R-11 Schools</t>
  </si>
  <si>
    <t>Bosworth R-V Schools</t>
  </si>
  <si>
    <t>Carrollton R-VII Schools</t>
  </si>
  <si>
    <t>Norborne R-VIII Schools</t>
  </si>
  <si>
    <t>Van Buren R-I Schools</t>
  </si>
  <si>
    <t>East Carter Co. R-11 Schools</t>
  </si>
  <si>
    <t>Midway R-1 Schools</t>
  </si>
  <si>
    <t>Raymore-Peculiar R-II Schools</t>
  </si>
  <si>
    <t>Pleasant Hill R-III Schools</t>
  </si>
  <si>
    <t>Cass Co. R-V Schools</t>
  </si>
  <si>
    <t>Sherwood Cass R-VIII Schools</t>
  </si>
  <si>
    <t>Harrisonville R-IX Schools</t>
  </si>
  <si>
    <t>Strasburg C-3 Schools</t>
  </si>
  <si>
    <t>Belton 124 Public Schools</t>
  </si>
  <si>
    <t>East Lynne Public Schools</t>
  </si>
  <si>
    <t>South Callaway Co R-II Schools</t>
  </si>
  <si>
    <t>East Carter Co. R-II Schools</t>
  </si>
  <si>
    <t>Drexel R-IV Schools</t>
  </si>
  <si>
    <t>El Dorado Springs R-II Schools</t>
  </si>
  <si>
    <t>Northwestern R-I Schools</t>
  </si>
  <si>
    <t>Brunswick R-II Schools</t>
  </si>
  <si>
    <t>Keytesville R-III Schools</t>
  </si>
  <si>
    <t>Salisbury R-IV Schools</t>
  </si>
  <si>
    <t>Chadwick R-I Schools</t>
  </si>
  <si>
    <t>Nixa R-II Schools</t>
  </si>
  <si>
    <t>Sparta R-III Schools</t>
  </si>
  <si>
    <t>Billings R-IV Schools</t>
  </si>
  <si>
    <t>Clever R-V Schools</t>
  </si>
  <si>
    <t>Ozark R-VI Schools</t>
  </si>
  <si>
    <t>Spokane R-VII Schools</t>
  </si>
  <si>
    <t>Clark Co. R-I Schools</t>
  </si>
  <si>
    <t>Luray 33 Public Schools</t>
  </si>
  <si>
    <t>Kearney R-1 Schools</t>
  </si>
  <si>
    <t>Smithville R-II Schools</t>
  </si>
  <si>
    <t>Excelsior Springs 40 Schools</t>
  </si>
  <si>
    <t>Liberty Public Schools</t>
  </si>
  <si>
    <t>North Kansas City Schools</t>
  </si>
  <si>
    <t>Missouri City Public Schools</t>
  </si>
  <si>
    <t>Cameron R-I Schools</t>
  </si>
  <si>
    <t>Lathrop R-II Schools</t>
  </si>
  <si>
    <t>Clinton Co. R-III Schools</t>
  </si>
  <si>
    <t>Cole County R-I Schools</t>
  </si>
  <si>
    <t>Cole Co. R-II Schools</t>
  </si>
  <si>
    <t>Jefferson City Public Schools</t>
  </si>
  <si>
    <t>Boonville R-I Schools</t>
  </si>
  <si>
    <t>Blackwater R-II Schools</t>
  </si>
  <si>
    <t>Cooper Co. R-IV Schools</t>
  </si>
  <si>
    <t>Prairie Home R-V Schools</t>
  </si>
  <si>
    <t>Otterville R-VI Schools</t>
  </si>
  <si>
    <t>Pilot Grove C-4 Schools</t>
  </si>
  <si>
    <t>Crawford Co. R-I Schools</t>
  </si>
  <si>
    <t>Crawford County R-II Schools</t>
  </si>
  <si>
    <t>Steelville R-III Schools</t>
  </si>
  <si>
    <t>Lockwood R-I Schools</t>
  </si>
  <si>
    <t>Dadeville R-II Schools</t>
  </si>
  <si>
    <t>Everton R-III Schools</t>
  </si>
  <si>
    <t>Greenfield R-IV Schools</t>
  </si>
  <si>
    <t>Dallas County R-I Schools</t>
  </si>
  <si>
    <t>Pattonsburg R-II Schools</t>
  </si>
  <si>
    <t>Stockton R-I Schools</t>
  </si>
  <si>
    <t>North Daviess Co R-III Schools</t>
  </si>
  <si>
    <t>Gallatin R-V Schools</t>
  </si>
  <si>
    <t>Winston R-VI Schools</t>
  </si>
  <si>
    <t>Tri-County R-VII Schools</t>
  </si>
  <si>
    <t>Osborn R-O Schools</t>
  </si>
  <si>
    <t>Maysville R-I Schools</t>
  </si>
  <si>
    <t>Union Star R-II Schools</t>
  </si>
  <si>
    <t>Stewartsville C-2 Schools</t>
  </si>
  <si>
    <t>Oak Hill R-I Schools</t>
  </si>
  <si>
    <t>Green Forest R-II Schools</t>
  </si>
  <si>
    <t>Dent-Phelps R-III Schools</t>
  </si>
  <si>
    <t>North Wood R-IV Schools</t>
  </si>
  <si>
    <t>Salem R-80 Schools</t>
  </si>
  <si>
    <t>Ava R-1 Schools</t>
  </si>
  <si>
    <t>Skyline R-II Schools</t>
  </si>
  <si>
    <t>Plainview R-VIII Schools</t>
  </si>
  <si>
    <t>Malden R-I Schools</t>
  </si>
  <si>
    <t>Campbell R-II Schools</t>
  </si>
  <si>
    <t>Holcomb R-III Schools</t>
  </si>
  <si>
    <t>Clarkton C-4 Schools</t>
  </si>
  <si>
    <t>Senath-Hornersville C-8 School</t>
  </si>
  <si>
    <t>Southland C-9 Schools</t>
  </si>
  <si>
    <t>Kennett 39 Public Schools</t>
  </si>
  <si>
    <t>Franklin Co. R-II Schools</t>
  </si>
  <si>
    <t>Meramec Valley R-III Schools</t>
  </si>
  <si>
    <t>Union R-XI Schools</t>
  </si>
  <si>
    <t>St. Clair R-XIII Schools</t>
  </si>
  <si>
    <t>Lonedell R-XIV Schools</t>
  </si>
  <si>
    <t>Spring BluffR-XV Schools</t>
  </si>
  <si>
    <t>Strain-Japan R-XVI Schools</t>
  </si>
  <si>
    <t>Sullivan C-2 Schools</t>
  </si>
  <si>
    <t>Washington Public Schools</t>
  </si>
  <si>
    <t>New Haven Public Schools</t>
  </si>
  <si>
    <t>Gasconade Co. R-I Schools</t>
  </si>
  <si>
    <t>Gasconade Co. R-II Schools</t>
  </si>
  <si>
    <t>King City R-I Schools</t>
  </si>
  <si>
    <t>Gentry County R-II Schools</t>
  </si>
  <si>
    <t>Albany R-III Schools</t>
  </si>
  <si>
    <t>Willard R-II Schools</t>
  </si>
  <si>
    <t>Republic R-III Schools</t>
  </si>
  <si>
    <t>Ash Grove R-IV Schools</t>
  </si>
  <si>
    <t>Walnut Grove R-V Schools</t>
  </si>
  <si>
    <t>Strafford R-VI Schools</t>
  </si>
  <si>
    <t>Fair Grove R-X Schools</t>
  </si>
  <si>
    <t>Springfield R-XII Schools</t>
  </si>
  <si>
    <t>Spickard R-II Schools</t>
  </si>
  <si>
    <t>Grundy Co. R-V Schools</t>
  </si>
  <si>
    <t>Pleasant View R-VI Schools</t>
  </si>
  <si>
    <t>Laredo R-VII Schools</t>
  </si>
  <si>
    <t>Trenton R-IX Schools</t>
  </si>
  <si>
    <t>Cainsville R-I Schools</t>
  </si>
  <si>
    <t>South Harrison Co. R-2 Schools</t>
  </si>
  <si>
    <t>North Harrison Co. R-3 Schools</t>
  </si>
  <si>
    <t>Gilman City R-IV Schools</t>
  </si>
  <si>
    <t>Ridgeway R-V Schools</t>
  </si>
  <si>
    <t>Windsor R-I Schools</t>
  </si>
  <si>
    <t>Shawnee R-III Schools</t>
  </si>
  <si>
    <t>Calhoun R-VIII Schools</t>
  </si>
  <si>
    <t>Leesville R-IX Schools</t>
  </si>
  <si>
    <t>Davis R-XII Schools</t>
  </si>
  <si>
    <t>Montrose R-XIV Schools</t>
  </si>
  <si>
    <t>Clinton School District</t>
  </si>
  <si>
    <t>Hickory County R-I Schools</t>
  </si>
  <si>
    <t>Wheatland R-II Schools</t>
  </si>
  <si>
    <t>Weaubleau R-III Schools</t>
  </si>
  <si>
    <t>Hennitage R-IV Schools</t>
  </si>
  <si>
    <t>South Holt Co. R-1 Schools</t>
  </si>
  <si>
    <t>Holt Co. R-II Schools</t>
  </si>
  <si>
    <t>Craig R-III Schools</t>
  </si>
  <si>
    <t>New Franklin R-1 Schools</t>
  </si>
  <si>
    <t>Howard County R-II Schools</t>
  </si>
  <si>
    <t>Fayette R-3 Schools</t>
  </si>
  <si>
    <t>Howell Valley R-I Schools</t>
  </si>
  <si>
    <t>Mountain View R-3 Schools</t>
  </si>
  <si>
    <t>Willow Springs R-IV Schools</t>
  </si>
  <si>
    <t>Richards R-V Schools</t>
  </si>
  <si>
    <t>West Plains R-VII Schools</t>
  </si>
  <si>
    <t>Glenwood R-VIII Schools</t>
  </si>
  <si>
    <t>Fairview R-XI Schools</t>
  </si>
  <si>
    <t>Junction Hill C-12 Schools</t>
  </si>
  <si>
    <t>South Iron Co. R-I Schools</t>
  </si>
  <si>
    <t>Arcadia Valley R-II Schools</t>
  </si>
  <si>
    <t>Belleview R-III Schools</t>
  </si>
  <si>
    <t>Iron Co. C-4 Schools</t>
  </si>
  <si>
    <t>Fort Osage R-I Schools</t>
  </si>
  <si>
    <t>Fort Osage R-1 Schools</t>
  </si>
  <si>
    <t>Greene Co. R-VIII Schools</t>
  </si>
  <si>
    <t>Blue Springs R-IV Schools</t>
  </si>
  <si>
    <t>Grain Valley R-V Schools</t>
  </si>
  <si>
    <t>Oak Grove R-VI Schools</t>
  </si>
  <si>
    <t>Lee's Summit R-VII Schools</t>
  </si>
  <si>
    <t>Hickman Mills C-1 Schools</t>
  </si>
  <si>
    <t>Raytown C-2 Schools</t>
  </si>
  <si>
    <t>Grandview C-4 Schools</t>
  </si>
  <si>
    <t>Lone Jack C-6 Schools</t>
  </si>
  <si>
    <t>Independence Public Schools</t>
  </si>
  <si>
    <t>Center Public Schools</t>
  </si>
  <si>
    <t>Carl Junction R-I Schools</t>
  </si>
  <si>
    <t>Sarcoxie R-11 Schools</t>
  </si>
  <si>
    <t>Jasper Co. R-V Schools</t>
  </si>
  <si>
    <t>Webb City R-VII Schools</t>
  </si>
  <si>
    <t>Joplin R-VIII Schools</t>
  </si>
  <si>
    <t>Carthage R-IX Schools</t>
  </si>
  <si>
    <t>Avilla R-XIII Schools</t>
  </si>
  <si>
    <t>Northwest R-I Schools</t>
  </si>
  <si>
    <t>Grandview R-11 Schools</t>
  </si>
  <si>
    <t>Hillsboro R-III Schools</t>
  </si>
  <si>
    <t>Dunklin R-V Schools</t>
  </si>
  <si>
    <t>Festus R-VI Schools</t>
  </si>
  <si>
    <t>Jefferson Co R-VII Schools</t>
  </si>
  <si>
    <t>Sunrise R-IX Schools</t>
  </si>
  <si>
    <t>Windsor C-1 Schools</t>
  </si>
  <si>
    <t>Fox C-6 Schools</t>
  </si>
  <si>
    <t>Crystal City Public Schools</t>
  </si>
  <si>
    <t>DeSoto Public Schools</t>
  </si>
  <si>
    <t>Kingsville R-I Schools</t>
  </si>
  <si>
    <t>Holden R-III Schools</t>
  </si>
  <si>
    <t>Chilhowee R-IV Schools</t>
  </si>
  <si>
    <t>Johnson Co. R-VII Schools</t>
  </si>
  <si>
    <t>Warrensburg R-VI Schools</t>
  </si>
  <si>
    <t>Knob Noster R-VIII Schools</t>
  </si>
  <si>
    <t>Leeton R-X Schools</t>
  </si>
  <si>
    <t>Knox Co. R-1 Schools</t>
  </si>
  <si>
    <t>Laclede Co. R-1 Schools</t>
  </si>
  <si>
    <t>Lebanon R-III Schools</t>
  </si>
  <si>
    <t>Gasconade C-4 Schools</t>
  </si>
  <si>
    <t>Laclede County C-5 Schools</t>
  </si>
  <si>
    <t>Concordia R-11 Schools</t>
  </si>
  <si>
    <t>Lexington R-V Schools</t>
  </si>
  <si>
    <t>Odessa R-VII Schools</t>
  </si>
  <si>
    <t xml:space="preserve"> Wellington-Napoleon R-IX Sch.</t>
  </si>
  <si>
    <t xml:space="preserve"> Santa Fe R-X Schools</t>
  </si>
  <si>
    <t xml:space="preserve"> Lafayette Co. C-1 Schools</t>
  </si>
  <si>
    <t xml:space="preserve"> Miller R-11 Schools</t>
  </si>
  <si>
    <t xml:space="preserve"> Mt. Vernon R-V Schools</t>
  </si>
  <si>
    <t xml:space="preserve"> Pierce City R-VI Schools</t>
  </si>
  <si>
    <t xml:space="preserve"> Verona R-VII Schools</t>
  </si>
  <si>
    <t xml:space="preserve"> Aurora R-VIII Schools</t>
  </si>
  <si>
    <t xml:space="preserve"> Marionville R-IX Schools</t>
  </si>
  <si>
    <t xml:space="preserve"> Canton R-V Schools</t>
  </si>
  <si>
    <t xml:space="preserve"> Lewis County C-1 Schools</t>
  </si>
  <si>
    <t xml:space="preserve"> Silex R-1 Schools</t>
  </si>
  <si>
    <t xml:space="preserve"> Elsberry R-11 Schools</t>
  </si>
  <si>
    <t xml:space="preserve"> Troy R-III Schools</t>
  </si>
  <si>
    <t xml:space="preserve"> Winfield R-IV Schools</t>
  </si>
  <si>
    <t xml:space="preserve"> Linn Co. R-1 Schools</t>
  </si>
  <si>
    <t xml:space="preserve"> Bucklin R-11 Schools</t>
  </si>
  <si>
    <t xml:space="preserve"> Brookfield R-III Schools</t>
  </si>
  <si>
    <t xml:space="preserve"> Meadville R-IV Schools</t>
  </si>
  <si>
    <t xml:space="preserve"> Marceline R-V Schools</t>
  </si>
  <si>
    <t xml:space="preserve"> SW Livingston Co. R-1 Schools</t>
  </si>
  <si>
    <t xml:space="preserve"> Chillicothe R-11 Schools</t>
  </si>
  <si>
    <t xml:space="preserve"> Livingston Co. R-III Schools</t>
  </si>
  <si>
    <t xml:space="preserve"> McDonald Co. C-1 Schools</t>
  </si>
  <si>
    <t xml:space="preserve"> Macon Co. R-1 Schools</t>
  </si>
  <si>
    <t xml:space="preserve"> LaPlata R-11 Schools</t>
  </si>
  <si>
    <t xml:space="preserve"> Macon Co. R-IV Schools</t>
  </si>
  <si>
    <t xml:space="preserve"> Atlanta C-3 Schools</t>
  </si>
  <si>
    <t xml:space="preserve"> Bevier C-4 Schools</t>
  </si>
  <si>
    <t xml:space="preserve"> Callao C-8 Schools</t>
  </si>
  <si>
    <t xml:space="preserve"> Fredericktown R-I Schools</t>
  </si>
  <si>
    <t xml:space="preserve"> Marquand Zion R-VI Schools</t>
  </si>
  <si>
    <t xml:space="preserve"> Maries Co. R-1 Schools</t>
  </si>
  <si>
    <t xml:space="preserve"> Maries Co. R-11 Schools</t>
  </si>
  <si>
    <t xml:space="preserve"> Palmyra R-1 Schools</t>
  </si>
  <si>
    <t xml:space="preserve"> Marion Co. R-11 Schools</t>
  </si>
  <si>
    <t xml:space="preserve"> Hannibal 60 Public Schools</t>
  </si>
  <si>
    <t xml:space="preserve"> North Mercer Co. R-III Schools</t>
  </si>
  <si>
    <t xml:space="preserve"> Princeton R-V Schools</t>
  </si>
  <si>
    <t xml:space="preserve"> Eldon R-1 Schools</t>
  </si>
  <si>
    <t xml:space="preserve"> School of the Osage R-11 Sch.</t>
  </si>
  <si>
    <t xml:space="preserve"> Miller County R-III Schools</t>
  </si>
  <si>
    <t xml:space="preserve"> St. Elizabeth R-IV Schools</t>
  </si>
  <si>
    <t xml:space="preserve"> Iberia R-V Schools</t>
  </si>
  <si>
    <t xml:space="preserve"> Charleston R-1 Schools</t>
  </si>
  <si>
    <t xml:space="preserve"> East Prairie R-II Schools</t>
  </si>
  <si>
    <t xml:space="preserve"> Moniteau Co. R-1 Schools</t>
  </si>
  <si>
    <t xml:space="preserve"> High Point R-III Schools</t>
  </si>
  <si>
    <t xml:space="preserve"> Moniteau Co. R-V Schools</t>
  </si>
  <si>
    <t xml:space="preserve"> Moniteau Co. R-VI Schools</t>
  </si>
  <si>
    <t xml:space="preserve"> Moniteau Co. C-1 Schools</t>
  </si>
  <si>
    <t xml:space="preserve"> Clarksburg C-2 Schools</t>
  </si>
  <si>
    <t xml:space="preserve"> Monroe City R-1 Schools</t>
  </si>
  <si>
    <t xml:space="preserve"> Paris R-11 Schools</t>
  </si>
  <si>
    <t xml:space="preserve"> Middle Grove C-1 Schools</t>
  </si>
  <si>
    <t xml:space="preserve"> Holliday C-2 Schools</t>
  </si>
  <si>
    <t xml:space="preserve"> Madison C-3 Schools</t>
  </si>
  <si>
    <t xml:space="preserve"> Wellsville Middletown R-1 Sch.</t>
  </si>
  <si>
    <t xml:space="preserve"> Montgomery Co. R-II Schools</t>
  </si>
  <si>
    <t xml:space="preserve"> Morgan Co. R-1 Schools</t>
  </si>
  <si>
    <t xml:space="preserve"> Morgan Co. R-II Schools</t>
  </si>
  <si>
    <t xml:space="preserve"> New Madrid Co. R-1 Schools</t>
  </si>
  <si>
    <t xml:space="preserve"> Risco R-II Schools</t>
  </si>
  <si>
    <t xml:space="preserve"> Gideon 37 Public Schools</t>
  </si>
  <si>
    <t xml:space="preserve"> Diamond R-IV Schools</t>
  </si>
  <si>
    <t xml:space="preserve"> Neosho R-V Schools</t>
  </si>
  <si>
    <t xml:space="preserve"> East Newton Co. R-VI Schools</t>
  </si>
  <si>
    <t xml:space="preserve"> Seneca R-VII Schools</t>
  </si>
  <si>
    <t xml:space="preserve"> Westview C-6 Schools</t>
  </si>
  <si>
    <t xml:space="preserve"> West Nodaway Co. R-1 Schools</t>
  </si>
  <si>
    <t xml:space="preserve"> Maryville R-11 Schools</t>
  </si>
  <si>
    <t xml:space="preserve"> South Nodaway Co. R-IV Schools</t>
  </si>
  <si>
    <t xml:space="preserve"> NE Nodaway Co. R-V Schools</t>
  </si>
  <si>
    <t xml:space="preserve"> North Nodaway Co. R-VI Schools</t>
  </si>
  <si>
    <t xml:space="preserve"> Nodaway-Holt R-VII Schools</t>
  </si>
  <si>
    <t xml:space="preserve"> Jefferson C-123 Schools</t>
  </si>
  <si>
    <t xml:space="preserve"> Couch R-1 Schools</t>
  </si>
  <si>
    <t xml:space="preserve"> Thayer R-II Schools</t>
  </si>
  <si>
    <t xml:space="preserve"> Oregon-Howell R-III Schools</t>
  </si>
  <si>
    <t xml:space="preserve"> Alton R-IV Schools</t>
  </si>
  <si>
    <t>  Osage County R-1 Schools</t>
  </si>
  <si>
    <t xml:space="preserve"> Osage Co. R-11 Schools</t>
  </si>
  <si>
    <t xml:space="preserve"> Osage County R-III Schools</t>
  </si>
  <si>
    <t xml:space="preserve"> Thornfield R-1 Schools</t>
  </si>
  <si>
    <t xml:space="preserve"> Dora R-III Schools</t>
  </si>
  <si>
    <t xml:space="preserve"> Bakersfield R-IV Schools</t>
  </si>
  <si>
    <t xml:space="preserve"> Gainesville R-V Schools</t>
  </si>
  <si>
    <t xml:space="preserve"> Lutie R-VI Schools</t>
  </si>
  <si>
    <t xml:space="preserve"> North Pemiscot R-I Schools</t>
  </si>
  <si>
    <t xml:space="preserve"> Hayti R-II Schools</t>
  </si>
  <si>
    <t xml:space="preserve"> Pemiscot Co. R-III Schools</t>
  </si>
  <si>
    <t xml:space="preserve"> Cooter R-IV Schools</t>
  </si>
  <si>
    <t xml:space="preserve"> South Pemiscot Co. R-V Schools</t>
  </si>
  <si>
    <t xml:space="preserve"> Delta C-7 Schools</t>
  </si>
  <si>
    <t xml:space="preserve"> Caruthersville 18 Schools</t>
  </si>
  <si>
    <t xml:space="preserve"> Perry County 32 Schools</t>
  </si>
  <si>
    <t xml:space="preserve"> Altenburg 48 Schools</t>
  </si>
  <si>
    <t xml:space="preserve"> LaMonte R-IV Schools</t>
  </si>
  <si>
    <t xml:space="preserve"> Pettis Co. R-V Schools</t>
  </si>
  <si>
    <t xml:space="preserve"> Smithton R-VI Schools</t>
  </si>
  <si>
    <t xml:space="preserve"> Green Ridge R-VIII Schools</t>
  </si>
  <si>
    <t xml:space="preserve"> Pettis Co. R-XII Schools</t>
  </si>
  <si>
    <t xml:space="preserve"> . Sedalia 200 Public Schools</t>
  </si>
  <si>
    <t xml:space="preserve"> St. James R-I Schools</t>
  </si>
  <si>
    <t xml:space="preserve"> Newburg R-II Schools</t>
  </si>
  <si>
    <t xml:space="preserve"> Phelps Co. R-III Schools</t>
  </si>
  <si>
    <t xml:space="preserve"> Rolla 31 Public Schools</t>
  </si>
  <si>
    <t xml:space="preserve"> Bowling Green R-1 Schools</t>
  </si>
  <si>
    <t xml:space="preserve"> Louisiana R-II Schools</t>
  </si>
  <si>
    <t xml:space="preserve"> Pike County R-III Schools</t>
  </si>
  <si>
    <t xml:space="preserve"> Boncl R-X Schools</t>
  </si>
  <si>
    <t xml:space="preserve"> North Platte Co. R-1 Schools</t>
  </si>
  <si>
    <t xml:space="preserve"> West Platte Co. R-II Schools</t>
  </si>
  <si>
    <t xml:space="preserve"> Platte County R-III Schools</t>
  </si>
  <si>
    <t xml:space="preserve"> Park Hill Schools</t>
  </si>
  <si>
    <t xml:space="preserve"> Bolivar R-I Schools</t>
  </si>
  <si>
    <t xml:space="preserve"> Fair Play R-II Schools</t>
  </si>
  <si>
    <t xml:space="preserve"> Halfway R-III Schools</t>
  </si>
  <si>
    <t xml:space="preserve"> Humansville R-IV Schools</t>
  </si>
  <si>
    <t xml:space="preserve"> Marion C. Early R-5 Schools</t>
  </si>
  <si>
    <t xml:space="preserve"> Pleasant Hope R-Vl Schools</t>
  </si>
  <si>
    <t xml:space="preserve"> Dixon R-1 Schools</t>
  </si>
  <si>
    <t xml:space="preserve"> Crocker R-II Schools</t>
  </si>
  <si>
    <t xml:space="preserve"> Swedeborg R-III Schools</t>
  </si>
  <si>
    <t xml:space="preserve"> Pulaski Co. R-IV Schools</t>
  </si>
  <si>
    <t xml:space="preserve"> Laquey R-V Schools</t>
  </si>
  <si>
    <t xml:space="preserve"> Waynesville R-VI Schools</t>
  </si>
  <si>
    <t xml:space="preserve"> Putnam Co. R-1 Schools</t>
  </si>
  <si>
    <t xml:space="preserve"> Ralls Co. R-II Schools</t>
  </si>
  <si>
    <t>Hancock Place Public Schools</t>
  </si>
  <si>
    <t>Jennings Public Schools</t>
  </si>
  <si>
    <t>Maplewood-Richmond Heights Sch</t>
  </si>
  <si>
    <t>Nonnandy Public Schools</t>
  </si>
  <si>
    <t>Ritenour Public Schools</t>
  </si>
  <si>
    <t>Riverview Gardens Schools</t>
  </si>
  <si>
    <t>Valley Park Public Schools</t>
  </si>
  <si>
    <t>University City Public Schools</t>
  </si>
  <si>
    <t>Webster Groves Public Schools</t>
  </si>
  <si>
    <t>Ladue Public Schools</t>
  </si>
  <si>
    <t>Parkway C-2 Schools</t>
  </si>
  <si>
    <t>Special School Dist-St. Louis</t>
  </si>
  <si>
    <t>Miami R-1 Schools</t>
  </si>
  <si>
    <t>Orearville R-IV Schools</t>
  </si>
  <si>
    <t>Malta Bend R-V Schools</t>
  </si>
  <si>
    <t>Hardeman R-X Schools</t>
  </si>
  <si>
    <t>Gilliam C-4 Schools</t>
  </si>
  <si>
    <t>Marshall Public Schools</t>
  </si>
  <si>
    <t>Slater Public Schools</t>
  </si>
  <si>
    <t>Schuyler County R-I Schools</t>
  </si>
  <si>
    <t>Scotland Co. R-I Schools</t>
  </si>
  <si>
    <t>Gorin R-III Schools</t>
  </si>
  <si>
    <t>Scott City R-I Schools</t>
  </si>
  <si>
    <t>Chaffee R-II Schools</t>
  </si>
  <si>
    <t>Oran R-III Schools</t>
  </si>
  <si>
    <t>Scott Co. R-IV Schools</t>
  </si>
  <si>
    <t>Scott County Central Schools</t>
  </si>
  <si>
    <t>Sikeston R-VI Schools</t>
  </si>
  <si>
    <t>Kelso C-7 Schools</t>
  </si>
  <si>
    <t>Eminence R-I Schools</t>
  </si>
  <si>
    <t>Winona R-III Schools</t>
  </si>
  <si>
    <t>Shelby Co. R-IV Schools</t>
  </si>
  <si>
    <t>Shelby Co. C-1 Schools</t>
  </si>
  <si>
    <t>Richland R-I Schools</t>
  </si>
  <si>
    <t>Bell City R-II Schools</t>
  </si>
  <si>
    <t>Advance R-IV Schools</t>
  </si>
  <si>
    <t>Puxico R-VIII Schools</t>
  </si>
  <si>
    <t>Dexter R-XI Schools</t>
  </si>
  <si>
    <t>Bernie R-XIII Schools</t>
  </si>
  <si>
    <t>Bloomfield R-XIV Schools</t>
  </si>
  <si>
    <t>Hurley R-I Schools</t>
  </si>
  <si>
    <t>Galena R-II Schools</t>
  </si>
  <si>
    <t>Crane R-III Schools</t>
  </si>
  <si>
    <t>Reeds Spring R-IV Schools</t>
  </si>
  <si>
    <t>Blue Eye R-V Schools</t>
  </si>
  <si>
    <t>Green City R-I Schools</t>
  </si>
  <si>
    <t>Newtown-Harris R-III Schools</t>
  </si>
  <si>
    <t>Milan C-2 Schools</t>
  </si>
  <si>
    <t>Bradleyville R-I Schools</t>
  </si>
  <si>
    <t>Taneyville R-II Schools</t>
  </si>
  <si>
    <t>Forsyth R-III Schools</t>
  </si>
  <si>
    <t>Branson R-IV Schools</t>
  </si>
  <si>
    <t>Hollister R-V Schools</t>
  </si>
  <si>
    <t>Kirbyville R-VI Schools</t>
  </si>
  <si>
    <t>Mark Twain R-VIII Schools</t>
  </si>
  <si>
    <t>Houston R-I Schools</t>
  </si>
  <si>
    <t>Summersville R-II Schools</t>
  </si>
  <si>
    <t>Cabool R-IV Schools</t>
  </si>
  <si>
    <t>Plato R-V Schools</t>
  </si>
  <si>
    <t>Success R-VI Schools</t>
  </si>
  <si>
    <t>Raymondville R-VII Schools</t>
  </si>
  <si>
    <t>Licking R-VIII Schools</t>
  </si>
  <si>
    <t>Northeast Vernon Co. R-I</t>
  </si>
  <si>
    <t>Nevada R-V Schools</t>
  </si>
  <si>
    <t>Bronaugh R-VII Schools</t>
  </si>
  <si>
    <t>Sheldon R-VIII Schools</t>
  </si>
  <si>
    <t>Wright City R-II Schools</t>
  </si>
  <si>
    <t>Warren Co. R-III Schools</t>
  </si>
  <si>
    <t>Potosi R-III Schools</t>
  </si>
  <si>
    <t>Valley R-VI Schools</t>
  </si>
  <si>
    <t>Richwoods R-VII Schools</t>
  </si>
  <si>
    <t>Kingston K-14 Schools</t>
  </si>
  <si>
    <t>Clearwater R-I Schools</t>
  </si>
  <si>
    <t>Greenville R-II Schools</t>
  </si>
  <si>
    <t>Marshfield R-I Schools</t>
  </si>
  <si>
    <t>Seymour R-II Schools</t>
  </si>
  <si>
    <t>Fordland R-III Schools</t>
  </si>
  <si>
    <t>Niangua R-5 Schools</t>
  </si>
  <si>
    <t>Worth Co. R-III Schools</t>
  </si>
  <si>
    <t>Norwood R-I Schools</t>
  </si>
  <si>
    <t>Hartville R-II Schools</t>
  </si>
  <si>
    <t>Mountain Grove R-III Schools</t>
  </si>
  <si>
    <t>Mansfield R-IV Schools</t>
  </si>
  <si>
    <t>Manes R-V Schools</t>
  </si>
  <si>
    <t>Portageville Schools</t>
  </si>
  <si>
    <t>Three Rivers Community College</t>
  </si>
  <si>
    <t>Metropolitan Community College</t>
  </si>
  <si>
    <t>Crowder College</t>
  </si>
  <si>
    <t>North Central Missouri College</t>
  </si>
  <si>
    <t>Westran R-1 Schools</t>
  </si>
  <si>
    <t>NE Randolph R-IV Schools</t>
  </si>
  <si>
    <t>Renick R-V Schools</t>
  </si>
  <si>
    <t>Higbee R-VIII Schools</t>
  </si>
  <si>
    <t>Moberly Public Schools</t>
  </si>
  <si>
    <t>Orrick R-XI Schools</t>
  </si>
  <si>
    <t>Lawson R-XIV Schools</t>
  </si>
  <si>
    <t>Richmond R-XVI Schools</t>
  </si>
  <si>
    <t>Hardin-Central C-2 Schools</t>
  </si>
  <si>
    <t>Centerville R-1 Schools</t>
  </si>
  <si>
    <t>Southern Reynolds R-11 Schools</t>
  </si>
  <si>
    <t>Bunker R-III Schools</t>
  </si>
  <si>
    <t>Lesterville R-IV Schools</t>
  </si>
  <si>
    <t>Doniphan R-1 Schools</t>
  </si>
  <si>
    <t>Naylor R-11 Schools</t>
  </si>
  <si>
    <t>Ripley Co. R-III Schools</t>
  </si>
  <si>
    <t>Ripley Co. R-IV Schools</t>
  </si>
  <si>
    <t>Ft. Zumwalt R-II Schools</t>
  </si>
  <si>
    <t>Francis Howell R-III Schools</t>
  </si>
  <si>
    <t>Wentzville R-IV Schools</t>
  </si>
  <si>
    <t>Orchard Farm R-V Schools</t>
  </si>
  <si>
    <t>St. Charles Co. R-VI Schools</t>
  </si>
  <si>
    <t>Appleton City R-II Schools</t>
  </si>
  <si>
    <t>Roscoe C-1 Schools</t>
  </si>
  <si>
    <t>Lakeland R-III Schools</t>
  </si>
  <si>
    <t>Osceola Schools</t>
  </si>
  <si>
    <t>N. St. Francois R-1 Schools</t>
  </si>
  <si>
    <t>Central R-III Schools</t>
  </si>
  <si>
    <t>W. St. Francois R-IV Schools</t>
  </si>
  <si>
    <t>Bismarck R-V Schools</t>
  </si>
  <si>
    <t>Farmington R-VII Schools</t>
  </si>
  <si>
    <t>Ste. Genevieve R-II Schools</t>
  </si>
  <si>
    <t>Hazelwood R-1 Schools</t>
  </si>
  <si>
    <t>Ferguson-Florissant R-11 School</t>
  </si>
  <si>
    <t>Pattonville R-III Schools</t>
  </si>
  <si>
    <t>Rockwood R-VI Schools</t>
  </si>
  <si>
    <t>Kirkwood R-VII Schools</t>
  </si>
  <si>
    <t>Lindbergh R-VIII Schools</t>
  </si>
  <si>
    <t>Mehlville R-IX Schools</t>
  </si>
  <si>
    <t>Affton 101 Schools</t>
  </si>
  <si>
    <t>Bayless Public Schools</t>
  </si>
  <si>
    <t>Brentwood Public Schools</t>
  </si>
  <si>
    <t>Clayton Public Schools</t>
  </si>
  <si>
    <t>employer_number</t>
  </si>
  <si>
    <t>district_name</t>
  </si>
  <si>
    <t>district_contributions</t>
  </si>
  <si>
    <r>
      <t xml:space="preserve">Cole Co. </t>
    </r>
    <r>
      <rPr>
        <b/>
        <sz val="12"/>
        <color theme="1"/>
        <rFont val="Aptos Narrow"/>
        <scheme val="minor"/>
      </rPr>
      <t xml:space="preserve">R-V </t>
    </r>
    <r>
      <rPr>
        <sz val="12"/>
        <color theme="1"/>
        <rFont val="Aptos Narrow"/>
        <scheme val="minor"/>
      </rPr>
      <t>Schools</t>
    </r>
  </si>
  <si>
    <r>
      <t xml:space="preserve">MO State </t>
    </r>
    <r>
      <rPr>
        <sz val="12"/>
        <color rgb="FF030303"/>
        <rFont val="Aptos Narrow"/>
        <scheme val="minor"/>
      </rPr>
      <t>Teachers Association</t>
    </r>
  </si>
  <si>
    <r>
      <t xml:space="preserve">MO </t>
    </r>
    <r>
      <rPr>
        <sz val="12"/>
        <color rgb="FF111111"/>
        <rFont val="Aptos Narrow"/>
        <scheme val="minor"/>
      </rPr>
      <t xml:space="preserve">High </t>
    </r>
    <r>
      <rPr>
        <sz val="12"/>
        <color rgb="FF030303"/>
        <rFont val="Aptos Narrow"/>
        <scheme val="minor"/>
      </rPr>
      <t xml:space="preserve">School </t>
    </r>
    <r>
      <rPr>
        <sz val="12"/>
        <color rgb="FF111111"/>
        <rFont val="Aptos Narrow"/>
        <scheme val="minor"/>
      </rPr>
      <t xml:space="preserve">Act. </t>
    </r>
    <r>
      <rPr>
        <sz val="12"/>
        <color rgb="FF030303"/>
        <rFont val="Aptos Narrow"/>
        <scheme val="minor"/>
      </rPr>
      <t>Assoc</t>
    </r>
    <r>
      <rPr>
        <sz val="12"/>
        <color rgb="FF343434"/>
        <rFont val="Aptos Narrow"/>
        <scheme val="minor"/>
      </rPr>
      <t>.</t>
    </r>
  </si>
  <si>
    <r>
      <t xml:space="preserve">Dept. of </t>
    </r>
    <r>
      <rPr>
        <sz val="12"/>
        <color rgb="FF111111"/>
        <rFont val="Aptos Narrow"/>
        <scheme val="minor"/>
      </rPr>
      <t xml:space="preserve">Elem. &amp; </t>
    </r>
    <r>
      <rPr>
        <sz val="12"/>
        <color rgb="FF030303"/>
        <rFont val="Aptos Narrow"/>
        <scheme val="minor"/>
      </rPr>
      <t xml:space="preserve">Secondary </t>
    </r>
    <r>
      <rPr>
        <sz val="12"/>
        <color rgb="FF111111"/>
        <rFont val="Aptos Narrow"/>
        <scheme val="minor"/>
      </rPr>
      <t>Ed.</t>
    </r>
  </si>
  <si>
    <r>
      <t xml:space="preserve">Division </t>
    </r>
    <r>
      <rPr>
        <sz val="12"/>
        <color rgb="FF7E7E7E"/>
        <rFont val="Aptos Narrow"/>
        <scheme val="minor"/>
      </rPr>
      <t>.</t>
    </r>
    <r>
      <rPr>
        <sz val="12"/>
        <color rgb="FF111111"/>
        <rFont val="Aptos Narrow"/>
        <scheme val="minor"/>
      </rPr>
      <t xml:space="preserve">of Youth </t>
    </r>
    <r>
      <rPr>
        <sz val="12"/>
        <color rgb="FF030303"/>
        <rFont val="Aptos Narrow"/>
        <scheme val="minor"/>
      </rPr>
      <t>Services</t>
    </r>
  </si>
  <si>
    <r>
      <t xml:space="preserve">Coop. </t>
    </r>
    <r>
      <rPr>
        <sz val="12"/>
        <color rgb="FF030303"/>
        <rFont val="Aptos Narrow"/>
        <scheme val="minor"/>
      </rPr>
      <t>Sch. Dist. of St. Louis</t>
    </r>
  </si>
  <si>
    <r>
      <t xml:space="preserve">Missouri </t>
    </r>
    <r>
      <rPr>
        <sz val="12"/>
        <color rgb="FF030303"/>
        <rFont val="Aptos Narrow"/>
        <scheme val="minor"/>
      </rPr>
      <t>Council of School Administrators</t>
    </r>
  </si>
  <si>
    <r>
      <t xml:space="preserve">Pemiscot </t>
    </r>
    <r>
      <rPr>
        <sz val="12"/>
        <color rgb="FF111111"/>
        <rFont val="Aptos Narrow"/>
        <scheme val="minor"/>
      </rPr>
      <t xml:space="preserve">Co. </t>
    </r>
    <r>
      <rPr>
        <sz val="12"/>
        <color rgb="FF030303"/>
        <rFont val="Aptos Narrow"/>
        <scheme val="minor"/>
      </rPr>
      <t>Special Schools</t>
    </r>
  </si>
  <si>
    <r>
      <t xml:space="preserve">East </t>
    </r>
    <r>
      <rPr>
        <sz val="12"/>
        <color rgb="FF030303"/>
        <rFont val="Aptos Narrow"/>
        <scheme val="minor"/>
      </rPr>
      <t xml:space="preserve">Central </t>
    </r>
    <r>
      <rPr>
        <sz val="12"/>
        <color rgb="FF111111"/>
        <rFont val="Aptos Narrow"/>
        <scheme val="minor"/>
      </rPr>
      <t>College</t>
    </r>
  </si>
  <si>
    <r>
      <t xml:space="preserve">Jefferson </t>
    </r>
    <r>
      <rPr>
        <sz val="12"/>
        <color rgb="FF030303"/>
        <rFont val="Aptos Narrow"/>
        <scheme val="minor"/>
      </rPr>
      <t>College</t>
    </r>
  </si>
  <si>
    <r>
      <t xml:space="preserve">State Fair </t>
    </r>
    <r>
      <rPr>
        <sz val="12"/>
        <color rgb="FF030303"/>
        <rFont val="Aptos Narrow"/>
        <scheme val="minor"/>
      </rPr>
      <t>Community College</t>
    </r>
  </si>
  <si>
    <r>
      <t xml:space="preserve">Moberly Area Community </t>
    </r>
    <r>
      <rPr>
        <sz val="12"/>
        <color rgb="FF111111"/>
        <rFont val="Aptos Narrow"/>
        <scheme val="minor"/>
      </rPr>
      <t>College</t>
    </r>
  </si>
  <si>
    <r>
      <t xml:space="preserve">Mineral </t>
    </r>
    <r>
      <rPr>
        <sz val="12"/>
        <color rgb="FF030303"/>
        <rFont val="Aptos Narrow"/>
        <scheme val="minor"/>
      </rPr>
      <t>Area Community College</t>
    </r>
  </si>
  <si>
    <r>
      <t xml:space="preserve">St. </t>
    </r>
    <r>
      <rPr>
        <sz val="12"/>
        <color rgb="FF111111"/>
        <rFont val="Aptos Narrow"/>
        <scheme val="minor"/>
      </rPr>
      <t xml:space="preserve">Louis Community </t>
    </r>
    <r>
      <rPr>
        <sz val="12"/>
        <color rgb="FF030303"/>
        <rFont val="Aptos Narrow"/>
        <scheme val="minor"/>
      </rPr>
      <t>College</t>
    </r>
  </si>
  <si>
    <r>
      <t xml:space="preserve">St. </t>
    </r>
    <r>
      <rPr>
        <sz val="12"/>
        <color rgb="FF111111"/>
        <rFont val="Aptos Narrow"/>
        <scheme val="minor"/>
      </rPr>
      <t xml:space="preserve">Charles </t>
    </r>
    <r>
      <rPr>
        <sz val="12"/>
        <color rgb="FF030303"/>
        <rFont val="Aptos Narrow"/>
        <scheme val="minor"/>
      </rPr>
      <t>Comm. College</t>
    </r>
  </si>
  <si>
    <r>
      <t xml:space="preserve">Ozarks </t>
    </r>
    <r>
      <rPr>
        <sz val="12"/>
        <color rgb="FF111111"/>
        <rFont val="Aptos Narrow"/>
        <scheme val="minor"/>
      </rPr>
      <t xml:space="preserve">Technical Comm. </t>
    </r>
    <r>
      <rPr>
        <sz val="12"/>
        <color rgb="FF030303"/>
        <rFont val="Aptos Narrow"/>
        <scheme val="minor"/>
      </rPr>
      <t>College</t>
    </r>
  </si>
  <si>
    <t>Monett R-I Schools</t>
  </si>
  <si>
    <t>Lamar R-I Schools</t>
  </si>
  <si>
    <t>Liberal R-II Schools</t>
  </si>
  <si>
    <t>Ballard R-II Schools</t>
  </si>
  <si>
    <t>Cole Camp R-I Schools</t>
  </si>
  <si>
    <t>Lincoln R-II Schools</t>
  </si>
  <si>
    <t>Poplar Bluff R-I Schools</t>
  </si>
  <si>
    <t>North Callaway Co R-I Schools</t>
  </si>
  <si>
    <t>Jackson R-II Schools</t>
  </si>
  <si>
    <t>Tina-Avalon R-II Schools</t>
  </si>
  <si>
    <t>Midway R-I Schools</t>
  </si>
  <si>
    <t>-</t>
  </si>
  <si>
    <t>Cole Co. R-V Schools</t>
  </si>
  <si>
    <t>Ava R-I Schools</t>
  </si>
  <si>
    <t>Spring Bluff R-XV Schools</t>
  </si>
  <si>
    <t>Hermitage R-IV Schools</t>
  </si>
  <si>
    <t>Sarcoxie R-II Schools</t>
  </si>
  <si>
    <t>Grandview R-II Schools</t>
  </si>
  <si>
    <t>Knox Co. R-I Schools</t>
  </si>
  <si>
    <t>Laclede Co. R-I Schools</t>
  </si>
  <si>
    <t>Concordia R-II Schools</t>
  </si>
  <si>
    <t xml:space="preserve"> Miller R-II Schools</t>
  </si>
  <si>
    <t xml:space="preserve"> Silex R-I Schools</t>
  </si>
  <si>
    <t xml:space="preserve"> Elsberry R-II Schools</t>
  </si>
  <si>
    <t xml:space="preserve"> Linn Co. R-I Schools</t>
  </si>
  <si>
    <t xml:space="preserve"> Bucklin R-II Schools</t>
  </si>
  <si>
    <t xml:space="preserve"> Chillicothe R-II Schools</t>
  </si>
  <si>
    <t xml:space="preserve"> LaPlata R-II Schools</t>
  </si>
  <si>
    <t xml:space="preserve"> Maries Co. R-I Schools</t>
  </si>
  <si>
    <t xml:space="preserve"> Maries Co. R-II Schools</t>
  </si>
  <si>
    <t xml:space="preserve"> Palmyra R-I Schools</t>
  </si>
  <si>
    <t xml:space="preserve"> Marion Co. R-II Schools</t>
  </si>
  <si>
    <t xml:space="preserve"> Eldon R-I Schools</t>
  </si>
  <si>
    <t xml:space="preserve"> School of the Osage R-II Sch.</t>
  </si>
  <si>
    <t>Iberia R-V Schools</t>
  </si>
  <si>
    <t>Charleston R-I Schools</t>
  </si>
  <si>
    <t>East Prairie R-II Schools</t>
  </si>
  <si>
    <t>Moniteau Co. R-I Schools</t>
  </si>
  <si>
    <t>High Point R-III Schools</t>
  </si>
  <si>
    <t>Moniteau Co. R-V Schools</t>
  </si>
  <si>
    <t>Moniteau Co. R-VI Schools</t>
  </si>
  <si>
    <t>Moniteau Co. C-1 Schools</t>
  </si>
  <si>
    <t>Clarksburg C-2 Schools</t>
  </si>
  <si>
    <t>Monroe City R-I Schools</t>
  </si>
  <si>
    <t>Paris R-II Schools</t>
  </si>
  <si>
    <t>Middle Grove C-1 Schools</t>
  </si>
  <si>
    <t>Holliday C-2 Schools</t>
  </si>
  <si>
    <t>Madison C-3 Schools</t>
  </si>
  <si>
    <t>Wellsville Middletown R-1 Sch.</t>
  </si>
  <si>
    <t>Montgomery Co. R-II Schools</t>
  </si>
  <si>
    <t>Morgan Co. R-I Schools</t>
  </si>
  <si>
    <t>Morgan Co. R-II Schools</t>
  </si>
  <si>
    <t>New Madrid Co. R-I Schools</t>
  </si>
  <si>
    <t>Risco R-II Schools</t>
  </si>
  <si>
    <t>Gideon 37 Public Schools</t>
  </si>
  <si>
    <t>Diamond R-IV Schools</t>
  </si>
  <si>
    <t>Neosho R-V Schools</t>
  </si>
  <si>
    <t>East Newton Co. R-VI Schools</t>
  </si>
  <si>
    <t>Seneca R-VII Schools</t>
  </si>
  <si>
    <t>Westview C-6 Schools</t>
  </si>
  <si>
    <t>West Nodaway Co. R-I Schools</t>
  </si>
  <si>
    <t>Maryville R-II Schools</t>
  </si>
  <si>
    <t>South Nodaway Co. R-IV Schools</t>
  </si>
  <si>
    <t>NE Nodaway Co. R-V Schools</t>
  </si>
  <si>
    <t>North Nodaway Co. R-VI Schools</t>
  </si>
  <si>
    <t>Nodaway-Holt R-VII Schools</t>
  </si>
  <si>
    <t>Jefferson C-123 Schools</t>
  </si>
  <si>
    <t>Couch R-I Schools</t>
  </si>
  <si>
    <t>Thayer R-II Schools</t>
  </si>
  <si>
    <t>Oregon-Howell R-III Schools</t>
  </si>
  <si>
    <t>Alton R-IV Schools</t>
  </si>
  <si>
    <t>Osage County R-I Schools</t>
  </si>
  <si>
    <t>Osage Co. R-II Schools</t>
  </si>
  <si>
    <t>Osage County R-III Schools</t>
  </si>
  <si>
    <t>Thornfield R-I Schools</t>
  </si>
  <si>
    <t>Dora R-III Schools</t>
  </si>
  <si>
    <t>Bakersfield R-IV Schools</t>
  </si>
  <si>
    <t>Gainesville R-V Schools</t>
  </si>
  <si>
    <t>Lutie R-VI Schools</t>
  </si>
  <si>
    <t>North Pemiscot R-I Schools</t>
  </si>
  <si>
    <t>Hayti R-II Schools</t>
  </si>
  <si>
    <t>Pemiscot Co. R-III Schools</t>
  </si>
  <si>
    <t>Cooter R-IV Schools</t>
  </si>
  <si>
    <t>South Pemiscot Co. R-V Schools</t>
  </si>
  <si>
    <t>Delta C-7 Schools</t>
  </si>
  <si>
    <t>Caruthersville 18 Schools</t>
  </si>
  <si>
    <t>Perry County 32 Schools</t>
  </si>
  <si>
    <t>Altenburg 48 Schools</t>
  </si>
  <si>
    <t>LaMonte R-IV Schools</t>
  </si>
  <si>
    <t>Pettis Co. R-V Schools</t>
  </si>
  <si>
    <t>Smithton R-VI Schools</t>
  </si>
  <si>
    <t>Green Ridge R-VIII Schools</t>
  </si>
  <si>
    <t>Pettis Co. R-XII Schools</t>
  </si>
  <si>
    <t>Sedalia 200 Public Schools</t>
  </si>
  <si>
    <t>St. James R-I Schools</t>
  </si>
  <si>
    <t>Newburg R-II Schools</t>
  </si>
  <si>
    <t>Phelps Co. R-III Schools</t>
  </si>
  <si>
    <t>Rolla 31 Public Schools</t>
  </si>
  <si>
    <t>Bowling Green R-I Schools</t>
  </si>
  <si>
    <t>Louisiana R-II Schools</t>
  </si>
  <si>
    <t>Pike County R-III Schools</t>
  </si>
  <si>
    <t>Boncl R-X Schools</t>
  </si>
  <si>
    <t>North Platte Co. R-1 Schools</t>
  </si>
  <si>
    <t>West Platte Co. R-II Schools</t>
  </si>
  <si>
    <t>Platte County R-III Schools</t>
  </si>
  <si>
    <t>Park Hill Schools</t>
  </si>
  <si>
    <t>Bolivar R-I Schools</t>
  </si>
  <si>
    <t>Fair Play R-II Schools</t>
  </si>
  <si>
    <t>Halfway R-III Schools</t>
  </si>
  <si>
    <t>Humansville R-IV Schools</t>
  </si>
  <si>
    <t>Marion C. Early R-5 Schools</t>
  </si>
  <si>
    <t>Pleasant Hope R-VI Schools</t>
  </si>
  <si>
    <t>Dixon R-1 Schools</t>
  </si>
  <si>
    <t>Crocker R-II Schools</t>
  </si>
  <si>
    <t>Swedeborg R-III Schools</t>
  </si>
  <si>
    <t>Pulaski Co. R-IV Schools</t>
  </si>
  <si>
    <t>Laquey R-V Schools</t>
  </si>
  <si>
    <t>Waynesville R-VI Schools</t>
  </si>
  <si>
    <t>Putnam Co. R-I Schools</t>
  </si>
  <si>
    <t>Ralls Co. R-II Schools</t>
  </si>
  <si>
    <t>Westran R-I Schools</t>
  </si>
  <si>
    <t>Centerville R-I Schools</t>
  </si>
  <si>
    <t>Southern Reynolds R-II Schools</t>
  </si>
  <si>
    <t>Doniphan R-I Schools</t>
  </si>
  <si>
    <t>Naylor R-II Schools</t>
  </si>
  <si>
    <t>N. St. Francois R-I Schools</t>
  </si>
  <si>
    <t>Hazelwood R-I Schools</t>
  </si>
  <si>
    <t>Ferguson-Florissant R-II School</t>
  </si>
  <si>
    <t>Normandy Public Schools</t>
  </si>
  <si>
    <t>Sweet Springs R-VII Schools</t>
  </si>
  <si>
    <t>MO State Teachers Association</t>
  </si>
  <si>
    <t>MO High School Act. Assoc.</t>
  </si>
  <si>
    <t>Dept. of Elem. &amp; Secondary Ed.</t>
  </si>
  <si>
    <t>Division of Youth Services</t>
  </si>
  <si>
    <t>Coop. Sch. Dist. of St. Louis</t>
  </si>
  <si>
    <t>Missouri Council of School Administrators</t>
  </si>
  <si>
    <t>Pemiscot Co. Special Schools</t>
  </si>
  <si>
    <t>East Central College</t>
  </si>
  <si>
    <t>Jefferson College</t>
  </si>
  <si>
    <t>State Fair Community College</t>
  </si>
  <si>
    <t>Moberly Area Community College</t>
  </si>
  <si>
    <t>Mineral Area Community College</t>
  </si>
  <si>
    <t>St. Louis Community College</t>
  </si>
  <si>
    <t>St. Charles Comm. College</t>
  </si>
  <si>
    <t>Ozarks Technical Comm. College</t>
  </si>
  <si>
    <t>Check</t>
  </si>
  <si>
    <t>Wellington-Napoleon R-IX Sch.</t>
  </si>
  <si>
    <t>Santa Fe R-X Schools</t>
  </si>
  <si>
    <t>Lafayette Co. C-1 Schools</t>
  </si>
  <si>
    <t>Miller R-II Schools</t>
  </si>
  <si>
    <t>Mt. Vernon R-V Schools</t>
  </si>
  <si>
    <t>Pierce City R-VI Schools</t>
  </si>
  <si>
    <t>Verona R-VII Schools</t>
  </si>
  <si>
    <t>Aurora R-VIII Schools</t>
  </si>
  <si>
    <t>Marionville R-IX Schools</t>
  </si>
  <si>
    <t>Canton R-V Schools</t>
  </si>
  <si>
    <t>Lewis County C-1 Schools</t>
  </si>
  <si>
    <t>Silex R-I Schools</t>
  </si>
  <si>
    <t>Elsberry R-II Schools</t>
  </si>
  <si>
    <t>Troy R-III Schools</t>
  </si>
  <si>
    <t>Winfield R-IV Schools</t>
  </si>
  <si>
    <t>Linn Co. R-I Schools</t>
  </si>
  <si>
    <t>Bucklin R-II Schools</t>
  </si>
  <si>
    <t>Brookfield R-III Schools</t>
  </si>
  <si>
    <t>Meadville R-IV Schools</t>
  </si>
  <si>
    <t>Marceline R-V Schools</t>
  </si>
  <si>
    <t>SW Livingston Co. R-1 Schools</t>
  </si>
  <si>
    <t>Chillicothe R-II Schools</t>
  </si>
  <si>
    <t>Livingston Co. R-III Schools</t>
  </si>
  <si>
    <t>McDonald Co. C-1 Schools</t>
  </si>
  <si>
    <t>Macon Co. R-1 Schools</t>
  </si>
  <si>
    <t>LaPlata R-II Schools</t>
  </si>
  <si>
    <t>Macon Co. R-IV Schools</t>
  </si>
  <si>
    <t>Atlanta C-3 Schools</t>
  </si>
  <si>
    <t>Bevier C-4 Schools</t>
  </si>
  <si>
    <t>Callao C-8 Schools</t>
  </si>
  <si>
    <t>Fredericktown R-I Schools</t>
  </si>
  <si>
    <t>Marquand Zion R-VI Schools</t>
  </si>
  <si>
    <t>Maries Co. R-I Schools</t>
  </si>
  <si>
    <t>Maries Co. R-II Schools</t>
  </si>
  <si>
    <t>Palmyra R-I Schools</t>
  </si>
  <si>
    <t>Marion Co. R-II Schools</t>
  </si>
  <si>
    <t>Hannibal 60 Public Schools</t>
  </si>
  <si>
    <t>North Mercer Co. R-III Schools</t>
  </si>
  <si>
    <t>Princeton R-V Schools</t>
  </si>
  <si>
    <t>Eldon R-I Schools</t>
  </si>
  <si>
    <t>School of the Osage R-II Sch.</t>
  </si>
  <si>
    <t>Miller County R-III Schools</t>
  </si>
  <si>
    <t>St. Elizabeth R-IV Schools</t>
  </si>
  <si>
    <t>Year</t>
  </si>
  <si>
    <t>count</t>
  </si>
  <si>
    <t>LEAID</t>
  </si>
  <si>
    <t/>
  </si>
  <si>
    <t>peers_district_contributions</t>
  </si>
  <si>
    <t>psrs_district_contributions</t>
  </si>
  <si>
    <t>LEAID_match</t>
  </si>
  <si>
    <t>SLPS</t>
  </si>
  <si>
    <t>St. Louis Public Schools</t>
  </si>
  <si>
    <t>State</t>
  </si>
  <si>
    <t>Missouri</t>
  </si>
  <si>
    <t>MO</t>
  </si>
  <si>
    <t>state_abv</t>
  </si>
  <si>
    <t>plan</t>
  </si>
  <si>
    <t>Public Education Employee Retirement System of Missouri</t>
  </si>
  <si>
    <t>Public School Retirement System of the City of 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</si>
</sst>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9" formatCode="_(* #,##0_);_(* \(#,##0\);_(* &quot;-&quot;??_);_(@_)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Arial"/>
      <family val="2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i/>
      <sz val="5"/>
      <color theme="1"/>
      <name val="Menlo"/>
      <family val="2"/>
    </font>
    <font>
      <sz val="10"/>
      <color rgb="FF030303"/>
      <name val="Times New Roman"/>
      <family val="1"/>
    </font>
    <font>
      <sz val="10"/>
      <color rgb="FF111111"/>
      <name val="Times New Roman"/>
      <family val="1"/>
    </font>
    <font>
      <u/>
      <sz val="10"/>
      <color rgb="FF030303"/>
      <name val="Times New Roman"/>
      <family val="1"/>
    </font>
    <font>
      <sz val="9.5"/>
      <color theme="1"/>
      <name val="Times New Roman"/>
      <family val="1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30303"/>
      <name val="Aptos Narrow"/>
      <scheme val="minor"/>
    </font>
    <font>
      <sz val="12"/>
      <color rgb="FF111111"/>
      <name val="Aptos Narrow"/>
      <scheme val="minor"/>
    </font>
    <font>
      <sz val="12"/>
      <color rgb="FF343434"/>
      <name val="Aptos Narrow"/>
      <scheme val="minor"/>
    </font>
    <font>
      <sz val="12"/>
      <color rgb="FF7E7E7E"/>
      <name val="Aptos Narrow"/>
      <scheme val="minor"/>
    </font>
    <font>
      <sz val="12"/>
      <color rgb="FFFF0000"/>
      <name val="Aptos Narrow"/>
      <scheme val="minor"/>
    </font>
    <font>
      <u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10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6" fillId="0" borderId="0" xfId="0" applyFont="1"/>
    <xf numFmtId="10" fontId="2" fillId="0" borderId="0" xfId="0" applyNumberFormat="1" applyFont="1" applyAlignment="1"/>
    <xf numFmtId="0" fontId="2" fillId="0" borderId="0" xfId="0" applyFont="1" applyAlignment="1"/>
    <xf numFmtId="3" fontId="2" fillId="0" borderId="0" xfId="0" applyNumberFormat="1" applyFont="1" applyAlignme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10" fontId="12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 indent="2"/>
    </xf>
    <xf numFmtId="0" fontId="13" fillId="0" borderId="0" xfId="0" applyFont="1" applyAlignment="1">
      <alignment vertical="center" wrapText="1"/>
    </xf>
    <xf numFmtId="3" fontId="13" fillId="0" borderId="0" xfId="0" applyNumberFormat="1" applyFont="1" applyAlignment="1">
      <alignment horizontal="right" vertical="center" wrapText="1"/>
    </xf>
    <xf numFmtId="10" fontId="13" fillId="0" borderId="0" xfId="0" applyNumberFormat="1" applyFont="1" applyAlignment="1">
      <alignment horizontal="left" vertical="center" wrapText="1" indent="2"/>
    </xf>
    <xf numFmtId="3" fontId="13" fillId="0" borderId="0" xfId="0" applyNumberFormat="1" applyFont="1" applyAlignment="1">
      <alignment horizontal="left" vertical="center" wrapText="1" indent="7"/>
    </xf>
    <xf numFmtId="10" fontId="13" fillId="0" borderId="0" xfId="0" applyNumberFormat="1" applyFont="1" applyAlignment="1">
      <alignment horizontal="right" vertical="center" wrapText="1"/>
    </xf>
    <xf numFmtId="3" fontId="13" fillId="0" borderId="0" xfId="0" applyNumberFormat="1" applyFont="1" applyAlignment="1">
      <alignment horizontal="left" vertical="center" wrapText="1" indent="15"/>
    </xf>
    <xf numFmtId="3" fontId="13" fillId="0" borderId="0" xfId="0" applyNumberFormat="1" applyFont="1" applyAlignment="1">
      <alignment horizontal="left" vertical="center" wrapText="1" indent="6"/>
    </xf>
    <xf numFmtId="3" fontId="13" fillId="0" borderId="0" xfId="0" applyNumberFormat="1" applyFont="1" applyAlignment="1">
      <alignment horizontal="left" vertical="center" wrapText="1" indent="8"/>
    </xf>
    <xf numFmtId="3" fontId="13" fillId="0" borderId="0" xfId="0" applyNumberFormat="1" applyFont="1" applyAlignment="1">
      <alignment horizontal="left" vertical="center" wrapText="1" indent="5"/>
    </xf>
    <xf numFmtId="10" fontId="13" fillId="0" borderId="0" xfId="0" applyNumberFormat="1" applyFont="1" applyAlignment="1">
      <alignment horizontal="left" vertical="center" wrapText="1" indent="3"/>
    </xf>
    <xf numFmtId="0" fontId="13" fillId="0" borderId="0" xfId="0" applyFont="1" applyAlignment="1">
      <alignment horizontal="center" vertical="center" wrapText="1"/>
    </xf>
    <xf numFmtId="0" fontId="0" fillId="0" borderId="0" xfId="0" applyAlignment="1"/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NumberFormat="1" applyFont="1" applyAlignment="1">
      <alignment horizontal="right"/>
    </xf>
    <xf numFmtId="3" fontId="14" fillId="0" borderId="0" xfId="0" applyNumberFormat="1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4" fillId="0" borderId="0" xfId="0" applyFont="1" applyAlignment="1"/>
    <xf numFmtId="3" fontId="14" fillId="0" borderId="0" xfId="0" applyNumberFormat="1" applyFont="1" applyAlignment="1"/>
    <xf numFmtId="0" fontId="17" fillId="0" borderId="0" xfId="0" applyFont="1" applyAlignment="1">
      <alignment horizontal="right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3" fontId="17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3" fontId="15" fillId="0" borderId="0" xfId="0" applyNumberFormat="1" applyFont="1" applyAlignment="1">
      <alignment horizontal="right"/>
    </xf>
    <xf numFmtId="6" fontId="15" fillId="0" borderId="0" xfId="0" applyNumberFormat="1" applyFont="1" applyAlignment="1">
      <alignment horizontal="right"/>
    </xf>
    <xf numFmtId="10" fontId="15" fillId="0" borderId="0" xfId="0" applyNumberFormat="1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indent="1"/>
    </xf>
    <xf numFmtId="3" fontId="14" fillId="0" borderId="0" xfId="0" applyNumberFormat="1" applyFont="1" applyAlignment="1">
      <alignment horizontal="right" indent="1"/>
    </xf>
    <xf numFmtId="3" fontId="14" fillId="0" borderId="0" xfId="0" applyNumberFormat="1" applyFont="1" applyAlignment="1">
      <alignment horizontal="right" vertical="center" wrapText="1"/>
    </xf>
    <xf numFmtId="3" fontId="18" fillId="0" borderId="0" xfId="0" applyNumberFormat="1" applyFont="1" applyAlignment="1">
      <alignment vertical="center" wrapText="1"/>
    </xf>
    <xf numFmtId="3" fontId="17" fillId="0" borderId="0" xfId="0" applyNumberFormat="1" applyFont="1" applyAlignment="1">
      <alignment vertical="center" wrapText="1"/>
    </xf>
    <xf numFmtId="3" fontId="17" fillId="0" borderId="0" xfId="0" applyNumberFormat="1" applyFont="1" applyAlignment="1">
      <alignment vertical="center"/>
    </xf>
    <xf numFmtId="0" fontId="4" fillId="0" borderId="0" xfId="0" applyFont="1"/>
    <xf numFmtId="169" fontId="0" fillId="0" borderId="0" xfId="1" applyNumberFormat="1" applyFont="1"/>
    <xf numFmtId="0" fontId="14" fillId="0" borderId="0" xfId="0" applyNumberFormat="1" applyFont="1"/>
    <xf numFmtId="169" fontId="14" fillId="0" borderId="0" xfId="1" applyNumberFormat="1" applyFont="1"/>
    <xf numFmtId="0" fontId="21" fillId="0" borderId="0" xfId="0" applyFont="1" applyAlignment="1">
      <alignment horizontal="right"/>
    </xf>
    <xf numFmtId="169" fontId="21" fillId="0" borderId="0" xfId="0" applyNumberFormat="1" applyFont="1"/>
    <xf numFmtId="0" fontId="14" fillId="0" borderId="0" xfId="0" applyFont="1" applyAlignment="1">
      <alignment horizontal="left" indent="1"/>
    </xf>
    <xf numFmtId="10" fontId="4" fillId="0" borderId="0" xfId="0" applyNumberFormat="1" applyFont="1"/>
    <xf numFmtId="3" fontId="4" fillId="0" borderId="0" xfId="0" applyNumberFormat="1" applyFont="1"/>
    <xf numFmtId="0" fontId="22" fillId="0" borderId="0" xfId="0" applyFont="1"/>
    <xf numFmtId="3" fontId="21" fillId="0" borderId="0" xfId="0" applyNumberFormat="1" applyFont="1"/>
    <xf numFmtId="0" fontId="0" fillId="0" borderId="0" xfId="0" applyFont="1"/>
    <xf numFmtId="0" fontId="16" fillId="2" borderId="0" xfId="0" applyFont="1" applyFill="1"/>
    <xf numFmtId="0" fontId="4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3" fontId="18" fillId="0" borderId="0" xfId="0" applyNumberFormat="1" applyFont="1" applyAlignment="1">
      <alignment horizontal="right" vertical="center"/>
    </xf>
    <xf numFmtId="169" fontId="17" fillId="0" borderId="0" xfId="1" applyNumberFormat="1" applyFont="1" applyAlignment="1">
      <alignment horizontal="right" vertical="center" wrapText="1"/>
    </xf>
    <xf numFmtId="169" fontId="18" fillId="0" borderId="0" xfId="1" applyNumberFormat="1" applyFont="1" applyAlignment="1">
      <alignment horizontal="right" vertical="center" wrapText="1"/>
    </xf>
    <xf numFmtId="169" fontId="14" fillId="0" borderId="0" xfId="1" applyNumberFormat="1" applyFon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D6BF-BA9D-E14B-BA30-5D4D34938DF4}">
  <sheetPr>
    <tabColor rgb="FF002060"/>
  </sheetPr>
  <dimension ref="A1:L4295"/>
  <sheetViews>
    <sheetView tabSelected="1" workbookViewId="0">
      <selection activeCell="H19" sqref="H19"/>
    </sheetView>
  </sheetViews>
  <sheetFormatPr baseColWidth="10" defaultRowHeight="16" x14ac:dyDescent="0.2"/>
  <cols>
    <col min="6" max="6" width="15.6640625" bestFit="1" customWidth="1"/>
    <col min="7" max="7" width="35.1640625" bestFit="1" customWidth="1"/>
    <col min="8" max="8" width="25.33203125" bestFit="1" customWidth="1"/>
    <col min="9" max="9" width="14" style="58" bestFit="1" customWidth="1"/>
    <col min="10" max="10" width="14.33203125" bestFit="1" customWidth="1"/>
    <col min="12" max="12" width="14.1640625" bestFit="1" customWidth="1"/>
  </cols>
  <sheetData>
    <row r="1" spans="1:12" x14ac:dyDescent="0.2">
      <c r="A1" t="s">
        <v>731</v>
      </c>
      <c r="B1" t="s">
        <v>729</v>
      </c>
      <c r="C1" t="s">
        <v>738</v>
      </c>
      <c r="D1" t="s">
        <v>741</v>
      </c>
      <c r="E1" t="s">
        <v>742</v>
      </c>
      <c r="F1" s="33" t="s">
        <v>521</v>
      </c>
      <c r="G1" s="34" t="s">
        <v>522</v>
      </c>
      <c r="H1" s="51" t="s">
        <v>733</v>
      </c>
      <c r="I1" s="58" t="s">
        <v>734</v>
      </c>
      <c r="J1" t="s">
        <v>735</v>
      </c>
      <c r="K1" t="s">
        <v>730</v>
      </c>
      <c r="L1" s="69"/>
    </row>
    <row r="2" spans="1:12" x14ac:dyDescent="0.2">
      <c r="A2">
        <f>J2</f>
        <v>2922980</v>
      </c>
      <c r="B2">
        <v>2015</v>
      </c>
      <c r="C2" t="s">
        <v>739</v>
      </c>
      <c r="D2" t="s">
        <v>740</v>
      </c>
      <c r="E2" t="s">
        <v>743</v>
      </c>
      <c r="F2" s="37">
        <v>1</v>
      </c>
      <c r="G2" s="39" t="s">
        <v>0</v>
      </c>
      <c r="H2" s="40">
        <v>26384</v>
      </c>
      <c r="I2" s="58">
        <v>190567</v>
      </c>
      <c r="J2">
        <f>IFERROR(VLOOKUP(G2,'LEAID Match'!$A$2:$B$526,2,FALSE),"")</f>
        <v>2922980</v>
      </c>
      <c r="K2" s="68">
        <f>COUNTIF($J$2:$J$4295,J2)</f>
        <v>8</v>
      </c>
    </row>
    <row r="3" spans="1:12" x14ac:dyDescent="0.2">
      <c r="A3">
        <f t="shared" ref="A3:A66" si="0">J3</f>
        <v>2922980</v>
      </c>
      <c r="B3">
        <v>2016</v>
      </c>
      <c r="C3" t="s">
        <v>739</v>
      </c>
      <c r="D3" t="s">
        <v>740</v>
      </c>
      <c r="E3" t="s">
        <v>743</v>
      </c>
      <c r="F3" s="34">
        <v>1</v>
      </c>
      <c r="G3" s="34" t="s">
        <v>0</v>
      </c>
      <c r="H3" s="36">
        <v>28983</v>
      </c>
      <c r="I3" s="60">
        <v>184107</v>
      </c>
      <c r="J3">
        <f>IFERROR(VLOOKUP(G3,'LEAID Match'!$A$2:$B$526,2,FALSE),"")</f>
        <v>2922980</v>
      </c>
      <c r="K3" s="68">
        <f t="shared" ref="K3:K66" si="1">COUNTIF($J$2:$J$4295,J3)</f>
        <v>8</v>
      </c>
    </row>
    <row r="4" spans="1:12" x14ac:dyDescent="0.2">
      <c r="A4">
        <f t="shared" si="0"/>
        <v>2922980</v>
      </c>
      <c r="B4">
        <v>2017</v>
      </c>
      <c r="C4" t="s">
        <v>739</v>
      </c>
      <c r="D4" t="s">
        <v>740</v>
      </c>
      <c r="E4" t="s">
        <v>743</v>
      </c>
      <c r="F4" s="34">
        <v>1</v>
      </c>
      <c r="G4" s="34" t="s">
        <v>0</v>
      </c>
      <c r="H4" s="36">
        <v>28306</v>
      </c>
      <c r="I4" s="58">
        <v>172583</v>
      </c>
      <c r="J4">
        <f>IFERROR(VLOOKUP(G4,'LEAID Match'!$A$2:$B$526,2,FALSE),"")</f>
        <v>2922980</v>
      </c>
      <c r="K4" s="68">
        <f t="shared" si="1"/>
        <v>8</v>
      </c>
    </row>
    <row r="5" spans="1:12" x14ac:dyDescent="0.2">
      <c r="A5">
        <f t="shared" si="0"/>
        <v>2922980</v>
      </c>
      <c r="B5">
        <v>2018</v>
      </c>
      <c r="C5" t="s">
        <v>739</v>
      </c>
      <c r="D5" t="s">
        <v>740</v>
      </c>
      <c r="E5" t="s">
        <v>743</v>
      </c>
      <c r="F5" s="34">
        <v>1</v>
      </c>
      <c r="G5" s="34" t="s">
        <v>0</v>
      </c>
      <c r="H5" s="36">
        <v>28400</v>
      </c>
      <c r="I5" s="58">
        <v>184671</v>
      </c>
      <c r="J5">
        <f>IFERROR(VLOOKUP(G5,'LEAID Match'!$A$2:$B$526,2,FALSE),"")</f>
        <v>2922980</v>
      </c>
      <c r="K5" s="68">
        <f t="shared" si="1"/>
        <v>8</v>
      </c>
    </row>
    <row r="6" spans="1:12" x14ac:dyDescent="0.2">
      <c r="A6">
        <f t="shared" si="0"/>
        <v>2922980</v>
      </c>
      <c r="B6">
        <v>2019</v>
      </c>
      <c r="C6" t="s">
        <v>739</v>
      </c>
      <c r="D6" t="s">
        <v>740</v>
      </c>
      <c r="E6" t="s">
        <v>743</v>
      </c>
      <c r="F6" s="34">
        <v>1</v>
      </c>
      <c r="G6" s="34" t="s">
        <v>0</v>
      </c>
      <c r="H6" s="36">
        <v>30289</v>
      </c>
      <c r="I6" s="58">
        <v>179422</v>
      </c>
      <c r="J6">
        <f>IFERROR(VLOOKUP(G6,'LEAID Match'!$A$2:$B$526,2,FALSE),"")</f>
        <v>2922980</v>
      </c>
      <c r="K6" s="68">
        <f t="shared" si="1"/>
        <v>8</v>
      </c>
    </row>
    <row r="7" spans="1:12" x14ac:dyDescent="0.2">
      <c r="A7">
        <f t="shared" si="0"/>
        <v>2922980</v>
      </c>
      <c r="B7">
        <v>2020</v>
      </c>
      <c r="C7" t="s">
        <v>739</v>
      </c>
      <c r="D7" t="s">
        <v>740</v>
      </c>
      <c r="E7" t="s">
        <v>743</v>
      </c>
      <c r="F7" s="34">
        <v>1</v>
      </c>
      <c r="G7" s="34" t="s">
        <v>0</v>
      </c>
      <c r="H7" s="36">
        <v>29091</v>
      </c>
      <c r="I7" s="58">
        <v>180074</v>
      </c>
      <c r="J7">
        <f>IFERROR(VLOOKUP(G7,'LEAID Match'!$A$2:$B$526,2,FALSE),"")</f>
        <v>2922980</v>
      </c>
      <c r="K7" s="68">
        <f t="shared" si="1"/>
        <v>8</v>
      </c>
    </row>
    <row r="8" spans="1:12" x14ac:dyDescent="0.2">
      <c r="A8">
        <f t="shared" si="0"/>
        <v>2922980</v>
      </c>
      <c r="B8">
        <v>2021</v>
      </c>
      <c r="C8" t="s">
        <v>739</v>
      </c>
      <c r="D8" t="s">
        <v>740</v>
      </c>
      <c r="E8" t="s">
        <v>743</v>
      </c>
      <c r="F8" s="34">
        <v>1</v>
      </c>
      <c r="G8" s="34" t="s">
        <v>0</v>
      </c>
      <c r="H8" s="36">
        <v>30013</v>
      </c>
      <c r="I8" s="58">
        <v>174971</v>
      </c>
      <c r="J8">
        <f>IFERROR(VLOOKUP(G8,'LEAID Match'!$A$2:$B$526,2,FALSE),"")</f>
        <v>2922980</v>
      </c>
      <c r="K8" s="68">
        <f t="shared" si="1"/>
        <v>8</v>
      </c>
    </row>
    <row r="9" spans="1:12" x14ac:dyDescent="0.2">
      <c r="A9">
        <f t="shared" si="0"/>
        <v>2922980</v>
      </c>
      <c r="B9">
        <v>2022</v>
      </c>
      <c r="C9" t="s">
        <v>739</v>
      </c>
      <c r="D9" t="s">
        <v>740</v>
      </c>
      <c r="E9" t="s">
        <v>743</v>
      </c>
      <c r="F9" s="34">
        <v>1</v>
      </c>
      <c r="G9" s="34" t="s">
        <v>0</v>
      </c>
      <c r="H9" s="36">
        <v>29054</v>
      </c>
      <c r="I9" s="58">
        <v>189158</v>
      </c>
      <c r="J9">
        <f>IFERROR(VLOOKUP(G9,'LEAID Match'!$A$2:$B$526,2,FALSE),"")</f>
        <v>2922980</v>
      </c>
      <c r="K9" s="68">
        <f t="shared" si="1"/>
        <v>8</v>
      </c>
    </row>
    <row r="10" spans="1:12" x14ac:dyDescent="0.2">
      <c r="A10">
        <f t="shared" si="0"/>
        <v>2905790</v>
      </c>
      <c r="B10">
        <v>2015</v>
      </c>
      <c r="C10" t="s">
        <v>739</v>
      </c>
      <c r="D10" t="s">
        <v>740</v>
      </c>
      <c r="E10" t="s">
        <v>743</v>
      </c>
      <c r="F10" s="37">
        <v>2</v>
      </c>
      <c r="G10" s="39" t="s">
        <v>1</v>
      </c>
      <c r="H10" s="40">
        <v>19636</v>
      </c>
      <c r="I10" s="58">
        <v>154138</v>
      </c>
      <c r="J10">
        <f>IFERROR(VLOOKUP(G10,'LEAID Match'!$A$2:$B$526,2,FALSE),"")</f>
        <v>2905790</v>
      </c>
      <c r="K10" s="68">
        <f t="shared" si="1"/>
        <v>8</v>
      </c>
    </row>
    <row r="11" spans="1:12" x14ac:dyDescent="0.2">
      <c r="A11">
        <f t="shared" si="0"/>
        <v>2905790</v>
      </c>
      <c r="B11">
        <v>2016</v>
      </c>
      <c r="C11" t="s">
        <v>739</v>
      </c>
      <c r="D11" t="s">
        <v>740</v>
      </c>
      <c r="E11" t="s">
        <v>743</v>
      </c>
      <c r="F11" s="34">
        <v>2</v>
      </c>
      <c r="G11" s="34" t="s">
        <v>1</v>
      </c>
      <c r="H11" s="36">
        <v>19230</v>
      </c>
      <c r="I11" s="60">
        <v>157907</v>
      </c>
      <c r="J11">
        <f>IFERROR(VLOOKUP(G11,'LEAID Match'!$A$2:$B$526,2,FALSE),"")</f>
        <v>2905790</v>
      </c>
      <c r="K11" s="68">
        <f t="shared" si="1"/>
        <v>8</v>
      </c>
    </row>
    <row r="12" spans="1:12" x14ac:dyDescent="0.2">
      <c r="A12">
        <f t="shared" si="0"/>
        <v>2905790</v>
      </c>
      <c r="B12">
        <v>2017</v>
      </c>
      <c r="C12" t="s">
        <v>739</v>
      </c>
      <c r="D12" t="s">
        <v>740</v>
      </c>
      <c r="E12" t="s">
        <v>743</v>
      </c>
      <c r="F12" s="34">
        <v>2</v>
      </c>
      <c r="G12" s="34" t="s">
        <v>1</v>
      </c>
      <c r="H12" s="36">
        <v>20124</v>
      </c>
      <c r="I12" s="58">
        <v>159244</v>
      </c>
      <c r="J12">
        <f>IFERROR(VLOOKUP(G12,'LEAID Match'!$A$2:$B$526,2,FALSE),"")</f>
        <v>2905790</v>
      </c>
      <c r="K12" s="68">
        <f t="shared" si="1"/>
        <v>8</v>
      </c>
    </row>
    <row r="13" spans="1:12" x14ac:dyDescent="0.2">
      <c r="A13">
        <f t="shared" si="0"/>
        <v>2905790</v>
      </c>
      <c r="B13">
        <v>2018</v>
      </c>
      <c r="C13" t="s">
        <v>739</v>
      </c>
      <c r="D13" t="s">
        <v>740</v>
      </c>
      <c r="E13" t="s">
        <v>743</v>
      </c>
      <c r="F13" s="34">
        <v>2</v>
      </c>
      <c r="G13" s="34" t="s">
        <v>1</v>
      </c>
      <c r="H13" s="36">
        <v>20012</v>
      </c>
      <c r="I13" s="58">
        <v>154375</v>
      </c>
      <c r="J13">
        <f>IFERROR(VLOOKUP(G13,'LEAID Match'!$A$2:$B$526,2,FALSE),"")</f>
        <v>2905790</v>
      </c>
      <c r="K13" s="68">
        <f t="shared" si="1"/>
        <v>8</v>
      </c>
    </row>
    <row r="14" spans="1:12" x14ac:dyDescent="0.2">
      <c r="A14">
        <f t="shared" si="0"/>
        <v>2905790</v>
      </c>
      <c r="B14">
        <v>2019</v>
      </c>
      <c r="C14" t="s">
        <v>739</v>
      </c>
      <c r="D14" t="s">
        <v>740</v>
      </c>
      <c r="E14" t="s">
        <v>743</v>
      </c>
      <c r="F14" s="34">
        <v>2</v>
      </c>
      <c r="G14" s="34" t="s">
        <v>1</v>
      </c>
      <c r="H14" s="36">
        <v>22656</v>
      </c>
      <c r="I14" s="58">
        <v>156588</v>
      </c>
      <c r="J14">
        <f>IFERROR(VLOOKUP(G14,'LEAID Match'!$A$2:$B$526,2,FALSE),"")</f>
        <v>2905790</v>
      </c>
      <c r="K14" s="68">
        <f t="shared" si="1"/>
        <v>8</v>
      </c>
    </row>
    <row r="15" spans="1:12" x14ac:dyDescent="0.2">
      <c r="A15">
        <f t="shared" si="0"/>
        <v>2905790</v>
      </c>
      <c r="B15">
        <v>2020</v>
      </c>
      <c r="C15" t="s">
        <v>739</v>
      </c>
      <c r="D15" t="s">
        <v>740</v>
      </c>
      <c r="E15" t="s">
        <v>743</v>
      </c>
      <c r="F15" s="34">
        <v>2</v>
      </c>
      <c r="G15" s="34" t="s">
        <v>1</v>
      </c>
      <c r="H15" s="36">
        <v>21510</v>
      </c>
      <c r="I15" s="58">
        <v>166807</v>
      </c>
      <c r="J15">
        <f>IFERROR(VLOOKUP(G15,'LEAID Match'!$A$2:$B$526,2,FALSE),"")</f>
        <v>2905790</v>
      </c>
      <c r="K15" s="68">
        <f t="shared" si="1"/>
        <v>8</v>
      </c>
    </row>
    <row r="16" spans="1:12" x14ac:dyDescent="0.2">
      <c r="A16">
        <f t="shared" si="0"/>
        <v>2905790</v>
      </c>
      <c r="B16">
        <v>2021</v>
      </c>
      <c r="C16" t="s">
        <v>739</v>
      </c>
      <c r="D16" t="s">
        <v>740</v>
      </c>
      <c r="E16" t="s">
        <v>743</v>
      </c>
      <c r="F16" s="34">
        <v>2</v>
      </c>
      <c r="G16" s="34" t="s">
        <v>1</v>
      </c>
      <c r="H16" s="36">
        <v>20956</v>
      </c>
      <c r="I16" s="58">
        <v>174180</v>
      </c>
      <c r="J16">
        <f>IFERROR(VLOOKUP(G16,'LEAID Match'!$A$2:$B$526,2,FALSE),"")</f>
        <v>2905790</v>
      </c>
      <c r="K16" s="68">
        <f t="shared" si="1"/>
        <v>8</v>
      </c>
    </row>
    <row r="17" spans="1:11" x14ac:dyDescent="0.2">
      <c r="A17">
        <f t="shared" si="0"/>
        <v>2905790</v>
      </c>
      <c r="B17">
        <v>2022</v>
      </c>
      <c r="C17" t="s">
        <v>739</v>
      </c>
      <c r="D17" t="s">
        <v>740</v>
      </c>
      <c r="E17" t="s">
        <v>743</v>
      </c>
      <c r="F17" s="34">
        <v>2</v>
      </c>
      <c r="G17" s="34" t="s">
        <v>1</v>
      </c>
      <c r="H17" s="36">
        <v>34111</v>
      </c>
      <c r="I17" s="58">
        <v>202011</v>
      </c>
      <c r="J17">
        <f>IFERROR(VLOOKUP(G17,'LEAID Match'!$A$2:$B$526,2,FALSE),"")</f>
        <v>2905790</v>
      </c>
      <c r="K17" s="68">
        <f t="shared" si="1"/>
        <v>8</v>
      </c>
    </row>
    <row r="18" spans="1:11" x14ac:dyDescent="0.2">
      <c r="A18">
        <f t="shared" si="0"/>
        <v>2916740</v>
      </c>
      <c r="B18">
        <v>2015</v>
      </c>
      <c r="C18" t="s">
        <v>739</v>
      </c>
      <c r="D18" t="s">
        <v>740</v>
      </c>
      <c r="E18" t="s">
        <v>743</v>
      </c>
      <c r="F18" s="37">
        <v>3</v>
      </c>
      <c r="G18" s="39" t="s">
        <v>2</v>
      </c>
      <c r="H18" s="40">
        <v>289723</v>
      </c>
      <c r="I18" s="58">
        <v>1807287</v>
      </c>
      <c r="J18">
        <f>IFERROR(VLOOKUP(G18,'LEAID Match'!$A$2:$B$526,2,FALSE),"")</f>
        <v>2916740</v>
      </c>
      <c r="K18" s="68">
        <f t="shared" si="1"/>
        <v>8</v>
      </c>
    </row>
    <row r="19" spans="1:11" x14ac:dyDescent="0.2">
      <c r="A19">
        <f t="shared" si="0"/>
        <v>2916740</v>
      </c>
      <c r="B19">
        <v>2016</v>
      </c>
      <c r="C19" t="s">
        <v>739</v>
      </c>
      <c r="D19" t="s">
        <v>740</v>
      </c>
      <c r="E19" t="s">
        <v>743</v>
      </c>
      <c r="F19" s="34">
        <v>3</v>
      </c>
      <c r="G19" s="34" t="s">
        <v>2</v>
      </c>
      <c r="H19" s="36">
        <v>300832</v>
      </c>
      <c r="I19" s="60">
        <v>1837911</v>
      </c>
      <c r="J19">
        <f>IFERROR(VLOOKUP(G19,'LEAID Match'!$A$2:$B$526,2,FALSE),"")</f>
        <v>2916740</v>
      </c>
      <c r="K19" s="68">
        <f t="shared" si="1"/>
        <v>8</v>
      </c>
    </row>
    <row r="20" spans="1:11" x14ac:dyDescent="0.2">
      <c r="A20">
        <f t="shared" si="0"/>
        <v>2916740</v>
      </c>
      <c r="B20">
        <v>2017</v>
      </c>
      <c r="C20" t="s">
        <v>739</v>
      </c>
      <c r="D20" t="s">
        <v>740</v>
      </c>
      <c r="E20" t="s">
        <v>743</v>
      </c>
      <c r="F20" s="34">
        <v>3</v>
      </c>
      <c r="G20" s="34" t="s">
        <v>2</v>
      </c>
      <c r="H20" s="36">
        <v>295371</v>
      </c>
      <c r="I20" s="58">
        <v>1831402</v>
      </c>
      <c r="J20">
        <f>IFERROR(VLOOKUP(G20,'LEAID Match'!$A$2:$B$526,2,FALSE),"")</f>
        <v>2916740</v>
      </c>
      <c r="K20" s="68">
        <f t="shared" si="1"/>
        <v>8</v>
      </c>
    </row>
    <row r="21" spans="1:11" x14ac:dyDescent="0.2">
      <c r="A21">
        <f t="shared" si="0"/>
        <v>2916740</v>
      </c>
      <c r="B21">
        <v>2018</v>
      </c>
      <c r="C21" t="s">
        <v>739</v>
      </c>
      <c r="D21" t="s">
        <v>740</v>
      </c>
      <c r="E21" t="s">
        <v>743</v>
      </c>
      <c r="F21" s="34">
        <v>3</v>
      </c>
      <c r="G21" s="34" t="s">
        <v>2</v>
      </c>
      <c r="H21" s="36">
        <v>295540</v>
      </c>
      <c r="I21" s="58">
        <v>1853665</v>
      </c>
      <c r="J21">
        <f>IFERROR(VLOOKUP(G21,'LEAID Match'!$A$2:$B$526,2,FALSE),"")</f>
        <v>2916740</v>
      </c>
      <c r="K21" s="68">
        <f t="shared" si="1"/>
        <v>8</v>
      </c>
    </row>
    <row r="22" spans="1:11" x14ac:dyDescent="0.2">
      <c r="A22">
        <f t="shared" si="0"/>
        <v>2916740</v>
      </c>
      <c r="B22">
        <v>2019</v>
      </c>
      <c r="C22" t="s">
        <v>739</v>
      </c>
      <c r="D22" t="s">
        <v>740</v>
      </c>
      <c r="E22" t="s">
        <v>743</v>
      </c>
      <c r="F22" s="34">
        <v>3</v>
      </c>
      <c r="G22" s="34" t="s">
        <v>2</v>
      </c>
      <c r="H22" s="36">
        <v>307005</v>
      </c>
      <c r="I22" s="58">
        <v>1863607</v>
      </c>
      <c r="J22">
        <f>IFERROR(VLOOKUP(G22,'LEAID Match'!$A$2:$B$526,2,FALSE),"")</f>
        <v>2916740</v>
      </c>
      <c r="K22" s="68">
        <f t="shared" si="1"/>
        <v>8</v>
      </c>
    </row>
    <row r="23" spans="1:11" x14ac:dyDescent="0.2">
      <c r="A23">
        <f t="shared" si="0"/>
        <v>2916740</v>
      </c>
      <c r="B23">
        <v>2020</v>
      </c>
      <c r="C23" t="s">
        <v>739</v>
      </c>
      <c r="D23" t="s">
        <v>740</v>
      </c>
      <c r="E23" t="s">
        <v>743</v>
      </c>
      <c r="F23" s="34">
        <v>3</v>
      </c>
      <c r="G23" s="34" t="s">
        <v>2</v>
      </c>
      <c r="H23" s="36">
        <v>309258</v>
      </c>
      <c r="I23" s="58">
        <v>1863479</v>
      </c>
      <c r="J23">
        <f>IFERROR(VLOOKUP(G23,'LEAID Match'!$A$2:$B$526,2,FALSE),"")</f>
        <v>2916740</v>
      </c>
      <c r="K23" s="68">
        <f t="shared" si="1"/>
        <v>8</v>
      </c>
    </row>
    <row r="24" spans="1:11" x14ac:dyDescent="0.2">
      <c r="A24">
        <f t="shared" si="0"/>
        <v>2916740</v>
      </c>
      <c r="B24">
        <v>2021</v>
      </c>
      <c r="C24" t="s">
        <v>739</v>
      </c>
      <c r="D24" t="s">
        <v>740</v>
      </c>
      <c r="E24" t="s">
        <v>743</v>
      </c>
      <c r="F24" s="34">
        <v>3</v>
      </c>
      <c r="G24" s="34" t="s">
        <v>2</v>
      </c>
      <c r="H24" s="36">
        <v>314070</v>
      </c>
      <c r="I24" s="58">
        <v>1859047</v>
      </c>
      <c r="J24">
        <f>IFERROR(VLOOKUP(G24,'LEAID Match'!$A$2:$B$526,2,FALSE),"")</f>
        <v>2916740</v>
      </c>
      <c r="K24" s="68">
        <f t="shared" si="1"/>
        <v>8</v>
      </c>
    </row>
    <row r="25" spans="1:11" x14ac:dyDescent="0.2">
      <c r="A25">
        <f t="shared" si="0"/>
        <v>2916740</v>
      </c>
      <c r="B25">
        <v>2022</v>
      </c>
      <c r="C25" t="s">
        <v>739</v>
      </c>
      <c r="D25" t="s">
        <v>740</v>
      </c>
      <c r="E25" t="s">
        <v>743</v>
      </c>
      <c r="F25" s="34">
        <v>3</v>
      </c>
      <c r="G25" s="34" t="s">
        <v>2</v>
      </c>
      <c r="H25" s="36">
        <v>336495</v>
      </c>
      <c r="I25" s="58">
        <v>1945961</v>
      </c>
      <c r="J25">
        <f>IFERROR(VLOOKUP(G25,'LEAID Match'!$A$2:$B$526,2,FALSE),"")</f>
        <v>2916740</v>
      </c>
      <c r="K25" s="68">
        <f t="shared" si="1"/>
        <v>8</v>
      </c>
    </row>
    <row r="26" spans="1:11" x14ac:dyDescent="0.2">
      <c r="A26">
        <f t="shared" si="0"/>
        <v>2927570</v>
      </c>
      <c r="B26">
        <v>2015</v>
      </c>
      <c r="C26" t="s">
        <v>739</v>
      </c>
      <c r="D26" t="s">
        <v>740</v>
      </c>
      <c r="E26" t="s">
        <v>743</v>
      </c>
      <c r="F26" s="37">
        <v>4</v>
      </c>
      <c r="G26" s="39" t="s">
        <v>3</v>
      </c>
      <c r="H26" s="40">
        <v>165016</v>
      </c>
      <c r="I26" s="58">
        <v>1392047</v>
      </c>
      <c r="J26">
        <f>IFERROR(VLOOKUP(G26,'LEAID Match'!$A$2:$B$526,2,FALSE),"")</f>
        <v>2927570</v>
      </c>
      <c r="K26" s="68">
        <f t="shared" si="1"/>
        <v>8</v>
      </c>
    </row>
    <row r="27" spans="1:11" x14ac:dyDescent="0.2">
      <c r="A27">
        <f t="shared" si="0"/>
        <v>2927570</v>
      </c>
      <c r="B27">
        <v>2016</v>
      </c>
      <c r="C27" t="s">
        <v>739</v>
      </c>
      <c r="D27" t="s">
        <v>740</v>
      </c>
      <c r="E27" t="s">
        <v>743</v>
      </c>
      <c r="F27" s="34">
        <v>4</v>
      </c>
      <c r="G27" s="34" t="s">
        <v>3</v>
      </c>
      <c r="H27" s="36">
        <v>174875</v>
      </c>
      <c r="I27" s="60">
        <v>1416674</v>
      </c>
      <c r="J27">
        <f>IFERROR(VLOOKUP(G27,'LEAID Match'!$A$2:$B$526,2,FALSE),"")</f>
        <v>2927570</v>
      </c>
      <c r="K27" s="68">
        <f t="shared" si="1"/>
        <v>8</v>
      </c>
    </row>
    <row r="28" spans="1:11" x14ac:dyDescent="0.2">
      <c r="A28">
        <f t="shared" si="0"/>
        <v>2927570</v>
      </c>
      <c r="B28">
        <v>2017</v>
      </c>
      <c r="C28" t="s">
        <v>739</v>
      </c>
      <c r="D28" t="s">
        <v>740</v>
      </c>
      <c r="E28" t="s">
        <v>743</v>
      </c>
      <c r="F28" s="34">
        <v>4</v>
      </c>
      <c r="G28" s="34" t="s">
        <v>3</v>
      </c>
      <c r="H28" s="36">
        <v>192455</v>
      </c>
      <c r="I28" s="58">
        <v>1480018</v>
      </c>
      <c r="J28">
        <f>IFERROR(VLOOKUP(G28,'LEAID Match'!$A$2:$B$526,2,FALSE),"")</f>
        <v>2927570</v>
      </c>
      <c r="K28" s="68">
        <f t="shared" si="1"/>
        <v>8</v>
      </c>
    </row>
    <row r="29" spans="1:11" x14ac:dyDescent="0.2">
      <c r="A29">
        <f t="shared" si="0"/>
        <v>2927570</v>
      </c>
      <c r="B29">
        <v>2018</v>
      </c>
      <c r="C29" t="s">
        <v>739</v>
      </c>
      <c r="D29" t="s">
        <v>740</v>
      </c>
      <c r="E29" t="s">
        <v>743</v>
      </c>
      <c r="F29" s="34">
        <v>4</v>
      </c>
      <c r="G29" s="34" t="s">
        <v>3</v>
      </c>
      <c r="H29" s="36">
        <v>197416</v>
      </c>
      <c r="I29" s="58">
        <v>1512868</v>
      </c>
      <c r="J29">
        <f>IFERROR(VLOOKUP(G29,'LEAID Match'!$A$2:$B$526,2,FALSE),"")</f>
        <v>2927570</v>
      </c>
      <c r="K29" s="68">
        <f t="shared" si="1"/>
        <v>8</v>
      </c>
    </row>
    <row r="30" spans="1:11" x14ac:dyDescent="0.2">
      <c r="A30">
        <f t="shared" si="0"/>
        <v>2927570</v>
      </c>
      <c r="B30">
        <v>2019</v>
      </c>
      <c r="C30" t="s">
        <v>739</v>
      </c>
      <c r="D30" t="s">
        <v>740</v>
      </c>
      <c r="E30" t="s">
        <v>743</v>
      </c>
      <c r="F30" s="34">
        <v>4</v>
      </c>
      <c r="G30" s="34" t="s">
        <v>3</v>
      </c>
      <c r="H30" s="36">
        <v>198348</v>
      </c>
      <c r="I30" s="58">
        <v>1543846</v>
      </c>
      <c r="J30">
        <f>IFERROR(VLOOKUP(G30,'LEAID Match'!$A$2:$B$526,2,FALSE),"")</f>
        <v>2927570</v>
      </c>
      <c r="K30" s="68">
        <f t="shared" si="1"/>
        <v>8</v>
      </c>
    </row>
    <row r="31" spans="1:11" x14ac:dyDescent="0.2">
      <c r="A31">
        <f t="shared" si="0"/>
        <v>2927570</v>
      </c>
      <c r="B31">
        <v>2020</v>
      </c>
      <c r="C31" t="s">
        <v>739</v>
      </c>
      <c r="D31" t="s">
        <v>740</v>
      </c>
      <c r="E31" t="s">
        <v>743</v>
      </c>
      <c r="F31" s="34">
        <v>4</v>
      </c>
      <c r="G31" s="34" t="s">
        <v>3</v>
      </c>
      <c r="H31" s="36">
        <v>189961</v>
      </c>
      <c r="I31" s="58">
        <v>1488889</v>
      </c>
      <c r="J31">
        <f>IFERROR(VLOOKUP(G31,'LEAID Match'!$A$2:$B$526,2,FALSE),"")</f>
        <v>2927570</v>
      </c>
      <c r="K31" s="68">
        <f t="shared" si="1"/>
        <v>8</v>
      </c>
    </row>
    <row r="32" spans="1:11" x14ac:dyDescent="0.2">
      <c r="A32">
        <f t="shared" si="0"/>
        <v>2927570</v>
      </c>
      <c r="B32">
        <v>2021</v>
      </c>
      <c r="C32" t="s">
        <v>739</v>
      </c>
      <c r="D32" t="s">
        <v>740</v>
      </c>
      <c r="E32" t="s">
        <v>743</v>
      </c>
      <c r="F32" s="34">
        <v>4</v>
      </c>
      <c r="G32" s="34" t="s">
        <v>3</v>
      </c>
      <c r="H32" s="36">
        <v>210270</v>
      </c>
      <c r="I32" s="58">
        <v>1492172</v>
      </c>
      <c r="J32">
        <f>IFERROR(VLOOKUP(G32,'LEAID Match'!$A$2:$B$526,2,FALSE),"")</f>
        <v>2927570</v>
      </c>
      <c r="K32" s="68">
        <f t="shared" si="1"/>
        <v>8</v>
      </c>
    </row>
    <row r="33" spans="1:11" x14ac:dyDescent="0.2">
      <c r="A33">
        <f t="shared" si="0"/>
        <v>2927570</v>
      </c>
      <c r="B33">
        <v>2022</v>
      </c>
      <c r="C33" t="s">
        <v>739</v>
      </c>
      <c r="D33" t="s">
        <v>740</v>
      </c>
      <c r="E33" t="s">
        <v>743</v>
      </c>
      <c r="F33" s="34">
        <v>4</v>
      </c>
      <c r="G33" s="34" t="s">
        <v>3</v>
      </c>
      <c r="H33" s="36">
        <v>206486</v>
      </c>
      <c r="I33" s="58">
        <v>1551488</v>
      </c>
      <c r="J33">
        <f>IFERROR(VLOOKUP(G33,'LEAID Match'!$A$2:$B$526,2,FALSE),"")</f>
        <v>2927570</v>
      </c>
      <c r="K33" s="68">
        <f t="shared" si="1"/>
        <v>8</v>
      </c>
    </row>
    <row r="34" spans="1:11" x14ac:dyDescent="0.2">
      <c r="A34">
        <f t="shared" si="0"/>
        <v>2922710</v>
      </c>
      <c r="B34">
        <v>2015</v>
      </c>
      <c r="C34" t="s">
        <v>739</v>
      </c>
      <c r="D34" t="s">
        <v>740</v>
      </c>
      <c r="E34" t="s">
        <v>743</v>
      </c>
      <c r="F34" s="34">
        <v>5</v>
      </c>
      <c r="G34" s="39" t="s">
        <v>4</v>
      </c>
      <c r="H34" s="40">
        <v>26564</v>
      </c>
      <c r="I34" s="58">
        <v>259917</v>
      </c>
      <c r="J34">
        <f>IFERROR(VLOOKUP(G34,'LEAID Match'!$A$2:$B$526,2,FALSE),"")</f>
        <v>2922710</v>
      </c>
      <c r="K34" s="68">
        <f t="shared" si="1"/>
        <v>8</v>
      </c>
    </row>
    <row r="35" spans="1:11" x14ac:dyDescent="0.2">
      <c r="A35">
        <f t="shared" si="0"/>
        <v>2922710</v>
      </c>
      <c r="B35">
        <v>2016</v>
      </c>
      <c r="C35" t="s">
        <v>739</v>
      </c>
      <c r="D35" t="s">
        <v>740</v>
      </c>
      <c r="E35" t="s">
        <v>743</v>
      </c>
      <c r="F35" s="34">
        <v>5</v>
      </c>
      <c r="G35" s="34" t="s">
        <v>4</v>
      </c>
      <c r="H35" s="36">
        <v>27278</v>
      </c>
      <c r="I35" s="60">
        <v>272392</v>
      </c>
      <c r="J35">
        <f>IFERROR(VLOOKUP(G35,'LEAID Match'!$A$2:$B$526,2,FALSE),"")</f>
        <v>2922710</v>
      </c>
      <c r="K35" s="68">
        <f t="shared" si="1"/>
        <v>8</v>
      </c>
    </row>
    <row r="36" spans="1:11" x14ac:dyDescent="0.2">
      <c r="A36">
        <f t="shared" si="0"/>
        <v>2922710</v>
      </c>
      <c r="B36">
        <v>2017</v>
      </c>
      <c r="C36" t="s">
        <v>739</v>
      </c>
      <c r="D36" t="s">
        <v>740</v>
      </c>
      <c r="E36" t="s">
        <v>743</v>
      </c>
      <c r="F36" s="34">
        <v>5</v>
      </c>
      <c r="G36" s="34" t="s">
        <v>4</v>
      </c>
      <c r="H36" s="36">
        <v>32087</v>
      </c>
      <c r="I36" s="58">
        <v>271813</v>
      </c>
      <c r="J36">
        <f>IFERROR(VLOOKUP(G36,'LEAID Match'!$A$2:$B$526,2,FALSE),"")</f>
        <v>2922710</v>
      </c>
      <c r="K36" s="68">
        <f t="shared" si="1"/>
        <v>8</v>
      </c>
    </row>
    <row r="37" spans="1:11" x14ac:dyDescent="0.2">
      <c r="A37">
        <f t="shared" si="0"/>
        <v>2922710</v>
      </c>
      <c r="B37">
        <v>2018</v>
      </c>
      <c r="C37" t="s">
        <v>739</v>
      </c>
      <c r="D37" t="s">
        <v>740</v>
      </c>
      <c r="E37" t="s">
        <v>743</v>
      </c>
      <c r="F37" s="34">
        <v>5</v>
      </c>
      <c r="G37" s="34" t="s">
        <v>4</v>
      </c>
      <c r="H37" s="36">
        <v>33492</v>
      </c>
      <c r="I37" s="58">
        <v>287232</v>
      </c>
      <c r="J37">
        <f>IFERROR(VLOOKUP(G37,'LEAID Match'!$A$2:$B$526,2,FALSE),"")</f>
        <v>2922710</v>
      </c>
      <c r="K37" s="68">
        <f t="shared" si="1"/>
        <v>8</v>
      </c>
    </row>
    <row r="38" spans="1:11" x14ac:dyDescent="0.2">
      <c r="A38">
        <f t="shared" si="0"/>
        <v>2922710</v>
      </c>
      <c r="B38">
        <v>2019</v>
      </c>
      <c r="C38" t="s">
        <v>739</v>
      </c>
      <c r="D38" t="s">
        <v>740</v>
      </c>
      <c r="E38" t="s">
        <v>743</v>
      </c>
      <c r="F38" s="34">
        <v>5</v>
      </c>
      <c r="G38" s="34" t="s">
        <v>4</v>
      </c>
      <c r="H38" s="36">
        <v>34194</v>
      </c>
      <c r="I38" s="58">
        <v>300473</v>
      </c>
      <c r="J38">
        <f>IFERROR(VLOOKUP(G38,'LEAID Match'!$A$2:$B$526,2,FALSE),"")</f>
        <v>2922710</v>
      </c>
      <c r="K38" s="68">
        <f t="shared" si="1"/>
        <v>8</v>
      </c>
    </row>
    <row r="39" spans="1:11" x14ac:dyDescent="0.2">
      <c r="A39">
        <f t="shared" si="0"/>
        <v>2922710</v>
      </c>
      <c r="B39">
        <v>2020</v>
      </c>
      <c r="C39" t="s">
        <v>739</v>
      </c>
      <c r="D39" t="s">
        <v>740</v>
      </c>
      <c r="E39" t="s">
        <v>743</v>
      </c>
      <c r="F39" s="34">
        <v>5</v>
      </c>
      <c r="G39" s="34" t="s">
        <v>4</v>
      </c>
      <c r="H39" s="36">
        <v>37261</v>
      </c>
      <c r="I39" s="58">
        <v>301204</v>
      </c>
      <c r="J39">
        <f>IFERROR(VLOOKUP(G39,'LEAID Match'!$A$2:$B$526,2,FALSE),"")</f>
        <v>2922710</v>
      </c>
      <c r="K39" s="68">
        <f t="shared" si="1"/>
        <v>8</v>
      </c>
    </row>
    <row r="40" spans="1:11" x14ac:dyDescent="0.2">
      <c r="A40">
        <f t="shared" si="0"/>
        <v>2922710</v>
      </c>
      <c r="B40">
        <v>2021</v>
      </c>
      <c r="C40" t="s">
        <v>739</v>
      </c>
      <c r="D40" t="s">
        <v>740</v>
      </c>
      <c r="E40" t="s">
        <v>743</v>
      </c>
      <c r="F40" s="34">
        <v>5</v>
      </c>
      <c r="G40" s="34" t="s">
        <v>4</v>
      </c>
      <c r="H40" s="36">
        <v>37537</v>
      </c>
      <c r="I40" s="58">
        <v>299902</v>
      </c>
      <c r="J40">
        <f>IFERROR(VLOOKUP(G40,'LEAID Match'!$A$2:$B$526,2,FALSE),"")</f>
        <v>2922710</v>
      </c>
      <c r="K40" s="68">
        <f t="shared" si="1"/>
        <v>8</v>
      </c>
    </row>
    <row r="41" spans="1:11" x14ac:dyDescent="0.2">
      <c r="A41">
        <f t="shared" si="0"/>
        <v>2922710</v>
      </c>
      <c r="B41">
        <v>2022</v>
      </c>
      <c r="C41" t="s">
        <v>739</v>
      </c>
      <c r="D41" t="s">
        <v>740</v>
      </c>
      <c r="E41" t="s">
        <v>743</v>
      </c>
      <c r="F41" s="34">
        <v>5</v>
      </c>
      <c r="G41" s="34" t="s">
        <v>4</v>
      </c>
      <c r="H41" s="36">
        <v>35181</v>
      </c>
      <c r="I41" s="58">
        <v>292135</v>
      </c>
      <c r="J41">
        <f>IFERROR(VLOOKUP(G41,'LEAID Match'!$A$2:$B$526,2,FALSE),"")</f>
        <v>2922710</v>
      </c>
      <c r="K41" s="68">
        <f t="shared" si="1"/>
        <v>8</v>
      </c>
    </row>
    <row r="42" spans="1:11" x14ac:dyDescent="0.2">
      <c r="A42">
        <f t="shared" si="0"/>
        <v>2904080</v>
      </c>
      <c r="B42">
        <v>2015</v>
      </c>
      <c r="C42" t="s">
        <v>739</v>
      </c>
      <c r="D42" t="s">
        <v>740</v>
      </c>
      <c r="E42" t="s">
        <v>743</v>
      </c>
      <c r="F42" s="37">
        <v>6</v>
      </c>
      <c r="G42" s="39" t="s">
        <v>5</v>
      </c>
      <c r="H42" s="40">
        <v>14040</v>
      </c>
      <c r="I42" s="58">
        <v>104151</v>
      </c>
      <c r="J42">
        <f>IFERROR(VLOOKUP(G42,'LEAID Match'!$A$2:$B$526,2,FALSE),"")</f>
        <v>2904080</v>
      </c>
      <c r="K42" s="68">
        <f t="shared" si="1"/>
        <v>8</v>
      </c>
    </row>
    <row r="43" spans="1:11" x14ac:dyDescent="0.2">
      <c r="A43">
        <f t="shared" si="0"/>
        <v>2904080</v>
      </c>
      <c r="B43">
        <v>2016</v>
      </c>
      <c r="C43" t="s">
        <v>739</v>
      </c>
      <c r="D43" t="s">
        <v>740</v>
      </c>
      <c r="E43" t="s">
        <v>743</v>
      </c>
      <c r="F43" s="34">
        <v>6</v>
      </c>
      <c r="G43" s="34" t="s">
        <v>5</v>
      </c>
      <c r="H43" s="36">
        <v>19694</v>
      </c>
      <c r="I43" s="60">
        <v>101579</v>
      </c>
      <c r="J43">
        <f>IFERROR(VLOOKUP(G43,'LEAID Match'!$A$2:$B$526,2,FALSE),"")</f>
        <v>2904080</v>
      </c>
      <c r="K43" s="68">
        <f t="shared" si="1"/>
        <v>8</v>
      </c>
    </row>
    <row r="44" spans="1:11" x14ac:dyDescent="0.2">
      <c r="A44">
        <f t="shared" si="0"/>
        <v>2904080</v>
      </c>
      <c r="B44">
        <v>2017</v>
      </c>
      <c r="C44" t="s">
        <v>739</v>
      </c>
      <c r="D44" t="s">
        <v>740</v>
      </c>
      <c r="E44" t="s">
        <v>743</v>
      </c>
      <c r="F44" s="34">
        <v>6</v>
      </c>
      <c r="G44" s="34" t="s">
        <v>5</v>
      </c>
      <c r="H44" s="36">
        <v>21011</v>
      </c>
      <c r="I44" s="58">
        <v>108409</v>
      </c>
      <c r="J44">
        <f>IFERROR(VLOOKUP(G44,'LEAID Match'!$A$2:$B$526,2,FALSE),"")</f>
        <v>2904080</v>
      </c>
      <c r="K44" s="68">
        <f t="shared" si="1"/>
        <v>8</v>
      </c>
    </row>
    <row r="45" spans="1:11" x14ac:dyDescent="0.2">
      <c r="A45">
        <f t="shared" si="0"/>
        <v>2904080</v>
      </c>
      <c r="B45">
        <v>2018</v>
      </c>
      <c r="C45" t="s">
        <v>739</v>
      </c>
      <c r="D45" t="s">
        <v>740</v>
      </c>
      <c r="E45" t="s">
        <v>743</v>
      </c>
      <c r="F45" s="34">
        <v>6</v>
      </c>
      <c r="G45" s="34" t="s">
        <v>5</v>
      </c>
      <c r="H45" s="36">
        <v>21441</v>
      </c>
      <c r="I45" s="58">
        <v>109816</v>
      </c>
      <c r="J45">
        <f>IFERROR(VLOOKUP(G45,'LEAID Match'!$A$2:$B$526,2,FALSE),"")</f>
        <v>2904080</v>
      </c>
      <c r="K45" s="68">
        <f t="shared" si="1"/>
        <v>8</v>
      </c>
    </row>
    <row r="46" spans="1:11" x14ac:dyDescent="0.2">
      <c r="A46">
        <f t="shared" si="0"/>
        <v>2904080</v>
      </c>
      <c r="B46">
        <v>2019</v>
      </c>
      <c r="C46" t="s">
        <v>739</v>
      </c>
      <c r="D46" t="s">
        <v>740</v>
      </c>
      <c r="E46" t="s">
        <v>743</v>
      </c>
      <c r="F46" s="34">
        <v>6</v>
      </c>
      <c r="G46" s="34" t="s">
        <v>5</v>
      </c>
      <c r="H46" s="36">
        <v>21179</v>
      </c>
      <c r="I46" s="58">
        <v>112395</v>
      </c>
      <c r="J46">
        <f>IFERROR(VLOOKUP(G46,'LEAID Match'!$A$2:$B$526,2,FALSE),"")</f>
        <v>2904080</v>
      </c>
      <c r="K46" s="68">
        <f t="shared" si="1"/>
        <v>8</v>
      </c>
    </row>
    <row r="47" spans="1:11" x14ac:dyDescent="0.2">
      <c r="A47">
        <f t="shared" si="0"/>
        <v>2904080</v>
      </c>
      <c r="B47">
        <v>2020</v>
      </c>
      <c r="C47" t="s">
        <v>739</v>
      </c>
      <c r="D47" t="s">
        <v>740</v>
      </c>
      <c r="E47" t="s">
        <v>743</v>
      </c>
      <c r="F47" s="34">
        <v>6</v>
      </c>
      <c r="G47" s="34" t="s">
        <v>5</v>
      </c>
      <c r="H47" s="36">
        <v>19113</v>
      </c>
      <c r="I47" s="58">
        <v>116946</v>
      </c>
      <c r="J47">
        <f>IFERROR(VLOOKUP(G47,'LEAID Match'!$A$2:$B$526,2,FALSE),"")</f>
        <v>2904080</v>
      </c>
      <c r="K47" s="68">
        <f t="shared" si="1"/>
        <v>8</v>
      </c>
    </row>
    <row r="48" spans="1:11" x14ac:dyDescent="0.2">
      <c r="A48">
        <f t="shared" si="0"/>
        <v>2904080</v>
      </c>
      <c r="B48">
        <v>2021</v>
      </c>
      <c r="C48" t="s">
        <v>739</v>
      </c>
      <c r="D48" t="s">
        <v>740</v>
      </c>
      <c r="E48" t="s">
        <v>743</v>
      </c>
      <c r="F48" s="34">
        <v>6</v>
      </c>
      <c r="G48" s="34" t="s">
        <v>5</v>
      </c>
      <c r="H48" s="36">
        <v>22356</v>
      </c>
      <c r="I48" s="58">
        <v>117751</v>
      </c>
      <c r="J48">
        <f>IFERROR(VLOOKUP(G48,'LEAID Match'!$A$2:$B$526,2,FALSE),"")</f>
        <v>2904080</v>
      </c>
      <c r="K48" s="68">
        <f t="shared" si="1"/>
        <v>8</v>
      </c>
    </row>
    <row r="49" spans="1:11" x14ac:dyDescent="0.2">
      <c r="A49">
        <f t="shared" si="0"/>
        <v>2904080</v>
      </c>
      <c r="B49">
        <v>2022</v>
      </c>
      <c r="C49" t="s">
        <v>739</v>
      </c>
      <c r="D49" t="s">
        <v>740</v>
      </c>
      <c r="E49" t="s">
        <v>743</v>
      </c>
      <c r="F49" s="34">
        <v>6</v>
      </c>
      <c r="G49" s="34" t="s">
        <v>5</v>
      </c>
      <c r="H49" s="36">
        <v>23363</v>
      </c>
      <c r="I49" s="58">
        <v>126344</v>
      </c>
      <c r="J49">
        <f>IFERROR(VLOOKUP(G49,'LEAID Match'!$A$2:$B$526,2,FALSE),"")</f>
        <v>2904080</v>
      </c>
      <c r="K49" s="68">
        <f t="shared" si="1"/>
        <v>8</v>
      </c>
    </row>
    <row r="50" spans="1:11" x14ac:dyDescent="0.2">
      <c r="A50">
        <f t="shared" si="0"/>
        <v>2929940</v>
      </c>
      <c r="B50">
        <v>2015</v>
      </c>
      <c r="C50" t="s">
        <v>739</v>
      </c>
      <c r="D50" t="s">
        <v>740</v>
      </c>
      <c r="E50" t="s">
        <v>743</v>
      </c>
      <c r="F50" s="37">
        <v>8</v>
      </c>
      <c r="G50" s="39" t="s">
        <v>6</v>
      </c>
      <c r="H50" s="40">
        <v>46642</v>
      </c>
      <c r="I50" s="58">
        <v>328014</v>
      </c>
      <c r="J50">
        <f>IFERROR(VLOOKUP(G50,'LEAID Match'!$A$2:$B$526,2,FALSE),"")</f>
        <v>2929940</v>
      </c>
      <c r="K50" s="68">
        <f t="shared" si="1"/>
        <v>8</v>
      </c>
    </row>
    <row r="51" spans="1:11" x14ac:dyDescent="0.2">
      <c r="A51">
        <f t="shared" si="0"/>
        <v>2929940</v>
      </c>
      <c r="B51">
        <v>2016</v>
      </c>
      <c r="C51" t="s">
        <v>739</v>
      </c>
      <c r="D51" t="s">
        <v>740</v>
      </c>
      <c r="E51" t="s">
        <v>743</v>
      </c>
      <c r="F51" s="34">
        <v>8</v>
      </c>
      <c r="G51" s="34" t="s">
        <v>6</v>
      </c>
      <c r="H51" s="36">
        <v>44842</v>
      </c>
      <c r="I51" s="60">
        <v>351285</v>
      </c>
      <c r="J51">
        <f>IFERROR(VLOOKUP(G51,'LEAID Match'!$A$2:$B$526,2,FALSE),"")</f>
        <v>2929940</v>
      </c>
      <c r="K51" s="68">
        <f t="shared" si="1"/>
        <v>8</v>
      </c>
    </row>
    <row r="52" spans="1:11" x14ac:dyDescent="0.2">
      <c r="A52">
        <f t="shared" si="0"/>
        <v>2929940</v>
      </c>
      <c r="B52">
        <v>2017</v>
      </c>
      <c r="C52" t="s">
        <v>739</v>
      </c>
      <c r="D52" t="s">
        <v>740</v>
      </c>
      <c r="E52" t="s">
        <v>743</v>
      </c>
      <c r="F52" s="34">
        <v>8</v>
      </c>
      <c r="G52" s="34" t="s">
        <v>6</v>
      </c>
      <c r="H52" s="36">
        <v>41860</v>
      </c>
      <c r="I52" s="58">
        <v>338978</v>
      </c>
      <c r="J52">
        <f>IFERROR(VLOOKUP(G52,'LEAID Match'!$A$2:$B$526,2,FALSE),"")</f>
        <v>2929940</v>
      </c>
      <c r="K52" s="68">
        <f t="shared" si="1"/>
        <v>8</v>
      </c>
    </row>
    <row r="53" spans="1:11" x14ac:dyDescent="0.2">
      <c r="A53">
        <f t="shared" si="0"/>
        <v>2929940</v>
      </c>
      <c r="B53">
        <v>2018</v>
      </c>
      <c r="C53" t="s">
        <v>739</v>
      </c>
      <c r="D53" t="s">
        <v>740</v>
      </c>
      <c r="E53" t="s">
        <v>743</v>
      </c>
      <c r="F53" s="34">
        <v>8</v>
      </c>
      <c r="G53" s="34" t="s">
        <v>6</v>
      </c>
      <c r="H53" s="36">
        <v>42920</v>
      </c>
      <c r="I53" s="58">
        <v>354304</v>
      </c>
      <c r="J53">
        <f>IFERROR(VLOOKUP(G53,'LEAID Match'!$A$2:$B$526,2,FALSE),"")</f>
        <v>2929940</v>
      </c>
      <c r="K53" s="68">
        <f t="shared" si="1"/>
        <v>8</v>
      </c>
    </row>
    <row r="54" spans="1:11" x14ac:dyDescent="0.2">
      <c r="A54">
        <f t="shared" si="0"/>
        <v>2929940</v>
      </c>
      <c r="B54">
        <v>2019</v>
      </c>
      <c r="C54" t="s">
        <v>739</v>
      </c>
      <c r="D54" t="s">
        <v>740</v>
      </c>
      <c r="E54" t="s">
        <v>743</v>
      </c>
      <c r="F54" s="34">
        <v>8</v>
      </c>
      <c r="G54" s="34" t="s">
        <v>6</v>
      </c>
      <c r="H54" s="36">
        <v>45281</v>
      </c>
      <c r="I54" s="58">
        <v>364657</v>
      </c>
      <c r="J54">
        <f>IFERROR(VLOOKUP(G54,'LEAID Match'!$A$2:$B$526,2,FALSE),"")</f>
        <v>2929940</v>
      </c>
      <c r="K54" s="68">
        <f t="shared" si="1"/>
        <v>8</v>
      </c>
    </row>
    <row r="55" spans="1:11" x14ac:dyDescent="0.2">
      <c r="A55">
        <f t="shared" si="0"/>
        <v>2929940</v>
      </c>
      <c r="B55">
        <v>2020</v>
      </c>
      <c r="C55" t="s">
        <v>739</v>
      </c>
      <c r="D55" t="s">
        <v>740</v>
      </c>
      <c r="E55" t="s">
        <v>743</v>
      </c>
      <c r="F55" s="34">
        <v>8</v>
      </c>
      <c r="G55" s="34" t="s">
        <v>6</v>
      </c>
      <c r="H55" s="36">
        <v>44848</v>
      </c>
      <c r="I55" s="58">
        <v>358330</v>
      </c>
      <c r="J55">
        <f>IFERROR(VLOOKUP(G55,'LEAID Match'!$A$2:$B$526,2,FALSE),"")</f>
        <v>2929940</v>
      </c>
      <c r="K55" s="68">
        <f t="shared" si="1"/>
        <v>8</v>
      </c>
    </row>
    <row r="56" spans="1:11" x14ac:dyDescent="0.2">
      <c r="A56">
        <f t="shared" si="0"/>
        <v>2929940</v>
      </c>
      <c r="B56">
        <v>2021</v>
      </c>
      <c r="C56" t="s">
        <v>739</v>
      </c>
      <c r="D56" t="s">
        <v>740</v>
      </c>
      <c r="E56" t="s">
        <v>743</v>
      </c>
      <c r="F56" s="34">
        <v>8</v>
      </c>
      <c r="G56" s="34" t="s">
        <v>6</v>
      </c>
      <c r="H56" s="36">
        <v>45189</v>
      </c>
      <c r="I56" s="58">
        <v>344596</v>
      </c>
      <c r="J56">
        <f>IFERROR(VLOOKUP(G56,'LEAID Match'!$A$2:$B$526,2,FALSE),"")</f>
        <v>2929940</v>
      </c>
      <c r="K56" s="68">
        <f t="shared" si="1"/>
        <v>8</v>
      </c>
    </row>
    <row r="57" spans="1:11" x14ac:dyDescent="0.2">
      <c r="A57">
        <f t="shared" si="0"/>
        <v>2929940</v>
      </c>
      <c r="B57">
        <v>2022</v>
      </c>
      <c r="C57" t="s">
        <v>739</v>
      </c>
      <c r="D57" t="s">
        <v>740</v>
      </c>
      <c r="E57" t="s">
        <v>743</v>
      </c>
      <c r="F57" s="34">
        <v>8</v>
      </c>
      <c r="G57" s="34" t="s">
        <v>6</v>
      </c>
      <c r="H57" s="36">
        <v>39507</v>
      </c>
      <c r="I57" s="58">
        <v>348428</v>
      </c>
      <c r="J57">
        <f>IFERROR(VLOOKUP(G57,'LEAID Match'!$A$2:$B$526,2,FALSE),"")</f>
        <v>2929940</v>
      </c>
      <c r="K57" s="68">
        <f t="shared" si="1"/>
        <v>8</v>
      </c>
    </row>
    <row r="58" spans="1:11" x14ac:dyDescent="0.2">
      <c r="A58">
        <f t="shared" si="0"/>
        <v>2926790</v>
      </c>
      <c r="B58">
        <v>2015</v>
      </c>
      <c r="C58" t="s">
        <v>739</v>
      </c>
      <c r="D58" t="s">
        <v>740</v>
      </c>
      <c r="E58" t="s">
        <v>743</v>
      </c>
      <c r="F58" s="37">
        <v>9</v>
      </c>
      <c r="G58" s="39" t="s">
        <v>7</v>
      </c>
      <c r="H58" s="40">
        <v>32781</v>
      </c>
      <c r="I58" s="58">
        <v>282745</v>
      </c>
      <c r="J58">
        <f>IFERROR(VLOOKUP(G58,'LEAID Match'!$A$2:$B$526,2,FALSE),"")</f>
        <v>2926790</v>
      </c>
      <c r="K58" s="68">
        <f t="shared" si="1"/>
        <v>8</v>
      </c>
    </row>
    <row r="59" spans="1:11" x14ac:dyDescent="0.2">
      <c r="A59">
        <f t="shared" si="0"/>
        <v>2926790</v>
      </c>
      <c r="B59">
        <v>2016</v>
      </c>
      <c r="C59" t="s">
        <v>739</v>
      </c>
      <c r="D59" t="s">
        <v>740</v>
      </c>
      <c r="E59" t="s">
        <v>743</v>
      </c>
      <c r="F59" s="34">
        <v>9</v>
      </c>
      <c r="G59" s="34" t="s">
        <v>7</v>
      </c>
      <c r="H59" s="36">
        <v>32447</v>
      </c>
      <c r="I59" s="60">
        <v>296418</v>
      </c>
      <c r="J59">
        <f>IFERROR(VLOOKUP(G59,'LEAID Match'!$A$2:$B$526,2,FALSE),"")</f>
        <v>2926790</v>
      </c>
      <c r="K59" s="68">
        <f t="shared" si="1"/>
        <v>8</v>
      </c>
    </row>
    <row r="60" spans="1:11" x14ac:dyDescent="0.2">
      <c r="A60">
        <f t="shared" si="0"/>
        <v>2926790</v>
      </c>
      <c r="B60">
        <v>2017</v>
      </c>
      <c r="C60" t="s">
        <v>739</v>
      </c>
      <c r="D60" t="s">
        <v>740</v>
      </c>
      <c r="E60" t="s">
        <v>743</v>
      </c>
      <c r="F60" s="34">
        <v>9</v>
      </c>
      <c r="G60" s="34" t="s">
        <v>7</v>
      </c>
      <c r="H60" s="36">
        <v>35107</v>
      </c>
      <c r="I60" s="58">
        <v>299436</v>
      </c>
      <c r="J60">
        <f>IFERROR(VLOOKUP(G60,'LEAID Match'!$A$2:$B$526,2,FALSE),"")</f>
        <v>2926790</v>
      </c>
      <c r="K60" s="68">
        <f t="shared" si="1"/>
        <v>8</v>
      </c>
    </row>
    <row r="61" spans="1:11" x14ac:dyDescent="0.2">
      <c r="A61">
        <f t="shared" si="0"/>
        <v>2926790</v>
      </c>
      <c r="B61">
        <v>2018</v>
      </c>
      <c r="C61" t="s">
        <v>739</v>
      </c>
      <c r="D61" t="s">
        <v>740</v>
      </c>
      <c r="E61" t="s">
        <v>743</v>
      </c>
      <c r="F61" s="34">
        <v>9</v>
      </c>
      <c r="G61" s="34" t="s">
        <v>7</v>
      </c>
      <c r="H61" s="36">
        <v>35689</v>
      </c>
      <c r="I61" s="58">
        <v>295393</v>
      </c>
      <c r="J61">
        <f>IFERROR(VLOOKUP(G61,'LEAID Match'!$A$2:$B$526,2,FALSE),"")</f>
        <v>2926790</v>
      </c>
      <c r="K61" s="68">
        <f t="shared" si="1"/>
        <v>8</v>
      </c>
    </row>
    <row r="62" spans="1:11" x14ac:dyDescent="0.2">
      <c r="A62">
        <f t="shared" si="0"/>
        <v>2926790</v>
      </c>
      <c r="B62">
        <v>2019</v>
      </c>
      <c r="C62" t="s">
        <v>739</v>
      </c>
      <c r="D62" t="s">
        <v>740</v>
      </c>
      <c r="E62" t="s">
        <v>743</v>
      </c>
      <c r="F62" s="34">
        <v>9</v>
      </c>
      <c r="G62" s="34" t="s">
        <v>7</v>
      </c>
      <c r="H62" s="36">
        <v>35998</v>
      </c>
      <c r="I62" s="58">
        <v>288268</v>
      </c>
      <c r="J62">
        <f>IFERROR(VLOOKUP(G62,'LEAID Match'!$A$2:$B$526,2,FALSE),"")</f>
        <v>2926790</v>
      </c>
      <c r="K62" s="68">
        <f t="shared" si="1"/>
        <v>8</v>
      </c>
    </row>
    <row r="63" spans="1:11" x14ac:dyDescent="0.2">
      <c r="A63">
        <f t="shared" si="0"/>
        <v>2926790</v>
      </c>
      <c r="B63">
        <v>2020</v>
      </c>
      <c r="C63" t="s">
        <v>739</v>
      </c>
      <c r="D63" t="s">
        <v>740</v>
      </c>
      <c r="E63" t="s">
        <v>743</v>
      </c>
      <c r="F63" s="34">
        <v>9</v>
      </c>
      <c r="G63" s="34" t="s">
        <v>7</v>
      </c>
      <c r="H63" s="36">
        <v>36740</v>
      </c>
      <c r="I63" s="58">
        <v>289537</v>
      </c>
      <c r="J63">
        <f>IFERROR(VLOOKUP(G63,'LEAID Match'!$A$2:$B$526,2,FALSE),"")</f>
        <v>2926790</v>
      </c>
      <c r="K63" s="68">
        <f t="shared" si="1"/>
        <v>8</v>
      </c>
    </row>
    <row r="64" spans="1:11" x14ac:dyDescent="0.2">
      <c r="A64">
        <f t="shared" si="0"/>
        <v>2926790</v>
      </c>
      <c r="B64">
        <v>2021</v>
      </c>
      <c r="C64" t="s">
        <v>739</v>
      </c>
      <c r="D64" t="s">
        <v>740</v>
      </c>
      <c r="E64" t="s">
        <v>743</v>
      </c>
      <c r="F64" s="34">
        <v>9</v>
      </c>
      <c r="G64" s="34" t="s">
        <v>7</v>
      </c>
      <c r="H64" s="36">
        <v>36988</v>
      </c>
      <c r="I64" s="58">
        <v>275102</v>
      </c>
      <c r="J64">
        <f>IFERROR(VLOOKUP(G64,'LEAID Match'!$A$2:$B$526,2,FALSE),"")</f>
        <v>2926790</v>
      </c>
      <c r="K64" s="68">
        <f t="shared" si="1"/>
        <v>8</v>
      </c>
    </row>
    <row r="65" spans="1:11" x14ac:dyDescent="0.2">
      <c r="A65">
        <f t="shared" si="0"/>
        <v>2926790</v>
      </c>
      <c r="B65">
        <v>2022</v>
      </c>
      <c r="C65" t="s">
        <v>739</v>
      </c>
      <c r="D65" t="s">
        <v>740</v>
      </c>
      <c r="E65" t="s">
        <v>743</v>
      </c>
      <c r="F65" s="34">
        <v>9</v>
      </c>
      <c r="G65" s="34" t="s">
        <v>7</v>
      </c>
      <c r="H65" s="36">
        <v>40695</v>
      </c>
      <c r="I65" s="58">
        <v>290422</v>
      </c>
      <c r="J65">
        <f>IFERROR(VLOOKUP(G65,'LEAID Match'!$A$2:$B$526,2,FALSE),"")</f>
        <v>2926790</v>
      </c>
      <c r="K65" s="68">
        <f t="shared" si="1"/>
        <v>8</v>
      </c>
    </row>
    <row r="66" spans="1:11" x14ac:dyDescent="0.2">
      <c r="A66">
        <f t="shared" si="0"/>
        <v>2911760</v>
      </c>
      <c r="B66">
        <v>2015</v>
      </c>
      <c r="C66" t="s">
        <v>739</v>
      </c>
      <c r="D66" t="s">
        <v>740</v>
      </c>
      <c r="E66" t="s">
        <v>743</v>
      </c>
      <c r="F66" s="37">
        <v>10</v>
      </c>
      <c r="G66" s="39" t="s">
        <v>8</v>
      </c>
      <c r="H66" s="40">
        <v>11391</v>
      </c>
      <c r="I66" s="58">
        <v>143192</v>
      </c>
      <c r="J66">
        <f>IFERROR(VLOOKUP(G66,'LEAID Match'!$A$2:$B$526,2,FALSE),"")</f>
        <v>2911760</v>
      </c>
      <c r="K66" s="68">
        <f t="shared" si="1"/>
        <v>8</v>
      </c>
    </row>
    <row r="67" spans="1:11" x14ac:dyDescent="0.2">
      <c r="A67">
        <f t="shared" ref="A67:A130" si="2">J67</f>
        <v>2911760</v>
      </c>
      <c r="B67">
        <v>2016</v>
      </c>
      <c r="C67" t="s">
        <v>739</v>
      </c>
      <c r="D67" t="s">
        <v>740</v>
      </c>
      <c r="E67" t="s">
        <v>743</v>
      </c>
      <c r="F67" s="34">
        <v>10</v>
      </c>
      <c r="G67" s="34" t="s">
        <v>8</v>
      </c>
      <c r="H67" s="36">
        <v>11194</v>
      </c>
      <c r="I67" s="60">
        <v>144360</v>
      </c>
      <c r="J67">
        <f>IFERROR(VLOOKUP(G67,'LEAID Match'!$A$2:$B$526,2,FALSE),"")</f>
        <v>2911760</v>
      </c>
      <c r="K67" s="68">
        <f t="shared" ref="K67:K130" si="3">COUNTIF($J$2:$J$4295,J67)</f>
        <v>8</v>
      </c>
    </row>
    <row r="68" spans="1:11" x14ac:dyDescent="0.2">
      <c r="A68">
        <f t="shared" si="2"/>
        <v>2911760</v>
      </c>
      <c r="B68">
        <v>2017</v>
      </c>
      <c r="C68" t="s">
        <v>739</v>
      </c>
      <c r="D68" t="s">
        <v>740</v>
      </c>
      <c r="E68" t="s">
        <v>743</v>
      </c>
      <c r="F68" s="34">
        <v>10</v>
      </c>
      <c r="G68" s="34" t="s">
        <v>8</v>
      </c>
      <c r="H68" s="36">
        <v>10380</v>
      </c>
      <c r="I68" s="58">
        <v>144831</v>
      </c>
      <c r="J68">
        <f>IFERROR(VLOOKUP(G68,'LEAID Match'!$A$2:$B$526,2,FALSE),"")</f>
        <v>2911760</v>
      </c>
      <c r="K68" s="68">
        <f t="shared" si="3"/>
        <v>8</v>
      </c>
    </row>
    <row r="69" spans="1:11" x14ac:dyDescent="0.2">
      <c r="A69">
        <f t="shared" si="2"/>
        <v>2911760</v>
      </c>
      <c r="B69">
        <v>2018</v>
      </c>
      <c r="C69" t="s">
        <v>739</v>
      </c>
      <c r="D69" t="s">
        <v>740</v>
      </c>
      <c r="E69" t="s">
        <v>743</v>
      </c>
      <c r="F69" s="34">
        <v>10</v>
      </c>
      <c r="G69" s="34" t="s">
        <v>8</v>
      </c>
      <c r="H69" s="36">
        <v>9834</v>
      </c>
      <c r="I69" s="58">
        <v>149095</v>
      </c>
      <c r="J69">
        <f>IFERROR(VLOOKUP(G69,'LEAID Match'!$A$2:$B$526,2,FALSE),"")</f>
        <v>2911760</v>
      </c>
      <c r="K69" s="68">
        <f t="shared" si="3"/>
        <v>8</v>
      </c>
    </row>
    <row r="70" spans="1:11" x14ac:dyDescent="0.2">
      <c r="A70">
        <f t="shared" si="2"/>
        <v>2911760</v>
      </c>
      <c r="B70">
        <v>2019</v>
      </c>
      <c r="C70" t="s">
        <v>739</v>
      </c>
      <c r="D70" t="s">
        <v>740</v>
      </c>
      <c r="E70" t="s">
        <v>743</v>
      </c>
      <c r="F70" s="34">
        <v>10</v>
      </c>
      <c r="G70" s="34" t="s">
        <v>8</v>
      </c>
      <c r="H70" s="36">
        <v>12636</v>
      </c>
      <c r="I70" s="58">
        <v>145082</v>
      </c>
      <c r="J70">
        <f>IFERROR(VLOOKUP(G70,'LEAID Match'!$A$2:$B$526,2,FALSE),"")</f>
        <v>2911760</v>
      </c>
      <c r="K70" s="68">
        <f t="shared" si="3"/>
        <v>8</v>
      </c>
    </row>
    <row r="71" spans="1:11" x14ac:dyDescent="0.2">
      <c r="A71">
        <f t="shared" si="2"/>
        <v>2911760</v>
      </c>
      <c r="B71">
        <v>2020</v>
      </c>
      <c r="C71" t="s">
        <v>739</v>
      </c>
      <c r="D71" t="s">
        <v>740</v>
      </c>
      <c r="E71" t="s">
        <v>743</v>
      </c>
      <c r="F71" s="34">
        <v>10</v>
      </c>
      <c r="G71" s="34" t="s">
        <v>8</v>
      </c>
      <c r="H71" s="36">
        <v>11166</v>
      </c>
      <c r="I71" s="58">
        <v>149210</v>
      </c>
      <c r="J71">
        <f>IFERROR(VLOOKUP(G71,'LEAID Match'!$A$2:$B$526,2,FALSE),"")</f>
        <v>2911760</v>
      </c>
      <c r="K71" s="68">
        <f t="shared" si="3"/>
        <v>8</v>
      </c>
    </row>
    <row r="72" spans="1:11" x14ac:dyDescent="0.2">
      <c r="A72">
        <f t="shared" si="2"/>
        <v>2911760</v>
      </c>
      <c r="B72">
        <v>2021</v>
      </c>
      <c r="C72" t="s">
        <v>739</v>
      </c>
      <c r="D72" t="s">
        <v>740</v>
      </c>
      <c r="E72" t="s">
        <v>743</v>
      </c>
      <c r="F72" s="34">
        <v>10</v>
      </c>
      <c r="G72" s="34" t="s">
        <v>8</v>
      </c>
      <c r="H72" s="36">
        <v>8845</v>
      </c>
      <c r="I72" s="58">
        <v>154570</v>
      </c>
      <c r="J72">
        <f>IFERROR(VLOOKUP(G72,'LEAID Match'!$A$2:$B$526,2,FALSE),"")</f>
        <v>2911760</v>
      </c>
      <c r="K72" s="68">
        <f t="shared" si="3"/>
        <v>8</v>
      </c>
    </row>
    <row r="73" spans="1:11" x14ac:dyDescent="0.2">
      <c r="A73">
        <f t="shared" si="2"/>
        <v>2911760</v>
      </c>
      <c r="B73">
        <v>2022</v>
      </c>
      <c r="C73" t="s">
        <v>739</v>
      </c>
      <c r="D73" t="s">
        <v>740</v>
      </c>
      <c r="E73" t="s">
        <v>743</v>
      </c>
      <c r="F73" s="34">
        <v>10</v>
      </c>
      <c r="G73" s="34" t="s">
        <v>8</v>
      </c>
      <c r="H73" s="36">
        <v>9667</v>
      </c>
      <c r="I73" s="58">
        <v>159187</v>
      </c>
      <c r="J73">
        <f>IFERROR(VLOOKUP(G73,'LEAID Match'!$A$2:$B$526,2,FALSE),"")</f>
        <v>2911760</v>
      </c>
      <c r="K73" s="68">
        <f t="shared" si="3"/>
        <v>8</v>
      </c>
    </row>
    <row r="74" spans="1:11" x14ac:dyDescent="0.2">
      <c r="A74">
        <f t="shared" si="2"/>
        <v>2930780</v>
      </c>
      <c r="B74">
        <v>2015</v>
      </c>
      <c r="C74" t="s">
        <v>739</v>
      </c>
      <c r="D74" t="s">
        <v>740</v>
      </c>
      <c r="E74" t="s">
        <v>743</v>
      </c>
      <c r="F74" s="37">
        <v>12</v>
      </c>
      <c r="G74" s="39" t="s">
        <v>9</v>
      </c>
      <c r="H74" s="40">
        <v>65500</v>
      </c>
      <c r="I74" s="58">
        <v>412520</v>
      </c>
      <c r="J74">
        <f>IFERROR(VLOOKUP(G74,'LEAID Match'!$A$2:$B$526,2,FALSE),"")</f>
        <v>2930780</v>
      </c>
      <c r="K74" s="68">
        <f t="shared" si="3"/>
        <v>8</v>
      </c>
    </row>
    <row r="75" spans="1:11" x14ac:dyDescent="0.2">
      <c r="A75">
        <f t="shared" si="2"/>
        <v>2930780</v>
      </c>
      <c r="B75">
        <v>2016</v>
      </c>
      <c r="C75" t="s">
        <v>739</v>
      </c>
      <c r="D75" t="s">
        <v>740</v>
      </c>
      <c r="E75" t="s">
        <v>743</v>
      </c>
      <c r="F75" s="34">
        <v>12</v>
      </c>
      <c r="G75" s="34" t="s">
        <v>9</v>
      </c>
      <c r="H75" s="36">
        <v>63385</v>
      </c>
      <c r="I75" s="60">
        <v>414142</v>
      </c>
      <c r="J75">
        <f>IFERROR(VLOOKUP(G75,'LEAID Match'!$A$2:$B$526,2,FALSE),"")</f>
        <v>2930780</v>
      </c>
      <c r="K75" s="68">
        <f t="shared" si="3"/>
        <v>8</v>
      </c>
    </row>
    <row r="76" spans="1:11" x14ac:dyDescent="0.2">
      <c r="A76">
        <f t="shared" si="2"/>
        <v>2930780</v>
      </c>
      <c r="B76">
        <v>2017</v>
      </c>
      <c r="C76" t="s">
        <v>739</v>
      </c>
      <c r="D76" t="s">
        <v>740</v>
      </c>
      <c r="E76" t="s">
        <v>743</v>
      </c>
      <c r="F76" s="34">
        <v>12</v>
      </c>
      <c r="G76" s="34" t="s">
        <v>9</v>
      </c>
      <c r="H76" s="36">
        <v>60887</v>
      </c>
      <c r="I76" s="58">
        <v>392581</v>
      </c>
      <c r="J76">
        <f>IFERROR(VLOOKUP(G76,'LEAID Match'!$A$2:$B$526,2,FALSE),"")</f>
        <v>2930780</v>
      </c>
      <c r="K76" s="68">
        <f t="shared" si="3"/>
        <v>8</v>
      </c>
    </row>
    <row r="77" spans="1:11" x14ac:dyDescent="0.2">
      <c r="A77">
        <f t="shared" si="2"/>
        <v>2930780</v>
      </c>
      <c r="B77">
        <v>2018</v>
      </c>
      <c r="C77" t="s">
        <v>739</v>
      </c>
      <c r="D77" t="s">
        <v>740</v>
      </c>
      <c r="E77" t="s">
        <v>743</v>
      </c>
      <c r="F77" s="34">
        <v>12</v>
      </c>
      <c r="G77" s="34" t="s">
        <v>9</v>
      </c>
      <c r="H77" s="36">
        <v>60896</v>
      </c>
      <c r="I77" s="58">
        <v>371846</v>
      </c>
      <c r="J77">
        <f>IFERROR(VLOOKUP(G77,'LEAID Match'!$A$2:$B$526,2,FALSE),"")</f>
        <v>2930780</v>
      </c>
      <c r="K77" s="68">
        <f t="shared" si="3"/>
        <v>8</v>
      </c>
    </row>
    <row r="78" spans="1:11" x14ac:dyDescent="0.2">
      <c r="A78">
        <f t="shared" si="2"/>
        <v>2930780</v>
      </c>
      <c r="B78">
        <v>2019</v>
      </c>
      <c r="C78" t="s">
        <v>739</v>
      </c>
      <c r="D78" t="s">
        <v>740</v>
      </c>
      <c r="E78" t="s">
        <v>743</v>
      </c>
      <c r="F78" s="34">
        <v>12</v>
      </c>
      <c r="G78" s="34" t="s">
        <v>9</v>
      </c>
      <c r="H78" s="36">
        <v>62624</v>
      </c>
      <c r="I78" s="58">
        <v>379868</v>
      </c>
      <c r="J78">
        <f>IFERROR(VLOOKUP(G78,'LEAID Match'!$A$2:$B$526,2,FALSE),"")</f>
        <v>2930780</v>
      </c>
      <c r="K78" s="68">
        <f t="shared" si="3"/>
        <v>8</v>
      </c>
    </row>
    <row r="79" spans="1:11" x14ac:dyDescent="0.2">
      <c r="A79">
        <f t="shared" si="2"/>
        <v>2930780</v>
      </c>
      <c r="B79">
        <v>2020</v>
      </c>
      <c r="C79" t="s">
        <v>739</v>
      </c>
      <c r="D79" t="s">
        <v>740</v>
      </c>
      <c r="E79" t="s">
        <v>743</v>
      </c>
      <c r="F79" s="34">
        <v>12</v>
      </c>
      <c r="G79" s="34" t="s">
        <v>9</v>
      </c>
      <c r="H79" s="36">
        <v>66271</v>
      </c>
      <c r="I79" s="58">
        <v>367494</v>
      </c>
      <c r="J79">
        <f>IFERROR(VLOOKUP(G79,'LEAID Match'!$A$2:$B$526,2,FALSE),"")</f>
        <v>2930780</v>
      </c>
      <c r="K79" s="68">
        <f t="shared" si="3"/>
        <v>8</v>
      </c>
    </row>
    <row r="80" spans="1:11" x14ac:dyDescent="0.2">
      <c r="A80">
        <f t="shared" si="2"/>
        <v>2930780</v>
      </c>
      <c r="B80">
        <v>2021</v>
      </c>
      <c r="C80" t="s">
        <v>739</v>
      </c>
      <c r="D80" t="s">
        <v>740</v>
      </c>
      <c r="E80" t="s">
        <v>743</v>
      </c>
      <c r="F80" s="34">
        <v>12</v>
      </c>
      <c r="G80" s="34" t="s">
        <v>9</v>
      </c>
      <c r="H80" s="36">
        <v>65695</v>
      </c>
      <c r="I80" s="58">
        <v>406109</v>
      </c>
      <c r="J80">
        <f>IFERROR(VLOOKUP(G80,'LEAID Match'!$A$2:$B$526,2,FALSE),"")</f>
        <v>2930780</v>
      </c>
      <c r="K80" s="68">
        <f t="shared" si="3"/>
        <v>8</v>
      </c>
    </row>
    <row r="81" spans="1:11" x14ac:dyDescent="0.2">
      <c r="A81">
        <f t="shared" si="2"/>
        <v>2930780</v>
      </c>
      <c r="B81">
        <v>2022</v>
      </c>
      <c r="C81" t="s">
        <v>739</v>
      </c>
      <c r="D81" t="s">
        <v>740</v>
      </c>
      <c r="E81" t="s">
        <v>743</v>
      </c>
      <c r="F81" s="34">
        <v>12</v>
      </c>
      <c r="G81" s="34" t="s">
        <v>9</v>
      </c>
      <c r="H81" s="36">
        <v>68774</v>
      </c>
      <c r="I81" s="58">
        <v>418255</v>
      </c>
      <c r="J81">
        <f>IFERROR(VLOOKUP(G81,'LEAID Match'!$A$2:$B$526,2,FALSE),"")</f>
        <v>2930780</v>
      </c>
      <c r="K81" s="68">
        <f t="shared" si="3"/>
        <v>8</v>
      </c>
    </row>
    <row r="82" spans="1:11" x14ac:dyDescent="0.2">
      <c r="A82">
        <f t="shared" si="2"/>
        <v>2910020</v>
      </c>
      <c r="B82">
        <v>2015</v>
      </c>
      <c r="C82" t="s">
        <v>739</v>
      </c>
      <c r="D82" t="s">
        <v>740</v>
      </c>
      <c r="E82" t="s">
        <v>743</v>
      </c>
      <c r="F82" s="37">
        <v>14</v>
      </c>
      <c r="G82" s="39" t="s">
        <v>10</v>
      </c>
      <c r="H82" s="40">
        <v>32519</v>
      </c>
      <c r="I82" s="58">
        <v>212360</v>
      </c>
      <c r="J82">
        <f>IFERROR(VLOOKUP(G82,'LEAID Match'!$A$2:$B$526,2,FALSE),"")</f>
        <v>2910020</v>
      </c>
      <c r="K82" s="68">
        <f t="shared" si="3"/>
        <v>8</v>
      </c>
    </row>
    <row r="83" spans="1:11" x14ac:dyDescent="0.2">
      <c r="A83">
        <f t="shared" si="2"/>
        <v>2910020</v>
      </c>
      <c r="B83">
        <v>2016</v>
      </c>
      <c r="C83" t="s">
        <v>739</v>
      </c>
      <c r="D83" t="s">
        <v>740</v>
      </c>
      <c r="E83" t="s">
        <v>743</v>
      </c>
      <c r="F83" s="34">
        <v>14</v>
      </c>
      <c r="G83" s="34" t="s">
        <v>10</v>
      </c>
      <c r="H83" s="36">
        <v>36821</v>
      </c>
      <c r="I83" s="60">
        <v>216421</v>
      </c>
      <c r="J83">
        <f>IFERROR(VLOOKUP(G83,'LEAID Match'!$A$2:$B$526,2,FALSE),"")</f>
        <v>2910020</v>
      </c>
      <c r="K83" s="68">
        <f t="shared" si="3"/>
        <v>8</v>
      </c>
    </row>
    <row r="84" spans="1:11" x14ac:dyDescent="0.2">
      <c r="A84">
        <f t="shared" si="2"/>
        <v>2910020</v>
      </c>
      <c r="B84">
        <v>2017</v>
      </c>
      <c r="C84" t="s">
        <v>739</v>
      </c>
      <c r="D84" t="s">
        <v>740</v>
      </c>
      <c r="E84" t="s">
        <v>743</v>
      </c>
      <c r="F84" s="34">
        <v>14</v>
      </c>
      <c r="G84" s="34" t="s">
        <v>10</v>
      </c>
      <c r="H84" s="36">
        <v>35536</v>
      </c>
      <c r="I84" s="58">
        <v>218020</v>
      </c>
      <c r="J84">
        <f>IFERROR(VLOOKUP(G84,'LEAID Match'!$A$2:$B$526,2,FALSE),"")</f>
        <v>2910020</v>
      </c>
      <c r="K84" s="68">
        <f t="shared" si="3"/>
        <v>8</v>
      </c>
    </row>
    <row r="85" spans="1:11" x14ac:dyDescent="0.2">
      <c r="A85">
        <f t="shared" si="2"/>
        <v>2910020</v>
      </c>
      <c r="B85">
        <v>2018</v>
      </c>
      <c r="C85" t="s">
        <v>739</v>
      </c>
      <c r="D85" t="s">
        <v>740</v>
      </c>
      <c r="E85" t="s">
        <v>743</v>
      </c>
      <c r="F85" s="34">
        <v>14</v>
      </c>
      <c r="G85" s="34" t="s">
        <v>10</v>
      </c>
      <c r="H85" s="36">
        <v>30757</v>
      </c>
      <c r="I85" s="58">
        <v>247535</v>
      </c>
      <c r="J85">
        <f>IFERROR(VLOOKUP(G85,'LEAID Match'!$A$2:$B$526,2,FALSE),"")</f>
        <v>2910020</v>
      </c>
      <c r="K85" s="68">
        <f t="shared" si="3"/>
        <v>8</v>
      </c>
    </row>
    <row r="86" spans="1:11" x14ac:dyDescent="0.2">
      <c r="A86">
        <f t="shared" si="2"/>
        <v>2910020</v>
      </c>
      <c r="B86">
        <v>2019</v>
      </c>
      <c r="C86" t="s">
        <v>739</v>
      </c>
      <c r="D86" t="s">
        <v>740</v>
      </c>
      <c r="E86" t="s">
        <v>743</v>
      </c>
      <c r="F86" s="34">
        <v>14</v>
      </c>
      <c r="G86" s="34" t="s">
        <v>10</v>
      </c>
      <c r="H86" s="36">
        <v>35687</v>
      </c>
      <c r="I86" s="58">
        <v>272493</v>
      </c>
      <c r="J86">
        <f>IFERROR(VLOOKUP(G86,'LEAID Match'!$A$2:$B$526,2,FALSE),"")</f>
        <v>2910020</v>
      </c>
      <c r="K86" s="68">
        <f t="shared" si="3"/>
        <v>8</v>
      </c>
    </row>
    <row r="87" spans="1:11" x14ac:dyDescent="0.2">
      <c r="A87">
        <f t="shared" si="2"/>
        <v>2910020</v>
      </c>
      <c r="B87">
        <v>2020</v>
      </c>
      <c r="C87" t="s">
        <v>739</v>
      </c>
      <c r="D87" t="s">
        <v>740</v>
      </c>
      <c r="E87" t="s">
        <v>743</v>
      </c>
      <c r="F87" s="34">
        <v>14</v>
      </c>
      <c r="G87" s="34" t="s">
        <v>10</v>
      </c>
      <c r="H87" s="36">
        <v>36153</v>
      </c>
      <c r="I87" s="58">
        <v>279421</v>
      </c>
      <c r="J87">
        <f>IFERROR(VLOOKUP(G87,'LEAID Match'!$A$2:$B$526,2,FALSE),"")</f>
        <v>2910020</v>
      </c>
      <c r="K87" s="68">
        <f t="shared" si="3"/>
        <v>8</v>
      </c>
    </row>
    <row r="88" spans="1:11" x14ac:dyDescent="0.2">
      <c r="A88">
        <f t="shared" si="2"/>
        <v>2910020</v>
      </c>
      <c r="B88">
        <v>2021</v>
      </c>
      <c r="C88" t="s">
        <v>739</v>
      </c>
      <c r="D88" t="s">
        <v>740</v>
      </c>
      <c r="E88" t="s">
        <v>743</v>
      </c>
      <c r="F88" s="34">
        <v>14</v>
      </c>
      <c r="G88" s="34" t="s">
        <v>10</v>
      </c>
      <c r="H88" s="36">
        <v>40174</v>
      </c>
      <c r="I88" s="58">
        <v>285003</v>
      </c>
      <c r="J88">
        <f>IFERROR(VLOOKUP(G88,'LEAID Match'!$A$2:$B$526,2,FALSE),"")</f>
        <v>2910020</v>
      </c>
      <c r="K88" s="68">
        <f t="shared" si="3"/>
        <v>8</v>
      </c>
    </row>
    <row r="89" spans="1:11" x14ac:dyDescent="0.2">
      <c r="A89">
        <f t="shared" si="2"/>
        <v>2910020</v>
      </c>
      <c r="B89">
        <v>2022</v>
      </c>
      <c r="C89" t="s">
        <v>739</v>
      </c>
      <c r="D89" t="s">
        <v>740</v>
      </c>
      <c r="E89" t="s">
        <v>743</v>
      </c>
      <c r="F89" s="34">
        <v>14</v>
      </c>
      <c r="G89" s="34" t="s">
        <v>10</v>
      </c>
      <c r="H89" s="36">
        <v>42787</v>
      </c>
      <c r="I89" s="58">
        <v>286902</v>
      </c>
      <c r="J89">
        <f>IFERROR(VLOOKUP(G89,'LEAID Match'!$A$2:$B$526,2,FALSE),"")</f>
        <v>2910020</v>
      </c>
      <c r="K89" s="68">
        <f t="shared" si="3"/>
        <v>8</v>
      </c>
    </row>
    <row r="90" spans="1:11" x14ac:dyDescent="0.2">
      <c r="A90">
        <f t="shared" si="2"/>
        <v>2920810</v>
      </c>
      <c r="B90">
        <v>2015</v>
      </c>
      <c r="C90" t="s">
        <v>739</v>
      </c>
      <c r="D90" t="s">
        <v>740</v>
      </c>
      <c r="E90" t="s">
        <v>743</v>
      </c>
      <c r="F90" s="37">
        <v>15</v>
      </c>
      <c r="G90" s="39" t="s">
        <v>11</v>
      </c>
      <c r="H90" s="40">
        <v>256131</v>
      </c>
      <c r="I90" s="58">
        <v>1536970</v>
      </c>
      <c r="J90">
        <f>IFERROR(VLOOKUP(G90,'LEAID Match'!$A$2:$B$526,2,FALSE),"")</f>
        <v>2920810</v>
      </c>
      <c r="K90" s="68">
        <f t="shared" si="3"/>
        <v>8</v>
      </c>
    </row>
    <row r="91" spans="1:11" x14ac:dyDescent="0.2">
      <c r="A91">
        <f t="shared" si="2"/>
        <v>2920810</v>
      </c>
      <c r="B91">
        <v>2016</v>
      </c>
      <c r="C91" t="s">
        <v>739</v>
      </c>
      <c r="D91" t="s">
        <v>740</v>
      </c>
      <c r="E91" t="s">
        <v>743</v>
      </c>
      <c r="F91" s="34">
        <v>15</v>
      </c>
      <c r="G91" s="34" t="s">
        <v>11</v>
      </c>
      <c r="H91" s="36">
        <v>270051</v>
      </c>
      <c r="I91" s="60">
        <v>1600561</v>
      </c>
      <c r="J91">
        <f>IFERROR(VLOOKUP(G91,'LEAID Match'!$A$2:$B$526,2,FALSE),"")</f>
        <v>2920810</v>
      </c>
      <c r="K91" s="68">
        <f t="shared" si="3"/>
        <v>8</v>
      </c>
    </row>
    <row r="92" spans="1:11" x14ac:dyDescent="0.2">
      <c r="A92">
        <f t="shared" si="2"/>
        <v>2920810</v>
      </c>
      <c r="B92">
        <v>2017</v>
      </c>
      <c r="C92" t="s">
        <v>739</v>
      </c>
      <c r="D92" t="s">
        <v>740</v>
      </c>
      <c r="E92" t="s">
        <v>743</v>
      </c>
      <c r="F92" s="34">
        <v>15</v>
      </c>
      <c r="G92" s="34" t="s">
        <v>11</v>
      </c>
      <c r="H92" s="36">
        <v>269163</v>
      </c>
      <c r="I92" s="58">
        <v>1592178</v>
      </c>
      <c r="J92">
        <f>IFERROR(VLOOKUP(G92,'LEAID Match'!$A$2:$B$526,2,FALSE),"")</f>
        <v>2920810</v>
      </c>
      <c r="K92" s="68">
        <f t="shared" si="3"/>
        <v>8</v>
      </c>
    </row>
    <row r="93" spans="1:11" x14ac:dyDescent="0.2">
      <c r="A93">
        <f t="shared" si="2"/>
        <v>2920810</v>
      </c>
      <c r="B93">
        <v>2018</v>
      </c>
      <c r="C93" t="s">
        <v>739</v>
      </c>
      <c r="D93" t="s">
        <v>740</v>
      </c>
      <c r="E93" t="s">
        <v>743</v>
      </c>
      <c r="F93" s="34">
        <v>15</v>
      </c>
      <c r="G93" s="34" t="s">
        <v>11</v>
      </c>
      <c r="H93" s="36">
        <v>267724</v>
      </c>
      <c r="I93" s="58">
        <v>1579509</v>
      </c>
      <c r="J93">
        <f>IFERROR(VLOOKUP(G93,'LEAID Match'!$A$2:$B$526,2,FALSE),"")</f>
        <v>2920810</v>
      </c>
      <c r="K93" s="68">
        <f t="shared" si="3"/>
        <v>8</v>
      </c>
    </row>
    <row r="94" spans="1:11" x14ac:dyDescent="0.2">
      <c r="A94">
        <f t="shared" si="2"/>
        <v>2920810</v>
      </c>
      <c r="B94">
        <v>2019</v>
      </c>
      <c r="C94" t="s">
        <v>739</v>
      </c>
      <c r="D94" t="s">
        <v>740</v>
      </c>
      <c r="E94" t="s">
        <v>743</v>
      </c>
      <c r="F94" s="34">
        <v>15</v>
      </c>
      <c r="G94" s="34" t="s">
        <v>11</v>
      </c>
      <c r="H94" s="36">
        <v>278435</v>
      </c>
      <c r="I94" s="58">
        <v>1668819</v>
      </c>
      <c r="J94">
        <f>IFERROR(VLOOKUP(G94,'LEAID Match'!$A$2:$B$526,2,FALSE),"")</f>
        <v>2920810</v>
      </c>
      <c r="K94" s="68">
        <f t="shared" si="3"/>
        <v>8</v>
      </c>
    </row>
    <row r="95" spans="1:11" x14ac:dyDescent="0.2">
      <c r="A95">
        <f t="shared" si="2"/>
        <v>2920810</v>
      </c>
      <c r="B95">
        <v>2020</v>
      </c>
      <c r="C95" t="s">
        <v>739</v>
      </c>
      <c r="D95" t="s">
        <v>740</v>
      </c>
      <c r="E95" t="s">
        <v>743</v>
      </c>
      <c r="F95" s="34">
        <v>15</v>
      </c>
      <c r="G95" s="34" t="s">
        <v>11</v>
      </c>
      <c r="H95" s="36">
        <v>295995</v>
      </c>
      <c r="I95" s="58">
        <v>1685144</v>
      </c>
      <c r="J95">
        <f>IFERROR(VLOOKUP(G95,'LEAID Match'!$A$2:$B$526,2,FALSE),"")</f>
        <v>2920810</v>
      </c>
      <c r="K95" s="68">
        <f t="shared" si="3"/>
        <v>8</v>
      </c>
    </row>
    <row r="96" spans="1:11" x14ac:dyDescent="0.2">
      <c r="A96">
        <f t="shared" si="2"/>
        <v>2920810</v>
      </c>
      <c r="B96">
        <v>2021</v>
      </c>
      <c r="C96" t="s">
        <v>739</v>
      </c>
      <c r="D96" t="s">
        <v>740</v>
      </c>
      <c r="E96" t="s">
        <v>743</v>
      </c>
      <c r="F96" s="34">
        <v>15</v>
      </c>
      <c r="G96" s="34" t="s">
        <v>11</v>
      </c>
      <c r="H96" s="36">
        <v>329290</v>
      </c>
      <c r="I96" s="58">
        <v>1802571</v>
      </c>
      <c r="J96">
        <f>IFERROR(VLOOKUP(G96,'LEAID Match'!$A$2:$B$526,2,FALSE),"")</f>
        <v>2920810</v>
      </c>
      <c r="K96" s="68">
        <f t="shared" si="3"/>
        <v>8</v>
      </c>
    </row>
    <row r="97" spans="1:11" x14ac:dyDescent="0.2">
      <c r="A97">
        <f t="shared" si="2"/>
        <v>2920810</v>
      </c>
      <c r="B97">
        <v>2022</v>
      </c>
      <c r="C97" t="s">
        <v>739</v>
      </c>
      <c r="D97" t="s">
        <v>740</v>
      </c>
      <c r="E97" t="s">
        <v>743</v>
      </c>
      <c r="F97" s="34">
        <v>15</v>
      </c>
      <c r="G97" s="34" t="s">
        <v>11</v>
      </c>
      <c r="H97" s="36">
        <v>349170</v>
      </c>
      <c r="I97" s="58">
        <v>1837307</v>
      </c>
      <c r="J97">
        <f>IFERROR(VLOOKUP(G97,'LEAID Match'!$A$2:$B$526,2,FALSE),"")</f>
        <v>2920810</v>
      </c>
      <c r="K97" s="68">
        <f t="shared" si="3"/>
        <v>8</v>
      </c>
    </row>
    <row r="98" spans="1:11" x14ac:dyDescent="0.2">
      <c r="A98">
        <f t="shared" si="2"/>
        <v>2921120</v>
      </c>
      <c r="B98">
        <v>2015</v>
      </c>
      <c r="C98" t="s">
        <v>739</v>
      </c>
      <c r="D98" t="s">
        <v>740</v>
      </c>
      <c r="E98" t="s">
        <v>743</v>
      </c>
      <c r="F98" s="37">
        <v>19</v>
      </c>
      <c r="G98" s="39" t="s">
        <v>12</v>
      </c>
      <c r="H98" s="40">
        <v>178133</v>
      </c>
      <c r="I98" s="58">
        <v>1561867</v>
      </c>
      <c r="J98">
        <f>IFERROR(VLOOKUP(G98,'LEAID Match'!$A$2:$B$526,2,FALSE),"")</f>
        <v>2921120</v>
      </c>
      <c r="K98" s="68">
        <f t="shared" si="3"/>
        <v>8</v>
      </c>
    </row>
    <row r="99" spans="1:11" x14ac:dyDescent="0.2">
      <c r="A99">
        <f t="shared" si="2"/>
        <v>2921120</v>
      </c>
      <c r="B99">
        <v>2016</v>
      </c>
      <c r="C99" t="s">
        <v>739</v>
      </c>
      <c r="D99" t="s">
        <v>740</v>
      </c>
      <c r="E99" t="s">
        <v>743</v>
      </c>
      <c r="F99" s="34">
        <v>19</v>
      </c>
      <c r="G99" s="39" t="s">
        <v>12</v>
      </c>
      <c r="H99" s="36">
        <v>176999</v>
      </c>
      <c r="I99" s="60">
        <v>1657105</v>
      </c>
      <c r="J99">
        <f>IFERROR(VLOOKUP(G99,'LEAID Match'!$A$2:$B$526,2,FALSE),"")</f>
        <v>2921120</v>
      </c>
      <c r="K99" s="68">
        <f t="shared" si="3"/>
        <v>8</v>
      </c>
    </row>
    <row r="100" spans="1:11" x14ac:dyDescent="0.2">
      <c r="A100">
        <f t="shared" si="2"/>
        <v>2921120</v>
      </c>
      <c r="B100">
        <v>2017</v>
      </c>
      <c r="C100" t="s">
        <v>739</v>
      </c>
      <c r="D100" t="s">
        <v>740</v>
      </c>
      <c r="E100" t="s">
        <v>743</v>
      </c>
      <c r="F100" s="34">
        <v>19</v>
      </c>
      <c r="G100" s="39" t="s">
        <v>12</v>
      </c>
      <c r="H100" s="36">
        <v>185142</v>
      </c>
      <c r="I100" s="58">
        <v>1725976</v>
      </c>
      <c r="J100">
        <f>IFERROR(VLOOKUP(G100,'LEAID Match'!$A$2:$B$526,2,FALSE),"")</f>
        <v>2921120</v>
      </c>
      <c r="K100" s="68">
        <f t="shared" si="3"/>
        <v>8</v>
      </c>
    </row>
    <row r="101" spans="1:11" x14ac:dyDescent="0.2">
      <c r="A101">
        <f t="shared" si="2"/>
        <v>2921120</v>
      </c>
      <c r="B101">
        <v>2018</v>
      </c>
      <c r="C101" t="s">
        <v>739</v>
      </c>
      <c r="D101" t="s">
        <v>740</v>
      </c>
      <c r="E101" t="s">
        <v>743</v>
      </c>
      <c r="F101" s="34">
        <v>19</v>
      </c>
      <c r="G101" s="39" t="s">
        <v>12</v>
      </c>
      <c r="H101" s="36">
        <v>191890</v>
      </c>
      <c r="I101" s="58">
        <v>1775135</v>
      </c>
      <c r="J101">
        <f>IFERROR(VLOOKUP(G101,'LEAID Match'!$A$2:$B$526,2,FALSE),"")</f>
        <v>2921120</v>
      </c>
      <c r="K101" s="68">
        <f t="shared" si="3"/>
        <v>8</v>
      </c>
    </row>
    <row r="102" spans="1:11" x14ac:dyDescent="0.2">
      <c r="A102">
        <f t="shared" si="2"/>
        <v>2921120</v>
      </c>
      <c r="B102">
        <v>2019</v>
      </c>
      <c r="C102" t="s">
        <v>739</v>
      </c>
      <c r="D102" t="s">
        <v>740</v>
      </c>
      <c r="E102" t="s">
        <v>743</v>
      </c>
      <c r="F102" s="34">
        <v>19</v>
      </c>
      <c r="G102" s="39" t="s">
        <v>12</v>
      </c>
      <c r="H102" s="36">
        <v>200499</v>
      </c>
      <c r="I102" s="58">
        <v>1836236</v>
      </c>
      <c r="J102">
        <f>IFERROR(VLOOKUP(G102,'LEAID Match'!$A$2:$B$526,2,FALSE),"")</f>
        <v>2921120</v>
      </c>
      <c r="K102" s="68">
        <f t="shared" si="3"/>
        <v>8</v>
      </c>
    </row>
    <row r="103" spans="1:11" x14ac:dyDescent="0.2">
      <c r="A103">
        <f t="shared" si="2"/>
        <v>2921120</v>
      </c>
      <c r="B103">
        <v>2020</v>
      </c>
      <c r="C103" t="s">
        <v>739</v>
      </c>
      <c r="D103" t="s">
        <v>740</v>
      </c>
      <c r="E103" t="s">
        <v>743</v>
      </c>
      <c r="F103" s="34">
        <v>19</v>
      </c>
      <c r="G103" s="39" t="s">
        <v>12</v>
      </c>
      <c r="H103" s="36">
        <v>246972</v>
      </c>
      <c r="I103" s="58">
        <v>2008703</v>
      </c>
      <c r="J103">
        <f>IFERROR(VLOOKUP(G103,'LEAID Match'!$A$2:$B$526,2,FALSE),"")</f>
        <v>2921120</v>
      </c>
      <c r="K103" s="68">
        <f t="shared" si="3"/>
        <v>8</v>
      </c>
    </row>
    <row r="104" spans="1:11" x14ac:dyDescent="0.2">
      <c r="A104">
        <f t="shared" si="2"/>
        <v>2921120</v>
      </c>
      <c r="B104">
        <v>2021</v>
      </c>
      <c r="C104" t="s">
        <v>739</v>
      </c>
      <c r="D104" t="s">
        <v>740</v>
      </c>
      <c r="E104" t="s">
        <v>743</v>
      </c>
      <c r="F104" s="34">
        <v>19</v>
      </c>
      <c r="G104" s="39" t="s">
        <v>12</v>
      </c>
      <c r="H104" s="36">
        <v>306716</v>
      </c>
      <c r="I104" s="58">
        <v>2050405</v>
      </c>
      <c r="J104">
        <f>IFERROR(VLOOKUP(G104,'LEAID Match'!$A$2:$B$526,2,FALSE),"")</f>
        <v>2921120</v>
      </c>
      <c r="K104" s="68">
        <f t="shared" si="3"/>
        <v>8</v>
      </c>
    </row>
    <row r="105" spans="1:11" x14ac:dyDescent="0.2">
      <c r="A105">
        <f t="shared" si="2"/>
        <v>2921120</v>
      </c>
      <c r="B105">
        <v>2022</v>
      </c>
      <c r="C105" t="s">
        <v>739</v>
      </c>
      <c r="D105" t="s">
        <v>740</v>
      </c>
      <c r="E105" t="s">
        <v>743</v>
      </c>
      <c r="F105" s="34">
        <v>19</v>
      </c>
      <c r="G105" s="39" t="s">
        <v>12</v>
      </c>
      <c r="H105" s="36">
        <v>341778</v>
      </c>
      <c r="I105" s="58">
        <v>2054124</v>
      </c>
      <c r="J105">
        <f>IFERROR(VLOOKUP(G105,'LEAID Match'!$A$2:$B$526,2,FALSE),"")</f>
        <v>2921120</v>
      </c>
      <c r="K105" s="68">
        <f t="shared" si="3"/>
        <v>8</v>
      </c>
    </row>
    <row r="106" spans="1:11" x14ac:dyDescent="0.2">
      <c r="A106">
        <f t="shared" si="2"/>
        <v>2925620</v>
      </c>
      <c r="B106">
        <v>2015</v>
      </c>
      <c r="C106" t="s">
        <v>739</v>
      </c>
      <c r="D106" t="s">
        <v>740</v>
      </c>
      <c r="E106" t="s">
        <v>743</v>
      </c>
      <c r="F106" s="37">
        <v>20</v>
      </c>
      <c r="G106" s="39" t="s">
        <v>13</v>
      </c>
      <c r="H106" s="40">
        <v>56809</v>
      </c>
      <c r="I106" s="58">
        <v>413141</v>
      </c>
      <c r="J106">
        <f>IFERROR(VLOOKUP(G106,'LEAID Match'!$A$2:$B$526,2,FALSE),"")</f>
        <v>2925620</v>
      </c>
      <c r="K106" s="68">
        <f t="shared" si="3"/>
        <v>8</v>
      </c>
    </row>
    <row r="107" spans="1:11" x14ac:dyDescent="0.2">
      <c r="A107">
        <f t="shared" si="2"/>
        <v>2925620</v>
      </c>
      <c r="B107">
        <v>2016</v>
      </c>
      <c r="C107" t="s">
        <v>739</v>
      </c>
      <c r="D107" t="s">
        <v>740</v>
      </c>
      <c r="E107" t="s">
        <v>743</v>
      </c>
      <c r="F107" s="34">
        <v>20</v>
      </c>
      <c r="G107" s="34" t="s">
        <v>13</v>
      </c>
      <c r="H107" s="36">
        <v>61944</v>
      </c>
      <c r="I107" s="60">
        <v>412314</v>
      </c>
      <c r="J107">
        <f>IFERROR(VLOOKUP(G107,'LEAID Match'!$A$2:$B$526,2,FALSE),"")</f>
        <v>2925620</v>
      </c>
      <c r="K107" s="68">
        <f t="shared" si="3"/>
        <v>8</v>
      </c>
    </row>
    <row r="108" spans="1:11" x14ac:dyDescent="0.2">
      <c r="A108">
        <f t="shared" si="2"/>
        <v>2925620</v>
      </c>
      <c r="B108">
        <v>2017</v>
      </c>
      <c r="C108" t="s">
        <v>739</v>
      </c>
      <c r="D108" t="s">
        <v>740</v>
      </c>
      <c r="E108" t="s">
        <v>743</v>
      </c>
      <c r="F108" s="34">
        <v>20</v>
      </c>
      <c r="G108" s="34" t="s">
        <v>13</v>
      </c>
      <c r="H108" s="36">
        <v>62282</v>
      </c>
      <c r="I108" s="58">
        <v>420740</v>
      </c>
      <c r="J108">
        <f>IFERROR(VLOOKUP(G108,'LEAID Match'!$A$2:$B$526,2,FALSE),"")</f>
        <v>2925620</v>
      </c>
      <c r="K108" s="68">
        <f t="shared" si="3"/>
        <v>8</v>
      </c>
    </row>
    <row r="109" spans="1:11" x14ac:dyDescent="0.2">
      <c r="A109">
        <f t="shared" si="2"/>
        <v>2925620</v>
      </c>
      <c r="B109">
        <v>2018</v>
      </c>
      <c r="C109" t="s">
        <v>739</v>
      </c>
      <c r="D109" t="s">
        <v>740</v>
      </c>
      <c r="E109" t="s">
        <v>743</v>
      </c>
      <c r="F109" s="34">
        <v>20</v>
      </c>
      <c r="G109" s="34" t="s">
        <v>13</v>
      </c>
      <c r="H109" s="36">
        <v>64200</v>
      </c>
      <c r="I109" s="58">
        <v>436819</v>
      </c>
      <c r="J109">
        <f>IFERROR(VLOOKUP(G109,'LEAID Match'!$A$2:$B$526,2,FALSE),"")</f>
        <v>2925620</v>
      </c>
      <c r="K109" s="68">
        <f t="shared" si="3"/>
        <v>8</v>
      </c>
    </row>
    <row r="110" spans="1:11" x14ac:dyDescent="0.2">
      <c r="A110">
        <f t="shared" si="2"/>
        <v>2925620</v>
      </c>
      <c r="B110">
        <v>2019</v>
      </c>
      <c r="C110" t="s">
        <v>739</v>
      </c>
      <c r="D110" t="s">
        <v>740</v>
      </c>
      <c r="E110" t="s">
        <v>743</v>
      </c>
      <c r="F110" s="34">
        <v>20</v>
      </c>
      <c r="G110" s="34" t="s">
        <v>13</v>
      </c>
      <c r="H110" s="36">
        <v>65306</v>
      </c>
      <c r="I110" s="58">
        <v>438113</v>
      </c>
      <c r="J110">
        <f>IFERROR(VLOOKUP(G110,'LEAID Match'!$A$2:$B$526,2,FALSE),"")</f>
        <v>2925620</v>
      </c>
      <c r="K110" s="68">
        <f t="shared" si="3"/>
        <v>8</v>
      </c>
    </row>
    <row r="111" spans="1:11" x14ac:dyDescent="0.2">
      <c r="A111">
        <f t="shared" si="2"/>
        <v>2925620</v>
      </c>
      <c r="B111">
        <v>2020</v>
      </c>
      <c r="C111" t="s">
        <v>739</v>
      </c>
      <c r="D111" t="s">
        <v>740</v>
      </c>
      <c r="E111" t="s">
        <v>743</v>
      </c>
      <c r="F111" s="34">
        <v>20</v>
      </c>
      <c r="G111" s="34" t="s">
        <v>13</v>
      </c>
      <c r="H111" s="36">
        <v>71163</v>
      </c>
      <c r="I111" s="58">
        <v>432589</v>
      </c>
      <c r="J111">
        <f>IFERROR(VLOOKUP(G111,'LEAID Match'!$A$2:$B$526,2,FALSE),"")</f>
        <v>2925620</v>
      </c>
      <c r="K111" s="68">
        <f t="shared" si="3"/>
        <v>8</v>
      </c>
    </row>
    <row r="112" spans="1:11" x14ac:dyDescent="0.2">
      <c r="A112">
        <f t="shared" si="2"/>
        <v>2925620</v>
      </c>
      <c r="B112">
        <v>2021</v>
      </c>
      <c r="C112" t="s">
        <v>739</v>
      </c>
      <c r="D112" t="s">
        <v>740</v>
      </c>
      <c r="E112" t="s">
        <v>743</v>
      </c>
      <c r="F112" s="34">
        <v>20</v>
      </c>
      <c r="G112" s="34" t="s">
        <v>13</v>
      </c>
      <c r="H112" s="36">
        <v>70643</v>
      </c>
      <c r="I112" s="58">
        <v>419271</v>
      </c>
      <c r="J112">
        <f>IFERROR(VLOOKUP(G112,'LEAID Match'!$A$2:$B$526,2,FALSE),"")</f>
        <v>2925620</v>
      </c>
      <c r="K112" s="68">
        <f t="shared" si="3"/>
        <v>8</v>
      </c>
    </row>
    <row r="113" spans="1:11" x14ac:dyDescent="0.2">
      <c r="A113">
        <f t="shared" si="2"/>
        <v>2925620</v>
      </c>
      <c r="B113">
        <v>2022</v>
      </c>
      <c r="C113" t="s">
        <v>739</v>
      </c>
      <c r="D113" t="s">
        <v>740</v>
      </c>
      <c r="E113" t="s">
        <v>743</v>
      </c>
      <c r="F113" s="34">
        <v>20</v>
      </c>
      <c r="G113" s="34" t="s">
        <v>13</v>
      </c>
      <c r="H113" s="36">
        <v>82756</v>
      </c>
      <c r="I113" s="58">
        <v>442689</v>
      </c>
      <c r="J113">
        <f>IFERROR(VLOOKUP(G113,'LEAID Match'!$A$2:$B$526,2,FALSE),"")</f>
        <v>2925620</v>
      </c>
      <c r="K113" s="68">
        <f t="shared" si="3"/>
        <v>8</v>
      </c>
    </row>
    <row r="114" spans="1:11" x14ac:dyDescent="0.2">
      <c r="A114">
        <f t="shared" si="2"/>
        <v>2931950</v>
      </c>
      <c r="B114">
        <v>2015</v>
      </c>
      <c r="C114" t="s">
        <v>739</v>
      </c>
      <c r="D114" t="s">
        <v>740</v>
      </c>
      <c r="E114" t="s">
        <v>743</v>
      </c>
      <c r="F114" s="37">
        <v>21</v>
      </c>
      <c r="G114" s="39" t="s">
        <v>14</v>
      </c>
      <c r="H114" s="40">
        <v>40761</v>
      </c>
      <c r="I114" s="58">
        <v>255873</v>
      </c>
      <c r="J114">
        <f>IFERROR(VLOOKUP(G114,'LEAID Match'!$A$2:$B$526,2,FALSE),"")</f>
        <v>2931950</v>
      </c>
      <c r="K114" s="68">
        <f t="shared" si="3"/>
        <v>8</v>
      </c>
    </row>
    <row r="115" spans="1:11" x14ac:dyDescent="0.2">
      <c r="A115">
        <f t="shared" si="2"/>
        <v>2931950</v>
      </c>
      <c r="B115">
        <v>2016</v>
      </c>
      <c r="C115" t="s">
        <v>739</v>
      </c>
      <c r="D115" t="s">
        <v>740</v>
      </c>
      <c r="E115" t="s">
        <v>743</v>
      </c>
      <c r="F115" s="34">
        <v>21</v>
      </c>
      <c r="G115" s="34" t="s">
        <v>14</v>
      </c>
      <c r="H115" s="36">
        <v>41631</v>
      </c>
      <c r="I115" s="60">
        <v>253244</v>
      </c>
      <c r="J115">
        <f>IFERROR(VLOOKUP(G115,'LEAID Match'!$A$2:$B$526,2,FALSE),"")</f>
        <v>2931950</v>
      </c>
      <c r="K115" s="68">
        <f t="shared" si="3"/>
        <v>8</v>
      </c>
    </row>
    <row r="116" spans="1:11" x14ac:dyDescent="0.2">
      <c r="A116">
        <f t="shared" si="2"/>
        <v>2931950</v>
      </c>
      <c r="B116">
        <v>2017</v>
      </c>
      <c r="C116" t="s">
        <v>739</v>
      </c>
      <c r="D116" t="s">
        <v>740</v>
      </c>
      <c r="E116" t="s">
        <v>743</v>
      </c>
      <c r="F116" s="34">
        <v>21</v>
      </c>
      <c r="G116" s="34" t="s">
        <v>14</v>
      </c>
      <c r="H116" s="36">
        <v>44279</v>
      </c>
      <c r="I116" s="58">
        <v>254705</v>
      </c>
      <c r="J116">
        <f>IFERROR(VLOOKUP(G116,'LEAID Match'!$A$2:$B$526,2,FALSE),"")</f>
        <v>2931950</v>
      </c>
      <c r="K116" s="68">
        <f t="shared" si="3"/>
        <v>8</v>
      </c>
    </row>
    <row r="117" spans="1:11" x14ac:dyDescent="0.2">
      <c r="A117">
        <f t="shared" si="2"/>
        <v>2931950</v>
      </c>
      <c r="B117">
        <v>2018</v>
      </c>
      <c r="C117" t="s">
        <v>739</v>
      </c>
      <c r="D117" t="s">
        <v>740</v>
      </c>
      <c r="E117" t="s">
        <v>743</v>
      </c>
      <c r="F117" s="34">
        <v>21</v>
      </c>
      <c r="G117" s="34" t="s">
        <v>14</v>
      </c>
      <c r="H117" s="36">
        <v>46017</v>
      </c>
      <c r="I117" s="58">
        <v>264528</v>
      </c>
      <c r="J117">
        <f>IFERROR(VLOOKUP(G117,'LEAID Match'!$A$2:$B$526,2,FALSE),"")</f>
        <v>2931950</v>
      </c>
      <c r="K117" s="68">
        <f t="shared" si="3"/>
        <v>8</v>
      </c>
    </row>
    <row r="118" spans="1:11" x14ac:dyDescent="0.2">
      <c r="A118">
        <f t="shared" si="2"/>
        <v>2931950</v>
      </c>
      <c r="B118">
        <v>2019</v>
      </c>
      <c r="C118" t="s">
        <v>739</v>
      </c>
      <c r="D118" t="s">
        <v>740</v>
      </c>
      <c r="E118" t="s">
        <v>743</v>
      </c>
      <c r="F118" s="34">
        <v>21</v>
      </c>
      <c r="G118" s="34" t="s">
        <v>14</v>
      </c>
      <c r="H118" s="36">
        <v>49353</v>
      </c>
      <c r="I118" s="58">
        <v>255317</v>
      </c>
      <c r="J118">
        <f>IFERROR(VLOOKUP(G118,'LEAID Match'!$A$2:$B$526,2,FALSE),"")</f>
        <v>2931950</v>
      </c>
      <c r="K118" s="68">
        <f t="shared" si="3"/>
        <v>8</v>
      </c>
    </row>
    <row r="119" spans="1:11" x14ac:dyDescent="0.2">
      <c r="A119">
        <f t="shared" si="2"/>
        <v>2931950</v>
      </c>
      <c r="B119">
        <v>2020</v>
      </c>
      <c r="C119" t="s">
        <v>739</v>
      </c>
      <c r="D119" t="s">
        <v>740</v>
      </c>
      <c r="E119" t="s">
        <v>743</v>
      </c>
      <c r="F119" s="34">
        <v>21</v>
      </c>
      <c r="G119" s="34" t="s">
        <v>14</v>
      </c>
      <c r="H119" s="36">
        <v>50700</v>
      </c>
      <c r="I119" s="58">
        <v>264241</v>
      </c>
      <c r="J119">
        <f>IFERROR(VLOOKUP(G119,'LEAID Match'!$A$2:$B$526,2,FALSE),"")</f>
        <v>2931950</v>
      </c>
      <c r="K119" s="68">
        <f t="shared" si="3"/>
        <v>8</v>
      </c>
    </row>
    <row r="120" spans="1:11" x14ac:dyDescent="0.2">
      <c r="A120">
        <f t="shared" si="2"/>
        <v>2931950</v>
      </c>
      <c r="B120">
        <v>2021</v>
      </c>
      <c r="C120" t="s">
        <v>739</v>
      </c>
      <c r="D120" t="s">
        <v>740</v>
      </c>
      <c r="E120" t="s">
        <v>743</v>
      </c>
      <c r="F120" s="34">
        <v>21</v>
      </c>
      <c r="G120" s="34" t="s">
        <v>14</v>
      </c>
      <c r="H120" s="36">
        <v>53197</v>
      </c>
      <c r="I120" s="58">
        <v>259230</v>
      </c>
      <c r="J120">
        <f>IFERROR(VLOOKUP(G120,'LEAID Match'!$A$2:$B$526,2,FALSE),"")</f>
        <v>2931950</v>
      </c>
      <c r="K120" s="68">
        <f t="shared" si="3"/>
        <v>8</v>
      </c>
    </row>
    <row r="121" spans="1:11" x14ac:dyDescent="0.2">
      <c r="A121">
        <f t="shared" si="2"/>
        <v>2931950</v>
      </c>
      <c r="B121">
        <v>2022</v>
      </c>
      <c r="C121" t="s">
        <v>739</v>
      </c>
      <c r="D121" t="s">
        <v>740</v>
      </c>
      <c r="E121" t="s">
        <v>743</v>
      </c>
      <c r="F121" s="34">
        <v>21</v>
      </c>
      <c r="G121" s="34" t="s">
        <v>14</v>
      </c>
      <c r="H121" s="36">
        <v>55147</v>
      </c>
      <c r="I121" s="58">
        <v>281425</v>
      </c>
      <c r="J121">
        <f>IFERROR(VLOOKUP(G121,'LEAID Match'!$A$2:$B$526,2,FALSE),"")</f>
        <v>2931950</v>
      </c>
      <c r="K121" s="68">
        <f t="shared" si="3"/>
        <v>8</v>
      </c>
    </row>
    <row r="122" spans="1:11" x14ac:dyDescent="0.2">
      <c r="A122">
        <f t="shared" si="2"/>
        <v>2908170</v>
      </c>
      <c r="B122">
        <v>2015</v>
      </c>
      <c r="C122" t="s">
        <v>739</v>
      </c>
      <c r="D122" t="s">
        <v>740</v>
      </c>
      <c r="E122" t="s">
        <v>743</v>
      </c>
      <c r="F122" s="37">
        <v>22</v>
      </c>
      <c r="G122" s="39" t="s">
        <v>15</v>
      </c>
      <c r="H122" s="40">
        <v>186982</v>
      </c>
      <c r="I122" s="58">
        <v>1168803</v>
      </c>
      <c r="J122">
        <f>IFERROR(VLOOKUP(G122,'LEAID Match'!$A$2:$B$526,2,FALSE),"")</f>
        <v>2908170</v>
      </c>
      <c r="K122" s="68">
        <f t="shared" si="3"/>
        <v>8</v>
      </c>
    </row>
    <row r="123" spans="1:11" x14ac:dyDescent="0.2">
      <c r="A123">
        <f t="shared" si="2"/>
        <v>2908170</v>
      </c>
      <c r="B123">
        <v>2016</v>
      </c>
      <c r="C123" t="s">
        <v>739</v>
      </c>
      <c r="D123" t="s">
        <v>740</v>
      </c>
      <c r="E123" t="s">
        <v>743</v>
      </c>
      <c r="F123" s="34">
        <v>22</v>
      </c>
      <c r="G123" s="34" t="s">
        <v>15</v>
      </c>
      <c r="H123" s="36">
        <v>191528</v>
      </c>
      <c r="I123" s="60">
        <v>1190602</v>
      </c>
      <c r="J123">
        <f>IFERROR(VLOOKUP(G123,'LEAID Match'!$A$2:$B$526,2,FALSE),"")</f>
        <v>2908170</v>
      </c>
      <c r="K123" s="68">
        <f t="shared" si="3"/>
        <v>8</v>
      </c>
    </row>
    <row r="124" spans="1:11" x14ac:dyDescent="0.2">
      <c r="A124">
        <f t="shared" si="2"/>
        <v>2908170</v>
      </c>
      <c r="B124">
        <v>2017</v>
      </c>
      <c r="C124" t="s">
        <v>739</v>
      </c>
      <c r="D124" t="s">
        <v>740</v>
      </c>
      <c r="E124" t="s">
        <v>743</v>
      </c>
      <c r="F124" s="34">
        <v>22</v>
      </c>
      <c r="G124" s="34" t="s">
        <v>15</v>
      </c>
      <c r="H124" s="36">
        <v>192795</v>
      </c>
      <c r="I124" s="58">
        <v>1227036</v>
      </c>
      <c r="J124">
        <f>IFERROR(VLOOKUP(G124,'LEAID Match'!$A$2:$B$526,2,FALSE),"")</f>
        <v>2908170</v>
      </c>
      <c r="K124" s="68">
        <f t="shared" si="3"/>
        <v>8</v>
      </c>
    </row>
    <row r="125" spans="1:11" x14ac:dyDescent="0.2">
      <c r="A125">
        <f t="shared" si="2"/>
        <v>2908170</v>
      </c>
      <c r="B125">
        <v>2018</v>
      </c>
      <c r="C125" t="s">
        <v>739</v>
      </c>
      <c r="D125" t="s">
        <v>740</v>
      </c>
      <c r="E125" t="s">
        <v>743</v>
      </c>
      <c r="F125" s="34">
        <v>22</v>
      </c>
      <c r="G125" s="34" t="s">
        <v>15</v>
      </c>
      <c r="H125" s="36">
        <v>203754</v>
      </c>
      <c r="I125" s="58">
        <v>1238874</v>
      </c>
      <c r="J125">
        <f>IFERROR(VLOOKUP(G125,'LEAID Match'!$A$2:$B$526,2,FALSE),"")</f>
        <v>2908170</v>
      </c>
      <c r="K125" s="68">
        <f t="shared" si="3"/>
        <v>8</v>
      </c>
    </row>
    <row r="126" spans="1:11" x14ac:dyDescent="0.2">
      <c r="A126">
        <f t="shared" si="2"/>
        <v>2908170</v>
      </c>
      <c r="B126">
        <v>2019</v>
      </c>
      <c r="C126" t="s">
        <v>739</v>
      </c>
      <c r="D126" t="s">
        <v>740</v>
      </c>
      <c r="E126" t="s">
        <v>743</v>
      </c>
      <c r="F126" s="34">
        <v>22</v>
      </c>
      <c r="G126" s="34" t="s">
        <v>15</v>
      </c>
      <c r="H126" s="36">
        <v>210860</v>
      </c>
      <c r="I126" s="58">
        <v>1312138</v>
      </c>
      <c r="J126">
        <f>IFERROR(VLOOKUP(G126,'LEAID Match'!$A$2:$B$526,2,FALSE),"")</f>
        <v>2908170</v>
      </c>
      <c r="K126" s="68">
        <f t="shared" si="3"/>
        <v>8</v>
      </c>
    </row>
    <row r="127" spans="1:11" x14ac:dyDescent="0.2">
      <c r="A127">
        <f t="shared" si="2"/>
        <v>2908170</v>
      </c>
      <c r="B127">
        <v>2020</v>
      </c>
      <c r="C127" t="s">
        <v>739</v>
      </c>
      <c r="D127" t="s">
        <v>740</v>
      </c>
      <c r="E127" t="s">
        <v>743</v>
      </c>
      <c r="F127" s="34">
        <v>22</v>
      </c>
      <c r="G127" s="34" t="s">
        <v>15</v>
      </c>
      <c r="H127" s="36">
        <v>219838</v>
      </c>
      <c r="I127" s="58">
        <v>1375556</v>
      </c>
      <c r="J127">
        <f>IFERROR(VLOOKUP(G127,'LEAID Match'!$A$2:$B$526,2,FALSE),"")</f>
        <v>2908170</v>
      </c>
      <c r="K127" s="68">
        <f t="shared" si="3"/>
        <v>8</v>
      </c>
    </row>
    <row r="128" spans="1:11" x14ac:dyDescent="0.2">
      <c r="A128">
        <f t="shared" si="2"/>
        <v>2908170</v>
      </c>
      <c r="B128">
        <v>2021</v>
      </c>
      <c r="C128" t="s">
        <v>739</v>
      </c>
      <c r="D128" t="s">
        <v>740</v>
      </c>
      <c r="E128" t="s">
        <v>743</v>
      </c>
      <c r="F128" s="34">
        <v>22</v>
      </c>
      <c r="G128" s="34" t="s">
        <v>15</v>
      </c>
      <c r="H128" s="36">
        <v>233766</v>
      </c>
      <c r="I128" s="58">
        <v>1327944</v>
      </c>
      <c r="J128">
        <f>IFERROR(VLOOKUP(G128,'LEAID Match'!$A$2:$B$526,2,FALSE),"")</f>
        <v>2908170</v>
      </c>
      <c r="K128" s="68">
        <f t="shared" si="3"/>
        <v>8</v>
      </c>
    </row>
    <row r="129" spans="1:11" x14ac:dyDescent="0.2">
      <c r="A129">
        <f t="shared" si="2"/>
        <v>2908170</v>
      </c>
      <c r="B129">
        <v>2022</v>
      </c>
      <c r="C129" t="s">
        <v>739</v>
      </c>
      <c r="D129" t="s">
        <v>740</v>
      </c>
      <c r="E129" t="s">
        <v>743</v>
      </c>
      <c r="F129" s="34">
        <v>22</v>
      </c>
      <c r="G129" s="34" t="s">
        <v>15</v>
      </c>
      <c r="H129" s="36">
        <v>247696</v>
      </c>
      <c r="I129" s="58">
        <v>1377510</v>
      </c>
      <c r="J129">
        <f>IFERROR(VLOOKUP(G129,'LEAID Match'!$A$2:$B$526,2,FALSE),"")</f>
        <v>2908170</v>
      </c>
      <c r="K129" s="68">
        <f t="shared" si="3"/>
        <v>8</v>
      </c>
    </row>
    <row r="130" spans="1:11" x14ac:dyDescent="0.2">
      <c r="A130">
        <f t="shared" si="2"/>
        <v>2928710</v>
      </c>
      <c r="B130">
        <v>2015</v>
      </c>
      <c r="C130" t="s">
        <v>739</v>
      </c>
      <c r="D130" t="s">
        <v>740</v>
      </c>
      <c r="E130" t="s">
        <v>743</v>
      </c>
      <c r="F130" s="37">
        <v>23</v>
      </c>
      <c r="G130" s="39" t="s">
        <v>16</v>
      </c>
      <c r="H130" s="40">
        <v>71905</v>
      </c>
      <c r="I130" s="58">
        <v>487559</v>
      </c>
      <c r="J130">
        <f>IFERROR(VLOOKUP(G130,'LEAID Match'!$A$2:$B$526,2,FALSE),"")</f>
        <v>2928710</v>
      </c>
      <c r="K130" s="68">
        <f t="shared" si="3"/>
        <v>8</v>
      </c>
    </row>
    <row r="131" spans="1:11" x14ac:dyDescent="0.2">
      <c r="A131">
        <f t="shared" ref="A131:A194" si="4">J131</f>
        <v>2928710</v>
      </c>
      <c r="B131">
        <v>2016</v>
      </c>
      <c r="C131" t="s">
        <v>739</v>
      </c>
      <c r="D131" t="s">
        <v>740</v>
      </c>
      <c r="E131" t="s">
        <v>743</v>
      </c>
      <c r="F131" s="34">
        <v>23</v>
      </c>
      <c r="G131" s="34" t="s">
        <v>16</v>
      </c>
      <c r="H131" s="36">
        <v>72253</v>
      </c>
      <c r="I131" s="60">
        <v>473976</v>
      </c>
      <c r="J131">
        <f>IFERROR(VLOOKUP(G131,'LEAID Match'!$A$2:$B$526,2,FALSE),"")</f>
        <v>2928710</v>
      </c>
      <c r="K131" s="68">
        <f t="shared" ref="K131:K194" si="5">COUNTIF($J$2:$J$4295,J131)</f>
        <v>8</v>
      </c>
    </row>
    <row r="132" spans="1:11" x14ac:dyDescent="0.2">
      <c r="A132">
        <f t="shared" si="4"/>
        <v>2928710</v>
      </c>
      <c r="B132">
        <v>2017</v>
      </c>
      <c r="C132" t="s">
        <v>739</v>
      </c>
      <c r="D132" t="s">
        <v>740</v>
      </c>
      <c r="E132" t="s">
        <v>743</v>
      </c>
      <c r="F132" s="34">
        <v>23</v>
      </c>
      <c r="G132" s="34" t="s">
        <v>16</v>
      </c>
      <c r="H132" s="36">
        <v>73684</v>
      </c>
      <c r="I132" s="58">
        <v>500541</v>
      </c>
      <c r="J132">
        <f>IFERROR(VLOOKUP(G132,'LEAID Match'!$A$2:$B$526,2,FALSE),"")</f>
        <v>2928710</v>
      </c>
      <c r="K132" s="68">
        <f t="shared" si="5"/>
        <v>8</v>
      </c>
    </row>
    <row r="133" spans="1:11" x14ac:dyDescent="0.2">
      <c r="A133">
        <f t="shared" si="4"/>
        <v>2928710</v>
      </c>
      <c r="B133">
        <v>2018</v>
      </c>
      <c r="C133" t="s">
        <v>739</v>
      </c>
      <c r="D133" t="s">
        <v>740</v>
      </c>
      <c r="E133" t="s">
        <v>743</v>
      </c>
      <c r="F133" s="34">
        <v>23</v>
      </c>
      <c r="G133" s="34" t="s">
        <v>16</v>
      </c>
      <c r="H133" s="36">
        <v>76895</v>
      </c>
      <c r="I133" s="58">
        <v>510397</v>
      </c>
      <c r="J133">
        <f>IFERROR(VLOOKUP(G133,'LEAID Match'!$A$2:$B$526,2,FALSE),"")</f>
        <v>2928710</v>
      </c>
      <c r="K133" s="68">
        <f t="shared" si="5"/>
        <v>8</v>
      </c>
    </row>
    <row r="134" spans="1:11" x14ac:dyDescent="0.2">
      <c r="A134">
        <f t="shared" si="4"/>
        <v>2928710</v>
      </c>
      <c r="B134">
        <v>2019</v>
      </c>
      <c r="C134" t="s">
        <v>739</v>
      </c>
      <c r="D134" t="s">
        <v>740</v>
      </c>
      <c r="E134" t="s">
        <v>743</v>
      </c>
      <c r="F134" s="34">
        <v>23</v>
      </c>
      <c r="G134" s="34" t="s">
        <v>16</v>
      </c>
      <c r="H134" s="36">
        <v>82108</v>
      </c>
      <c r="I134" s="58">
        <v>484962</v>
      </c>
      <c r="J134">
        <f>IFERROR(VLOOKUP(G134,'LEAID Match'!$A$2:$B$526,2,FALSE),"")</f>
        <v>2928710</v>
      </c>
      <c r="K134" s="68">
        <f t="shared" si="5"/>
        <v>8</v>
      </c>
    </row>
    <row r="135" spans="1:11" x14ac:dyDescent="0.2">
      <c r="A135">
        <f t="shared" si="4"/>
        <v>2928710</v>
      </c>
      <c r="B135">
        <v>2020</v>
      </c>
      <c r="C135" t="s">
        <v>739</v>
      </c>
      <c r="D135" t="s">
        <v>740</v>
      </c>
      <c r="E135" t="s">
        <v>743</v>
      </c>
      <c r="F135" s="34">
        <v>23</v>
      </c>
      <c r="G135" s="34" t="s">
        <v>16</v>
      </c>
      <c r="H135" s="36">
        <v>97054</v>
      </c>
      <c r="I135" s="58">
        <v>470573</v>
      </c>
      <c r="J135">
        <f>IFERROR(VLOOKUP(G135,'LEAID Match'!$A$2:$B$526,2,FALSE),"")</f>
        <v>2928710</v>
      </c>
      <c r="K135" s="68">
        <f t="shared" si="5"/>
        <v>8</v>
      </c>
    </row>
    <row r="136" spans="1:11" x14ac:dyDescent="0.2">
      <c r="A136">
        <f t="shared" si="4"/>
        <v>2928710</v>
      </c>
      <c r="B136">
        <v>2021</v>
      </c>
      <c r="C136" t="s">
        <v>739</v>
      </c>
      <c r="D136" t="s">
        <v>740</v>
      </c>
      <c r="E136" t="s">
        <v>743</v>
      </c>
      <c r="F136" s="34">
        <v>23</v>
      </c>
      <c r="G136" s="34" t="s">
        <v>16</v>
      </c>
      <c r="H136" s="36">
        <v>87963</v>
      </c>
      <c r="I136" s="58">
        <v>485574</v>
      </c>
      <c r="J136">
        <f>IFERROR(VLOOKUP(G136,'LEAID Match'!$A$2:$B$526,2,FALSE),"")</f>
        <v>2928710</v>
      </c>
      <c r="K136" s="68">
        <f t="shared" si="5"/>
        <v>8</v>
      </c>
    </row>
    <row r="137" spans="1:11" x14ac:dyDescent="0.2">
      <c r="A137">
        <f t="shared" si="4"/>
        <v>2928710</v>
      </c>
      <c r="B137">
        <v>2022</v>
      </c>
      <c r="C137" t="s">
        <v>739</v>
      </c>
      <c r="D137" t="s">
        <v>740</v>
      </c>
      <c r="E137" t="s">
        <v>743</v>
      </c>
      <c r="F137" s="34">
        <v>23</v>
      </c>
      <c r="G137" s="34" t="s">
        <v>16</v>
      </c>
      <c r="H137" s="36">
        <v>97649</v>
      </c>
      <c r="I137" s="58">
        <v>515363</v>
      </c>
      <c r="J137">
        <f>IFERROR(VLOOKUP(G137,'LEAID Match'!$A$2:$B$526,2,FALSE),"")</f>
        <v>2928710</v>
      </c>
      <c r="K137" s="68">
        <f t="shared" si="5"/>
        <v>8</v>
      </c>
    </row>
    <row r="138" spans="1:11" x14ac:dyDescent="0.2">
      <c r="A138">
        <f t="shared" si="4"/>
        <v>2911670</v>
      </c>
      <c r="B138">
        <v>2015</v>
      </c>
      <c r="C138" t="s">
        <v>739</v>
      </c>
      <c r="D138" t="s">
        <v>740</v>
      </c>
      <c r="E138" t="s">
        <v>743</v>
      </c>
      <c r="F138" s="37">
        <v>24</v>
      </c>
      <c r="G138" s="39" t="s">
        <v>17</v>
      </c>
      <c r="H138" s="40">
        <v>34215</v>
      </c>
      <c r="I138" s="58">
        <v>201490</v>
      </c>
      <c r="J138">
        <f>IFERROR(VLOOKUP(G138,'LEAID Match'!$A$2:$B$526,2,FALSE),"")</f>
        <v>2911670</v>
      </c>
      <c r="K138" s="68">
        <f t="shared" si="5"/>
        <v>8</v>
      </c>
    </row>
    <row r="139" spans="1:11" x14ac:dyDescent="0.2">
      <c r="A139">
        <f t="shared" si="4"/>
        <v>2911670</v>
      </c>
      <c r="B139">
        <v>2016</v>
      </c>
      <c r="C139" t="s">
        <v>739</v>
      </c>
      <c r="D139" t="s">
        <v>740</v>
      </c>
      <c r="E139" t="s">
        <v>743</v>
      </c>
      <c r="F139" s="34">
        <v>24</v>
      </c>
      <c r="G139" s="34" t="s">
        <v>17</v>
      </c>
      <c r="H139" s="36">
        <v>35469</v>
      </c>
      <c r="I139" s="60">
        <v>191929</v>
      </c>
      <c r="J139">
        <f>IFERROR(VLOOKUP(G139,'LEAID Match'!$A$2:$B$526,2,FALSE),"")</f>
        <v>2911670</v>
      </c>
      <c r="K139" s="68">
        <f t="shared" si="5"/>
        <v>8</v>
      </c>
    </row>
    <row r="140" spans="1:11" x14ac:dyDescent="0.2">
      <c r="A140">
        <f t="shared" si="4"/>
        <v>2911670</v>
      </c>
      <c r="B140">
        <v>2017</v>
      </c>
      <c r="C140" t="s">
        <v>739</v>
      </c>
      <c r="D140" t="s">
        <v>740</v>
      </c>
      <c r="E140" t="s">
        <v>743</v>
      </c>
      <c r="F140" s="34">
        <v>24</v>
      </c>
      <c r="G140" s="34" t="s">
        <v>17</v>
      </c>
      <c r="H140" s="36">
        <v>41525</v>
      </c>
      <c r="I140" s="58">
        <v>194702</v>
      </c>
      <c r="J140">
        <f>IFERROR(VLOOKUP(G140,'LEAID Match'!$A$2:$B$526,2,FALSE),"")</f>
        <v>2911670</v>
      </c>
      <c r="K140" s="68">
        <f t="shared" si="5"/>
        <v>8</v>
      </c>
    </row>
    <row r="141" spans="1:11" x14ac:dyDescent="0.2">
      <c r="A141">
        <f t="shared" si="4"/>
        <v>2911670</v>
      </c>
      <c r="B141">
        <v>2018</v>
      </c>
      <c r="C141" t="s">
        <v>739</v>
      </c>
      <c r="D141" t="s">
        <v>740</v>
      </c>
      <c r="E141" t="s">
        <v>743</v>
      </c>
      <c r="F141" s="34">
        <v>24</v>
      </c>
      <c r="G141" s="34" t="s">
        <v>17</v>
      </c>
      <c r="H141" s="36">
        <v>40549</v>
      </c>
      <c r="I141" s="58">
        <v>200555</v>
      </c>
      <c r="J141">
        <f>IFERROR(VLOOKUP(G141,'LEAID Match'!$A$2:$B$526,2,FALSE),"")</f>
        <v>2911670</v>
      </c>
      <c r="K141" s="68">
        <f t="shared" si="5"/>
        <v>8</v>
      </c>
    </row>
    <row r="142" spans="1:11" x14ac:dyDescent="0.2">
      <c r="A142">
        <f t="shared" si="4"/>
        <v>2911670</v>
      </c>
      <c r="B142">
        <v>2019</v>
      </c>
      <c r="C142" t="s">
        <v>739</v>
      </c>
      <c r="D142" t="s">
        <v>740</v>
      </c>
      <c r="E142" t="s">
        <v>743</v>
      </c>
      <c r="F142" s="34">
        <v>24</v>
      </c>
      <c r="G142" s="34" t="s">
        <v>17</v>
      </c>
      <c r="H142" s="36">
        <v>42366</v>
      </c>
      <c r="I142" s="58">
        <v>195430</v>
      </c>
      <c r="J142">
        <f>IFERROR(VLOOKUP(G142,'LEAID Match'!$A$2:$B$526,2,FALSE),"")</f>
        <v>2911670</v>
      </c>
      <c r="K142" s="68">
        <f t="shared" si="5"/>
        <v>8</v>
      </c>
    </row>
    <row r="143" spans="1:11" x14ac:dyDescent="0.2">
      <c r="A143">
        <f t="shared" si="4"/>
        <v>2911670</v>
      </c>
      <c r="B143">
        <v>2020</v>
      </c>
      <c r="C143" t="s">
        <v>739</v>
      </c>
      <c r="D143" t="s">
        <v>740</v>
      </c>
      <c r="E143" t="s">
        <v>743</v>
      </c>
      <c r="F143" s="34">
        <v>24</v>
      </c>
      <c r="G143" s="34" t="s">
        <v>17</v>
      </c>
      <c r="H143" s="36">
        <v>39950</v>
      </c>
      <c r="I143" s="58">
        <v>203273</v>
      </c>
      <c r="J143">
        <f>IFERROR(VLOOKUP(G143,'LEAID Match'!$A$2:$B$526,2,FALSE),"")</f>
        <v>2911670</v>
      </c>
      <c r="K143" s="68">
        <f t="shared" si="5"/>
        <v>8</v>
      </c>
    </row>
    <row r="144" spans="1:11" x14ac:dyDescent="0.2">
      <c r="A144">
        <f t="shared" si="4"/>
        <v>2911670</v>
      </c>
      <c r="B144">
        <v>2021</v>
      </c>
      <c r="C144" t="s">
        <v>739</v>
      </c>
      <c r="D144" t="s">
        <v>740</v>
      </c>
      <c r="E144" t="s">
        <v>743</v>
      </c>
      <c r="F144" s="34">
        <v>24</v>
      </c>
      <c r="G144" s="34" t="s">
        <v>17</v>
      </c>
      <c r="H144" s="36">
        <v>45542</v>
      </c>
      <c r="I144" s="58">
        <v>213692</v>
      </c>
      <c r="J144">
        <f>IFERROR(VLOOKUP(G144,'LEAID Match'!$A$2:$B$526,2,FALSE),"")</f>
        <v>2911670</v>
      </c>
      <c r="K144" s="68">
        <f t="shared" si="5"/>
        <v>8</v>
      </c>
    </row>
    <row r="145" spans="1:11" x14ac:dyDescent="0.2">
      <c r="A145">
        <f t="shared" si="4"/>
        <v>2911670</v>
      </c>
      <c r="B145">
        <v>2022</v>
      </c>
      <c r="C145" t="s">
        <v>739</v>
      </c>
      <c r="D145" t="s">
        <v>740</v>
      </c>
      <c r="E145" t="s">
        <v>743</v>
      </c>
      <c r="F145" s="34">
        <v>24</v>
      </c>
      <c r="G145" s="34" t="s">
        <v>17</v>
      </c>
      <c r="H145" s="36">
        <v>47039</v>
      </c>
      <c r="I145" s="58">
        <v>206236</v>
      </c>
      <c r="J145">
        <f>IFERROR(VLOOKUP(G145,'LEAID Match'!$A$2:$B$526,2,FALSE),"")</f>
        <v>2911670</v>
      </c>
      <c r="K145" s="68">
        <f t="shared" si="5"/>
        <v>8</v>
      </c>
    </row>
    <row r="146" spans="1:11" x14ac:dyDescent="0.2">
      <c r="A146">
        <f t="shared" si="4"/>
        <v>2928200</v>
      </c>
      <c r="B146">
        <v>2015</v>
      </c>
      <c r="C146" t="s">
        <v>739</v>
      </c>
      <c r="D146" t="s">
        <v>740</v>
      </c>
      <c r="E146" t="s">
        <v>743</v>
      </c>
      <c r="F146" s="37">
        <v>28</v>
      </c>
      <c r="G146" s="39" t="s">
        <v>18</v>
      </c>
      <c r="H146" s="40">
        <v>39385</v>
      </c>
      <c r="I146" s="58">
        <v>172104</v>
      </c>
      <c r="J146">
        <f>IFERROR(VLOOKUP(G146,'LEAID Match'!$A$2:$B$526,2,FALSE),"")</f>
        <v>2928200</v>
      </c>
      <c r="K146" s="68">
        <f t="shared" si="5"/>
        <v>8</v>
      </c>
    </row>
    <row r="147" spans="1:11" x14ac:dyDescent="0.2">
      <c r="A147">
        <f t="shared" si="4"/>
        <v>2928200</v>
      </c>
      <c r="B147">
        <v>2016</v>
      </c>
      <c r="C147" t="s">
        <v>739</v>
      </c>
      <c r="D147" t="s">
        <v>740</v>
      </c>
      <c r="E147" t="s">
        <v>743</v>
      </c>
      <c r="F147" s="34">
        <v>28</v>
      </c>
      <c r="G147" s="34" t="s">
        <v>18</v>
      </c>
      <c r="H147" s="36">
        <v>43400</v>
      </c>
      <c r="I147" s="60">
        <v>172708</v>
      </c>
      <c r="J147">
        <f>IFERROR(VLOOKUP(G147,'LEAID Match'!$A$2:$B$526,2,FALSE),"")</f>
        <v>2928200</v>
      </c>
      <c r="K147" s="68">
        <f t="shared" si="5"/>
        <v>8</v>
      </c>
    </row>
    <row r="148" spans="1:11" x14ac:dyDescent="0.2">
      <c r="A148">
        <f t="shared" si="4"/>
        <v>2928200</v>
      </c>
      <c r="B148">
        <v>2017</v>
      </c>
      <c r="C148" t="s">
        <v>739</v>
      </c>
      <c r="D148" t="s">
        <v>740</v>
      </c>
      <c r="E148" t="s">
        <v>743</v>
      </c>
      <c r="F148" s="34">
        <v>28</v>
      </c>
      <c r="G148" s="34" t="s">
        <v>18</v>
      </c>
      <c r="H148" s="36">
        <v>48365</v>
      </c>
      <c r="I148" s="58">
        <v>175316</v>
      </c>
      <c r="J148">
        <f>IFERROR(VLOOKUP(G148,'LEAID Match'!$A$2:$B$526,2,FALSE),"")</f>
        <v>2928200</v>
      </c>
      <c r="K148" s="68">
        <f t="shared" si="5"/>
        <v>8</v>
      </c>
    </row>
    <row r="149" spans="1:11" x14ac:dyDescent="0.2">
      <c r="A149">
        <f t="shared" si="4"/>
        <v>2928200</v>
      </c>
      <c r="B149">
        <v>2018</v>
      </c>
      <c r="C149" t="s">
        <v>739</v>
      </c>
      <c r="D149" t="s">
        <v>740</v>
      </c>
      <c r="E149" t="s">
        <v>743</v>
      </c>
      <c r="F149" s="34">
        <v>28</v>
      </c>
      <c r="G149" s="34" t="s">
        <v>18</v>
      </c>
      <c r="H149" s="36">
        <v>46913</v>
      </c>
      <c r="I149" s="58">
        <v>189580</v>
      </c>
      <c r="J149">
        <f>IFERROR(VLOOKUP(G149,'LEAID Match'!$A$2:$B$526,2,FALSE),"")</f>
        <v>2928200</v>
      </c>
      <c r="K149" s="68">
        <f t="shared" si="5"/>
        <v>8</v>
      </c>
    </row>
    <row r="150" spans="1:11" x14ac:dyDescent="0.2">
      <c r="A150">
        <f t="shared" si="4"/>
        <v>2928200</v>
      </c>
      <c r="B150">
        <v>2019</v>
      </c>
      <c r="C150" t="s">
        <v>739</v>
      </c>
      <c r="D150" t="s">
        <v>740</v>
      </c>
      <c r="E150" t="s">
        <v>743</v>
      </c>
      <c r="F150" s="34">
        <v>28</v>
      </c>
      <c r="G150" s="34" t="s">
        <v>18</v>
      </c>
      <c r="H150" s="36">
        <v>50802</v>
      </c>
      <c r="I150" s="58">
        <v>194724</v>
      </c>
      <c r="J150">
        <f>IFERROR(VLOOKUP(G150,'LEAID Match'!$A$2:$B$526,2,FALSE),"")</f>
        <v>2928200</v>
      </c>
      <c r="K150" s="68">
        <f t="shared" si="5"/>
        <v>8</v>
      </c>
    </row>
    <row r="151" spans="1:11" x14ac:dyDescent="0.2">
      <c r="A151">
        <f t="shared" si="4"/>
        <v>2928200</v>
      </c>
      <c r="B151">
        <v>2020</v>
      </c>
      <c r="C151" t="s">
        <v>739</v>
      </c>
      <c r="D151" t="s">
        <v>740</v>
      </c>
      <c r="E151" t="s">
        <v>743</v>
      </c>
      <c r="F151" s="34">
        <v>28</v>
      </c>
      <c r="G151" s="34" t="s">
        <v>18</v>
      </c>
      <c r="H151" s="36">
        <v>87801</v>
      </c>
      <c r="I151" s="58">
        <v>291863</v>
      </c>
      <c r="J151">
        <f>IFERROR(VLOOKUP(G151,'LEAID Match'!$A$2:$B$526,2,FALSE),"")</f>
        <v>2928200</v>
      </c>
      <c r="K151" s="68">
        <f t="shared" si="5"/>
        <v>8</v>
      </c>
    </row>
    <row r="152" spans="1:11" x14ac:dyDescent="0.2">
      <c r="A152">
        <f t="shared" si="4"/>
        <v>2928200</v>
      </c>
      <c r="B152">
        <v>2021</v>
      </c>
      <c r="C152" t="s">
        <v>739</v>
      </c>
      <c r="D152" t="s">
        <v>740</v>
      </c>
      <c r="E152" t="s">
        <v>743</v>
      </c>
      <c r="F152" s="34">
        <v>28</v>
      </c>
      <c r="G152" s="34" t="s">
        <v>18</v>
      </c>
      <c r="H152" s="36">
        <v>52530</v>
      </c>
      <c r="I152" s="58">
        <v>210864</v>
      </c>
      <c r="J152">
        <f>IFERROR(VLOOKUP(G152,'LEAID Match'!$A$2:$B$526,2,FALSE),"")</f>
        <v>2928200</v>
      </c>
      <c r="K152" s="68">
        <f t="shared" si="5"/>
        <v>8</v>
      </c>
    </row>
    <row r="153" spans="1:11" x14ac:dyDescent="0.2">
      <c r="A153">
        <f t="shared" si="4"/>
        <v>2928200</v>
      </c>
      <c r="B153">
        <v>2022</v>
      </c>
      <c r="C153" t="s">
        <v>739</v>
      </c>
      <c r="D153" t="s">
        <v>740</v>
      </c>
      <c r="E153" t="s">
        <v>743</v>
      </c>
      <c r="F153" s="34">
        <v>28</v>
      </c>
      <c r="G153" s="34" t="s">
        <v>18</v>
      </c>
      <c r="H153" s="36">
        <v>49226</v>
      </c>
      <c r="I153" s="58">
        <v>218704</v>
      </c>
      <c r="J153">
        <f>IFERROR(VLOOKUP(G153,'LEAID Match'!$A$2:$B$526,2,FALSE),"")</f>
        <v>2928200</v>
      </c>
      <c r="K153" s="68">
        <f t="shared" si="5"/>
        <v>8</v>
      </c>
    </row>
    <row r="154" spans="1:11" x14ac:dyDescent="0.2">
      <c r="A154">
        <f t="shared" si="4"/>
        <v>2917850</v>
      </c>
      <c r="B154">
        <v>2015</v>
      </c>
      <c r="C154" t="s">
        <v>739</v>
      </c>
      <c r="D154" t="s">
        <v>740</v>
      </c>
      <c r="E154" t="s">
        <v>743</v>
      </c>
      <c r="F154" s="37">
        <v>31</v>
      </c>
      <c r="G154" s="39" t="s">
        <v>19</v>
      </c>
      <c r="H154" s="40">
        <v>103481</v>
      </c>
      <c r="I154" s="58">
        <v>881501</v>
      </c>
      <c r="J154">
        <f>IFERROR(VLOOKUP(G154,'LEAID Match'!$A$2:$B$526,2,FALSE),"")</f>
        <v>2917850</v>
      </c>
      <c r="K154" s="68">
        <f t="shared" si="5"/>
        <v>8</v>
      </c>
    </row>
    <row r="155" spans="1:11" x14ac:dyDescent="0.2">
      <c r="A155">
        <f t="shared" si="4"/>
        <v>2917850</v>
      </c>
      <c r="B155">
        <v>2016</v>
      </c>
      <c r="C155" t="s">
        <v>739</v>
      </c>
      <c r="D155" t="s">
        <v>740</v>
      </c>
      <c r="E155" t="s">
        <v>743</v>
      </c>
      <c r="F155" s="34">
        <v>31</v>
      </c>
      <c r="G155" s="39" t="s">
        <v>19</v>
      </c>
      <c r="H155" s="36">
        <v>108753</v>
      </c>
      <c r="I155" s="60">
        <v>894776</v>
      </c>
      <c r="J155">
        <f>IFERROR(VLOOKUP(G155,'LEAID Match'!$A$2:$B$526,2,FALSE),"")</f>
        <v>2917850</v>
      </c>
      <c r="K155" s="68">
        <f t="shared" si="5"/>
        <v>8</v>
      </c>
    </row>
    <row r="156" spans="1:11" x14ac:dyDescent="0.2">
      <c r="A156">
        <f t="shared" si="4"/>
        <v>2917850</v>
      </c>
      <c r="B156">
        <v>2017</v>
      </c>
      <c r="C156" t="s">
        <v>739</v>
      </c>
      <c r="D156" t="s">
        <v>740</v>
      </c>
      <c r="E156" t="s">
        <v>743</v>
      </c>
      <c r="F156" s="34">
        <v>31</v>
      </c>
      <c r="G156" s="39" t="s">
        <v>19</v>
      </c>
      <c r="H156" s="36">
        <v>116407</v>
      </c>
      <c r="I156" s="58">
        <v>910745</v>
      </c>
      <c r="J156">
        <f>IFERROR(VLOOKUP(G156,'LEAID Match'!$A$2:$B$526,2,FALSE),"")</f>
        <v>2917850</v>
      </c>
      <c r="K156" s="68">
        <f t="shared" si="5"/>
        <v>8</v>
      </c>
    </row>
    <row r="157" spans="1:11" x14ac:dyDescent="0.2">
      <c r="A157">
        <f t="shared" si="4"/>
        <v>2917850</v>
      </c>
      <c r="B157">
        <v>2018</v>
      </c>
      <c r="C157" t="s">
        <v>739</v>
      </c>
      <c r="D157" t="s">
        <v>740</v>
      </c>
      <c r="E157" t="s">
        <v>743</v>
      </c>
      <c r="F157" s="34">
        <v>31</v>
      </c>
      <c r="G157" s="39" t="s">
        <v>19</v>
      </c>
      <c r="H157" s="36">
        <v>116776</v>
      </c>
      <c r="I157" s="58">
        <v>903205</v>
      </c>
      <c r="J157">
        <f>IFERROR(VLOOKUP(G157,'LEAID Match'!$A$2:$B$526,2,FALSE),"")</f>
        <v>2917850</v>
      </c>
      <c r="K157" s="68">
        <f t="shared" si="5"/>
        <v>8</v>
      </c>
    </row>
    <row r="158" spans="1:11" x14ac:dyDescent="0.2">
      <c r="A158">
        <f t="shared" si="4"/>
        <v>2917850</v>
      </c>
      <c r="B158">
        <v>2019</v>
      </c>
      <c r="C158" t="s">
        <v>739</v>
      </c>
      <c r="D158" t="s">
        <v>740</v>
      </c>
      <c r="E158" t="s">
        <v>743</v>
      </c>
      <c r="F158" s="34">
        <v>31</v>
      </c>
      <c r="G158" s="39" t="s">
        <v>19</v>
      </c>
      <c r="H158" s="36">
        <v>120658</v>
      </c>
      <c r="I158" s="58">
        <v>901363</v>
      </c>
      <c r="J158">
        <f>IFERROR(VLOOKUP(G158,'LEAID Match'!$A$2:$B$526,2,FALSE),"")</f>
        <v>2917850</v>
      </c>
      <c r="K158" s="68">
        <f t="shared" si="5"/>
        <v>8</v>
      </c>
    </row>
    <row r="159" spans="1:11" x14ac:dyDescent="0.2">
      <c r="A159">
        <f t="shared" si="4"/>
        <v>2917850</v>
      </c>
      <c r="B159">
        <v>2020</v>
      </c>
      <c r="C159" t="s">
        <v>739</v>
      </c>
      <c r="D159" t="s">
        <v>740</v>
      </c>
      <c r="E159" t="s">
        <v>743</v>
      </c>
      <c r="F159" s="34">
        <v>31</v>
      </c>
      <c r="G159" s="39" t="s">
        <v>19</v>
      </c>
      <c r="H159" s="36">
        <v>123394</v>
      </c>
      <c r="I159" s="58">
        <v>915431</v>
      </c>
      <c r="J159">
        <f>IFERROR(VLOOKUP(G159,'LEAID Match'!$A$2:$B$526,2,FALSE),"")</f>
        <v>2917850</v>
      </c>
      <c r="K159" s="68">
        <f t="shared" si="5"/>
        <v>8</v>
      </c>
    </row>
    <row r="160" spans="1:11" x14ac:dyDescent="0.2">
      <c r="A160">
        <f t="shared" si="4"/>
        <v>2917850</v>
      </c>
      <c r="B160">
        <v>2021</v>
      </c>
      <c r="C160" t="s">
        <v>739</v>
      </c>
      <c r="D160" t="s">
        <v>740</v>
      </c>
      <c r="E160" t="s">
        <v>743</v>
      </c>
      <c r="F160" s="34">
        <v>31</v>
      </c>
      <c r="G160" s="39" t="s">
        <v>19</v>
      </c>
      <c r="H160" s="36">
        <v>127700</v>
      </c>
      <c r="I160" s="58">
        <v>952324</v>
      </c>
      <c r="J160">
        <f>IFERROR(VLOOKUP(G160,'LEAID Match'!$A$2:$B$526,2,FALSE),"")</f>
        <v>2917850</v>
      </c>
      <c r="K160" s="68">
        <f t="shared" si="5"/>
        <v>8</v>
      </c>
    </row>
    <row r="161" spans="1:11" x14ac:dyDescent="0.2">
      <c r="A161">
        <f t="shared" si="4"/>
        <v>2917850</v>
      </c>
      <c r="B161">
        <v>2022</v>
      </c>
      <c r="C161" t="s">
        <v>739</v>
      </c>
      <c r="D161" t="s">
        <v>740</v>
      </c>
      <c r="E161" t="s">
        <v>743</v>
      </c>
      <c r="F161" s="34">
        <v>31</v>
      </c>
      <c r="G161" s="39" t="s">
        <v>19</v>
      </c>
      <c r="H161" s="36">
        <v>139774</v>
      </c>
      <c r="I161" s="58">
        <v>997590</v>
      </c>
      <c r="J161">
        <f>IFERROR(VLOOKUP(G161,'LEAID Match'!$A$2:$B$526,2,FALSE),"")</f>
        <v>2917850</v>
      </c>
      <c r="K161" s="68">
        <f t="shared" si="5"/>
        <v>8</v>
      </c>
    </row>
    <row r="162" spans="1:11" x14ac:dyDescent="0.2">
      <c r="A162">
        <f t="shared" si="4"/>
        <v>2918510</v>
      </c>
      <c r="B162">
        <v>2015</v>
      </c>
      <c r="C162" t="s">
        <v>739</v>
      </c>
      <c r="D162" t="s">
        <v>740</v>
      </c>
      <c r="E162" t="s">
        <v>743</v>
      </c>
      <c r="F162" s="39">
        <v>32</v>
      </c>
      <c r="G162" s="39" t="s">
        <v>20</v>
      </c>
      <c r="H162" s="40">
        <v>40643</v>
      </c>
      <c r="I162" s="58">
        <v>274406</v>
      </c>
      <c r="J162">
        <f>IFERROR(VLOOKUP(G162,'LEAID Match'!$A$2:$B$526,2,FALSE),"")</f>
        <v>2918510</v>
      </c>
      <c r="K162" s="68">
        <f t="shared" si="5"/>
        <v>8</v>
      </c>
    </row>
    <row r="163" spans="1:11" x14ac:dyDescent="0.2">
      <c r="A163">
        <f t="shared" si="4"/>
        <v>2918510</v>
      </c>
      <c r="B163">
        <v>2016</v>
      </c>
      <c r="C163" t="s">
        <v>739</v>
      </c>
      <c r="D163" t="s">
        <v>740</v>
      </c>
      <c r="E163" t="s">
        <v>743</v>
      </c>
      <c r="F163" s="34">
        <v>32</v>
      </c>
      <c r="G163" s="39" t="s">
        <v>20</v>
      </c>
      <c r="H163" s="36">
        <v>40226</v>
      </c>
      <c r="I163" s="60">
        <v>280385</v>
      </c>
      <c r="J163">
        <f>IFERROR(VLOOKUP(G163,'LEAID Match'!$A$2:$B$526,2,FALSE),"")</f>
        <v>2918510</v>
      </c>
      <c r="K163" s="68">
        <f t="shared" si="5"/>
        <v>8</v>
      </c>
    </row>
    <row r="164" spans="1:11" x14ac:dyDescent="0.2">
      <c r="A164">
        <f t="shared" si="4"/>
        <v>2918510</v>
      </c>
      <c r="B164">
        <v>2017</v>
      </c>
      <c r="C164" t="s">
        <v>739</v>
      </c>
      <c r="D164" t="s">
        <v>740</v>
      </c>
      <c r="E164" t="s">
        <v>743</v>
      </c>
      <c r="F164" s="34">
        <v>32</v>
      </c>
      <c r="G164" s="39" t="s">
        <v>20</v>
      </c>
      <c r="H164" s="36">
        <v>40763</v>
      </c>
      <c r="I164" s="58">
        <v>288154</v>
      </c>
      <c r="J164">
        <f>IFERROR(VLOOKUP(G164,'LEAID Match'!$A$2:$B$526,2,FALSE),"")</f>
        <v>2918510</v>
      </c>
      <c r="K164" s="68">
        <f t="shared" si="5"/>
        <v>8</v>
      </c>
    </row>
    <row r="165" spans="1:11" x14ac:dyDescent="0.2">
      <c r="A165">
        <f t="shared" si="4"/>
        <v>2918510</v>
      </c>
      <c r="B165">
        <v>2018</v>
      </c>
      <c r="C165" t="s">
        <v>739</v>
      </c>
      <c r="D165" t="s">
        <v>740</v>
      </c>
      <c r="E165" t="s">
        <v>743</v>
      </c>
      <c r="F165" s="34">
        <v>32</v>
      </c>
      <c r="G165" s="39" t="s">
        <v>20</v>
      </c>
      <c r="H165" s="36">
        <v>40250</v>
      </c>
      <c r="I165" s="58">
        <v>280953</v>
      </c>
      <c r="J165">
        <f>IFERROR(VLOOKUP(G165,'LEAID Match'!$A$2:$B$526,2,FALSE),"")</f>
        <v>2918510</v>
      </c>
      <c r="K165" s="68">
        <f t="shared" si="5"/>
        <v>8</v>
      </c>
    </row>
    <row r="166" spans="1:11" x14ac:dyDescent="0.2">
      <c r="A166">
        <f t="shared" si="4"/>
        <v>2918510</v>
      </c>
      <c r="B166">
        <v>2019</v>
      </c>
      <c r="C166" t="s">
        <v>739</v>
      </c>
      <c r="D166" t="s">
        <v>740</v>
      </c>
      <c r="E166" t="s">
        <v>743</v>
      </c>
      <c r="F166" s="34">
        <v>32</v>
      </c>
      <c r="G166" s="39" t="s">
        <v>20</v>
      </c>
      <c r="H166" s="36">
        <v>36093</v>
      </c>
      <c r="I166" s="58">
        <v>267872</v>
      </c>
      <c r="J166">
        <f>IFERROR(VLOOKUP(G166,'LEAID Match'!$A$2:$B$526,2,FALSE),"")</f>
        <v>2918510</v>
      </c>
      <c r="K166" s="68">
        <f t="shared" si="5"/>
        <v>8</v>
      </c>
    </row>
    <row r="167" spans="1:11" x14ac:dyDescent="0.2">
      <c r="A167">
        <f t="shared" si="4"/>
        <v>2918510</v>
      </c>
      <c r="B167">
        <v>2020</v>
      </c>
      <c r="C167" t="s">
        <v>739</v>
      </c>
      <c r="D167" t="s">
        <v>740</v>
      </c>
      <c r="E167" t="s">
        <v>743</v>
      </c>
      <c r="F167" s="34">
        <v>32</v>
      </c>
      <c r="G167" s="39" t="s">
        <v>20</v>
      </c>
      <c r="H167" s="36">
        <v>30445</v>
      </c>
      <c r="I167" s="58">
        <v>245903</v>
      </c>
      <c r="J167">
        <f>IFERROR(VLOOKUP(G167,'LEAID Match'!$A$2:$B$526,2,FALSE),"")</f>
        <v>2918510</v>
      </c>
      <c r="K167" s="68">
        <f t="shared" si="5"/>
        <v>8</v>
      </c>
    </row>
    <row r="168" spans="1:11" x14ac:dyDescent="0.2">
      <c r="A168">
        <f t="shared" si="4"/>
        <v>2918510</v>
      </c>
      <c r="B168">
        <v>2021</v>
      </c>
      <c r="C168" t="s">
        <v>739</v>
      </c>
      <c r="D168" t="s">
        <v>740</v>
      </c>
      <c r="E168" t="s">
        <v>743</v>
      </c>
      <c r="F168" s="34">
        <v>32</v>
      </c>
      <c r="G168" s="39" t="s">
        <v>20</v>
      </c>
      <c r="H168" s="36">
        <v>34142</v>
      </c>
      <c r="I168" s="58">
        <v>227675</v>
      </c>
      <c r="J168">
        <f>IFERROR(VLOOKUP(G168,'LEAID Match'!$A$2:$B$526,2,FALSE),"")</f>
        <v>2918510</v>
      </c>
      <c r="K168" s="68">
        <f t="shared" si="5"/>
        <v>8</v>
      </c>
    </row>
    <row r="169" spans="1:11" x14ac:dyDescent="0.2">
      <c r="A169">
        <f t="shared" si="4"/>
        <v>2918510</v>
      </c>
      <c r="B169">
        <v>2022</v>
      </c>
      <c r="C169" t="s">
        <v>739</v>
      </c>
      <c r="D169" t="s">
        <v>740</v>
      </c>
      <c r="E169" t="s">
        <v>743</v>
      </c>
      <c r="F169" s="34">
        <v>32</v>
      </c>
      <c r="G169" s="39" t="s">
        <v>20</v>
      </c>
      <c r="H169" s="36">
        <v>35594</v>
      </c>
      <c r="I169" s="58">
        <v>247224</v>
      </c>
      <c r="J169">
        <f>IFERROR(VLOOKUP(G169,'LEAID Match'!$A$2:$B$526,2,FALSE),"")</f>
        <v>2918510</v>
      </c>
      <c r="K169" s="68">
        <f t="shared" si="5"/>
        <v>8</v>
      </c>
    </row>
    <row r="170" spans="1:11" x14ac:dyDescent="0.2">
      <c r="A170">
        <f t="shared" si="4"/>
        <v>2912930</v>
      </c>
      <c r="B170">
        <v>2015</v>
      </c>
      <c r="C170" t="s">
        <v>739</v>
      </c>
      <c r="D170" t="s">
        <v>740</v>
      </c>
      <c r="E170" t="s">
        <v>743</v>
      </c>
      <c r="F170" s="37">
        <v>33</v>
      </c>
      <c r="G170" s="39" t="s">
        <v>21</v>
      </c>
      <c r="H170" s="40">
        <v>18308</v>
      </c>
      <c r="I170" s="58">
        <v>169348</v>
      </c>
      <c r="J170">
        <f>IFERROR(VLOOKUP(G170,'LEAID Match'!$A$2:$B$526,2,FALSE),"")</f>
        <v>2912930</v>
      </c>
      <c r="K170" s="68">
        <f t="shared" si="5"/>
        <v>8</v>
      </c>
    </row>
    <row r="171" spans="1:11" x14ac:dyDescent="0.2">
      <c r="A171">
        <f t="shared" si="4"/>
        <v>2912930</v>
      </c>
      <c r="B171">
        <v>2016</v>
      </c>
      <c r="C171" t="s">
        <v>739</v>
      </c>
      <c r="D171" t="s">
        <v>740</v>
      </c>
      <c r="E171" t="s">
        <v>743</v>
      </c>
      <c r="F171" s="34">
        <v>33</v>
      </c>
      <c r="G171" s="34" t="s">
        <v>21</v>
      </c>
      <c r="H171" s="36">
        <v>19454</v>
      </c>
      <c r="I171" s="60">
        <v>161268</v>
      </c>
      <c r="J171">
        <f>IFERROR(VLOOKUP(G171,'LEAID Match'!$A$2:$B$526,2,FALSE),"")</f>
        <v>2912930</v>
      </c>
      <c r="K171" s="68">
        <f t="shared" si="5"/>
        <v>8</v>
      </c>
    </row>
    <row r="172" spans="1:11" x14ac:dyDescent="0.2">
      <c r="A172">
        <f t="shared" si="4"/>
        <v>2912930</v>
      </c>
      <c r="B172">
        <v>2017</v>
      </c>
      <c r="C172" t="s">
        <v>739</v>
      </c>
      <c r="D172" t="s">
        <v>740</v>
      </c>
      <c r="E172" t="s">
        <v>743</v>
      </c>
      <c r="F172" s="34">
        <v>33</v>
      </c>
      <c r="G172" s="34" t="s">
        <v>21</v>
      </c>
      <c r="H172" s="36">
        <v>19791</v>
      </c>
      <c r="I172" s="58">
        <v>161799</v>
      </c>
      <c r="J172">
        <f>IFERROR(VLOOKUP(G172,'LEAID Match'!$A$2:$B$526,2,FALSE),"")</f>
        <v>2912930</v>
      </c>
      <c r="K172" s="68">
        <f t="shared" si="5"/>
        <v>8</v>
      </c>
    </row>
    <row r="173" spans="1:11" x14ac:dyDescent="0.2">
      <c r="A173">
        <f t="shared" si="4"/>
        <v>2912930</v>
      </c>
      <c r="B173">
        <v>2018</v>
      </c>
      <c r="C173" t="s">
        <v>739</v>
      </c>
      <c r="D173" t="s">
        <v>740</v>
      </c>
      <c r="E173" t="s">
        <v>743</v>
      </c>
      <c r="F173" s="34">
        <v>33</v>
      </c>
      <c r="G173" s="34" t="s">
        <v>21</v>
      </c>
      <c r="H173" s="36">
        <v>21491</v>
      </c>
      <c r="I173" s="58">
        <v>160530</v>
      </c>
      <c r="J173">
        <f>IFERROR(VLOOKUP(G173,'LEAID Match'!$A$2:$B$526,2,FALSE),"")</f>
        <v>2912930</v>
      </c>
      <c r="K173" s="68">
        <f t="shared" si="5"/>
        <v>8</v>
      </c>
    </row>
    <row r="174" spans="1:11" x14ac:dyDescent="0.2">
      <c r="A174">
        <f t="shared" si="4"/>
        <v>2912930</v>
      </c>
      <c r="B174">
        <v>2019</v>
      </c>
      <c r="C174" t="s">
        <v>739</v>
      </c>
      <c r="D174" t="s">
        <v>740</v>
      </c>
      <c r="E174" t="s">
        <v>743</v>
      </c>
      <c r="F174" s="34">
        <v>33</v>
      </c>
      <c r="G174" s="34" t="s">
        <v>21</v>
      </c>
      <c r="H174" s="36">
        <v>22595</v>
      </c>
      <c r="I174" s="58">
        <v>155834</v>
      </c>
      <c r="J174">
        <f>IFERROR(VLOOKUP(G174,'LEAID Match'!$A$2:$B$526,2,FALSE),"")</f>
        <v>2912930</v>
      </c>
      <c r="K174" s="68">
        <f t="shared" si="5"/>
        <v>8</v>
      </c>
    </row>
    <row r="175" spans="1:11" x14ac:dyDescent="0.2">
      <c r="A175">
        <f t="shared" si="4"/>
        <v>2912930</v>
      </c>
      <c r="B175">
        <v>2020</v>
      </c>
      <c r="C175" t="s">
        <v>739</v>
      </c>
      <c r="D175" t="s">
        <v>740</v>
      </c>
      <c r="E175" t="s">
        <v>743</v>
      </c>
      <c r="F175" s="34">
        <v>33</v>
      </c>
      <c r="G175" s="34" t="s">
        <v>21</v>
      </c>
      <c r="H175" s="36">
        <v>26010</v>
      </c>
      <c r="I175" s="58">
        <v>148568</v>
      </c>
      <c r="J175">
        <f>IFERROR(VLOOKUP(G175,'LEAID Match'!$A$2:$B$526,2,FALSE),"")</f>
        <v>2912930</v>
      </c>
      <c r="K175" s="68">
        <f t="shared" si="5"/>
        <v>8</v>
      </c>
    </row>
    <row r="176" spans="1:11" x14ac:dyDescent="0.2">
      <c r="A176">
        <f t="shared" si="4"/>
        <v>2912930</v>
      </c>
      <c r="B176">
        <v>2021</v>
      </c>
      <c r="C176" t="s">
        <v>739</v>
      </c>
      <c r="D176" t="s">
        <v>740</v>
      </c>
      <c r="E176" t="s">
        <v>743</v>
      </c>
      <c r="F176" s="34">
        <v>33</v>
      </c>
      <c r="G176" s="34" t="s">
        <v>21</v>
      </c>
      <c r="H176" s="36">
        <v>29468</v>
      </c>
      <c r="I176" s="58">
        <v>141196</v>
      </c>
      <c r="J176">
        <f>IFERROR(VLOOKUP(G176,'LEAID Match'!$A$2:$B$526,2,FALSE),"")</f>
        <v>2912930</v>
      </c>
      <c r="K176" s="68">
        <f t="shared" si="5"/>
        <v>8</v>
      </c>
    </row>
    <row r="177" spans="1:11" x14ac:dyDescent="0.2">
      <c r="A177">
        <f t="shared" si="4"/>
        <v>2912930</v>
      </c>
      <c r="B177">
        <v>2022</v>
      </c>
      <c r="C177" t="s">
        <v>739</v>
      </c>
      <c r="D177" t="s">
        <v>740</v>
      </c>
      <c r="E177" t="s">
        <v>743</v>
      </c>
      <c r="F177" s="34">
        <v>33</v>
      </c>
      <c r="G177" s="34" t="s">
        <v>21</v>
      </c>
      <c r="H177" s="36">
        <v>30934</v>
      </c>
      <c r="I177" s="58">
        <v>146467</v>
      </c>
      <c r="J177">
        <f>IFERROR(VLOOKUP(G177,'LEAID Match'!$A$2:$B$526,2,FALSE),"")</f>
        <v>2912930</v>
      </c>
      <c r="K177" s="68">
        <f t="shared" si="5"/>
        <v>8</v>
      </c>
    </row>
    <row r="178" spans="1:11" x14ac:dyDescent="0.2">
      <c r="A178">
        <f t="shared" si="4"/>
        <v>2920820</v>
      </c>
      <c r="B178">
        <v>2015</v>
      </c>
      <c r="C178" t="s">
        <v>739</v>
      </c>
      <c r="D178" t="s">
        <v>740</v>
      </c>
      <c r="E178" t="s">
        <v>743</v>
      </c>
      <c r="F178" s="37">
        <v>34</v>
      </c>
      <c r="G178" s="39" t="s">
        <v>22</v>
      </c>
      <c r="H178" s="40">
        <v>22660</v>
      </c>
      <c r="I178" s="58">
        <v>152112</v>
      </c>
      <c r="J178">
        <f>IFERROR(VLOOKUP(G178,'LEAID Match'!$A$2:$B$526,2,FALSE),"")</f>
        <v>2920820</v>
      </c>
      <c r="K178" s="68">
        <f t="shared" si="5"/>
        <v>8</v>
      </c>
    </row>
    <row r="179" spans="1:11" x14ac:dyDescent="0.2">
      <c r="A179">
        <f t="shared" si="4"/>
        <v>2920820</v>
      </c>
      <c r="B179">
        <v>2016</v>
      </c>
      <c r="C179" t="s">
        <v>739</v>
      </c>
      <c r="D179" t="s">
        <v>740</v>
      </c>
      <c r="E179" t="s">
        <v>743</v>
      </c>
      <c r="F179" s="34">
        <v>34</v>
      </c>
      <c r="G179" s="34" t="s">
        <v>22</v>
      </c>
      <c r="H179" s="36">
        <v>24053</v>
      </c>
      <c r="I179" s="60">
        <v>133978</v>
      </c>
      <c r="J179">
        <f>IFERROR(VLOOKUP(G179,'LEAID Match'!$A$2:$B$526,2,FALSE),"")</f>
        <v>2920820</v>
      </c>
      <c r="K179" s="68">
        <f t="shared" si="5"/>
        <v>8</v>
      </c>
    </row>
    <row r="180" spans="1:11" x14ac:dyDescent="0.2">
      <c r="A180">
        <f t="shared" si="4"/>
        <v>2920820</v>
      </c>
      <c r="B180">
        <v>2017</v>
      </c>
      <c r="C180" t="s">
        <v>739</v>
      </c>
      <c r="D180" t="s">
        <v>740</v>
      </c>
      <c r="E180" t="s">
        <v>743</v>
      </c>
      <c r="F180" s="34">
        <v>34</v>
      </c>
      <c r="G180" s="34" t="s">
        <v>22</v>
      </c>
      <c r="H180" s="36">
        <v>25677</v>
      </c>
      <c r="I180" s="58">
        <v>138987</v>
      </c>
      <c r="J180">
        <f>IFERROR(VLOOKUP(G180,'LEAID Match'!$A$2:$B$526,2,FALSE),"")</f>
        <v>2920820</v>
      </c>
      <c r="K180" s="68">
        <f t="shared" si="5"/>
        <v>8</v>
      </c>
    </row>
    <row r="181" spans="1:11" x14ac:dyDescent="0.2">
      <c r="A181">
        <f t="shared" si="4"/>
        <v>2920820</v>
      </c>
      <c r="B181">
        <v>2018</v>
      </c>
      <c r="C181" t="s">
        <v>739</v>
      </c>
      <c r="D181" t="s">
        <v>740</v>
      </c>
      <c r="E181" t="s">
        <v>743</v>
      </c>
      <c r="F181" s="34">
        <v>34</v>
      </c>
      <c r="G181" s="34" t="s">
        <v>22</v>
      </c>
      <c r="H181" s="36">
        <v>28375</v>
      </c>
      <c r="I181" s="58">
        <v>139167</v>
      </c>
      <c r="J181">
        <f>IFERROR(VLOOKUP(G181,'LEAID Match'!$A$2:$B$526,2,FALSE),"")</f>
        <v>2920820</v>
      </c>
      <c r="K181" s="68">
        <f t="shared" si="5"/>
        <v>8</v>
      </c>
    </row>
    <row r="182" spans="1:11" x14ac:dyDescent="0.2">
      <c r="A182">
        <f t="shared" si="4"/>
        <v>2920820</v>
      </c>
      <c r="B182">
        <v>2019</v>
      </c>
      <c r="C182" t="s">
        <v>739</v>
      </c>
      <c r="D182" t="s">
        <v>740</v>
      </c>
      <c r="E182" t="s">
        <v>743</v>
      </c>
      <c r="F182" s="34">
        <v>34</v>
      </c>
      <c r="G182" s="34" t="s">
        <v>22</v>
      </c>
      <c r="H182" s="36">
        <v>26132</v>
      </c>
      <c r="I182" s="58">
        <v>146433</v>
      </c>
      <c r="J182">
        <f>IFERROR(VLOOKUP(G182,'LEAID Match'!$A$2:$B$526,2,FALSE),"")</f>
        <v>2920820</v>
      </c>
      <c r="K182" s="68">
        <f t="shared" si="5"/>
        <v>8</v>
      </c>
    </row>
    <row r="183" spans="1:11" x14ac:dyDescent="0.2">
      <c r="A183">
        <f t="shared" si="4"/>
        <v>2920820</v>
      </c>
      <c r="B183">
        <v>2020</v>
      </c>
      <c r="C183" t="s">
        <v>739</v>
      </c>
      <c r="D183" t="s">
        <v>740</v>
      </c>
      <c r="E183" t="s">
        <v>743</v>
      </c>
      <c r="F183" s="34">
        <v>34</v>
      </c>
      <c r="G183" s="34" t="s">
        <v>22</v>
      </c>
      <c r="H183" s="36">
        <v>23127</v>
      </c>
      <c r="I183" s="58">
        <v>152517</v>
      </c>
      <c r="J183">
        <f>IFERROR(VLOOKUP(G183,'LEAID Match'!$A$2:$B$526,2,FALSE),"")</f>
        <v>2920820</v>
      </c>
      <c r="K183" s="68">
        <f t="shared" si="5"/>
        <v>8</v>
      </c>
    </row>
    <row r="184" spans="1:11" x14ac:dyDescent="0.2">
      <c r="A184">
        <f t="shared" si="4"/>
        <v>2920820</v>
      </c>
      <c r="B184">
        <v>2021</v>
      </c>
      <c r="C184" t="s">
        <v>739</v>
      </c>
      <c r="D184" t="s">
        <v>740</v>
      </c>
      <c r="E184" t="s">
        <v>743</v>
      </c>
      <c r="F184" s="34">
        <v>34</v>
      </c>
      <c r="G184" s="34" t="s">
        <v>22</v>
      </c>
      <c r="H184" s="36">
        <v>23289</v>
      </c>
      <c r="I184" s="58">
        <v>154188</v>
      </c>
      <c r="J184">
        <f>IFERROR(VLOOKUP(G184,'LEAID Match'!$A$2:$B$526,2,FALSE),"")</f>
        <v>2920820</v>
      </c>
      <c r="K184" s="68">
        <f t="shared" si="5"/>
        <v>8</v>
      </c>
    </row>
    <row r="185" spans="1:11" x14ac:dyDescent="0.2">
      <c r="A185">
        <f t="shared" si="4"/>
        <v>2920820</v>
      </c>
      <c r="B185">
        <v>2022</v>
      </c>
      <c r="C185" t="s">
        <v>739</v>
      </c>
      <c r="D185" t="s">
        <v>740</v>
      </c>
      <c r="E185" t="s">
        <v>743</v>
      </c>
      <c r="F185" s="34">
        <v>34</v>
      </c>
      <c r="G185" s="34" t="s">
        <v>22</v>
      </c>
      <c r="H185" s="36">
        <v>26481</v>
      </c>
      <c r="I185" s="58">
        <v>162299</v>
      </c>
      <c r="J185">
        <f>IFERROR(VLOOKUP(G185,'LEAID Match'!$A$2:$B$526,2,FALSE),"")</f>
        <v>2920820</v>
      </c>
      <c r="K185" s="68">
        <f t="shared" si="5"/>
        <v>8</v>
      </c>
    </row>
    <row r="186" spans="1:11" x14ac:dyDescent="0.2">
      <c r="A186">
        <f t="shared" si="4"/>
        <v>2904170</v>
      </c>
      <c r="B186">
        <v>2015</v>
      </c>
      <c r="C186" t="s">
        <v>739</v>
      </c>
      <c r="D186" t="s">
        <v>740</v>
      </c>
      <c r="E186" t="s">
        <v>743</v>
      </c>
      <c r="F186" s="37">
        <v>35</v>
      </c>
      <c r="G186" s="39" t="s">
        <v>23</v>
      </c>
      <c r="H186" s="40">
        <v>11550</v>
      </c>
      <c r="I186" s="58">
        <v>121922</v>
      </c>
      <c r="J186">
        <f>IFERROR(VLOOKUP(G186,'LEAID Match'!$A$2:$B$526,2,FALSE),"")</f>
        <v>2904170</v>
      </c>
      <c r="K186" s="68">
        <f t="shared" si="5"/>
        <v>8</v>
      </c>
    </row>
    <row r="187" spans="1:11" x14ac:dyDescent="0.2">
      <c r="A187">
        <f t="shared" si="4"/>
        <v>2904170</v>
      </c>
      <c r="B187">
        <v>2016</v>
      </c>
      <c r="C187" t="s">
        <v>739</v>
      </c>
      <c r="D187" t="s">
        <v>740</v>
      </c>
      <c r="E187" t="s">
        <v>743</v>
      </c>
      <c r="F187" s="34">
        <v>35</v>
      </c>
      <c r="G187" s="39" t="s">
        <v>23</v>
      </c>
      <c r="H187" s="36">
        <v>11851</v>
      </c>
      <c r="I187" s="60">
        <v>121373</v>
      </c>
      <c r="J187">
        <f>IFERROR(VLOOKUP(G187,'LEAID Match'!$A$2:$B$526,2,FALSE),"")</f>
        <v>2904170</v>
      </c>
      <c r="K187" s="68">
        <f t="shared" si="5"/>
        <v>8</v>
      </c>
    </row>
    <row r="188" spans="1:11" x14ac:dyDescent="0.2">
      <c r="A188">
        <f t="shared" si="4"/>
        <v>2904170</v>
      </c>
      <c r="B188">
        <v>2017</v>
      </c>
      <c r="C188" t="s">
        <v>739</v>
      </c>
      <c r="D188" t="s">
        <v>740</v>
      </c>
      <c r="E188" t="s">
        <v>743</v>
      </c>
      <c r="F188" s="34">
        <v>35</v>
      </c>
      <c r="G188" s="39" t="s">
        <v>23</v>
      </c>
      <c r="H188" s="36">
        <v>11947</v>
      </c>
      <c r="I188" s="58">
        <v>122195</v>
      </c>
      <c r="J188">
        <f>IFERROR(VLOOKUP(G188,'LEAID Match'!$A$2:$B$526,2,FALSE),"")</f>
        <v>2904170</v>
      </c>
      <c r="K188" s="68">
        <f t="shared" si="5"/>
        <v>8</v>
      </c>
    </row>
    <row r="189" spans="1:11" x14ac:dyDescent="0.2">
      <c r="A189">
        <f t="shared" si="4"/>
        <v>2904170</v>
      </c>
      <c r="B189">
        <v>2018</v>
      </c>
      <c r="C189" t="s">
        <v>739</v>
      </c>
      <c r="D189" t="s">
        <v>740</v>
      </c>
      <c r="E189" t="s">
        <v>743</v>
      </c>
      <c r="F189" s="34">
        <v>35</v>
      </c>
      <c r="G189" s="39" t="s">
        <v>23</v>
      </c>
      <c r="H189" s="36">
        <v>12980</v>
      </c>
      <c r="I189" s="58">
        <v>119443</v>
      </c>
      <c r="J189">
        <f>IFERROR(VLOOKUP(G189,'LEAID Match'!$A$2:$B$526,2,FALSE),"")</f>
        <v>2904170</v>
      </c>
      <c r="K189" s="68">
        <f t="shared" si="5"/>
        <v>8</v>
      </c>
    </row>
    <row r="190" spans="1:11" x14ac:dyDescent="0.2">
      <c r="A190">
        <f t="shared" si="4"/>
        <v>2904170</v>
      </c>
      <c r="B190">
        <v>2019</v>
      </c>
      <c r="C190" t="s">
        <v>739</v>
      </c>
      <c r="D190" t="s">
        <v>740</v>
      </c>
      <c r="E190" t="s">
        <v>743</v>
      </c>
      <c r="F190" s="34">
        <v>35</v>
      </c>
      <c r="G190" s="39" t="s">
        <v>23</v>
      </c>
      <c r="H190" s="36">
        <v>15494</v>
      </c>
      <c r="I190" s="58">
        <v>117171</v>
      </c>
      <c r="J190">
        <f>IFERROR(VLOOKUP(G190,'LEAID Match'!$A$2:$B$526,2,FALSE),"")</f>
        <v>2904170</v>
      </c>
      <c r="K190" s="68">
        <f t="shared" si="5"/>
        <v>8</v>
      </c>
    </row>
    <row r="191" spans="1:11" x14ac:dyDescent="0.2">
      <c r="A191">
        <f t="shared" si="4"/>
        <v>2904170</v>
      </c>
      <c r="B191">
        <v>2020</v>
      </c>
      <c r="C191" t="s">
        <v>739</v>
      </c>
      <c r="D191" t="s">
        <v>740</v>
      </c>
      <c r="E191" t="s">
        <v>743</v>
      </c>
      <c r="F191" s="34">
        <v>35</v>
      </c>
      <c r="G191" s="39" t="s">
        <v>23</v>
      </c>
      <c r="H191" s="36">
        <v>13587</v>
      </c>
      <c r="I191" s="58">
        <v>104328</v>
      </c>
      <c r="J191">
        <f>IFERROR(VLOOKUP(G191,'LEAID Match'!$A$2:$B$526,2,FALSE),"")</f>
        <v>2904170</v>
      </c>
      <c r="K191" s="68">
        <f t="shared" si="5"/>
        <v>8</v>
      </c>
    </row>
    <row r="192" spans="1:11" x14ac:dyDescent="0.2">
      <c r="A192">
        <f t="shared" si="4"/>
        <v>2904170</v>
      </c>
      <c r="B192">
        <v>2021</v>
      </c>
      <c r="C192" t="s">
        <v>739</v>
      </c>
      <c r="D192" t="s">
        <v>740</v>
      </c>
      <c r="E192" t="s">
        <v>743</v>
      </c>
      <c r="F192" s="34">
        <v>35</v>
      </c>
      <c r="G192" s="39" t="s">
        <v>23</v>
      </c>
      <c r="H192" s="36">
        <v>17892</v>
      </c>
      <c r="I192" s="58">
        <v>103582</v>
      </c>
      <c r="J192">
        <f>IFERROR(VLOOKUP(G192,'LEAID Match'!$A$2:$B$526,2,FALSE),"")</f>
        <v>2904170</v>
      </c>
      <c r="K192" s="68">
        <f t="shared" si="5"/>
        <v>8</v>
      </c>
    </row>
    <row r="193" spans="1:11" x14ac:dyDescent="0.2">
      <c r="A193">
        <f t="shared" si="4"/>
        <v>2904170</v>
      </c>
      <c r="B193">
        <v>2022</v>
      </c>
      <c r="C193" t="s">
        <v>739</v>
      </c>
      <c r="D193" t="s">
        <v>740</v>
      </c>
      <c r="E193" t="s">
        <v>743</v>
      </c>
      <c r="F193" s="34">
        <v>35</v>
      </c>
      <c r="G193" s="39" t="s">
        <v>23</v>
      </c>
      <c r="H193" s="36">
        <v>17366</v>
      </c>
      <c r="I193" s="58">
        <v>112487</v>
      </c>
      <c r="J193">
        <f>IFERROR(VLOOKUP(G193,'LEAID Match'!$A$2:$B$526,2,FALSE),"")</f>
        <v>2904170</v>
      </c>
      <c r="K193" s="68">
        <f t="shared" si="5"/>
        <v>8</v>
      </c>
    </row>
    <row r="194" spans="1:11" x14ac:dyDescent="0.2">
      <c r="A194">
        <f t="shared" si="4"/>
        <v>2902850</v>
      </c>
      <c r="B194">
        <v>2015</v>
      </c>
      <c r="C194" t="s">
        <v>739</v>
      </c>
      <c r="D194" t="s">
        <v>740</v>
      </c>
      <c r="E194" t="s">
        <v>743</v>
      </c>
      <c r="F194" s="37">
        <v>36</v>
      </c>
      <c r="G194" s="39" t="s">
        <v>24</v>
      </c>
      <c r="H194" s="40">
        <v>57936</v>
      </c>
      <c r="I194" s="58">
        <v>449161</v>
      </c>
      <c r="J194">
        <f>IFERROR(VLOOKUP(G194,'LEAID Match'!$A$2:$B$526,2,FALSE),"")</f>
        <v>2902850</v>
      </c>
      <c r="K194" s="68">
        <f t="shared" si="5"/>
        <v>8</v>
      </c>
    </row>
    <row r="195" spans="1:11" x14ac:dyDescent="0.2">
      <c r="A195">
        <f t="shared" ref="A195:A258" si="6">J195</f>
        <v>2902850</v>
      </c>
      <c r="B195">
        <v>2016</v>
      </c>
      <c r="C195" t="s">
        <v>739</v>
      </c>
      <c r="D195" t="s">
        <v>740</v>
      </c>
      <c r="E195" t="s">
        <v>743</v>
      </c>
      <c r="F195" s="34">
        <v>36</v>
      </c>
      <c r="G195" s="34" t="s">
        <v>24</v>
      </c>
      <c r="H195" s="36">
        <v>56105</v>
      </c>
      <c r="I195" s="60">
        <v>451258</v>
      </c>
      <c r="J195">
        <f>IFERROR(VLOOKUP(G195,'LEAID Match'!$A$2:$B$526,2,FALSE),"")</f>
        <v>2902850</v>
      </c>
      <c r="K195" s="68">
        <f t="shared" ref="K195:K258" si="7">COUNTIF($J$2:$J$4295,J195)</f>
        <v>8</v>
      </c>
    </row>
    <row r="196" spans="1:11" x14ac:dyDescent="0.2">
      <c r="A196">
        <f t="shared" si="6"/>
        <v>2902850</v>
      </c>
      <c r="B196">
        <v>2017</v>
      </c>
      <c r="C196" t="s">
        <v>739</v>
      </c>
      <c r="D196" t="s">
        <v>740</v>
      </c>
      <c r="E196" t="s">
        <v>743</v>
      </c>
      <c r="F196" s="34">
        <v>36</v>
      </c>
      <c r="G196" s="34" t="s">
        <v>24</v>
      </c>
      <c r="H196" s="36">
        <v>53959</v>
      </c>
      <c r="I196" s="58">
        <v>462454</v>
      </c>
      <c r="J196">
        <f>IFERROR(VLOOKUP(G196,'LEAID Match'!$A$2:$B$526,2,FALSE),"")</f>
        <v>2902850</v>
      </c>
      <c r="K196" s="68">
        <f t="shared" si="7"/>
        <v>8</v>
      </c>
    </row>
    <row r="197" spans="1:11" x14ac:dyDescent="0.2">
      <c r="A197">
        <f t="shared" si="6"/>
        <v>2902850</v>
      </c>
      <c r="B197">
        <v>2018</v>
      </c>
      <c r="C197" t="s">
        <v>739</v>
      </c>
      <c r="D197" t="s">
        <v>740</v>
      </c>
      <c r="E197" t="s">
        <v>743</v>
      </c>
      <c r="F197" s="34">
        <v>36</v>
      </c>
      <c r="G197" s="34" t="s">
        <v>24</v>
      </c>
      <c r="H197" s="36">
        <v>54757</v>
      </c>
      <c r="I197" s="58">
        <v>475424</v>
      </c>
      <c r="J197">
        <f>IFERROR(VLOOKUP(G197,'LEAID Match'!$A$2:$B$526,2,FALSE),"")</f>
        <v>2902850</v>
      </c>
      <c r="K197" s="68">
        <f t="shared" si="7"/>
        <v>8</v>
      </c>
    </row>
    <row r="198" spans="1:11" x14ac:dyDescent="0.2">
      <c r="A198">
        <f t="shared" si="6"/>
        <v>2902850</v>
      </c>
      <c r="B198">
        <v>2019</v>
      </c>
      <c r="C198" t="s">
        <v>739</v>
      </c>
      <c r="D198" t="s">
        <v>740</v>
      </c>
      <c r="E198" t="s">
        <v>743</v>
      </c>
      <c r="F198" s="34">
        <v>36</v>
      </c>
      <c r="G198" s="34" t="s">
        <v>24</v>
      </c>
      <c r="H198" s="36">
        <v>55898</v>
      </c>
      <c r="I198" s="58">
        <v>497006</v>
      </c>
      <c r="J198">
        <f>IFERROR(VLOOKUP(G198,'LEAID Match'!$A$2:$B$526,2,FALSE),"")</f>
        <v>2902850</v>
      </c>
      <c r="K198" s="68">
        <f t="shared" si="7"/>
        <v>8</v>
      </c>
    </row>
    <row r="199" spans="1:11" x14ac:dyDescent="0.2">
      <c r="A199">
        <f t="shared" si="6"/>
        <v>2902850</v>
      </c>
      <c r="B199">
        <v>2020</v>
      </c>
      <c r="C199" t="s">
        <v>739</v>
      </c>
      <c r="D199" t="s">
        <v>740</v>
      </c>
      <c r="E199" t="s">
        <v>743</v>
      </c>
      <c r="F199" s="34">
        <v>36</v>
      </c>
      <c r="G199" s="34" t="s">
        <v>24</v>
      </c>
      <c r="H199" s="36">
        <v>55749</v>
      </c>
      <c r="I199" s="58">
        <v>500841</v>
      </c>
      <c r="J199">
        <f>IFERROR(VLOOKUP(G199,'LEAID Match'!$A$2:$B$526,2,FALSE),"")</f>
        <v>2902850</v>
      </c>
      <c r="K199" s="68">
        <f t="shared" si="7"/>
        <v>8</v>
      </c>
    </row>
    <row r="200" spans="1:11" x14ac:dyDescent="0.2">
      <c r="A200">
        <f t="shared" si="6"/>
        <v>2902850</v>
      </c>
      <c r="B200">
        <v>2021</v>
      </c>
      <c r="C200" t="s">
        <v>739</v>
      </c>
      <c r="D200" t="s">
        <v>740</v>
      </c>
      <c r="E200" t="s">
        <v>743</v>
      </c>
      <c r="F200" s="34">
        <v>36</v>
      </c>
      <c r="G200" s="34" t="s">
        <v>24</v>
      </c>
      <c r="H200" s="36">
        <v>57632</v>
      </c>
      <c r="I200" s="58">
        <v>487476</v>
      </c>
      <c r="J200">
        <f>IFERROR(VLOOKUP(G200,'LEAID Match'!$A$2:$B$526,2,FALSE),"")</f>
        <v>2902850</v>
      </c>
      <c r="K200" s="68">
        <f t="shared" si="7"/>
        <v>8</v>
      </c>
    </row>
    <row r="201" spans="1:11" x14ac:dyDescent="0.2">
      <c r="A201">
        <f t="shared" si="6"/>
        <v>2902850</v>
      </c>
      <c r="B201">
        <v>2022</v>
      </c>
      <c r="C201" t="s">
        <v>739</v>
      </c>
      <c r="D201" t="s">
        <v>740</v>
      </c>
      <c r="E201" t="s">
        <v>743</v>
      </c>
      <c r="F201" s="34">
        <v>36</v>
      </c>
      <c r="G201" s="34" t="s">
        <v>24</v>
      </c>
      <c r="H201" s="36">
        <v>62648</v>
      </c>
      <c r="I201" s="58">
        <v>495864</v>
      </c>
      <c r="J201">
        <f>IFERROR(VLOOKUP(G201,'LEAID Match'!$A$2:$B$526,2,FALSE),"")</f>
        <v>2902850</v>
      </c>
      <c r="K201" s="68">
        <f t="shared" si="7"/>
        <v>8</v>
      </c>
    </row>
    <row r="202" spans="1:11" x14ac:dyDescent="0.2">
      <c r="A202">
        <f t="shared" si="6"/>
        <v>2926310</v>
      </c>
      <c r="B202">
        <v>2015</v>
      </c>
      <c r="C202" t="s">
        <v>739</v>
      </c>
      <c r="D202" t="s">
        <v>740</v>
      </c>
      <c r="E202" t="s">
        <v>743</v>
      </c>
      <c r="F202" s="37">
        <v>37</v>
      </c>
      <c r="G202" s="39" t="s">
        <v>25</v>
      </c>
      <c r="H202" s="40">
        <v>26980</v>
      </c>
      <c r="I202" s="58">
        <v>273076</v>
      </c>
      <c r="J202">
        <f>IFERROR(VLOOKUP(G202,'LEAID Match'!$A$2:$B$526,2,FALSE),"")</f>
        <v>2926310</v>
      </c>
      <c r="K202" s="68">
        <f t="shared" si="7"/>
        <v>8</v>
      </c>
    </row>
    <row r="203" spans="1:11" x14ac:dyDescent="0.2">
      <c r="A203">
        <f t="shared" si="6"/>
        <v>2926310</v>
      </c>
      <c r="B203">
        <v>2016</v>
      </c>
      <c r="C203" t="s">
        <v>739</v>
      </c>
      <c r="D203" t="s">
        <v>740</v>
      </c>
      <c r="E203" t="s">
        <v>743</v>
      </c>
      <c r="F203" s="34">
        <v>37</v>
      </c>
      <c r="G203" s="34" t="s">
        <v>25</v>
      </c>
      <c r="H203" s="36">
        <v>27066</v>
      </c>
      <c r="I203" s="60">
        <v>266742</v>
      </c>
      <c r="J203">
        <f>IFERROR(VLOOKUP(G203,'LEAID Match'!$A$2:$B$526,2,FALSE),"")</f>
        <v>2926310</v>
      </c>
      <c r="K203" s="68">
        <f t="shared" si="7"/>
        <v>8</v>
      </c>
    </row>
    <row r="204" spans="1:11" x14ac:dyDescent="0.2">
      <c r="A204">
        <f t="shared" si="6"/>
        <v>2926310</v>
      </c>
      <c r="B204">
        <v>2017</v>
      </c>
      <c r="C204" t="s">
        <v>739</v>
      </c>
      <c r="D204" t="s">
        <v>740</v>
      </c>
      <c r="E204" t="s">
        <v>743</v>
      </c>
      <c r="F204" s="34">
        <v>37</v>
      </c>
      <c r="G204" s="34" t="s">
        <v>25</v>
      </c>
      <c r="H204" s="36">
        <v>28681</v>
      </c>
      <c r="I204" s="58">
        <v>250564</v>
      </c>
      <c r="J204">
        <f>IFERROR(VLOOKUP(G204,'LEAID Match'!$A$2:$B$526,2,FALSE),"")</f>
        <v>2926310</v>
      </c>
      <c r="K204" s="68">
        <f t="shared" si="7"/>
        <v>8</v>
      </c>
    </row>
    <row r="205" spans="1:11" x14ac:dyDescent="0.2">
      <c r="A205">
        <f t="shared" si="6"/>
        <v>2926310</v>
      </c>
      <c r="B205">
        <v>2018</v>
      </c>
      <c r="C205" t="s">
        <v>739</v>
      </c>
      <c r="D205" t="s">
        <v>740</v>
      </c>
      <c r="E205" t="s">
        <v>743</v>
      </c>
      <c r="F205" s="34">
        <v>37</v>
      </c>
      <c r="G205" s="34" t="s">
        <v>25</v>
      </c>
      <c r="H205" s="36">
        <v>26171</v>
      </c>
      <c r="I205" s="58">
        <v>249060</v>
      </c>
      <c r="J205">
        <f>IFERROR(VLOOKUP(G205,'LEAID Match'!$A$2:$B$526,2,FALSE),"")</f>
        <v>2926310</v>
      </c>
      <c r="K205" s="68">
        <f t="shared" si="7"/>
        <v>8</v>
      </c>
    </row>
    <row r="206" spans="1:11" x14ac:dyDescent="0.2">
      <c r="A206">
        <f t="shared" si="6"/>
        <v>2926310</v>
      </c>
      <c r="B206">
        <v>2019</v>
      </c>
      <c r="C206" t="s">
        <v>739</v>
      </c>
      <c r="D206" t="s">
        <v>740</v>
      </c>
      <c r="E206" t="s">
        <v>743</v>
      </c>
      <c r="F206" s="34">
        <v>37</v>
      </c>
      <c r="G206" s="34" t="s">
        <v>25</v>
      </c>
      <c r="H206" s="36">
        <v>25232</v>
      </c>
      <c r="I206" s="58">
        <v>236843</v>
      </c>
      <c r="J206">
        <f>IFERROR(VLOOKUP(G206,'LEAID Match'!$A$2:$B$526,2,FALSE),"")</f>
        <v>2926310</v>
      </c>
      <c r="K206" s="68">
        <f t="shared" si="7"/>
        <v>8</v>
      </c>
    </row>
    <row r="207" spans="1:11" x14ac:dyDescent="0.2">
      <c r="A207">
        <f t="shared" si="6"/>
        <v>2926310</v>
      </c>
      <c r="B207">
        <v>2020</v>
      </c>
      <c r="C207" t="s">
        <v>739</v>
      </c>
      <c r="D207" t="s">
        <v>740</v>
      </c>
      <c r="E207" t="s">
        <v>743</v>
      </c>
      <c r="F207" s="34">
        <v>37</v>
      </c>
      <c r="G207" s="34" t="s">
        <v>25</v>
      </c>
      <c r="H207" s="36">
        <v>26919</v>
      </c>
      <c r="I207" s="58">
        <v>250197</v>
      </c>
      <c r="J207">
        <f>IFERROR(VLOOKUP(G207,'LEAID Match'!$A$2:$B$526,2,FALSE),"")</f>
        <v>2926310</v>
      </c>
      <c r="K207" s="68">
        <f t="shared" si="7"/>
        <v>8</v>
      </c>
    </row>
    <row r="208" spans="1:11" x14ac:dyDescent="0.2">
      <c r="A208">
        <f t="shared" si="6"/>
        <v>2926310</v>
      </c>
      <c r="B208">
        <v>2021</v>
      </c>
      <c r="C208" t="s">
        <v>739</v>
      </c>
      <c r="D208" t="s">
        <v>740</v>
      </c>
      <c r="E208" t="s">
        <v>743</v>
      </c>
      <c r="F208" s="34">
        <v>37</v>
      </c>
      <c r="G208" s="34" t="s">
        <v>25</v>
      </c>
      <c r="H208" s="36">
        <v>32132</v>
      </c>
      <c r="I208" s="58">
        <v>237864</v>
      </c>
      <c r="J208">
        <f>IFERROR(VLOOKUP(G208,'LEAID Match'!$A$2:$B$526,2,FALSE),"")</f>
        <v>2926310</v>
      </c>
      <c r="K208" s="68">
        <f t="shared" si="7"/>
        <v>8</v>
      </c>
    </row>
    <row r="209" spans="1:11" x14ac:dyDescent="0.2">
      <c r="A209">
        <f t="shared" si="6"/>
        <v>2926310</v>
      </c>
      <c r="B209">
        <v>2022</v>
      </c>
      <c r="C209" t="s">
        <v>739</v>
      </c>
      <c r="D209" t="s">
        <v>740</v>
      </c>
      <c r="E209" t="s">
        <v>743</v>
      </c>
      <c r="F209" s="34">
        <v>37</v>
      </c>
      <c r="G209" s="34" t="s">
        <v>25</v>
      </c>
      <c r="H209" s="36">
        <v>36271</v>
      </c>
      <c r="I209" s="58">
        <v>259993</v>
      </c>
      <c r="J209">
        <f>IFERROR(VLOOKUP(G209,'LEAID Match'!$A$2:$B$526,2,FALSE),"")</f>
        <v>2926310</v>
      </c>
      <c r="K209" s="68">
        <f t="shared" si="7"/>
        <v>8</v>
      </c>
    </row>
    <row r="210" spans="1:11" x14ac:dyDescent="0.2">
      <c r="A210">
        <f t="shared" si="6"/>
        <v>2906360</v>
      </c>
      <c r="B210">
        <v>2015</v>
      </c>
      <c r="C210" t="s">
        <v>739</v>
      </c>
      <c r="D210" t="s">
        <v>740</v>
      </c>
      <c r="E210" t="s">
        <v>743</v>
      </c>
      <c r="F210" s="37">
        <v>38</v>
      </c>
      <c r="G210" s="39" t="s">
        <v>26</v>
      </c>
      <c r="H210" s="40">
        <v>67468</v>
      </c>
      <c r="I210" s="58">
        <v>669634</v>
      </c>
      <c r="J210">
        <f>IFERROR(VLOOKUP(G210,'LEAID Match'!$A$2:$B$526,2,FALSE),"")</f>
        <v>2906360</v>
      </c>
      <c r="K210" s="68">
        <f t="shared" si="7"/>
        <v>8</v>
      </c>
    </row>
    <row r="211" spans="1:11" x14ac:dyDescent="0.2">
      <c r="A211">
        <f t="shared" si="6"/>
        <v>2906360</v>
      </c>
      <c r="B211">
        <v>2016</v>
      </c>
      <c r="C211" t="s">
        <v>739</v>
      </c>
      <c r="D211" t="s">
        <v>740</v>
      </c>
      <c r="E211" t="s">
        <v>743</v>
      </c>
      <c r="F211" s="34">
        <v>38</v>
      </c>
      <c r="G211" s="34" t="s">
        <v>26</v>
      </c>
      <c r="H211" s="36">
        <v>66710</v>
      </c>
      <c r="I211" s="60">
        <v>659165</v>
      </c>
      <c r="J211">
        <f>IFERROR(VLOOKUP(G211,'LEAID Match'!$A$2:$B$526,2,FALSE),"")</f>
        <v>2906360</v>
      </c>
      <c r="K211" s="68">
        <f t="shared" si="7"/>
        <v>8</v>
      </c>
    </row>
    <row r="212" spans="1:11" x14ac:dyDescent="0.2">
      <c r="A212">
        <f t="shared" si="6"/>
        <v>2906360</v>
      </c>
      <c r="B212">
        <v>2017</v>
      </c>
      <c r="C212" t="s">
        <v>739</v>
      </c>
      <c r="D212" t="s">
        <v>740</v>
      </c>
      <c r="E212" t="s">
        <v>743</v>
      </c>
      <c r="F212" s="34">
        <v>38</v>
      </c>
      <c r="G212" s="34" t="s">
        <v>26</v>
      </c>
      <c r="H212" s="36">
        <v>73734</v>
      </c>
      <c r="I212" s="58">
        <v>662887</v>
      </c>
      <c r="J212">
        <f>IFERROR(VLOOKUP(G212,'LEAID Match'!$A$2:$B$526,2,FALSE),"")</f>
        <v>2906360</v>
      </c>
      <c r="K212" s="68">
        <f t="shared" si="7"/>
        <v>8</v>
      </c>
    </row>
    <row r="213" spans="1:11" x14ac:dyDescent="0.2">
      <c r="A213">
        <f t="shared" si="6"/>
        <v>2906360</v>
      </c>
      <c r="B213">
        <v>2018</v>
      </c>
      <c r="C213" t="s">
        <v>739</v>
      </c>
      <c r="D213" t="s">
        <v>740</v>
      </c>
      <c r="E213" t="s">
        <v>743</v>
      </c>
      <c r="F213" s="34">
        <v>38</v>
      </c>
      <c r="G213" s="34" t="s">
        <v>26</v>
      </c>
      <c r="H213" s="36">
        <v>79203</v>
      </c>
      <c r="I213" s="58">
        <v>674181</v>
      </c>
      <c r="J213">
        <f>IFERROR(VLOOKUP(G213,'LEAID Match'!$A$2:$B$526,2,FALSE),"")</f>
        <v>2906360</v>
      </c>
      <c r="K213" s="68">
        <f t="shared" si="7"/>
        <v>8</v>
      </c>
    </row>
    <row r="214" spans="1:11" x14ac:dyDescent="0.2">
      <c r="A214">
        <f t="shared" si="6"/>
        <v>2906360</v>
      </c>
      <c r="B214">
        <v>2019</v>
      </c>
      <c r="C214" t="s">
        <v>739</v>
      </c>
      <c r="D214" t="s">
        <v>740</v>
      </c>
      <c r="E214" t="s">
        <v>743</v>
      </c>
      <c r="F214" s="34">
        <v>38</v>
      </c>
      <c r="G214" s="34" t="s">
        <v>26</v>
      </c>
      <c r="H214" s="36">
        <v>85003</v>
      </c>
      <c r="I214" s="58">
        <v>662270</v>
      </c>
      <c r="J214">
        <f>IFERROR(VLOOKUP(G214,'LEAID Match'!$A$2:$B$526,2,FALSE),"")</f>
        <v>2906360</v>
      </c>
      <c r="K214" s="68">
        <f t="shared" si="7"/>
        <v>8</v>
      </c>
    </row>
    <row r="215" spans="1:11" x14ac:dyDescent="0.2">
      <c r="A215">
        <f t="shared" si="6"/>
        <v>2906360</v>
      </c>
      <c r="B215">
        <v>2020</v>
      </c>
      <c r="C215" t="s">
        <v>739</v>
      </c>
      <c r="D215" t="s">
        <v>740</v>
      </c>
      <c r="E215" t="s">
        <v>743</v>
      </c>
      <c r="F215" s="34">
        <v>38</v>
      </c>
      <c r="G215" s="34" t="s">
        <v>26</v>
      </c>
      <c r="H215" s="36">
        <v>91168</v>
      </c>
      <c r="I215" s="58">
        <v>694233</v>
      </c>
      <c r="J215">
        <f>IFERROR(VLOOKUP(G215,'LEAID Match'!$A$2:$B$526,2,FALSE),"")</f>
        <v>2906360</v>
      </c>
      <c r="K215" s="68">
        <f t="shared" si="7"/>
        <v>8</v>
      </c>
    </row>
    <row r="216" spans="1:11" x14ac:dyDescent="0.2">
      <c r="A216">
        <f t="shared" si="6"/>
        <v>2906360</v>
      </c>
      <c r="B216">
        <v>2021</v>
      </c>
      <c r="C216" t="s">
        <v>739</v>
      </c>
      <c r="D216" t="s">
        <v>740</v>
      </c>
      <c r="E216" t="s">
        <v>743</v>
      </c>
      <c r="F216" s="34">
        <v>38</v>
      </c>
      <c r="G216" s="34" t="s">
        <v>26</v>
      </c>
      <c r="H216" s="36">
        <v>106295</v>
      </c>
      <c r="I216" s="58">
        <v>709893</v>
      </c>
      <c r="J216">
        <f>IFERROR(VLOOKUP(G216,'LEAID Match'!$A$2:$B$526,2,FALSE),"")</f>
        <v>2906360</v>
      </c>
      <c r="K216" s="68">
        <f t="shared" si="7"/>
        <v>8</v>
      </c>
    </row>
    <row r="217" spans="1:11" x14ac:dyDescent="0.2">
      <c r="A217">
        <f t="shared" si="6"/>
        <v>2906360</v>
      </c>
      <c r="B217">
        <v>2022</v>
      </c>
      <c r="C217" t="s">
        <v>739</v>
      </c>
      <c r="D217" t="s">
        <v>740</v>
      </c>
      <c r="E217" t="s">
        <v>743</v>
      </c>
      <c r="F217" s="34">
        <v>38</v>
      </c>
      <c r="G217" s="34" t="s">
        <v>26</v>
      </c>
      <c r="H217" s="36">
        <v>98486</v>
      </c>
      <c r="I217" s="58">
        <v>701515</v>
      </c>
      <c r="J217">
        <f>IFERROR(VLOOKUP(G217,'LEAID Match'!$A$2:$B$526,2,FALSE),"")</f>
        <v>2906360</v>
      </c>
      <c r="K217" s="68">
        <f t="shared" si="7"/>
        <v>8</v>
      </c>
    </row>
    <row r="218" spans="1:11" x14ac:dyDescent="0.2">
      <c r="A218">
        <f t="shared" si="6"/>
        <v>2915330</v>
      </c>
      <c r="B218">
        <v>2015</v>
      </c>
      <c r="C218" t="s">
        <v>739</v>
      </c>
      <c r="D218" t="s">
        <v>740</v>
      </c>
      <c r="E218" t="s">
        <v>743</v>
      </c>
      <c r="F218" s="37">
        <v>39</v>
      </c>
      <c r="G218" s="39" t="s">
        <v>27</v>
      </c>
      <c r="H218" s="40">
        <v>14233</v>
      </c>
      <c r="I218" s="58">
        <v>110394</v>
      </c>
      <c r="J218">
        <f>IFERROR(VLOOKUP(G218,'LEAID Match'!$A$2:$B$526,2,FALSE),"")</f>
        <v>2915330</v>
      </c>
      <c r="K218" s="68">
        <f t="shared" si="7"/>
        <v>8</v>
      </c>
    </row>
    <row r="219" spans="1:11" x14ac:dyDescent="0.2">
      <c r="A219">
        <f t="shared" si="6"/>
        <v>2915330</v>
      </c>
      <c r="B219">
        <v>2016</v>
      </c>
      <c r="C219" t="s">
        <v>739</v>
      </c>
      <c r="D219" t="s">
        <v>740</v>
      </c>
      <c r="E219" t="s">
        <v>743</v>
      </c>
      <c r="F219" s="34">
        <v>39</v>
      </c>
      <c r="G219" s="34" t="s">
        <v>27</v>
      </c>
      <c r="H219" s="36">
        <v>14327</v>
      </c>
      <c r="I219" s="60">
        <v>115762</v>
      </c>
      <c r="J219">
        <f>IFERROR(VLOOKUP(G219,'LEAID Match'!$A$2:$B$526,2,FALSE),"")</f>
        <v>2915330</v>
      </c>
      <c r="K219" s="68">
        <f t="shared" si="7"/>
        <v>8</v>
      </c>
    </row>
    <row r="220" spans="1:11" x14ac:dyDescent="0.2">
      <c r="A220">
        <f t="shared" si="6"/>
        <v>2915330</v>
      </c>
      <c r="B220">
        <v>2017</v>
      </c>
      <c r="C220" t="s">
        <v>739</v>
      </c>
      <c r="D220" t="s">
        <v>740</v>
      </c>
      <c r="E220" t="s">
        <v>743</v>
      </c>
      <c r="F220" s="34">
        <v>39</v>
      </c>
      <c r="G220" s="34" t="s">
        <v>27</v>
      </c>
      <c r="H220" s="36">
        <v>16222</v>
      </c>
      <c r="I220" s="58">
        <v>121063</v>
      </c>
      <c r="J220">
        <f>IFERROR(VLOOKUP(G220,'LEAID Match'!$A$2:$B$526,2,FALSE),"")</f>
        <v>2915330</v>
      </c>
      <c r="K220" s="68">
        <f t="shared" si="7"/>
        <v>8</v>
      </c>
    </row>
    <row r="221" spans="1:11" x14ac:dyDescent="0.2">
      <c r="A221">
        <f t="shared" si="6"/>
        <v>2915330</v>
      </c>
      <c r="B221">
        <v>2018</v>
      </c>
      <c r="C221" t="s">
        <v>739</v>
      </c>
      <c r="D221" t="s">
        <v>740</v>
      </c>
      <c r="E221" t="s">
        <v>743</v>
      </c>
      <c r="F221" s="34">
        <v>39</v>
      </c>
      <c r="G221" s="34" t="s">
        <v>27</v>
      </c>
      <c r="H221" s="36">
        <v>15397</v>
      </c>
      <c r="I221" s="58">
        <v>117314</v>
      </c>
      <c r="J221">
        <f>IFERROR(VLOOKUP(G221,'LEAID Match'!$A$2:$B$526,2,FALSE),"")</f>
        <v>2915330</v>
      </c>
      <c r="K221" s="68">
        <f t="shared" si="7"/>
        <v>8</v>
      </c>
    </row>
    <row r="222" spans="1:11" x14ac:dyDescent="0.2">
      <c r="A222">
        <f t="shared" si="6"/>
        <v>2915330</v>
      </c>
      <c r="B222">
        <v>2019</v>
      </c>
      <c r="C222" t="s">
        <v>739</v>
      </c>
      <c r="D222" t="s">
        <v>740</v>
      </c>
      <c r="E222" t="s">
        <v>743</v>
      </c>
      <c r="F222" s="34">
        <v>39</v>
      </c>
      <c r="G222" s="34" t="s">
        <v>27</v>
      </c>
      <c r="H222" s="36">
        <v>16598</v>
      </c>
      <c r="I222" s="58">
        <v>120894</v>
      </c>
      <c r="J222">
        <f>IFERROR(VLOOKUP(G222,'LEAID Match'!$A$2:$B$526,2,FALSE),"")</f>
        <v>2915330</v>
      </c>
      <c r="K222" s="68">
        <f t="shared" si="7"/>
        <v>8</v>
      </c>
    </row>
    <row r="223" spans="1:11" x14ac:dyDescent="0.2">
      <c r="A223">
        <f t="shared" si="6"/>
        <v>2915330</v>
      </c>
      <c r="B223">
        <v>2020</v>
      </c>
      <c r="C223" t="s">
        <v>739</v>
      </c>
      <c r="D223" t="s">
        <v>740</v>
      </c>
      <c r="E223" t="s">
        <v>743</v>
      </c>
      <c r="F223" s="34">
        <v>39</v>
      </c>
      <c r="G223" s="34" t="s">
        <v>27</v>
      </c>
      <c r="H223" s="36">
        <v>18211</v>
      </c>
      <c r="I223" s="58">
        <v>122954</v>
      </c>
      <c r="J223">
        <f>IFERROR(VLOOKUP(G223,'LEAID Match'!$A$2:$B$526,2,FALSE),"")</f>
        <v>2915330</v>
      </c>
      <c r="K223" s="68">
        <f t="shared" si="7"/>
        <v>8</v>
      </c>
    </row>
    <row r="224" spans="1:11" x14ac:dyDescent="0.2">
      <c r="A224">
        <f t="shared" si="6"/>
        <v>2915330</v>
      </c>
      <c r="B224">
        <v>2021</v>
      </c>
      <c r="C224" t="s">
        <v>739</v>
      </c>
      <c r="D224" t="s">
        <v>740</v>
      </c>
      <c r="E224" t="s">
        <v>743</v>
      </c>
      <c r="F224" s="34">
        <v>39</v>
      </c>
      <c r="G224" s="34" t="s">
        <v>27</v>
      </c>
      <c r="H224" s="36">
        <v>19619</v>
      </c>
      <c r="I224" s="58">
        <v>116238</v>
      </c>
      <c r="J224">
        <f>IFERROR(VLOOKUP(G224,'LEAID Match'!$A$2:$B$526,2,FALSE),"")</f>
        <v>2915330</v>
      </c>
      <c r="K224" s="68">
        <f t="shared" si="7"/>
        <v>8</v>
      </c>
    </row>
    <row r="225" spans="1:11" x14ac:dyDescent="0.2">
      <c r="A225">
        <f t="shared" si="6"/>
        <v>2915330</v>
      </c>
      <c r="B225">
        <v>2022</v>
      </c>
      <c r="C225" t="s">
        <v>739</v>
      </c>
      <c r="D225" t="s">
        <v>740</v>
      </c>
      <c r="E225" t="s">
        <v>743</v>
      </c>
      <c r="F225" s="34">
        <v>39</v>
      </c>
      <c r="G225" s="34" t="s">
        <v>27</v>
      </c>
      <c r="H225" s="36">
        <v>18557</v>
      </c>
      <c r="I225" s="58">
        <v>125124</v>
      </c>
      <c r="J225">
        <f>IFERROR(VLOOKUP(G225,'LEAID Match'!$A$2:$B$526,2,FALSE),"")</f>
        <v>2915330</v>
      </c>
      <c r="K225" s="68">
        <f t="shared" si="7"/>
        <v>8</v>
      </c>
    </row>
    <row r="226" spans="1:11" x14ac:dyDescent="0.2">
      <c r="A226">
        <f t="shared" si="6"/>
        <v>2915240</v>
      </c>
      <c r="B226">
        <v>2015</v>
      </c>
      <c r="C226" t="s">
        <v>739</v>
      </c>
      <c r="D226" t="s">
        <v>740</v>
      </c>
      <c r="E226" t="s">
        <v>743</v>
      </c>
      <c r="F226" s="37">
        <v>40</v>
      </c>
      <c r="G226" s="39" t="s">
        <v>28</v>
      </c>
      <c r="H226" s="40">
        <v>5076</v>
      </c>
      <c r="I226" s="58">
        <v>31324</v>
      </c>
      <c r="J226">
        <f>IFERROR(VLOOKUP(G226,'LEAID Match'!$A$2:$B$526,2,FALSE),"")</f>
        <v>2915240</v>
      </c>
      <c r="K226" s="68">
        <f t="shared" si="7"/>
        <v>8</v>
      </c>
    </row>
    <row r="227" spans="1:11" x14ac:dyDescent="0.2">
      <c r="A227">
        <f t="shared" si="6"/>
        <v>2915240</v>
      </c>
      <c r="B227">
        <v>2016</v>
      </c>
      <c r="C227" t="s">
        <v>739</v>
      </c>
      <c r="D227" t="s">
        <v>740</v>
      </c>
      <c r="E227" t="s">
        <v>743</v>
      </c>
      <c r="F227" s="34">
        <v>40</v>
      </c>
      <c r="G227" s="34" t="s">
        <v>28</v>
      </c>
      <c r="H227" s="36">
        <v>4226</v>
      </c>
      <c r="I227" s="60">
        <v>26886</v>
      </c>
      <c r="J227">
        <f>IFERROR(VLOOKUP(G227,'LEAID Match'!$A$2:$B$526,2,FALSE),"")</f>
        <v>2915240</v>
      </c>
      <c r="K227" s="68">
        <f t="shared" si="7"/>
        <v>8</v>
      </c>
    </row>
    <row r="228" spans="1:11" x14ac:dyDescent="0.2">
      <c r="A228">
        <f t="shared" si="6"/>
        <v>2915240</v>
      </c>
      <c r="B228">
        <v>2017</v>
      </c>
      <c r="C228" t="s">
        <v>739</v>
      </c>
      <c r="D228" t="s">
        <v>740</v>
      </c>
      <c r="E228" t="s">
        <v>743</v>
      </c>
      <c r="F228" s="34">
        <v>40</v>
      </c>
      <c r="G228" s="34" t="s">
        <v>28</v>
      </c>
      <c r="H228" s="36">
        <v>4452</v>
      </c>
      <c r="I228" s="58">
        <v>26075</v>
      </c>
      <c r="J228">
        <f>IFERROR(VLOOKUP(G228,'LEAID Match'!$A$2:$B$526,2,FALSE),"")</f>
        <v>2915240</v>
      </c>
      <c r="K228" s="68">
        <f t="shared" si="7"/>
        <v>8</v>
      </c>
    </row>
    <row r="229" spans="1:11" x14ac:dyDescent="0.2">
      <c r="A229">
        <f t="shared" si="6"/>
        <v>2915240</v>
      </c>
      <c r="B229">
        <v>2018</v>
      </c>
      <c r="C229" t="s">
        <v>739</v>
      </c>
      <c r="D229" t="s">
        <v>740</v>
      </c>
      <c r="E229" t="s">
        <v>743</v>
      </c>
      <c r="F229" s="34">
        <v>40</v>
      </c>
      <c r="G229" s="34" t="s">
        <v>28</v>
      </c>
      <c r="H229" s="36">
        <v>4898</v>
      </c>
      <c r="I229" s="58">
        <v>24317</v>
      </c>
      <c r="J229">
        <f>IFERROR(VLOOKUP(G229,'LEAID Match'!$A$2:$B$526,2,FALSE),"")</f>
        <v>2915240</v>
      </c>
      <c r="K229" s="68">
        <f t="shared" si="7"/>
        <v>8</v>
      </c>
    </row>
    <row r="230" spans="1:11" x14ac:dyDescent="0.2">
      <c r="A230">
        <f t="shared" si="6"/>
        <v>2915240</v>
      </c>
      <c r="B230">
        <v>2019</v>
      </c>
      <c r="C230" t="s">
        <v>739</v>
      </c>
      <c r="D230" t="s">
        <v>740</v>
      </c>
      <c r="E230" t="s">
        <v>743</v>
      </c>
      <c r="F230" s="34">
        <v>40</v>
      </c>
      <c r="G230" s="34" t="s">
        <v>28</v>
      </c>
      <c r="H230" s="36">
        <v>3587</v>
      </c>
      <c r="I230" s="58">
        <v>30963</v>
      </c>
      <c r="J230">
        <f>IFERROR(VLOOKUP(G230,'LEAID Match'!$A$2:$B$526,2,FALSE),"")</f>
        <v>2915240</v>
      </c>
      <c r="K230" s="68">
        <f t="shared" si="7"/>
        <v>8</v>
      </c>
    </row>
    <row r="231" spans="1:11" x14ac:dyDescent="0.2">
      <c r="A231">
        <f t="shared" si="6"/>
        <v>2915240</v>
      </c>
      <c r="B231">
        <v>2020</v>
      </c>
      <c r="C231" t="s">
        <v>739</v>
      </c>
      <c r="D231" t="s">
        <v>740</v>
      </c>
      <c r="E231" t="s">
        <v>743</v>
      </c>
      <c r="F231" s="34">
        <v>40</v>
      </c>
      <c r="G231" s="34" t="s">
        <v>28</v>
      </c>
      <c r="H231" s="36">
        <v>3604</v>
      </c>
      <c r="I231" s="58">
        <v>32386</v>
      </c>
      <c r="J231">
        <f>IFERROR(VLOOKUP(G231,'LEAID Match'!$A$2:$B$526,2,FALSE),"")</f>
        <v>2915240</v>
      </c>
      <c r="K231" s="68">
        <f t="shared" si="7"/>
        <v>8</v>
      </c>
    </row>
    <row r="232" spans="1:11" x14ac:dyDescent="0.2">
      <c r="A232">
        <f t="shared" si="6"/>
        <v>2915240</v>
      </c>
      <c r="B232">
        <v>2021</v>
      </c>
      <c r="C232" t="s">
        <v>739</v>
      </c>
      <c r="D232" t="s">
        <v>740</v>
      </c>
      <c r="E232" t="s">
        <v>743</v>
      </c>
      <c r="F232" s="34">
        <v>40</v>
      </c>
      <c r="G232" s="34" t="s">
        <v>28</v>
      </c>
      <c r="H232" s="36">
        <v>6170</v>
      </c>
      <c r="I232" s="58">
        <v>36365</v>
      </c>
      <c r="J232">
        <f>IFERROR(VLOOKUP(G232,'LEAID Match'!$A$2:$B$526,2,FALSE),"")</f>
        <v>2915240</v>
      </c>
      <c r="K232" s="68">
        <f t="shared" si="7"/>
        <v>8</v>
      </c>
    </row>
    <row r="233" spans="1:11" x14ac:dyDescent="0.2">
      <c r="A233">
        <f t="shared" si="6"/>
        <v>2915240</v>
      </c>
      <c r="B233">
        <v>2022</v>
      </c>
      <c r="C233" t="s">
        <v>739</v>
      </c>
      <c r="D233" t="s">
        <v>740</v>
      </c>
      <c r="E233" t="s">
        <v>743</v>
      </c>
      <c r="F233" s="34">
        <v>40</v>
      </c>
      <c r="G233" s="34" t="s">
        <v>28</v>
      </c>
      <c r="H233" s="36">
        <v>6394</v>
      </c>
      <c r="I233" s="58">
        <v>45143</v>
      </c>
      <c r="J233">
        <f>IFERROR(VLOOKUP(G233,'LEAID Match'!$A$2:$B$526,2,FALSE),"")</f>
        <v>2915240</v>
      </c>
      <c r="K233" s="68">
        <f t="shared" si="7"/>
        <v>8</v>
      </c>
    </row>
    <row r="234" spans="1:11" x14ac:dyDescent="0.2">
      <c r="A234">
        <f t="shared" si="6"/>
        <v>2909900</v>
      </c>
      <c r="B234">
        <v>2015</v>
      </c>
      <c r="C234" t="s">
        <v>739</v>
      </c>
      <c r="D234" t="s">
        <v>740</v>
      </c>
      <c r="E234" t="s">
        <v>743</v>
      </c>
      <c r="F234" s="37">
        <v>41</v>
      </c>
      <c r="G234" s="39" t="s">
        <v>29</v>
      </c>
      <c r="H234" s="40">
        <v>60476</v>
      </c>
      <c r="I234" s="58">
        <v>420832</v>
      </c>
      <c r="J234">
        <f>IFERROR(VLOOKUP(G234,'LEAID Match'!$A$2:$B$526,2,FALSE),"")</f>
        <v>2909900</v>
      </c>
      <c r="K234" s="68">
        <f t="shared" si="7"/>
        <v>8</v>
      </c>
    </row>
    <row r="235" spans="1:11" x14ac:dyDescent="0.2">
      <c r="A235">
        <f t="shared" si="6"/>
        <v>2909900</v>
      </c>
      <c r="B235">
        <v>2016</v>
      </c>
      <c r="C235" t="s">
        <v>739</v>
      </c>
      <c r="D235" t="s">
        <v>740</v>
      </c>
      <c r="E235" t="s">
        <v>743</v>
      </c>
      <c r="F235" s="34">
        <v>41</v>
      </c>
      <c r="G235" s="39" t="s">
        <v>29</v>
      </c>
      <c r="H235" s="36">
        <v>60242</v>
      </c>
      <c r="I235" s="60">
        <v>435475</v>
      </c>
      <c r="J235">
        <f>IFERROR(VLOOKUP(G235,'LEAID Match'!$A$2:$B$526,2,FALSE),"")</f>
        <v>2909900</v>
      </c>
      <c r="K235" s="68">
        <f t="shared" si="7"/>
        <v>8</v>
      </c>
    </row>
    <row r="236" spans="1:11" x14ac:dyDescent="0.2">
      <c r="A236">
        <f t="shared" si="6"/>
        <v>2909900</v>
      </c>
      <c r="B236">
        <v>2017</v>
      </c>
      <c r="C236" t="s">
        <v>739</v>
      </c>
      <c r="D236" t="s">
        <v>740</v>
      </c>
      <c r="E236" t="s">
        <v>743</v>
      </c>
      <c r="F236" s="34">
        <v>41</v>
      </c>
      <c r="G236" s="39" t="s">
        <v>29</v>
      </c>
      <c r="H236" s="36">
        <v>58569</v>
      </c>
      <c r="I236" s="58">
        <v>443130</v>
      </c>
      <c r="J236">
        <f>IFERROR(VLOOKUP(G236,'LEAID Match'!$A$2:$B$526,2,FALSE),"")</f>
        <v>2909900</v>
      </c>
      <c r="K236" s="68">
        <f t="shared" si="7"/>
        <v>8</v>
      </c>
    </row>
    <row r="237" spans="1:11" x14ac:dyDescent="0.2">
      <c r="A237">
        <f t="shared" si="6"/>
        <v>2909900</v>
      </c>
      <c r="B237">
        <v>2018</v>
      </c>
      <c r="C237" t="s">
        <v>739</v>
      </c>
      <c r="D237" t="s">
        <v>740</v>
      </c>
      <c r="E237" t="s">
        <v>743</v>
      </c>
      <c r="F237" s="34">
        <v>41</v>
      </c>
      <c r="G237" s="39" t="s">
        <v>29</v>
      </c>
      <c r="H237" s="36">
        <v>57068</v>
      </c>
      <c r="I237" s="58">
        <v>447998</v>
      </c>
      <c r="J237">
        <f>IFERROR(VLOOKUP(G237,'LEAID Match'!$A$2:$B$526,2,FALSE),"")</f>
        <v>2909900</v>
      </c>
      <c r="K237" s="68">
        <f t="shared" si="7"/>
        <v>8</v>
      </c>
    </row>
    <row r="238" spans="1:11" x14ac:dyDescent="0.2">
      <c r="A238">
        <f t="shared" si="6"/>
        <v>2909900</v>
      </c>
      <c r="B238">
        <v>2019</v>
      </c>
      <c r="C238" t="s">
        <v>739</v>
      </c>
      <c r="D238" t="s">
        <v>740</v>
      </c>
      <c r="E238" t="s">
        <v>743</v>
      </c>
      <c r="F238" s="34">
        <v>41</v>
      </c>
      <c r="G238" s="39" t="s">
        <v>29</v>
      </c>
      <c r="H238" s="36">
        <v>63227</v>
      </c>
      <c r="I238" s="58">
        <v>453943</v>
      </c>
      <c r="J238">
        <f>IFERROR(VLOOKUP(G238,'LEAID Match'!$A$2:$B$526,2,FALSE),"")</f>
        <v>2909900</v>
      </c>
      <c r="K238" s="68">
        <f t="shared" si="7"/>
        <v>8</v>
      </c>
    </row>
    <row r="239" spans="1:11" x14ac:dyDescent="0.2">
      <c r="A239">
        <f t="shared" si="6"/>
        <v>2909900</v>
      </c>
      <c r="B239">
        <v>2020</v>
      </c>
      <c r="C239" t="s">
        <v>739</v>
      </c>
      <c r="D239" t="s">
        <v>740</v>
      </c>
      <c r="E239" t="s">
        <v>743</v>
      </c>
      <c r="F239" s="34">
        <v>41</v>
      </c>
      <c r="G239" s="39" t="s">
        <v>29</v>
      </c>
      <c r="H239" s="36">
        <v>65158</v>
      </c>
      <c r="I239" s="58">
        <v>463046</v>
      </c>
      <c r="J239">
        <f>IFERROR(VLOOKUP(G239,'LEAID Match'!$A$2:$B$526,2,FALSE),"")</f>
        <v>2909900</v>
      </c>
      <c r="K239" s="68">
        <f t="shared" si="7"/>
        <v>8</v>
      </c>
    </row>
    <row r="240" spans="1:11" x14ac:dyDescent="0.2">
      <c r="A240">
        <f t="shared" si="6"/>
        <v>2909900</v>
      </c>
      <c r="B240">
        <v>2021</v>
      </c>
      <c r="C240" t="s">
        <v>739</v>
      </c>
      <c r="D240" t="s">
        <v>740</v>
      </c>
      <c r="E240" t="s">
        <v>743</v>
      </c>
      <c r="F240" s="34">
        <v>41</v>
      </c>
      <c r="G240" s="39" t="s">
        <v>29</v>
      </c>
      <c r="H240" s="36">
        <v>71575</v>
      </c>
      <c r="I240" s="58">
        <v>464992</v>
      </c>
      <c r="J240">
        <f>IFERROR(VLOOKUP(G240,'LEAID Match'!$A$2:$B$526,2,FALSE),"")</f>
        <v>2909900</v>
      </c>
      <c r="K240" s="68">
        <f t="shared" si="7"/>
        <v>8</v>
      </c>
    </row>
    <row r="241" spans="1:11" x14ac:dyDescent="0.2">
      <c r="A241">
        <f t="shared" si="6"/>
        <v>2909900</v>
      </c>
      <c r="B241">
        <v>2022</v>
      </c>
      <c r="C241" t="s">
        <v>739</v>
      </c>
      <c r="D241" t="s">
        <v>740</v>
      </c>
      <c r="E241" t="s">
        <v>743</v>
      </c>
      <c r="F241" s="34">
        <v>41</v>
      </c>
      <c r="G241" s="39" t="s">
        <v>29</v>
      </c>
      <c r="H241" s="36">
        <v>77394</v>
      </c>
      <c r="I241" s="58">
        <v>500608</v>
      </c>
      <c r="J241">
        <f>IFERROR(VLOOKUP(G241,'LEAID Match'!$A$2:$B$526,2,FALSE),"")</f>
        <v>2909900</v>
      </c>
      <c r="K241" s="68">
        <f t="shared" si="7"/>
        <v>8</v>
      </c>
    </row>
    <row r="242" spans="1:11" x14ac:dyDescent="0.2">
      <c r="A242">
        <f t="shared" si="6"/>
        <v>2918670</v>
      </c>
      <c r="B242">
        <v>2015</v>
      </c>
      <c r="C242" t="s">
        <v>739</v>
      </c>
      <c r="D242" t="s">
        <v>740</v>
      </c>
      <c r="E242" t="s">
        <v>743</v>
      </c>
      <c r="F242" s="37">
        <v>42</v>
      </c>
      <c r="G242" s="39" t="s">
        <v>30</v>
      </c>
      <c r="H242" s="40">
        <v>44968</v>
      </c>
      <c r="I242" s="58">
        <v>318742</v>
      </c>
      <c r="J242">
        <f>IFERROR(VLOOKUP(G242,'LEAID Match'!$A$2:$B$526,2,FALSE),"")</f>
        <v>2918670</v>
      </c>
      <c r="K242" s="68">
        <f t="shared" si="7"/>
        <v>8</v>
      </c>
    </row>
    <row r="243" spans="1:11" x14ac:dyDescent="0.2">
      <c r="A243">
        <f t="shared" si="6"/>
        <v>2918670</v>
      </c>
      <c r="B243">
        <v>2016</v>
      </c>
      <c r="C243" t="s">
        <v>739</v>
      </c>
      <c r="D243" t="s">
        <v>740</v>
      </c>
      <c r="E243" t="s">
        <v>743</v>
      </c>
      <c r="F243" s="34">
        <v>42</v>
      </c>
      <c r="G243" s="39" t="s">
        <v>30</v>
      </c>
      <c r="H243" s="36">
        <v>43152</v>
      </c>
      <c r="I243" s="60">
        <v>325061</v>
      </c>
      <c r="J243">
        <f>IFERROR(VLOOKUP(G243,'LEAID Match'!$A$2:$B$526,2,FALSE),"")</f>
        <v>2918670</v>
      </c>
      <c r="K243" s="68">
        <f t="shared" si="7"/>
        <v>8</v>
      </c>
    </row>
    <row r="244" spans="1:11" x14ac:dyDescent="0.2">
      <c r="A244">
        <f t="shared" si="6"/>
        <v>2918670</v>
      </c>
      <c r="B244">
        <v>2017</v>
      </c>
      <c r="C244" t="s">
        <v>739</v>
      </c>
      <c r="D244" t="s">
        <v>740</v>
      </c>
      <c r="E244" t="s">
        <v>743</v>
      </c>
      <c r="F244" s="34">
        <v>42</v>
      </c>
      <c r="G244" s="39" t="s">
        <v>30</v>
      </c>
      <c r="H244" s="36">
        <v>48560</v>
      </c>
      <c r="I244" s="58">
        <v>328134</v>
      </c>
      <c r="J244">
        <f>IFERROR(VLOOKUP(G244,'LEAID Match'!$A$2:$B$526,2,FALSE),"")</f>
        <v>2918670</v>
      </c>
      <c r="K244" s="68">
        <f t="shared" si="7"/>
        <v>8</v>
      </c>
    </row>
    <row r="245" spans="1:11" x14ac:dyDescent="0.2">
      <c r="A245">
        <f t="shared" si="6"/>
        <v>2918670</v>
      </c>
      <c r="B245">
        <v>2018</v>
      </c>
      <c r="C245" t="s">
        <v>739</v>
      </c>
      <c r="D245" t="s">
        <v>740</v>
      </c>
      <c r="E245" t="s">
        <v>743</v>
      </c>
      <c r="F245" s="34">
        <v>42</v>
      </c>
      <c r="G245" s="39" t="s">
        <v>30</v>
      </c>
      <c r="H245" s="36">
        <v>49609</v>
      </c>
      <c r="I245" s="58">
        <v>339349</v>
      </c>
      <c r="J245">
        <f>IFERROR(VLOOKUP(G245,'LEAID Match'!$A$2:$B$526,2,FALSE),"")</f>
        <v>2918670</v>
      </c>
      <c r="K245" s="68">
        <f t="shared" si="7"/>
        <v>8</v>
      </c>
    </row>
    <row r="246" spans="1:11" x14ac:dyDescent="0.2">
      <c r="A246">
        <f t="shared" si="6"/>
        <v>2918670</v>
      </c>
      <c r="B246">
        <v>2019</v>
      </c>
      <c r="C246" t="s">
        <v>739</v>
      </c>
      <c r="D246" t="s">
        <v>740</v>
      </c>
      <c r="E246" t="s">
        <v>743</v>
      </c>
      <c r="F246" s="34">
        <v>42</v>
      </c>
      <c r="G246" s="39" t="s">
        <v>30</v>
      </c>
      <c r="H246" s="36">
        <v>48193</v>
      </c>
      <c r="I246" s="58">
        <v>350080</v>
      </c>
      <c r="J246">
        <f>IFERROR(VLOOKUP(G246,'LEAID Match'!$A$2:$B$526,2,FALSE),"")</f>
        <v>2918670</v>
      </c>
      <c r="K246" s="68">
        <f t="shared" si="7"/>
        <v>8</v>
      </c>
    </row>
    <row r="247" spans="1:11" x14ac:dyDescent="0.2">
      <c r="A247">
        <f t="shared" si="6"/>
        <v>2918670</v>
      </c>
      <c r="B247">
        <v>2020</v>
      </c>
      <c r="C247" t="s">
        <v>739</v>
      </c>
      <c r="D247" t="s">
        <v>740</v>
      </c>
      <c r="E247" t="s">
        <v>743</v>
      </c>
      <c r="F247" s="34">
        <v>42</v>
      </c>
      <c r="G247" s="39" t="s">
        <v>30</v>
      </c>
      <c r="H247" s="36">
        <v>44225</v>
      </c>
      <c r="I247" s="58">
        <v>358190</v>
      </c>
      <c r="J247">
        <f>IFERROR(VLOOKUP(G247,'LEAID Match'!$A$2:$B$526,2,FALSE),"")</f>
        <v>2918670</v>
      </c>
      <c r="K247" s="68">
        <f t="shared" si="7"/>
        <v>8</v>
      </c>
    </row>
    <row r="248" spans="1:11" x14ac:dyDescent="0.2">
      <c r="A248">
        <f t="shared" si="6"/>
        <v>2918670</v>
      </c>
      <c r="B248">
        <v>2021</v>
      </c>
      <c r="C248" t="s">
        <v>739</v>
      </c>
      <c r="D248" t="s">
        <v>740</v>
      </c>
      <c r="E248" t="s">
        <v>743</v>
      </c>
      <c r="F248" s="34">
        <v>42</v>
      </c>
      <c r="G248" s="39" t="s">
        <v>30</v>
      </c>
      <c r="H248" s="36">
        <v>50191</v>
      </c>
      <c r="I248" s="58">
        <v>351226</v>
      </c>
      <c r="J248">
        <f>IFERROR(VLOOKUP(G248,'LEAID Match'!$A$2:$B$526,2,FALSE),"")</f>
        <v>2918670</v>
      </c>
      <c r="K248" s="68">
        <f t="shared" si="7"/>
        <v>8</v>
      </c>
    </row>
    <row r="249" spans="1:11" x14ac:dyDescent="0.2">
      <c r="A249">
        <f t="shared" si="6"/>
        <v>2918670</v>
      </c>
      <c r="B249">
        <v>2022</v>
      </c>
      <c r="C249" t="s">
        <v>739</v>
      </c>
      <c r="D249" t="s">
        <v>740</v>
      </c>
      <c r="E249" t="s">
        <v>743</v>
      </c>
      <c r="F249" s="34">
        <v>42</v>
      </c>
      <c r="G249" s="39" t="s">
        <v>30</v>
      </c>
      <c r="H249" s="36">
        <v>60989</v>
      </c>
      <c r="I249" s="58">
        <v>353350</v>
      </c>
      <c r="J249">
        <f>IFERROR(VLOOKUP(G249,'LEAID Match'!$A$2:$B$526,2,FALSE),"")</f>
        <v>2918670</v>
      </c>
      <c r="K249" s="68">
        <f t="shared" si="7"/>
        <v>8</v>
      </c>
    </row>
    <row r="250" spans="1:11" x14ac:dyDescent="0.2">
      <c r="A250">
        <f t="shared" si="6"/>
        <v>2931070</v>
      </c>
      <c r="B250">
        <v>2015</v>
      </c>
      <c r="C250" t="s">
        <v>739</v>
      </c>
      <c r="D250" t="s">
        <v>740</v>
      </c>
      <c r="E250" t="s">
        <v>743</v>
      </c>
      <c r="F250" s="37">
        <v>43</v>
      </c>
      <c r="G250" s="39" t="s">
        <v>31</v>
      </c>
      <c r="H250" s="40">
        <v>129773</v>
      </c>
      <c r="I250" s="58">
        <v>811736</v>
      </c>
      <c r="J250">
        <f>IFERROR(VLOOKUP(G250,'LEAID Match'!$A$2:$B$526,2,FALSE),"")</f>
        <v>2931070</v>
      </c>
      <c r="K250" s="68">
        <f t="shared" si="7"/>
        <v>8</v>
      </c>
    </row>
    <row r="251" spans="1:11" x14ac:dyDescent="0.2">
      <c r="A251">
        <f t="shared" si="6"/>
        <v>2931070</v>
      </c>
      <c r="B251">
        <v>2016</v>
      </c>
      <c r="C251" t="s">
        <v>739</v>
      </c>
      <c r="D251" t="s">
        <v>740</v>
      </c>
      <c r="E251" t="s">
        <v>743</v>
      </c>
      <c r="F251" s="34">
        <v>43</v>
      </c>
      <c r="G251" s="34" t="s">
        <v>31</v>
      </c>
      <c r="H251" s="36">
        <v>129527</v>
      </c>
      <c r="I251" s="60">
        <v>805866</v>
      </c>
      <c r="J251">
        <f>IFERROR(VLOOKUP(G251,'LEAID Match'!$A$2:$B$526,2,FALSE),"")</f>
        <v>2931070</v>
      </c>
      <c r="K251" s="68">
        <f t="shared" si="7"/>
        <v>8</v>
      </c>
    </row>
    <row r="252" spans="1:11" x14ac:dyDescent="0.2">
      <c r="A252">
        <f t="shared" si="6"/>
        <v>2931070</v>
      </c>
      <c r="B252">
        <v>2017</v>
      </c>
      <c r="C252" t="s">
        <v>739</v>
      </c>
      <c r="D252" t="s">
        <v>740</v>
      </c>
      <c r="E252" t="s">
        <v>743</v>
      </c>
      <c r="F252" s="34">
        <v>43</v>
      </c>
      <c r="G252" s="34" t="s">
        <v>31</v>
      </c>
      <c r="H252" s="36">
        <v>138070</v>
      </c>
      <c r="I252" s="58">
        <v>817570</v>
      </c>
      <c r="J252">
        <f>IFERROR(VLOOKUP(G252,'LEAID Match'!$A$2:$B$526,2,FALSE),"")</f>
        <v>2931070</v>
      </c>
      <c r="K252" s="68">
        <f t="shared" si="7"/>
        <v>8</v>
      </c>
    </row>
    <row r="253" spans="1:11" x14ac:dyDescent="0.2">
      <c r="A253">
        <f t="shared" si="6"/>
        <v>2931070</v>
      </c>
      <c r="B253">
        <v>2018</v>
      </c>
      <c r="C253" t="s">
        <v>739</v>
      </c>
      <c r="D253" t="s">
        <v>740</v>
      </c>
      <c r="E253" t="s">
        <v>743</v>
      </c>
      <c r="F253" s="34">
        <v>43</v>
      </c>
      <c r="G253" s="34" t="s">
        <v>31</v>
      </c>
      <c r="H253" s="36">
        <v>162462</v>
      </c>
      <c r="I253" s="58">
        <v>831492</v>
      </c>
      <c r="J253">
        <f>IFERROR(VLOOKUP(G253,'LEAID Match'!$A$2:$B$526,2,FALSE),"")</f>
        <v>2931070</v>
      </c>
      <c r="K253" s="68">
        <f t="shared" si="7"/>
        <v>8</v>
      </c>
    </row>
    <row r="254" spans="1:11" x14ac:dyDescent="0.2">
      <c r="A254">
        <f t="shared" si="6"/>
        <v>2931070</v>
      </c>
      <c r="B254">
        <v>2019</v>
      </c>
      <c r="C254" t="s">
        <v>739</v>
      </c>
      <c r="D254" t="s">
        <v>740</v>
      </c>
      <c r="E254" t="s">
        <v>743</v>
      </c>
      <c r="F254" s="34">
        <v>43</v>
      </c>
      <c r="G254" s="34" t="s">
        <v>31</v>
      </c>
      <c r="H254" s="36">
        <v>166137</v>
      </c>
      <c r="I254" s="58">
        <v>856929</v>
      </c>
      <c r="J254">
        <f>IFERROR(VLOOKUP(G254,'LEAID Match'!$A$2:$B$526,2,FALSE),"")</f>
        <v>2931070</v>
      </c>
      <c r="K254" s="68">
        <f t="shared" si="7"/>
        <v>8</v>
      </c>
    </row>
    <row r="255" spans="1:11" x14ac:dyDescent="0.2">
      <c r="A255">
        <f t="shared" si="6"/>
        <v>2931070</v>
      </c>
      <c r="B255">
        <v>2020</v>
      </c>
      <c r="C255" t="s">
        <v>739</v>
      </c>
      <c r="D255" t="s">
        <v>740</v>
      </c>
      <c r="E255" t="s">
        <v>743</v>
      </c>
      <c r="F255" s="34">
        <v>43</v>
      </c>
      <c r="G255" s="34" t="s">
        <v>31</v>
      </c>
      <c r="H255" s="36">
        <v>160231</v>
      </c>
      <c r="I255" s="58">
        <v>799754</v>
      </c>
      <c r="J255">
        <f>IFERROR(VLOOKUP(G255,'LEAID Match'!$A$2:$B$526,2,FALSE),"")</f>
        <v>2931070</v>
      </c>
      <c r="K255" s="68">
        <f t="shared" si="7"/>
        <v>8</v>
      </c>
    </row>
    <row r="256" spans="1:11" x14ac:dyDescent="0.2">
      <c r="A256">
        <f t="shared" si="6"/>
        <v>2931070</v>
      </c>
      <c r="B256">
        <v>2021</v>
      </c>
      <c r="C256" t="s">
        <v>739</v>
      </c>
      <c r="D256" t="s">
        <v>740</v>
      </c>
      <c r="E256" t="s">
        <v>743</v>
      </c>
      <c r="F256" s="34">
        <v>43</v>
      </c>
      <c r="G256" s="34" t="s">
        <v>31</v>
      </c>
      <c r="H256" s="36">
        <v>158397</v>
      </c>
      <c r="I256" s="58">
        <v>831416</v>
      </c>
      <c r="J256">
        <f>IFERROR(VLOOKUP(G256,'LEAID Match'!$A$2:$B$526,2,FALSE),"")</f>
        <v>2931070</v>
      </c>
      <c r="K256" s="68">
        <f t="shared" si="7"/>
        <v>8</v>
      </c>
    </row>
    <row r="257" spans="1:11" x14ac:dyDescent="0.2">
      <c r="A257">
        <f t="shared" si="6"/>
        <v>2931070</v>
      </c>
      <c r="B257">
        <v>2022</v>
      </c>
      <c r="C257" t="s">
        <v>739</v>
      </c>
      <c r="D257" t="s">
        <v>740</v>
      </c>
      <c r="E257" t="s">
        <v>743</v>
      </c>
      <c r="F257" s="34">
        <v>43</v>
      </c>
      <c r="G257" s="34" t="s">
        <v>31</v>
      </c>
      <c r="H257" s="36">
        <v>174657</v>
      </c>
      <c r="I257" s="58">
        <v>790796</v>
      </c>
      <c r="J257">
        <f>IFERROR(VLOOKUP(G257,'LEAID Match'!$A$2:$B$526,2,FALSE),"")</f>
        <v>2931070</v>
      </c>
      <c r="K257" s="68">
        <f t="shared" si="7"/>
        <v>8</v>
      </c>
    </row>
    <row r="258" spans="1:11" x14ac:dyDescent="0.2">
      <c r="A258">
        <f t="shared" si="6"/>
        <v>2923640</v>
      </c>
      <c r="B258">
        <v>2015</v>
      </c>
      <c r="C258" t="s">
        <v>739</v>
      </c>
      <c r="D258" t="s">
        <v>740</v>
      </c>
      <c r="E258" t="s">
        <v>743</v>
      </c>
      <c r="F258" s="37">
        <v>46</v>
      </c>
      <c r="G258" s="39" t="s">
        <v>32</v>
      </c>
      <c r="H258" s="40">
        <v>55832</v>
      </c>
      <c r="I258" s="58">
        <v>309408</v>
      </c>
      <c r="J258">
        <f>IFERROR(VLOOKUP(G258,'LEAID Match'!$A$2:$B$526,2,FALSE),"")</f>
        <v>2923640</v>
      </c>
      <c r="K258" s="68">
        <f t="shared" si="7"/>
        <v>8</v>
      </c>
    </row>
    <row r="259" spans="1:11" x14ac:dyDescent="0.2">
      <c r="A259">
        <f t="shared" ref="A259:A322" si="8">J259</f>
        <v>2923640</v>
      </c>
      <c r="B259">
        <v>2016</v>
      </c>
      <c r="C259" t="s">
        <v>739</v>
      </c>
      <c r="D259" t="s">
        <v>740</v>
      </c>
      <c r="E259" t="s">
        <v>743</v>
      </c>
      <c r="F259" s="34">
        <v>46</v>
      </c>
      <c r="G259" s="34" t="s">
        <v>32</v>
      </c>
      <c r="H259" s="36">
        <v>52847</v>
      </c>
      <c r="I259" s="60">
        <v>313521</v>
      </c>
      <c r="J259">
        <f>IFERROR(VLOOKUP(G259,'LEAID Match'!$A$2:$B$526,2,FALSE),"")</f>
        <v>2923640</v>
      </c>
      <c r="K259" s="68">
        <f t="shared" ref="K259:K322" si="9">COUNTIF($J$2:$J$4295,J259)</f>
        <v>8</v>
      </c>
    </row>
    <row r="260" spans="1:11" x14ac:dyDescent="0.2">
      <c r="A260">
        <f t="shared" si="8"/>
        <v>2923640</v>
      </c>
      <c r="B260">
        <v>2017</v>
      </c>
      <c r="C260" t="s">
        <v>739</v>
      </c>
      <c r="D260" t="s">
        <v>740</v>
      </c>
      <c r="E260" t="s">
        <v>743</v>
      </c>
      <c r="F260" s="34">
        <v>46</v>
      </c>
      <c r="G260" s="34" t="s">
        <v>32</v>
      </c>
      <c r="H260" s="36">
        <v>58514</v>
      </c>
      <c r="I260" s="58">
        <v>308682</v>
      </c>
      <c r="J260">
        <f>IFERROR(VLOOKUP(G260,'LEAID Match'!$A$2:$B$526,2,FALSE),"")</f>
        <v>2923640</v>
      </c>
      <c r="K260" s="68">
        <f t="shared" si="9"/>
        <v>8</v>
      </c>
    </row>
    <row r="261" spans="1:11" x14ac:dyDescent="0.2">
      <c r="A261">
        <f t="shared" si="8"/>
        <v>2923640</v>
      </c>
      <c r="B261">
        <v>2018</v>
      </c>
      <c r="C261" t="s">
        <v>739</v>
      </c>
      <c r="D261" t="s">
        <v>740</v>
      </c>
      <c r="E261" t="s">
        <v>743</v>
      </c>
      <c r="F261" s="34">
        <v>46</v>
      </c>
      <c r="G261" s="34" t="s">
        <v>32</v>
      </c>
      <c r="H261" s="36">
        <v>60464</v>
      </c>
      <c r="I261" s="58">
        <v>312514</v>
      </c>
      <c r="J261">
        <f>IFERROR(VLOOKUP(G261,'LEAID Match'!$A$2:$B$526,2,FALSE),"")</f>
        <v>2923640</v>
      </c>
      <c r="K261" s="68">
        <f t="shared" si="9"/>
        <v>8</v>
      </c>
    </row>
    <row r="262" spans="1:11" x14ac:dyDescent="0.2">
      <c r="A262">
        <f t="shared" si="8"/>
        <v>2923640</v>
      </c>
      <c r="B262">
        <v>2019</v>
      </c>
      <c r="C262" t="s">
        <v>739</v>
      </c>
      <c r="D262" t="s">
        <v>740</v>
      </c>
      <c r="E262" t="s">
        <v>743</v>
      </c>
      <c r="F262" s="34">
        <v>46</v>
      </c>
      <c r="G262" s="34" t="s">
        <v>32</v>
      </c>
      <c r="H262" s="36">
        <v>55028</v>
      </c>
      <c r="I262" s="58">
        <v>304337</v>
      </c>
      <c r="J262">
        <f>IFERROR(VLOOKUP(G262,'LEAID Match'!$A$2:$B$526,2,FALSE),"")</f>
        <v>2923640</v>
      </c>
      <c r="K262" s="68">
        <f t="shared" si="9"/>
        <v>8</v>
      </c>
    </row>
    <row r="263" spans="1:11" x14ac:dyDescent="0.2">
      <c r="A263">
        <f t="shared" si="8"/>
        <v>2923640</v>
      </c>
      <c r="B263">
        <v>2020</v>
      </c>
      <c r="C263" t="s">
        <v>739</v>
      </c>
      <c r="D263" t="s">
        <v>740</v>
      </c>
      <c r="E263" t="s">
        <v>743</v>
      </c>
      <c r="F263" s="34">
        <v>46</v>
      </c>
      <c r="G263" s="34" t="s">
        <v>32</v>
      </c>
      <c r="H263" s="36">
        <v>59052</v>
      </c>
      <c r="I263" s="58">
        <v>309976</v>
      </c>
      <c r="J263">
        <f>IFERROR(VLOOKUP(G263,'LEAID Match'!$A$2:$B$526,2,FALSE),"")</f>
        <v>2923640</v>
      </c>
      <c r="K263" s="68">
        <f t="shared" si="9"/>
        <v>8</v>
      </c>
    </row>
    <row r="264" spans="1:11" x14ac:dyDescent="0.2">
      <c r="A264">
        <f t="shared" si="8"/>
        <v>2923640</v>
      </c>
      <c r="B264">
        <v>2021</v>
      </c>
      <c r="C264" t="s">
        <v>739</v>
      </c>
      <c r="D264" t="s">
        <v>740</v>
      </c>
      <c r="E264" t="s">
        <v>743</v>
      </c>
      <c r="F264" s="34">
        <v>46</v>
      </c>
      <c r="G264" s="34" t="s">
        <v>32</v>
      </c>
      <c r="H264" s="36">
        <v>55226</v>
      </c>
      <c r="I264" s="58">
        <v>318663</v>
      </c>
      <c r="J264">
        <f>IFERROR(VLOOKUP(G264,'LEAID Match'!$A$2:$B$526,2,FALSE),"")</f>
        <v>2923640</v>
      </c>
      <c r="K264" s="68">
        <f t="shared" si="9"/>
        <v>8</v>
      </c>
    </row>
    <row r="265" spans="1:11" x14ac:dyDescent="0.2">
      <c r="A265">
        <f t="shared" si="8"/>
        <v>2923640</v>
      </c>
      <c r="B265">
        <v>2022</v>
      </c>
      <c r="C265" t="s">
        <v>739</v>
      </c>
      <c r="D265" t="s">
        <v>740</v>
      </c>
      <c r="E265" t="s">
        <v>743</v>
      </c>
      <c r="F265" s="34">
        <v>46</v>
      </c>
      <c r="G265" s="34" t="s">
        <v>32</v>
      </c>
      <c r="H265" s="36">
        <v>54851</v>
      </c>
      <c r="I265" s="58">
        <v>340691</v>
      </c>
      <c r="J265">
        <f>IFERROR(VLOOKUP(G265,'LEAID Match'!$A$2:$B$526,2,FALSE),"")</f>
        <v>2923640</v>
      </c>
      <c r="K265" s="68">
        <f t="shared" si="9"/>
        <v>8</v>
      </c>
    </row>
    <row r="266" spans="1:11" x14ac:dyDescent="0.2">
      <c r="A266">
        <f t="shared" si="8"/>
        <v>2918420</v>
      </c>
      <c r="B266">
        <v>2015</v>
      </c>
      <c r="C266" t="s">
        <v>739</v>
      </c>
      <c r="D266" t="s">
        <v>740</v>
      </c>
      <c r="E266" t="s">
        <v>743</v>
      </c>
      <c r="F266" s="37">
        <v>47</v>
      </c>
      <c r="G266" s="39" t="s">
        <v>33</v>
      </c>
      <c r="H266" s="40">
        <v>11486</v>
      </c>
      <c r="I266" s="58">
        <v>111621</v>
      </c>
      <c r="J266">
        <f>IFERROR(VLOOKUP(G266,'LEAID Match'!$A$2:$B$526,2,FALSE),"")</f>
        <v>2918420</v>
      </c>
      <c r="K266" s="68">
        <f t="shared" si="9"/>
        <v>8</v>
      </c>
    </row>
    <row r="267" spans="1:11" x14ac:dyDescent="0.2">
      <c r="A267">
        <f t="shared" si="8"/>
        <v>2918420</v>
      </c>
      <c r="B267">
        <v>2016</v>
      </c>
      <c r="C267" t="s">
        <v>739</v>
      </c>
      <c r="D267" t="s">
        <v>740</v>
      </c>
      <c r="E267" t="s">
        <v>743</v>
      </c>
      <c r="F267" s="34">
        <v>47</v>
      </c>
      <c r="G267" s="34" t="s">
        <v>33</v>
      </c>
      <c r="H267" s="36">
        <v>11174</v>
      </c>
      <c r="I267" s="60">
        <v>122408</v>
      </c>
      <c r="J267">
        <f>IFERROR(VLOOKUP(G267,'LEAID Match'!$A$2:$B$526,2,FALSE),"")</f>
        <v>2918420</v>
      </c>
      <c r="K267" s="68">
        <f t="shared" si="9"/>
        <v>8</v>
      </c>
    </row>
    <row r="268" spans="1:11" x14ac:dyDescent="0.2">
      <c r="A268">
        <f t="shared" si="8"/>
        <v>2918420</v>
      </c>
      <c r="B268">
        <v>2017</v>
      </c>
      <c r="C268" t="s">
        <v>739</v>
      </c>
      <c r="D268" t="s">
        <v>740</v>
      </c>
      <c r="E268" t="s">
        <v>743</v>
      </c>
      <c r="F268" s="34">
        <v>47</v>
      </c>
      <c r="G268" s="34" t="s">
        <v>33</v>
      </c>
      <c r="H268" s="36">
        <v>13444</v>
      </c>
      <c r="I268" s="58">
        <v>125485</v>
      </c>
      <c r="J268">
        <f>IFERROR(VLOOKUP(G268,'LEAID Match'!$A$2:$B$526,2,FALSE),"")</f>
        <v>2918420</v>
      </c>
      <c r="K268" s="68">
        <f t="shared" si="9"/>
        <v>8</v>
      </c>
    </row>
    <row r="269" spans="1:11" x14ac:dyDescent="0.2">
      <c r="A269">
        <f t="shared" si="8"/>
        <v>2918420</v>
      </c>
      <c r="B269">
        <v>2018</v>
      </c>
      <c r="C269" t="s">
        <v>739</v>
      </c>
      <c r="D269" t="s">
        <v>740</v>
      </c>
      <c r="E269" t="s">
        <v>743</v>
      </c>
      <c r="F269" s="34">
        <v>47</v>
      </c>
      <c r="G269" s="34" t="s">
        <v>33</v>
      </c>
      <c r="H269" s="36">
        <v>14595</v>
      </c>
      <c r="I269" s="58">
        <v>136205</v>
      </c>
      <c r="J269">
        <f>IFERROR(VLOOKUP(G269,'LEAID Match'!$A$2:$B$526,2,FALSE),"")</f>
        <v>2918420</v>
      </c>
      <c r="K269" s="68">
        <f t="shared" si="9"/>
        <v>8</v>
      </c>
    </row>
    <row r="270" spans="1:11" x14ac:dyDescent="0.2">
      <c r="A270">
        <f t="shared" si="8"/>
        <v>2918420</v>
      </c>
      <c r="B270">
        <v>2019</v>
      </c>
      <c r="C270" t="s">
        <v>739</v>
      </c>
      <c r="D270" t="s">
        <v>740</v>
      </c>
      <c r="E270" t="s">
        <v>743</v>
      </c>
      <c r="F270" s="34">
        <v>47</v>
      </c>
      <c r="G270" s="34" t="s">
        <v>33</v>
      </c>
      <c r="H270" s="36">
        <v>14671</v>
      </c>
      <c r="I270" s="58">
        <v>139002</v>
      </c>
      <c r="J270">
        <f>IFERROR(VLOOKUP(G270,'LEAID Match'!$A$2:$B$526,2,FALSE),"")</f>
        <v>2918420</v>
      </c>
      <c r="K270" s="68">
        <f t="shared" si="9"/>
        <v>8</v>
      </c>
    </row>
    <row r="271" spans="1:11" x14ac:dyDescent="0.2">
      <c r="A271">
        <f t="shared" si="8"/>
        <v>2918420</v>
      </c>
      <c r="B271">
        <v>2020</v>
      </c>
      <c r="C271" t="s">
        <v>739</v>
      </c>
      <c r="D271" t="s">
        <v>740</v>
      </c>
      <c r="E271" t="s">
        <v>743</v>
      </c>
      <c r="F271" s="34">
        <v>47</v>
      </c>
      <c r="G271" s="34" t="s">
        <v>33</v>
      </c>
      <c r="H271" s="36">
        <v>15220</v>
      </c>
      <c r="I271" s="58">
        <v>123486</v>
      </c>
      <c r="J271">
        <f>IFERROR(VLOOKUP(G271,'LEAID Match'!$A$2:$B$526,2,FALSE),"")</f>
        <v>2918420</v>
      </c>
      <c r="K271" s="68">
        <f t="shared" si="9"/>
        <v>8</v>
      </c>
    </row>
    <row r="272" spans="1:11" x14ac:dyDescent="0.2">
      <c r="A272">
        <f t="shared" si="8"/>
        <v>2918420</v>
      </c>
      <c r="B272">
        <v>2021</v>
      </c>
      <c r="C272" t="s">
        <v>739</v>
      </c>
      <c r="D272" t="s">
        <v>740</v>
      </c>
      <c r="E272" t="s">
        <v>743</v>
      </c>
      <c r="F272" s="34">
        <v>47</v>
      </c>
      <c r="G272" s="34" t="s">
        <v>33</v>
      </c>
      <c r="H272" s="36">
        <v>17118</v>
      </c>
      <c r="I272" s="58">
        <v>132295</v>
      </c>
      <c r="J272">
        <f>IFERROR(VLOOKUP(G272,'LEAID Match'!$A$2:$B$526,2,FALSE),"")</f>
        <v>2918420</v>
      </c>
      <c r="K272" s="68">
        <f t="shared" si="9"/>
        <v>8</v>
      </c>
    </row>
    <row r="273" spans="1:11" x14ac:dyDescent="0.2">
      <c r="A273">
        <f t="shared" si="8"/>
        <v>2918420</v>
      </c>
      <c r="B273">
        <v>2022</v>
      </c>
      <c r="C273" t="s">
        <v>739</v>
      </c>
      <c r="D273" t="s">
        <v>740</v>
      </c>
      <c r="E273" t="s">
        <v>743</v>
      </c>
      <c r="F273" s="34">
        <v>47</v>
      </c>
      <c r="G273" s="34" t="s">
        <v>33</v>
      </c>
      <c r="H273" s="36">
        <v>15429</v>
      </c>
      <c r="I273" s="58">
        <v>133144</v>
      </c>
      <c r="J273">
        <f>IFERROR(VLOOKUP(G273,'LEAID Match'!$A$2:$B$526,2,FALSE),"")</f>
        <v>2918420</v>
      </c>
      <c r="K273" s="68">
        <f t="shared" si="9"/>
        <v>8</v>
      </c>
    </row>
    <row r="274" spans="1:11" x14ac:dyDescent="0.2">
      <c r="A274">
        <f t="shared" si="8"/>
        <v>2919350</v>
      </c>
      <c r="B274">
        <v>2015</v>
      </c>
      <c r="C274" t="s">
        <v>739</v>
      </c>
      <c r="D274" t="s">
        <v>740</v>
      </c>
      <c r="E274" t="s">
        <v>743</v>
      </c>
      <c r="F274" s="37">
        <v>48</v>
      </c>
      <c r="G274" s="39" t="s">
        <v>34</v>
      </c>
      <c r="H274" s="40">
        <v>72129</v>
      </c>
      <c r="I274" s="58">
        <v>530110</v>
      </c>
      <c r="J274">
        <f>IFERROR(VLOOKUP(G274,'LEAID Match'!$A$2:$B$526,2,FALSE),"")</f>
        <v>2919350</v>
      </c>
      <c r="K274" s="68">
        <f t="shared" si="9"/>
        <v>8</v>
      </c>
    </row>
    <row r="275" spans="1:11" x14ac:dyDescent="0.2">
      <c r="A275">
        <f t="shared" si="8"/>
        <v>2919350</v>
      </c>
      <c r="B275">
        <v>2016</v>
      </c>
      <c r="C275" t="s">
        <v>739</v>
      </c>
      <c r="D275" t="s">
        <v>740</v>
      </c>
      <c r="E275" t="s">
        <v>743</v>
      </c>
      <c r="F275" s="34">
        <v>48</v>
      </c>
      <c r="G275" s="34" t="s">
        <v>34</v>
      </c>
      <c r="H275" s="36">
        <v>75083</v>
      </c>
      <c r="I275" s="60">
        <v>533105</v>
      </c>
      <c r="J275">
        <f>IFERROR(VLOOKUP(G275,'LEAID Match'!$A$2:$B$526,2,FALSE),"")</f>
        <v>2919350</v>
      </c>
      <c r="K275" s="68">
        <f t="shared" si="9"/>
        <v>8</v>
      </c>
    </row>
    <row r="276" spans="1:11" x14ac:dyDescent="0.2">
      <c r="A276">
        <f t="shared" si="8"/>
        <v>2919350</v>
      </c>
      <c r="B276">
        <v>2017</v>
      </c>
      <c r="C276" t="s">
        <v>739</v>
      </c>
      <c r="D276" t="s">
        <v>740</v>
      </c>
      <c r="E276" t="s">
        <v>743</v>
      </c>
      <c r="F276" s="34">
        <v>48</v>
      </c>
      <c r="G276" s="34" t="s">
        <v>34</v>
      </c>
      <c r="H276" s="36">
        <v>76094</v>
      </c>
      <c r="I276" s="58">
        <v>565277</v>
      </c>
      <c r="J276">
        <f>IFERROR(VLOOKUP(G276,'LEAID Match'!$A$2:$B$526,2,FALSE),"")</f>
        <v>2919350</v>
      </c>
      <c r="K276" s="68">
        <f t="shared" si="9"/>
        <v>8</v>
      </c>
    </row>
    <row r="277" spans="1:11" x14ac:dyDescent="0.2">
      <c r="A277">
        <f t="shared" si="8"/>
        <v>2919350</v>
      </c>
      <c r="B277">
        <v>2018</v>
      </c>
      <c r="C277" t="s">
        <v>739</v>
      </c>
      <c r="D277" t="s">
        <v>740</v>
      </c>
      <c r="E277" t="s">
        <v>743</v>
      </c>
      <c r="F277" s="34">
        <v>48</v>
      </c>
      <c r="G277" s="34" t="s">
        <v>34</v>
      </c>
      <c r="H277" s="36">
        <v>79403</v>
      </c>
      <c r="I277" s="58">
        <v>549532</v>
      </c>
      <c r="J277">
        <f>IFERROR(VLOOKUP(G277,'LEAID Match'!$A$2:$B$526,2,FALSE),"")</f>
        <v>2919350</v>
      </c>
      <c r="K277" s="68">
        <f t="shared" si="9"/>
        <v>8</v>
      </c>
    </row>
    <row r="278" spans="1:11" x14ac:dyDescent="0.2">
      <c r="A278">
        <f t="shared" si="8"/>
        <v>2919350</v>
      </c>
      <c r="B278">
        <v>2019</v>
      </c>
      <c r="C278" t="s">
        <v>739</v>
      </c>
      <c r="D278" t="s">
        <v>740</v>
      </c>
      <c r="E278" t="s">
        <v>743</v>
      </c>
      <c r="F278" s="34">
        <v>48</v>
      </c>
      <c r="G278" s="34" t="s">
        <v>34</v>
      </c>
      <c r="H278" s="36">
        <v>79478</v>
      </c>
      <c r="I278" s="58">
        <v>573288</v>
      </c>
      <c r="J278">
        <f>IFERROR(VLOOKUP(G278,'LEAID Match'!$A$2:$B$526,2,FALSE),"")</f>
        <v>2919350</v>
      </c>
      <c r="K278" s="68">
        <f t="shared" si="9"/>
        <v>8</v>
      </c>
    </row>
    <row r="279" spans="1:11" x14ac:dyDescent="0.2">
      <c r="A279">
        <f t="shared" si="8"/>
        <v>2919350</v>
      </c>
      <c r="B279">
        <v>2020</v>
      </c>
      <c r="C279" t="s">
        <v>739</v>
      </c>
      <c r="D279" t="s">
        <v>740</v>
      </c>
      <c r="E279" t="s">
        <v>743</v>
      </c>
      <c r="F279" s="34">
        <v>48</v>
      </c>
      <c r="G279" s="34" t="s">
        <v>34</v>
      </c>
      <c r="H279" s="36">
        <v>88550</v>
      </c>
      <c r="I279" s="58">
        <v>577977</v>
      </c>
      <c r="J279">
        <f>IFERROR(VLOOKUP(G279,'LEAID Match'!$A$2:$B$526,2,FALSE),"")</f>
        <v>2919350</v>
      </c>
      <c r="K279" s="68">
        <f t="shared" si="9"/>
        <v>8</v>
      </c>
    </row>
    <row r="280" spans="1:11" x14ac:dyDescent="0.2">
      <c r="A280">
        <f t="shared" si="8"/>
        <v>2919350</v>
      </c>
      <c r="B280">
        <v>2021</v>
      </c>
      <c r="C280" t="s">
        <v>739</v>
      </c>
      <c r="D280" t="s">
        <v>740</v>
      </c>
      <c r="E280" t="s">
        <v>743</v>
      </c>
      <c r="F280" s="34">
        <v>48</v>
      </c>
      <c r="G280" s="34" t="s">
        <v>34</v>
      </c>
      <c r="H280" s="36">
        <v>87832</v>
      </c>
      <c r="I280" s="58">
        <v>584824</v>
      </c>
      <c r="J280">
        <f>IFERROR(VLOOKUP(G280,'LEAID Match'!$A$2:$B$526,2,FALSE),"")</f>
        <v>2919350</v>
      </c>
      <c r="K280" s="68">
        <f t="shared" si="9"/>
        <v>8</v>
      </c>
    </row>
    <row r="281" spans="1:11" x14ac:dyDescent="0.2">
      <c r="A281">
        <f t="shared" si="8"/>
        <v>2919350</v>
      </c>
      <c r="B281">
        <v>2022</v>
      </c>
      <c r="C281" t="s">
        <v>739</v>
      </c>
      <c r="D281" t="s">
        <v>740</v>
      </c>
      <c r="E281" t="s">
        <v>743</v>
      </c>
      <c r="F281" s="34">
        <v>48</v>
      </c>
      <c r="G281" s="34" t="s">
        <v>34</v>
      </c>
      <c r="H281" s="36">
        <v>84124</v>
      </c>
      <c r="I281" s="58">
        <v>593278</v>
      </c>
      <c r="J281">
        <f>IFERROR(VLOOKUP(G281,'LEAID Match'!$A$2:$B$526,2,FALSE),"")</f>
        <v>2919350</v>
      </c>
      <c r="K281" s="68">
        <f t="shared" si="9"/>
        <v>8</v>
      </c>
    </row>
    <row r="282" spans="1:11" x14ac:dyDescent="0.2">
      <c r="A282">
        <f t="shared" si="8"/>
        <v>2932490</v>
      </c>
      <c r="B282">
        <v>2015</v>
      </c>
      <c r="C282" t="s">
        <v>739</v>
      </c>
      <c r="D282" t="s">
        <v>740</v>
      </c>
      <c r="E282" t="s">
        <v>743</v>
      </c>
      <c r="F282" s="37">
        <v>49</v>
      </c>
      <c r="G282" s="39" t="s">
        <v>35</v>
      </c>
      <c r="H282" s="40">
        <v>20929</v>
      </c>
      <c r="I282" s="58">
        <v>142286</v>
      </c>
      <c r="J282">
        <f>IFERROR(VLOOKUP(G282,'LEAID Match'!$A$2:$B$526,2,FALSE),"")</f>
        <v>2932490</v>
      </c>
      <c r="K282" s="68">
        <f t="shared" si="9"/>
        <v>8</v>
      </c>
    </row>
    <row r="283" spans="1:11" x14ac:dyDescent="0.2">
      <c r="A283">
        <f t="shared" si="8"/>
        <v>2932490</v>
      </c>
      <c r="B283">
        <v>2016</v>
      </c>
      <c r="C283" t="s">
        <v>739</v>
      </c>
      <c r="D283" t="s">
        <v>740</v>
      </c>
      <c r="E283" t="s">
        <v>743</v>
      </c>
      <c r="F283" s="34">
        <v>49</v>
      </c>
      <c r="G283" s="34" t="s">
        <v>35</v>
      </c>
      <c r="H283" s="36">
        <v>21974</v>
      </c>
      <c r="I283" s="60">
        <v>147824</v>
      </c>
      <c r="J283">
        <f>IFERROR(VLOOKUP(G283,'LEAID Match'!$A$2:$B$526,2,FALSE),"")</f>
        <v>2932490</v>
      </c>
      <c r="K283" s="68">
        <f t="shared" si="9"/>
        <v>8</v>
      </c>
    </row>
    <row r="284" spans="1:11" x14ac:dyDescent="0.2">
      <c r="A284">
        <f t="shared" si="8"/>
        <v>2932490</v>
      </c>
      <c r="B284">
        <v>2017</v>
      </c>
      <c r="C284" t="s">
        <v>739</v>
      </c>
      <c r="D284" t="s">
        <v>740</v>
      </c>
      <c r="E284" t="s">
        <v>743</v>
      </c>
      <c r="F284" s="34">
        <v>49</v>
      </c>
      <c r="G284" s="34" t="s">
        <v>35</v>
      </c>
      <c r="H284" s="36">
        <v>24261</v>
      </c>
      <c r="I284" s="58">
        <v>148686</v>
      </c>
      <c r="J284">
        <f>IFERROR(VLOOKUP(G284,'LEAID Match'!$A$2:$B$526,2,FALSE),"")</f>
        <v>2932490</v>
      </c>
      <c r="K284" s="68">
        <f t="shared" si="9"/>
        <v>8</v>
      </c>
    </row>
    <row r="285" spans="1:11" x14ac:dyDescent="0.2">
      <c r="A285">
        <f t="shared" si="8"/>
        <v>2932490</v>
      </c>
      <c r="B285">
        <v>2018</v>
      </c>
      <c r="C285" t="s">
        <v>739</v>
      </c>
      <c r="D285" t="s">
        <v>740</v>
      </c>
      <c r="E285" t="s">
        <v>743</v>
      </c>
      <c r="F285" s="34">
        <v>49</v>
      </c>
      <c r="G285" s="34" t="s">
        <v>35</v>
      </c>
      <c r="H285" s="36">
        <v>24202</v>
      </c>
      <c r="I285" s="58">
        <v>129641</v>
      </c>
      <c r="J285">
        <f>IFERROR(VLOOKUP(G285,'LEAID Match'!$A$2:$B$526,2,FALSE),"")</f>
        <v>2932490</v>
      </c>
      <c r="K285" s="68">
        <f t="shared" si="9"/>
        <v>8</v>
      </c>
    </row>
    <row r="286" spans="1:11" x14ac:dyDescent="0.2">
      <c r="A286">
        <f t="shared" si="8"/>
        <v>2932490</v>
      </c>
      <c r="B286">
        <v>2019</v>
      </c>
      <c r="C286" t="s">
        <v>739</v>
      </c>
      <c r="D286" t="s">
        <v>740</v>
      </c>
      <c r="E286" t="s">
        <v>743</v>
      </c>
      <c r="F286" s="34">
        <v>49</v>
      </c>
      <c r="G286" s="34" t="s">
        <v>35</v>
      </c>
      <c r="H286" s="36">
        <v>25038</v>
      </c>
      <c r="I286" s="58">
        <v>134086</v>
      </c>
      <c r="J286">
        <f>IFERROR(VLOOKUP(G286,'LEAID Match'!$A$2:$B$526,2,FALSE),"")</f>
        <v>2932490</v>
      </c>
      <c r="K286" s="68">
        <f t="shared" si="9"/>
        <v>8</v>
      </c>
    </row>
    <row r="287" spans="1:11" x14ac:dyDescent="0.2">
      <c r="A287">
        <f t="shared" si="8"/>
        <v>2932490</v>
      </c>
      <c r="B287">
        <v>2020</v>
      </c>
      <c r="C287" t="s">
        <v>739</v>
      </c>
      <c r="D287" t="s">
        <v>740</v>
      </c>
      <c r="E287" t="s">
        <v>743</v>
      </c>
      <c r="F287" s="34">
        <v>49</v>
      </c>
      <c r="G287" s="34" t="s">
        <v>35</v>
      </c>
      <c r="H287" s="36">
        <v>26135</v>
      </c>
      <c r="I287" s="58">
        <v>127072</v>
      </c>
      <c r="J287">
        <f>IFERROR(VLOOKUP(G287,'LEAID Match'!$A$2:$B$526,2,FALSE),"")</f>
        <v>2932490</v>
      </c>
      <c r="K287" s="68">
        <f t="shared" si="9"/>
        <v>8</v>
      </c>
    </row>
    <row r="288" spans="1:11" x14ac:dyDescent="0.2">
      <c r="A288">
        <f t="shared" si="8"/>
        <v>2932490</v>
      </c>
      <c r="B288">
        <v>2021</v>
      </c>
      <c r="C288" t="s">
        <v>739</v>
      </c>
      <c r="D288" t="s">
        <v>740</v>
      </c>
      <c r="E288" t="s">
        <v>743</v>
      </c>
      <c r="F288" s="34">
        <v>49</v>
      </c>
      <c r="G288" s="34" t="s">
        <v>35</v>
      </c>
      <c r="H288" s="36">
        <v>25318</v>
      </c>
      <c r="I288" s="58">
        <v>118106</v>
      </c>
      <c r="J288">
        <f>IFERROR(VLOOKUP(G288,'LEAID Match'!$A$2:$B$526,2,FALSE),"")</f>
        <v>2932490</v>
      </c>
      <c r="K288" s="68">
        <f t="shared" si="9"/>
        <v>8</v>
      </c>
    </row>
    <row r="289" spans="1:11" x14ac:dyDescent="0.2">
      <c r="A289">
        <f t="shared" si="8"/>
        <v>2932490</v>
      </c>
      <c r="B289">
        <v>2022</v>
      </c>
      <c r="C289" t="s">
        <v>739</v>
      </c>
      <c r="D289" t="s">
        <v>740</v>
      </c>
      <c r="E289" t="s">
        <v>743</v>
      </c>
      <c r="F289" s="34">
        <v>49</v>
      </c>
      <c r="G289" s="34" t="s">
        <v>35</v>
      </c>
      <c r="H289" s="36">
        <v>27059</v>
      </c>
      <c r="I289" s="58">
        <v>148109</v>
      </c>
      <c r="J289">
        <f>IFERROR(VLOOKUP(G289,'LEAID Match'!$A$2:$B$526,2,FALSE),"")</f>
        <v>2932490</v>
      </c>
      <c r="K289" s="68">
        <f t="shared" si="9"/>
        <v>8</v>
      </c>
    </row>
    <row r="290" spans="1:11" x14ac:dyDescent="0.2">
      <c r="A290">
        <f t="shared" si="8"/>
        <v>2928560</v>
      </c>
      <c r="B290">
        <v>2015</v>
      </c>
      <c r="C290" t="s">
        <v>739</v>
      </c>
      <c r="D290" t="s">
        <v>740</v>
      </c>
      <c r="E290" t="s">
        <v>743</v>
      </c>
      <c r="F290" s="37">
        <v>50</v>
      </c>
      <c r="G290" s="39" t="s">
        <v>36</v>
      </c>
      <c r="H290" s="40">
        <v>107585</v>
      </c>
      <c r="I290" s="58">
        <v>954856</v>
      </c>
      <c r="J290">
        <f>IFERROR(VLOOKUP(G290,'LEAID Match'!$A$2:$B$526,2,FALSE),"")</f>
        <v>2928560</v>
      </c>
      <c r="K290" s="68">
        <f t="shared" si="9"/>
        <v>8</v>
      </c>
    </row>
    <row r="291" spans="1:11" x14ac:dyDescent="0.2">
      <c r="A291">
        <f t="shared" si="8"/>
        <v>2928560</v>
      </c>
      <c r="B291">
        <v>2016</v>
      </c>
      <c r="C291" t="s">
        <v>739</v>
      </c>
      <c r="D291" t="s">
        <v>740</v>
      </c>
      <c r="E291" t="s">
        <v>743</v>
      </c>
      <c r="F291" s="34">
        <v>50</v>
      </c>
      <c r="G291" s="34" t="s">
        <v>36</v>
      </c>
      <c r="H291" s="36">
        <v>116652</v>
      </c>
      <c r="I291" s="60">
        <v>999573</v>
      </c>
      <c r="J291">
        <f>IFERROR(VLOOKUP(G291,'LEAID Match'!$A$2:$B$526,2,FALSE),"")</f>
        <v>2928560</v>
      </c>
      <c r="K291" s="68">
        <f t="shared" si="9"/>
        <v>8</v>
      </c>
    </row>
    <row r="292" spans="1:11" x14ac:dyDescent="0.2">
      <c r="A292">
        <f t="shared" si="8"/>
        <v>2928560</v>
      </c>
      <c r="B292">
        <v>2017</v>
      </c>
      <c r="C292" t="s">
        <v>739</v>
      </c>
      <c r="D292" t="s">
        <v>740</v>
      </c>
      <c r="E292" t="s">
        <v>743</v>
      </c>
      <c r="F292" s="34">
        <v>50</v>
      </c>
      <c r="G292" s="34" t="s">
        <v>36</v>
      </c>
      <c r="H292" s="36">
        <v>117468</v>
      </c>
      <c r="I292" s="58">
        <v>1065057</v>
      </c>
      <c r="J292">
        <f>IFERROR(VLOOKUP(G292,'LEAID Match'!$A$2:$B$526,2,FALSE),"")</f>
        <v>2928560</v>
      </c>
      <c r="K292" s="68">
        <f t="shared" si="9"/>
        <v>8</v>
      </c>
    </row>
    <row r="293" spans="1:11" x14ac:dyDescent="0.2">
      <c r="A293">
        <f t="shared" si="8"/>
        <v>2928560</v>
      </c>
      <c r="B293">
        <v>2018</v>
      </c>
      <c r="C293" t="s">
        <v>739</v>
      </c>
      <c r="D293" t="s">
        <v>740</v>
      </c>
      <c r="E293" t="s">
        <v>743</v>
      </c>
      <c r="F293" s="34">
        <v>50</v>
      </c>
      <c r="G293" s="34" t="s">
        <v>36</v>
      </c>
      <c r="H293" s="36">
        <v>131325</v>
      </c>
      <c r="I293" s="58">
        <v>1195740</v>
      </c>
      <c r="J293">
        <f>IFERROR(VLOOKUP(G293,'LEAID Match'!$A$2:$B$526,2,FALSE),"")</f>
        <v>2928560</v>
      </c>
      <c r="K293" s="68">
        <f t="shared" si="9"/>
        <v>8</v>
      </c>
    </row>
    <row r="294" spans="1:11" x14ac:dyDescent="0.2">
      <c r="A294">
        <f t="shared" si="8"/>
        <v>2928560</v>
      </c>
      <c r="B294">
        <v>2019</v>
      </c>
      <c r="C294" t="s">
        <v>739</v>
      </c>
      <c r="D294" t="s">
        <v>740</v>
      </c>
      <c r="E294" t="s">
        <v>743</v>
      </c>
      <c r="F294" s="34">
        <v>50</v>
      </c>
      <c r="G294" s="34" t="s">
        <v>36</v>
      </c>
      <c r="H294" s="36">
        <v>144130</v>
      </c>
      <c r="I294" s="58">
        <v>1284452</v>
      </c>
      <c r="J294">
        <f>IFERROR(VLOOKUP(G294,'LEAID Match'!$A$2:$B$526,2,FALSE),"")</f>
        <v>2928560</v>
      </c>
      <c r="K294" s="68">
        <f t="shared" si="9"/>
        <v>8</v>
      </c>
    </row>
    <row r="295" spans="1:11" x14ac:dyDescent="0.2">
      <c r="A295">
        <f t="shared" si="8"/>
        <v>2928560</v>
      </c>
      <c r="B295">
        <v>2020</v>
      </c>
      <c r="C295" t="s">
        <v>739</v>
      </c>
      <c r="D295" t="s">
        <v>740</v>
      </c>
      <c r="E295" t="s">
        <v>743</v>
      </c>
      <c r="F295" s="34">
        <v>50</v>
      </c>
      <c r="G295" s="34" t="s">
        <v>36</v>
      </c>
      <c r="H295" s="36">
        <v>156793</v>
      </c>
      <c r="I295" s="58">
        <v>1294556</v>
      </c>
      <c r="J295">
        <f>IFERROR(VLOOKUP(G295,'LEAID Match'!$A$2:$B$526,2,FALSE),"")</f>
        <v>2928560</v>
      </c>
      <c r="K295" s="68">
        <f t="shared" si="9"/>
        <v>8</v>
      </c>
    </row>
    <row r="296" spans="1:11" x14ac:dyDescent="0.2">
      <c r="A296">
        <f t="shared" si="8"/>
        <v>2928560</v>
      </c>
      <c r="B296">
        <v>2021</v>
      </c>
      <c r="C296" t="s">
        <v>739</v>
      </c>
      <c r="D296" t="s">
        <v>740</v>
      </c>
      <c r="E296" t="s">
        <v>743</v>
      </c>
      <c r="F296" s="34">
        <v>50</v>
      </c>
      <c r="G296" s="34" t="s">
        <v>36</v>
      </c>
      <c r="H296" s="36">
        <v>157707</v>
      </c>
      <c r="I296" s="58">
        <v>1350300</v>
      </c>
      <c r="J296">
        <f>IFERROR(VLOOKUP(G296,'LEAID Match'!$A$2:$B$526,2,FALSE),"")</f>
        <v>2928560</v>
      </c>
      <c r="K296" s="68">
        <f t="shared" si="9"/>
        <v>8</v>
      </c>
    </row>
    <row r="297" spans="1:11" x14ac:dyDescent="0.2">
      <c r="A297">
        <f t="shared" si="8"/>
        <v>2928560</v>
      </c>
      <c r="B297">
        <v>2022</v>
      </c>
      <c r="C297" t="s">
        <v>739</v>
      </c>
      <c r="D297" t="s">
        <v>740</v>
      </c>
      <c r="E297" t="s">
        <v>743</v>
      </c>
      <c r="F297" s="34">
        <v>50</v>
      </c>
      <c r="G297" s="34" t="s">
        <v>36</v>
      </c>
      <c r="H297" s="36">
        <v>181111</v>
      </c>
      <c r="I297" s="58">
        <v>1457140</v>
      </c>
      <c r="J297">
        <f>IFERROR(VLOOKUP(G297,'LEAID Match'!$A$2:$B$526,2,FALSE),"")</f>
        <v>2928560</v>
      </c>
      <c r="K297" s="68">
        <f t="shared" si="9"/>
        <v>8</v>
      </c>
    </row>
    <row r="298" spans="1:11" x14ac:dyDescent="0.2">
      <c r="A298" t="str">
        <f t="shared" si="8"/>
        <v/>
      </c>
      <c r="B298">
        <v>2015</v>
      </c>
      <c r="C298" t="s">
        <v>739</v>
      </c>
      <c r="D298" t="s">
        <v>740</v>
      </c>
      <c r="E298" t="s">
        <v>743</v>
      </c>
      <c r="F298" s="37">
        <v>52</v>
      </c>
      <c r="G298" s="39" t="s">
        <v>37</v>
      </c>
      <c r="H298" s="40">
        <v>103605</v>
      </c>
      <c r="I298" s="58">
        <v>863786</v>
      </c>
      <c r="J298" t="str">
        <f>IFERROR(VLOOKUP(G298,'LEAID Match'!$A$2:$B$526,2,FALSE),"")</f>
        <v/>
      </c>
      <c r="K298" s="68">
        <f t="shared" si="9"/>
        <v>216</v>
      </c>
    </row>
    <row r="299" spans="1:11" x14ac:dyDescent="0.2">
      <c r="A299" t="str">
        <f t="shared" si="8"/>
        <v/>
      </c>
      <c r="B299">
        <v>2016</v>
      </c>
      <c r="C299" t="s">
        <v>739</v>
      </c>
      <c r="D299" t="s">
        <v>740</v>
      </c>
      <c r="E299" t="s">
        <v>743</v>
      </c>
      <c r="F299" s="34">
        <v>52</v>
      </c>
      <c r="G299" s="34" t="s">
        <v>37</v>
      </c>
      <c r="H299" s="36">
        <v>90853</v>
      </c>
      <c r="I299" s="60">
        <v>873559</v>
      </c>
      <c r="J299" t="str">
        <f>IFERROR(VLOOKUP(G299,'LEAID Match'!$A$2:$B$526,2,FALSE),"")</f>
        <v/>
      </c>
      <c r="K299" s="68">
        <f t="shared" si="9"/>
        <v>216</v>
      </c>
    </row>
    <row r="300" spans="1:11" x14ac:dyDescent="0.2">
      <c r="A300" t="str">
        <f t="shared" si="8"/>
        <v/>
      </c>
      <c r="B300">
        <v>2017</v>
      </c>
      <c r="C300" t="s">
        <v>739</v>
      </c>
      <c r="D300" t="s">
        <v>740</v>
      </c>
      <c r="E300" t="s">
        <v>743</v>
      </c>
      <c r="F300" s="34">
        <v>52</v>
      </c>
      <c r="G300" s="34" t="s">
        <v>37</v>
      </c>
      <c r="H300" s="36">
        <v>89451</v>
      </c>
      <c r="I300" s="58">
        <v>837344</v>
      </c>
      <c r="J300" t="str">
        <f>IFERROR(VLOOKUP(G300,'LEAID Match'!$A$2:$B$526,2,FALSE),"")</f>
        <v/>
      </c>
      <c r="K300" s="68">
        <f t="shared" si="9"/>
        <v>216</v>
      </c>
    </row>
    <row r="301" spans="1:11" x14ac:dyDescent="0.2">
      <c r="A301" t="str">
        <f t="shared" si="8"/>
        <v/>
      </c>
      <c r="B301">
        <v>2018</v>
      </c>
      <c r="C301" t="s">
        <v>739</v>
      </c>
      <c r="D301" t="s">
        <v>740</v>
      </c>
      <c r="E301" t="s">
        <v>743</v>
      </c>
      <c r="F301" s="34">
        <v>52</v>
      </c>
      <c r="G301" s="34" t="s">
        <v>37</v>
      </c>
      <c r="H301" s="36">
        <v>90605</v>
      </c>
      <c r="I301" s="58">
        <v>880116</v>
      </c>
      <c r="J301" t="str">
        <f>IFERROR(VLOOKUP(G301,'LEAID Match'!$A$2:$B$526,2,FALSE),"")</f>
        <v/>
      </c>
      <c r="K301" s="68">
        <f t="shared" si="9"/>
        <v>216</v>
      </c>
    </row>
    <row r="302" spans="1:11" x14ac:dyDescent="0.2">
      <c r="A302" t="str">
        <f t="shared" si="8"/>
        <v/>
      </c>
      <c r="B302">
        <v>2019</v>
      </c>
      <c r="C302" t="s">
        <v>739</v>
      </c>
      <c r="D302" t="s">
        <v>740</v>
      </c>
      <c r="E302" t="s">
        <v>743</v>
      </c>
      <c r="F302" s="34">
        <v>52</v>
      </c>
      <c r="G302" s="34" t="s">
        <v>37</v>
      </c>
      <c r="H302" s="36">
        <v>127962</v>
      </c>
      <c r="I302" s="58">
        <v>892520</v>
      </c>
      <c r="J302" t="str">
        <f>IFERROR(VLOOKUP(G302,'LEAID Match'!$A$2:$B$526,2,FALSE),"")</f>
        <v/>
      </c>
      <c r="K302" s="68">
        <f t="shared" si="9"/>
        <v>216</v>
      </c>
    </row>
    <row r="303" spans="1:11" x14ac:dyDescent="0.2">
      <c r="A303" t="str">
        <f t="shared" si="8"/>
        <v/>
      </c>
      <c r="B303">
        <v>2020</v>
      </c>
      <c r="C303" t="s">
        <v>739</v>
      </c>
      <c r="D303" t="s">
        <v>740</v>
      </c>
      <c r="E303" t="s">
        <v>743</v>
      </c>
      <c r="F303" s="34">
        <v>52</v>
      </c>
      <c r="G303" s="34" t="s">
        <v>37</v>
      </c>
      <c r="H303" s="36">
        <v>131149</v>
      </c>
      <c r="I303" s="58">
        <v>925133</v>
      </c>
      <c r="J303" t="str">
        <f>IFERROR(VLOOKUP(G303,'LEAID Match'!$A$2:$B$526,2,FALSE),"")</f>
        <v/>
      </c>
      <c r="K303" s="68">
        <f t="shared" si="9"/>
        <v>216</v>
      </c>
    </row>
    <row r="304" spans="1:11" x14ac:dyDescent="0.2">
      <c r="A304" t="str">
        <f t="shared" si="8"/>
        <v/>
      </c>
      <c r="B304">
        <v>2021</v>
      </c>
      <c r="C304" t="s">
        <v>739</v>
      </c>
      <c r="D304" t="s">
        <v>740</v>
      </c>
      <c r="E304" t="s">
        <v>743</v>
      </c>
      <c r="F304" s="34">
        <v>52</v>
      </c>
      <c r="G304" s="34" t="s">
        <v>37</v>
      </c>
      <c r="H304" s="36">
        <v>140998</v>
      </c>
      <c r="I304" s="58">
        <v>952640</v>
      </c>
      <c r="J304" t="str">
        <f>IFERROR(VLOOKUP(G304,'LEAID Match'!$A$2:$B$526,2,FALSE),"")</f>
        <v/>
      </c>
      <c r="K304" s="68">
        <f t="shared" si="9"/>
        <v>216</v>
      </c>
    </row>
    <row r="305" spans="1:11" x14ac:dyDescent="0.2">
      <c r="A305" t="str">
        <f t="shared" si="8"/>
        <v/>
      </c>
      <c r="B305">
        <v>2022</v>
      </c>
      <c r="C305" t="s">
        <v>739</v>
      </c>
      <c r="D305" t="s">
        <v>740</v>
      </c>
      <c r="E305" t="s">
        <v>743</v>
      </c>
      <c r="F305" s="34">
        <v>52</v>
      </c>
      <c r="G305" s="34" t="s">
        <v>37</v>
      </c>
      <c r="H305" s="36">
        <v>137772</v>
      </c>
      <c r="I305" s="58">
        <v>982695</v>
      </c>
      <c r="J305" t="str">
        <f>IFERROR(VLOOKUP(G305,'LEAID Match'!$A$2:$B$526,2,FALSE),"")</f>
        <v/>
      </c>
      <c r="K305" s="68">
        <f t="shared" si="9"/>
        <v>216</v>
      </c>
    </row>
    <row r="306" spans="1:11" x14ac:dyDescent="0.2">
      <c r="A306">
        <f t="shared" si="8"/>
        <v>2929700</v>
      </c>
      <c r="B306">
        <v>2015</v>
      </c>
      <c r="C306" t="s">
        <v>739</v>
      </c>
      <c r="D306" t="s">
        <v>740</v>
      </c>
      <c r="E306" t="s">
        <v>743</v>
      </c>
      <c r="F306" s="37">
        <v>53</v>
      </c>
      <c r="G306" s="39" t="s">
        <v>38</v>
      </c>
      <c r="H306" s="40">
        <v>55161</v>
      </c>
      <c r="I306" s="58">
        <v>292204</v>
      </c>
      <c r="J306">
        <f>IFERROR(VLOOKUP(G306,'LEAID Match'!$A$2:$B$526,2,FALSE),"")</f>
        <v>2929700</v>
      </c>
      <c r="K306" s="68">
        <f t="shared" si="9"/>
        <v>8</v>
      </c>
    </row>
    <row r="307" spans="1:11" x14ac:dyDescent="0.2">
      <c r="A307">
        <f t="shared" si="8"/>
        <v>2929700</v>
      </c>
      <c r="B307">
        <v>2016</v>
      </c>
      <c r="C307" t="s">
        <v>739</v>
      </c>
      <c r="D307" t="s">
        <v>740</v>
      </c>
      <c r="E307" t="s">
        <v>743</v>
      </c>
      <c r="F307" s="34">
        <v>53</v>
      </c>
      <c r="G307" s="34" t="s">
        <v>38</v>
      </c>
      <c r="H307" s="36">
        <v>59126</v>
      </c>
      <c r="I307" s="60">
        <v>303325</v>
      </c>
      <c r="J307">
        <f>IFERROR(VLOOKUP(G307,'LEAID Match'!$A$2:$B$526,2,FALSE),"")</f>
        <v>2929700</v>
      </c>
      <c r="K307" s="68">
        <f t="shared" si="9"/>
        <v>8</v>
      </c>
    </row>
    <row r="308" spans="1:11" x14ac:dyDescent="0.2">
      <c r="A308">
        <f t="shared" si="8"/>
        <v>2929700</v>
      </c>
      <c r="B308">
        <v>2017</v>
      </c>
      <c r="C308" t="s">
        <v>739</v>
      </c>
      <c r="D308" t="s">
        <v>740</v>
      </c>
      <c r="E308" t="s">
        <v>743</v>
      </c>
      <c r="F308" s="34">
        <v>53</v>
      </c>
      <c r="G308" s="34" t="s">
        <v>38</v>
      </c>
      <c r="H308" s="36">
        <v>58066</v>
      </c>
      <c r="I308" s="58">
        <v>312819</v>
      </c>
      <c r="J308">
        <f>IFERROR(VLOOKUP(G308,'LEAID Match'!$A$2:$B$526,2,FALSE),"")</f>
        <v>2929700</v>
      </c>
      <c r="K308" s="68">
        <f t="shared" si="9"/>
        <v>8</v>
      </c>
    </row>
    <row r="309" spans="1:11" x14ac:dyDescent="0.2">
      <c r="A309">
        <f t="shared" si="8"/>
        <v>2929700</v>
      </c>
      <c r="B309">
        <v>2018</v>
      </c>
      <c r="C309" t="s">
        <v>739</v>
      </c>
      <c r="D309" t="s">
        <v>740</v>
      </c>
      <c r="E309" t="s">
        <v>743</v>
      </c>
      <c r="F309" s="34">
        <v>53</v>
      </c>
      <c r="G309" s="34" t="s">
        <v>38</v>
      </c>
      <c r="H309" s="36">
        <v>61216</v>
      </c>
      <c r="I309" s="58">
        <v>322199</v>
      </c>
      <c r="J309">
        <f>IFERROR(VLOOKUP(G309,'LEAID Match'!$A$2:$B$526,2,FALSE),"")</f>
        <v>2929700</v>
      </c>
      <c r="K309" s="68">
        <f t="shared" si="9"/>
        <v>8</v>
      </c>
    </row>
    <row r="310" spans="1:11" x14ac:dyDescent="0.2">
      <c r="A310">
        <f t="shared" si="8"/>
        <v>2929700</v>
      </c>
      <c r="B310">
        <v>2019</v>
      </c>
      <c r="C310" t="s">
        <v>739</v>
      </c>
      <c r="D310" t="s">
        <v>740</v>
      </c>
      <c r="E310" t="s">
        <v>743</v>
      </c>
      <c r="F310" s="34">
        <v>53</v>
      </c>
      <c r="G310" s="34" t="s">
        <v>38</v>
      </c>
      <c r="H310" s="36">
        <v>56806</v>
      </c>
      <c r="I310" s="58">
        <v>325880</v>
      </c>
      <c r="J310">
        <f>IFERROR(VLOOKUP(G310,'LEAID Match'!$A$2:$B$526,2,FALSE),"")</f>
        <v>2929700</v>
      </c>
      <c r="K310" s="68">
        <f t="shared" si="9"/>
        <v>8</v>
      </c>
    </row>
    <row r="311" spans="1:11" x14ac:dyDescent="0.2">
      <c r="A311">
        <f t="shared" si="8"/>
        <v>2929700</v>
      </c>
      <c r="B311">
        <v>2020</v>
      </c>
      <c r="C311" t="s">
        <v>739</v>
      </c>
      <c r="D311" t="s">
        <v>740</v>
      </c>
      <c r="E311" t="s">
        <v>743</v>
      </c>
      <c r="F311" s="34">
        <v>53</v>
      </c>
      <c r="G311" s="34" t="s">
        <v>38</v>
      </c>
      <c r="H311" s="36">
        <v>50783</v>
      </c>
      <c r="I311" s="58">
        <v>301171</v>
      </c>
      <c r="J311">
        <f>IFERROR(VLOOKUP(G311,'LEAID Match'!$A$2:$B$526,2,FALSE),"")</f>
        <v>2929700</v>
      </c>
      <c r="K311" s="68">
        <f t="shared" si="9"/>
        <v>8</v>
      </c>
    </row>
    <row r="312" spans="1:11" x14ac:dyDescent="0.2">
      <c r="A312">
        <f t="shared" si="8"/>
        <v>2929700</v>
      </c>
      <c r="B312">
        <v>2021</v>
      </c>
      <c r="C312" t="s">
        <v>739</v>
      </c>
      <c r="D312" t="s">
        <v>740</v>
      </c>
      <c r="E312" t="s">
        <v>743</v>
      </c>
      <c r="F312" s="34">
        <v>53</v>
      </c>
      <c r="G312" s="34" t="s">
        <v>38</v>
      </c>
      <c r="H312" s="36">
        <v>56038</v>
      </c>
      <c r="I312" s="58">
        <v>303517</v>
      </c>
      <c r="J312">
        <f>IFERROR(VLOOKUP(G312,'LEAID Match'!$A$2:$B$526,2,FALSE),"")</f>
        <v>2929700</v>
      </c>
      <c r="K312" s="68">
        <f t="shared" si="9"/>
        <v>8</v>
      </c>
    </row>
    <row r="313" spans="1:11" x14ac:dyDescent="0.2">
      <c r="A313">
        <f t="shared" si="8"/>
        <v>2929700</v>
      </c>
      <c r="B313">
        <v>2022</v>
      </c>
      <c r="C313" t="s">
        <v>739</v>
      </c>
      <c r="D313" t="s">
        <v>740</v>
      </c>
      <c r="E313" t="s">
        <v>743</v>
      </c>
      <c r="F313" s="34">
        <v>53</v>
      </c>
      <c r="G313" s="34" t="s">
        <v>38</v>
      </c>
      <c r="H313" s="36">
        <v>46738</v>
      </c>
      <c r="I313" s="58">
        <v>306664</v>
      </c>
      <c r="J313">
        <f>IFERROR(VLOOKUP(G313,'LEAID Match'!$A$2:$B$526,2,FALSE),"")</f>
        <v>2929700</v>
      </c>
      <c r="K313" s="68">
        <f t="shared" si="9"/>
        <v>8</v>
      </c>
    </row>
    <row r="314" spans="1:11" x14ac:dyDescent="0.2">
      <c r="A314">
        <f t="shared" si="8"/>
        <v>2908400</v>
      </c>
      <c r="B314">
        <v>2015</v>
      </c>
      <c r="C314" t="s">
        <v>739</v>
      </c>
      <c r="D314" t="s">
        <v>740</v>
      </c>
      <c r="E314" t="s">
        <v>743</v>
      </c>
      <c r="F314" s="37">
        <v>54</v>
      </c>
      <c r="G314" s="39" t="s">
        <v>39</v>
      </c>
      <c r="H314" s="40">
        <v>78912</v>
      </c>
      <c r="I314" s="58">
        <v>868289</v>
      </c>
      <c r="J314">
        <f>IFERROR(VLOOKUP(G314,'LEAID Match'!$A$2:$B$526,2,FALSE),"")</f>
        <v>2908400</v>
      </c>
      <c r="K314" s="68">
        <f t="shared" si="9"/>
        <v>8</v>
      </c>
    </row>
    <row r="315" spans="1:11" x14ac:dyDescent="0.2">
      <c r="A315">
        <f t="shared" si="8"/>
        <v>2908400</v>
      </c>
      <c r="B315">
        <v>2016</v>
      </c>
      <c r="C315" t="s">
        <v>739</v>
      </c>
      <c r="D315" t="s">
        <v>740</v>
      </c>
      <c r="E315" t="s">
        <v>743</v>
      </c>
      <c r="F315" s="34">
        <v>54</v>
      </c>
      <c r="G315" s="34" t="s">
        <v>39</v>
      </c>
      <c r="H315" s="36">
        <v>82764</v>
      </c>
      <c r="I315" s="60">
        <v>879144</v>
      </c>
      <c r="J315">
        <f>IFERROR(VLOOKUP(G315,'LEAID Match'!$A$2:$B$526,2,FALSE),"")</f>
        <v>2908400</v>
      </c>
      <c r="K315" s="68">
        <f t="shared" si="9"/>
        <v>8</v>
      </c>
    </row>
    <row r="316" spans="1:11" x14ac:dyDescent="0.2">
      <c r="A316">
        <f t="shared" si="8"/>
        <v>2908400</v>
      </c>
      <c r="B316">
        <v>2017</v>
      </c>
      <c r="C316" t="s">
        <v>739</v>
      </c>
      <c r="D316" t="s">
        <v>740</v>
      </c>
      <c r="E316" t="s">
        <v>743</v>
      </c>
      <c r="F316" s="34">
        <v>54</v>
      </c>
      <c r="G316" s="34" t="s">
        <v>39</v>
      </c>
      <c r="H316" s="36">
        <v>90341</v>
      </c>
      <c r="I316" s="58">
        <v>888816</v>
      </c>
      <c r="J316">
        <f>IFERROR(VLOOKUP(G316,'LEAID Match'!$A$2:$B$526,2,FALSE),"")</f>
        <v>2908400</v>
      </c>
      <c r="K316" s="68">
        <f t="shared" si="9"/>
        <v>8</v>
      </c>
    </row>
    <row r="317" spans="1:11" x14ac:dyDescent="0.2">
      <c r="A317">
        <f t="shared" si="8"/>
        <v>2908400</v>
      </c>
      <c r="B317">
        <v>2018</v>
      </c>
      <c r="C317" t="s">
        <v>739</v>
      </c>
      <c r="D317" t="s">
        <v>740</v>
      </c>
      <c r="E317" t="s">
        <v>743</v>
      </c>
      <c r="F317" s="34">
        <v>54</v>
      </c>
      <c r="G317" s="34" t="s">
        <v>39</v>
      </c>
      <c r="H317" s="36">
        <v>97289</v>
      </c>
      <c r="I317" s="58">
        <v>958455</v>
      </c>
      <c r="J317">
        <f>IFERROR(VLOOKUP(G317,'LEAID Match'!$A$2:$B$526,2,FALSE),"")</f>
        <v>2908400</v>
      </c>
      <c r="K317" s="68">
        <f t="shared" si="9"/>
        <v>8</v>
      </c>
    </row>
    <row r="318" spans="1:11" x14ac:dyDescent="0.2">
      <c r="A318">
        <f t="shared" si="8"/>
        <v>2908400</v>
      </c>
      <c r="B318">
        <v>2019</v>
      </c>
      <c r="C318" t="s">
        <v>739</v>
      </c>
      <c r="D318" t="s">
        <v>740</v>
      </c>
      <c r="E318" t="s">
        <v>743</v>
      </c>
      <c r="F318" s="34">
        <v>54</v>
      </c>
      <c r="G318" s="34" t="s">
        <v>39</v>
      </c>
      <c r="H318" s="36">
        <v>95080</v>
      </c>
      <c r="I318" s="58">
        <v>916550</v>
      </c>
      <c r="J318">
        <f>IFERROR(VLOOKUP(G318,'LEAID Match'!$A$2:$B$526,2,FALSE),"")</f>
        <v>2908400</v>
      </c>
      <c r="K318" s="68">
        <f t="shared" si="9"/>
        <v>8</v>
      </c>
    </row>
    <row r="319" spans="1:11" x14ac:dyDescent="0.2">
      <c r="A319">
        <f t="shared" si="8"/>
        <v>2908400</v>
      </c>
      <c r="B319">
        <v>2020</v>
      </c>
      <c r="C319" t="s">
        <v>739</v>
      </c>
      <c r="D319" t="s">
        <v>740</v>
      </c>
      <c r="E319" t="s">
        <v>743</v>
      </c>
      <c r="F319" s="34">
        <v>54</v>
      </c>
      <c r="G319" s="34" t="s">
        <v>39</v>
      </c>
      <c r="H319" s="36">
        <v>89602</v>
      </c>
      <c r="I319" s="58">
        <v>914583</v>
      </c>
      <c r="J319">
        <f>IFERROR(VLOOKUP(G319,'LEAID Match'!$A$2:$B$526,2,FALSE),"")</f>
        <v>2908400</v>
      </c>
      <c r="K319" s="68">
        <f t="shared" si="9"/>
        <v>8</v>
      </c>
    </row>
    <row r="320" spans="1:11" x14ac:dyDescent="0.2">
      <c r="A320">
        <f t="shared" si="8"/>
        <v>2908400</v>
      </c>
      <c r="B320">
        <v>2021</v>
      </c>
      <c r="C320" t="s">
        <v>739</v>
      </c>
      <c r="D320" t="s">
        <v>740</v>
      </c>
      <c r="E320" t="s">
        <v>743</v>
      </c>
      <c r="F320" s="34">
        <v>54</v>
      </c>
      <c r="G320" s="34" t="s">
        <v>39</v>
      </c>
      <c r="H320" s="36">
        <v>85530</v>
      </c>
      <c r="I320" s="58">
        <v>889728</v>
      </c>
      <c r="J320">
        <f>IFERROR(VLOOKUP(G320,'LEAID Match'!$A$2:$B$526,2,FALSE),"")</f>
        <v>2908400</v>
      </c>
      <c r="K320" s="68">
        <f t="shared" si="9"/>
        <v>8</v>
      </c>
    </row>
    <row r="321" spans="1:11" x14ac:dyDescent="0.2">
      <c r="A321">
        <f t="shared" si="8"/>
        <v>2908400</v>
      </c>
      <c r="B321">
        <v>2022</v>
      </c>
      <c r="C321" t="s">
        <v>739</v>
      </c>
      <c r="D321" t="s">
        <v>740</v>
      </c>
      <c r="E321" t="s">
        <v>743</v>
      </c>
      <c r="F321" s="34">
        <v>54</v>
      </c>
      <c r="G321" s="34" t="s">
        <v>39</v>
      </c>
      <c r="H321" s="36">
        <v>94486</v>
      </c>
      <c r="I321" s="58">
        <v>957027</v>
      </c>
      <c r="J321">
        <f>IFERROR(VLOOKUP(G321,'LEAID Match'!$A$2:$B$526,2,FALSE),"")</f>
        <v>2908400</v>
      </c>
      <c r="K321" s="68">
        <f t="shared" si="9"/>
        <v>8</v>
      </c>
    </row>
    <row r="322" spans="1:11" x14ac:dyDescent="0.2">
      <c r="A322">
        <f t="shared" si="8"/>
        <v>2913710</v>
      </c>
      <c r="B322">
        <v>2015</v>
      </c>
      <c r="C322" t="s">
        <v>739</v>
      </c>
      <c r="D322" t="s">
        <v>740</v>
      </c>
      <c r="E322" t="s">
        <v>743</v>
      </c>
      <c r="F322" s="37">
        <v>55</v>
      </c>
      <c r="G322" s="39" t="s">
        <v>40</v>
      </c>
      <c r="H322" s="40">
        <v>33415</v>
      </c>
      <c r="I322" s="58">
        <v>363756</v>
      </c>
      <c r="J322">
        <f>IFERROR(VLOOKUP(G322,'LEAID Match'!$A$2:$B$526,2,FALSE),"")</f>
        <v>2913710</v>
      </c>
      <c r="K322" s="68">
        <f t="shared" si="9"/>
        <v>8</v>
      </c>
    </row>
    <row r="323" spans="1:11" x14ac:dyDescent="0.2">
      <c r="A323">
        <f t="shared" ref="A323:A386" si="10">J323</f>
        <v>2913710</v>
      </c>
      <c r="B323">
        <v>2016</v>
      </c>
      <c r="C323" t="s">
        <v>739</v>
      </c>
      <c r="D323" t="s">
        <v>740</v>
      </c>
      <c r="E323" t="s">
        <v>743</v>
      </c>
      <c r="F323" s="34">
        <v>55</v>
      </c>
      <c r="G323" s="34" t="s">
        <v>40</v>
      </c>
      <c r="H323" s="36">
        <v>33418</v>
      </c>
      <c r="I323" s="60">
        <v>379628</v>
      </c>
      <c r="J323">
        <f>IFERROR(VLOOKUP(G323,'LEAID Match'!$A$2:$B$526,2,FALSE),"")</f>
        <v>2913710</v>
      </c>
      <c r="K323" s="68">
        <f t="shared" ref="K323:K386" si="11">COUNTIF($J$2:$J$4295,J323)</f>
        <v>8</v>
      </c>
    </row>
    <row r="324" spans="1:11" x14ac:dyDescent="0.2">
      <c r="A324">
        <f t="shared" si="10"/>
        <v>2913710</v>
      </c>
      <c r="B324">
        <v>2017</v>
      </c>
      <c r="C324" t="s">
        <v>739</v>
      </c>
      <c r="D324" t="s">
        <v>740</v>
      </c>
      <c r="E324" t="s">
        <v>743</v>
      </c>
      <c r="F324" s="34">
        <v>55</v>
      </c>
      <c r="G324" s="34" t="s">
        <v>40</v>
      </c>
      <c r="H324" s="36">
        <v>35559</v>
      </c>
      <c r="I324" s="58">
        <v>359783</v>
      </c>
      <c r="J324">
        <f>IFERROR(VLOOKUP(G324,'LEAID Match'!$A$2:$B$526,2,FALSE),"")</f>
        <v>2913710</v>
      </c>
      <c r="K324" s="68">
        <f t="shared" si="11"/>
        <v>8</v>
      </c>
    </row>
    <row r="325" spans="1:11" x14ac:dyDescent="0.2">
      <c r="A325">
        <f t="shared" si="10"/>
        <v>2913710</v>
      </c>
      <c r="B325">
        <v>2018</v>
      </c>
      <c r="C325" t="s">
        <v>739</v>
      </c>
      <c r="D325" t="s">
        <v>740</v>
      </c>
      <c r="E325" t="s">
        <v>743</v>
      </c>
      <c r="F325" s="34">
        <v>55</v>
      </c>
      <c r="G325" s="34" t="s">
        <v>40</v>
      </c>
      <c r="H325" s="36">
        <v>40340</v>
      </c>
      <c r="I325" s="58">
        <v>356692</v>
      </c>
      <c r="J325">
        <f>IFERROR(VLOOKUP(G325,'LEAID Match'!$A$2:$B$526,2,FALSE),"")</f>
        <v>2913710</v>
      </c>
      <c r="K325" s="68">
        <f t="shared" si="11"/>
        <v>8</v>
      </c>
    </row>
    <row r="326" spans="1:11" x14ac:dyDescent="0.2">
      <c r="A326">
        <f t="shared" si="10"/>
        <v>2913710</v>
      </c>
      <c r="B326">
        <v>2019</v>
      </c>
      <c r="C326" t="s">
        <v>739</v>
      </c>
      <c r="D326" t="s">
        <v>740</v>
      </c>
      <c r="E326" t="s">
        <v>743</v>
      </c>
      <c r="F326" s="34">
        <v>55</v>
      </c>
      <c r="G326" s="34" t="s">
        <v>40</v>
      </c>
      <c r="H326" s="36">
        <v>43720</v>
      </c>
      <c r="I326" s="58">
        <v>387109</v>
      </c>
      <c r="J326">
        <f>IFERROR(VLOOKUP(G326,'LEAID Match'!$A$2:$B$526,2,FALSE),"")</f>
        <v>2913710</v>
      </c>
      <c r="K326" s="68">
        <f t="shared" si="11"/>
        <v>8</v>
      </c>
    </row>
    <row r="327" spans="1:11" x14ac:dyDescent="0.2">
      <c r="A327">
        <f t="shared" si="10"/>
        <v>2913710</v>
      </c>
      <c r="B327">
        <v>2020</v>
      </c>
      <c r="C327" t="s">
        <v>739</v>
      </c>
      <c r="D327" t="s">
        <v>740</v>
      </c>
      <c r="E327" t="s">
        <v>743</v>
      </c>
      <c r="F327" s="34">
        <v>55</v>
      </c>
      <c r="G327" s="34" t="s">
        <v>40</v>
      </c>
      <c r="H327" s="36">
        <v>46295</v>
      </c>
      <c r="I327" s="58">
        <v>401454</v>
      </c>
      <c r="J327">
        <f>IFERROR(VLOOKUP(G327,'LEAID Match'!$A$2:$B$526,2,FALSE),"")</f>
        <v>2913710</v>
      </c>
      <c r="K327" s="68">
        <f t="shared" si="11"/>
        <v>8</v>
      </c>
    </row>
    <row r="328" spans="1:11" x14ac:dyDescent="0.2">
      <c r="A328">
        <f t="shared" si="10"/>
        <v>2913710</v>
      </c>
      <c r="B328">
        <v>2021</v>
      </c>
      <c r="C328" t="s">
        <v>739</v>
      </c>
      <c r="D328" t="s">
        <v>740</v>
      </c>
      <c r="E328" t="s">
        <v>743</v>
      </c>
      <c r="F328" s="34">
        <v>55</v>
      </c>
      <c r="G328" s="34" t="s">
        <v>40</v>
      </c>
      <c r="H328" s="36">
        <v>46697</v>
      </c>
      <c r="I328" s="58">
        <v>407021</v>
      </c>
      <c r="J328">
        <f>IFERROR(VLOOKUP(G328,'LEAID Match'!$A$2:$B$526,2,FALSE),"")</f>
        <v>2913710</v>
      </c>
      <c r="K328" s="68">
        <f t="shared" si="11"/>
        <v>8</v>
      </c>
    </row>
    <row r="329" spans="1:11" x14ac:dyDescent="0.2">
      <c r="A329">
        <f t="shared" si="10"/>
        <v>2913710</v>
      </c>
      <c r="B329">
        <v>2022</v>
      </c>
      <c r="C329" t="s">
        <v>739</v>
      </c>
      <c r="D329" t="s">
        <v>740</v>
      </c>
      <c r="E329" t="s">
        <v>743</v>
      </c>
      <c r="F329" s="34">
        <v>55</v>
      </c>
      <c r="G329" s="34" t="s">
        <v>40</v>
      </c>
      <c r="H329" s="36">
        <v>53137</v>
      </c>
      <c r="I329" s="58">
        <v>444161</v>
      </c>
      <c r="J329">
        <f>IFERROR(VLOOKUP(G329,'LEAID Match'!$A$2:$B$526,2,FALSE),"")</f>
        <v>2913710</v>
      </c>
      <c r="K329" s="68">
        <f t="shared" si="11"/>
        <v>8</v>
      </c>
    </row>
    <row r="330" spans="1:11" x14ac:dyDescent="0.2">
      <c r="A330">
        <f t="shared" si="10"/>
        <v>2901000</v>
      </c>
      <c r="B330">
        <v>2015</v>
      </c>
      <c r="C330" t="s">
        <v>739</v>
      </c>
      <c r="D330" t="s">
        <v>740</v>
      </c>
      <c r="E330" t="s">
        <v>743</v>
      </c>
      <c r="F330" s="37">
        <v>57</v>
      </c>
      <c r="G330" s="39" t="s">
        <v>41</v>
      </c>
      <c r="H330" s="40">
        <v>2063306</v>
      </c>
      <c r="I330" s="58">
        <v>13507899</v>
      </c>
      <c r="J330">
        <f>IFERROR(VLOOKUP(G330,'LEAID Match'!$A$2:$B$526,2,FALSE),"")</f>
        <v>2901000</v>
      </c>
      <c r="K330" s="68">
        <f t="shared" si="11"/>
        <v>8</v>
      </c>
    </row>
    <row r="331" spans="1:11" x14ac:dyDescent="0.2">
      <c r="A331">
        <f t="shared" si="10"/>
        <v>2901000</v>
      </c>
      <c r="B331">
        <v>2016</v>
      </c>
      <c r="C331" t="s">
        <v>739</v>
      </c>
      <c r="D331" t="s">
        <v>740</v>
      </c>
      <c r="E331" t="s">
        <v>743</v>
      </c>
      <c r="F331" s="34">
        <v>57</v>
      </c>
      <c r="G331" s="34" t="s">
        <v>41</v>
      </c>
      <c r="H331" s="36">
        <v>2142461</v>
      </c>
      <c r="I331" s="60">
        <v>13874329</v>
      </c>
      <c r="J331">
        <f>IFERROR(VLOOKUP(G331,'LEAID Match'!$A$2:$B$526,2,FALSE),"")</f>
        <v>2901000</v>
      </c>
      <c r="K331" s="68">
        <f t="shared" si="11"/>
        <v>8</v>
      </c>
    </row>
    <row r="332" spans="1:11" x14ac:dyDescent="0.2">
      <c r="A332">
        <f t="shared" si="10"/>
        <v>2901000</v>
      </c>
      <c r="B332">
        <v>2017</v>
      </c>
      <c r="C332" t="s">
        <v>739</v>
      </c>
      <c r="D332" t="s">
        <v>740</v>
      </c>
      <c r="E332" t="s">
        <v>743</v>
      </c>
      <c r="F332" s="34">
        <v>57</v>
      </c>
      <c r="G332" s="34" t="s">
        <v>41</v>
      </c>
      <c r="H332" s="36">
        <v>2533135</v>
      </c>
      <c r="I332" s="58">
        <v>15271845</v>
      </c>
      <c r="J332">
        <f>IFERROR(VLOOKUP(G332,'LEAID Match'!$A$2:$B$526,2,FALSE),"")</f>
        <v>2901000</v>
      </c>
      <c r="K332" s="68">
        <f t="shared" si="11"/>
        <v>8</v>
      </c>
    </row>
    <row r="333" spans="1:11" x14ac:dyDescent="0.2">
      <c r="A333">
        <f t="shared" si="10"/>
        <v>2901000</v>
      </c>
      <c r="B333">
        <v>2018</v>
      </c>
      <c r="C333" t="s">
        <v>739</v>
      </c>
      <c r="D333" t="s">
        <v>740</v>
      </c>
      <c r="E333" t="s">
        <v>743</v>
      </c>
      <c r="F333" s="34">
        <v>57</v>
      </c>
      <c r="G333" s="34" t="s">
        <v>41</v>
      </c>
      <c r="H333" s="36">
        <v>2620214</v>
      </c>
      <c r="I333" s="58">
        <v>15660360</v>
      </c>
      <c r="J333">
        <f>IFERROR(VLOOKUP(G333,'LEAID Match'!$A$2:$B$526,2,FALSE),"")</f>
        <v>2901000</v>
      </c>
      <c r="K333" s="68">
        <f t="shared" si="11"/>
        <v>8</v>
      </c>
    </row>
    <row r="334" spans="1:11" x14ac:dyDescent="0.2">
      <c r="A334">
        <f t="shared" si="10"/>
        <v>2901000</v>
      </c>
      <c r="B334">
        <v>2019</v>
      </c>
      <c r="C334" t="s">
        <v>739</v>
      </c>
      <c r="D334" t="s">
        <v>740</v>
      </c>
      <c r="E334" t="s">
        <v>743</v>
      </c>
      <c r="F334" s="34">
        <v>57</v>
      </c>
      <c r="G334" s="34" t="s">
        <v>41</v>
      </c>
      <c r="H334" s="36">
        <v>2775326</v>
      </c>
      <c r="I334" s="58">
        <v>16227615</v>
      </c>
      <c r="J334">
        <f>IFERROR(VLOOKUP(G334,'LEAID Match'!$A$2:$B$526,2,FALSE),"")</f>
        <v>2901000</v>
      </c>
      <c r="K334" s="68">
        <f t="shared" si="11"/>
        <v>8</v>
      </c>
    </row>
    <row r="335" spans="1:11" x14ac:dyDescent="0.2">
      <c r="A335">
        <f t="shared" si="10"/>
        <v>2901000</v>
      </c>
      <c r="B335">
        <v>2020</v>
      </c>
      <c r="C335" t="s">
        <v>739</v>
      </c>
      <c r="D335" t="s">
        <v>740</v>
      </c>
      <c r="E335" t="s">
        <v>743</v>
      </c>
      <c r="F335" s="34">
        <v>57</v>
      </c>
      <c r="G335" s="34" t="s">
        <v>41</v>
      </c>
      <c r="H335" s="36">
        <v>2922462</v>
      </c>
      <c r="I335" s="58">
        <v>16727251</v>
      </c>
      <c r="J335">
        <f>IFERROR(VLOOKUP(G335,'LEAID Match'!$A$2:$B$526,2,FALSE),"")</f>
        <v>2901000</v>
      </c>
      <c r="K335" s="68">
        <f t="shared" si="11"/>
        <v>8</v>
      </c>
    </row>
    <row r="336" spans="1:11" x14ac:dyDescent="0.2">
      <c r="A336">
        <f t="shared" si="10"/>
        <v>2901000</v>
      </c>
      <c r="B336">
        <v>2021</v>
      </c>
      <c r="C336" t="s">
        <v>739</v>
      </c>
      <c r="D336" t="s">
        <v>740</v>
      </c>
      <c r="E336" t="s">
        <v>743</v>
      </c>
      <c r="F336" s="34">
        <v>57</v>
      </c>
      <c r="G336" s="34" t="s">
        <v>41</v>
      </c>
      <c r="H336" s="36">
        <v>3128429</v>
      </c>
      <c r="I336" s="58">
        <v>17396935</v>
      </c>
      <c r="J336">
        <f>IFERROR(VLOOKUP(G336,'LEAID Match'!$A$2:$B$526,2,FALSE),"")</f>
        <v>2901000</v>
      </c>
      <c r="K336" s="68">
        <f t="shared" si="11"/>
        <v>8</v>
      </c>
    </row>
    <row r="337" spans="1:11" x14ac:dyDescent="0.2">
      <c r="A337">
        <f t="shared" si="10"/>
        <v>2901000</v>
      </c>
      <c r="B337">
        <v>2022</v>
      </c>
      <c r="C337" t="s">
        <v>739</v>
      </c>
      <c r="D337" t="s">
        <v>740</v>
      </c>
      <c r="E337" t="s">
        <v>743</v>
      </c>
      <c r="F337" s="34">
        <v>57</v>
      </c>
      <c r="G337" s="34" t="s">
        <v>41</v>
      </c>
      <c r="H337" s="36">
        <v>3352269</v>
      </c>
      <c r="I337" s="58">
        <v>17739470</v>
      </c>
      <c r="J337">
        <f>IFERROR(VLOOKUP(G337,'LEAID Match'!$A$2:$B$526,2,FALSE),"")</f>
        <v>2901000</v>
      </c>
      <c r="K337" s="68">
        <f t="shared" si="11"/>
        <v>8</v>
      </c>
    </row>
    <row r="338" spans="1:11" x14ac:dyDescent="0.2">
      <c r="A338">
        <f t="shared" si="10"/>
        <v>2910590</v>
      </c>
      <c r="B338">
        <v>2015</v>
      </c>
      <c r="C338" t="s">
        <v>739</v>
      </c>
      <c r="D338" t="s">
        <v>740</v>
      </c>
      <c r="E338" t="s">
        <v>743</v>
      </c>
      <c r="F338" s="37">
        <v>63</v>
      </c>
      <c r="G338" s="39" t="s">
        <v>42</v>
      </c>
      <c r="H338" s="40">
        <v>41170</v>
      </c>
      <c r="I338" s="58">
        <v>254866</v>
      </c>
      <c r="J338">
        <f>IFERROR(VLOOKUP(G338,'LEAID Match'!$A$2:$B$526,2,FALSE),"")</f>
        <v>2910590</v>
      </c>
      <c r="K338" s="68">
        <f t="shared" si="11"/>
        <v>8</v>
      </c>
    </row>
    <row r="339" spans="1:11" x14ac:dyDescent="0.2">
      <c r="A339">
        <f t="shared" si="10"/>
        <v>2910590</v>
      </c>
      <c r="B339">
        <v>2016</v>
      </c>
      <c r="C339" t="s">
        <v>739</v>
      </c>
      <c r="D339" t="s">
        <v>740</v>
      </c>
      <c r="E339" t="s">
        <v>743</v>
      </c>
      <c r="F339" s="34">
        <v>63</v>
      </c>
      <c r="G339" s="34" t="s">
        <v>42</v>
      </c>
      <c r="H339" s="36">
        <v>41049</v>
      </c>
      <c r="I339" s="60">
        <v>259782</v>
      </c>
      <c r="J339">
        <f>IFERROR(VLOOKUP(G339,'LEAID Match'!$A$2:$B$526,2,FALSE),"")</f>
        <v>2910590</v>
      </c>
      <c r="K339" s="68">
        <f t="shared" si="11"/>
        <v>8</v>
      </c>
    </row>
    <row r="340" spans="1:11" x14ac:dyDescent="0.2">
      <c r="A340">
        <f t="shared" si="10"/>
        <v>2910590</v>
      </c>
      <c r="B340">
        <v>2017</v>
      </c>
      <c r="C340" t="s">
        <v>739</v>
      </c>
      <c r="D340" t="s">
        <v>740</v>
      </c>
      <c r="E340" t="s">
        <v>743</v>
      </c>
      <c r="F340" s="34">
        <v>63</v>
      </c>
      <c r="G340" s="34" t="s">
        <v>42</v>
      </c>
      <c r="H340" s="36">
        <v>42293</v>
      </c>
      <c r="I340" s="58">
        <v>261335</v>
      </c>
      <c r="J340">
        <f>IFERROR(VLOOKUP(G340,'LEAID Match'!$A$2:$B$526,2,FALSE),"")</f>
        <v>2910590</v>
      </c>
      <c r="K340" s="68">
        <f t="shared" si="11"/>
        <v>8</v>
      </c>
    </row>
    <row r="341" spans="1:11" x14ac:dyDescent="0.2">
      <c r="A341">
        <f t="shared" si="10"/>
        <v>2910590</v>
      </c>
      <c r="B341">
        <v>2018</v>
      </c>
      <c r="C341" t="s">
        <v>739</v>
      </c>
      <c r="D341" t="s">
        <v>740</v>
      </c>
      <c r="E341" t="s">
        <v>743</v>
      </c>
      <c r="F341" s="34">
        <v>63</v>
      </c>
      <c r="G341" s="34" t="s">
        <v>42</v>
      </c>
      <c r="H341" s="36">
        <v>43476</v>
      </c>
      <c r="I341" s="58">
        <v>266187</v>
      </c>
      <c r="J341">
        <f>IFERROR(VLOOKUP(G341,'LEAID Match'!$A$2:$B$526,2,FALSE),"")</f>
        <v>2910590</v>
      </c>
      <c r="K341" s="68">
        <f t="shared" si="11"/>
        <v>8</v>
      </c>
    </row>
    <row r="342" spans="1:11" x14ac:dyDescent="0.2">
      <c r="A342">
        <f t="shared" si="10"/>
        <v>2910590</v>
      </c>
      <c r="B342">
        <v>2019</v>
      </c>
      <c r="C342" t="s">
        <v>739</v>
      </c>
      <c r="D342" t="s">
        <v>740</v>
      </c>
      <c r="E342" t="s">
        <v>743</v>
      </c>
      <c r="F342" s="34">
        <v>63</v>
      </c>
      <c r="G342" s="34" t="s">
        <v>42</v>
      </c>
      <c r="H342" s="36">
        <v>41677</v>
      </c>
      <c r="I342" s="58">
        <v>262739</v>
      </c>
      <c r="J342">
        <f>IFERROR(VLOOKUP(G342,'LEAID Match'!$A$2:$B$526,2,FALSE),"")</f>
        <v>2910590</v>
      </c>
      <c r="K342" s="68">
        <f t="shared" si="11"/>
        <v>8</v>
      </c>
    </row>
    <row r="343" spans="1:11" x14ac:dyDescent="0.2">
      <c r="A343">
        <f t="shared" si="10"/>
        <v>2910590</v>
      </c>
      <c r="B343">
        <v>2020</v>
      </c>
      <c r="C343" t="s">
        <v>739</v>
      </c>
      <c r="D343" t="s">
        <v>740</v>
      </c>
      <c r="E343" t="s">
        <v>743</v>
      </c>
      <c r="F343" s="34">
        <v>63</v>
      </c>
      <c r="G343" s="34" t="s">
        <v>42</v>
      </c>
      <c r="H343" s="36">
        <v>44557</v>
      </c>
      <c r="I343" s="58">
        <v>256763</v>
      </c>
      <c r="J343">
        <f>IFERROR(VLOOKUP(G343,'LEAID Match'!$A$2:$B$526,2,FALSE),"")</f>
        <v>2910590</v>
      </c>
      <c r="K343" s="68">
        <f t="shared" si="11"/>
        <v>8</v>
      </c>
    </row>
    <row r="344" spans="1:11" x14ac:dyDescent="0.2">
      <c r="A344">
        <f t="shared" si="10"/>
        <v>2910590</v>
      </c>
      <c r="B344">
        <v>2021</v>
      </c>
      <c r="C344" t="s">
        <v>739</v>
      </c>
      <c r="D344" t="s">
        <v>740</v>
      </c>
      <c r="E344" t="s">
        <v>743</v>
      </c>
      <c r="F344" s="34">
        <v>63</v>
      </c>
      <c r="G344" s="34" t="s">
        <v>42</v>
      </c>
      <c r="H344" s="36">
        <v>50304</v>
      </c>
      <c r="I344" s="58">
        <v>253877</v>
      </c>
      <c r="J344">
        <f>IFERROR(VLOOKUP(G344,'LEAID Match'!$A$2:$B$526,2,FALSE),"")</f>
        <v>2910590</v>
      </c>
      <c r="K344" s="68">
        <f t="shared" si="11"/>
        <v>8</v>
      </c>
    </row>
    <row r="345" spans="1:11" x14ac:dyDescent="0.2">
      <c r="A345">
        <f t="shared" si="10"/>
        <v>2910590</v>
      </c>
      <c r="B345">
        <v>2022</v>
      </c>
      <c r="C345" t="s">
        <v>739</v>
      </c>
      <c r="D345" t="s">
        <v>740</v>
      </c>
      <c r="E345" t="s">
        <v>743</v>
      </c>
      <c r="F345" s="34">
        <v>63</v>
      </c>
      <c r="G345" s="34" t="s">
        <v>42</v>
      </c>
      <c r="H345" s="36">
        <v>48396</v>
      </c>
      <c r="I345" s="58">
        <v>245352</v>
      </c>
      <c r="J345">
        <f>IFERROR(VLOOKUP(G345,'LEAID Match'!$A$2:$B$526,2,FALSE),"")</f>
        <v>2910590</v>
      </c>
      <c r="K345" s="68">
        <f t="shared" si="11"/>
        <v>8</v>
      </c>
    </row>
    <row r="346" spans="1:11" x14ac:dyDescent="0.2">
      <c r="A346">
        <f t="shared" si="10"/>
        <v>2911940</v>
      </c>
      <c r="B346">
        <v>2015</v>
      </c>
      <c r="C346" t="s">
        <v>739</v>
      </c>
      <c r="D346" t="s">
        <v>740</v>
      </c>
      <c r="E346" t="s">
        <v>743</v>
      </c>
      <c r="F346" s="37">
        <v>64</v>
      </c>
      <c r="G346" s="39" t="s">
        <v>43</v>
      </c>
      <c r="H346" s="40">
        <v>54751</v>
      </c>
      <c r="I346" s="58">
        <v>454148</v>
      </c>
      <c r="J346">
        <f>IFERROR(VLOOKUP(G346,'LEAID Match'!$A$2:$B$526,2,FALSE),"")</f>
        <v>2911940</v>
      </c>
      <c r="K346" s="68">
        <f t="shared" si="11"/>
        <v>8</v>
      </c>
    </row>
    <row r="347" spans="1:11" x14ac:dyDescent="0.2">
      <c r="A347">
        <f t="shared" si="10"/>
        <v>2911940</v>
      </c>
      <c r="B347">
        <v>2016</v>
      </c>
      <c r="C347" t="s">
        <v>739</v>
      </c>
      <c r="D347" t="s">
        <v>740</v>
      </c>
      <c r="E347" t="s">
        <v>743</v>
      </c>
      <c r="F347" s="34">
        <v>64</v>
      </c>
      <c r="G347" s="34" t="s">
        <v>43</v>
      </c>
      <c r="H347" s="36">
        <v>56139</v>
      </c>
      <c r="I347" s="60">
        <v>459925</v>
      </c>
      <c r="J347">
        <f>IFERROR(VLOOKUP(G347,'LEAID Match'!$A$2:$B$526,2,FALSE),"")</f>
        <v>2911940</v>
      </c>
      <c r="K347" s="68">
        <f t="shared" si="11"/>
        <v>8</v>
      </c>
    </row>
    <row r="348" spans="1:11" x14ac:dyDescent="0.2">
      <c r="A348">
        <f t="shared" si="10"/>
        <v>2911940</v>
      </c>
      <c r="B348">
        <v>2017</v>
      </c>
      <c r="C348" t="s">
        <v>739</v>
      </c>
      <c r="D348" t="s">
        <v>740</v>
      </c>
      <c r="E348" t="s">
        <v>743</v>
      </c>
      <c r="F348" s="34">
        <v>64</v>
      </c>
      <c r="G348" s="34" t="s">
        <v>43</v>
      </c>
      <c r="H348" s="36">
        <v>62348</v>
      </c>
      <c r="I348" s="58">
        <v>475525</v>
      </c>
      <c r="J348">
        <f>IFERROR(VLOOKUP(G348,'LEAID Match'!$A$2:$B$526,2,FALSE),"")</f>
        <v>2911940</v>
      </c>
      <c r="K348" s="68">
        <f t="shared" si="11"/>
        <v>8</v>
      </c>
    </row>
    <row r="349" spans="1:11" x14ac:dyDescent="0.2">
      <c r="A349">
        <f t="shared" si="10"/>
        <v>2911940</v>
      </c>
      <c r="B349">
        <v>2018</v>
      </c>
      <c r="C349" t="s">
        <v>739</v>
      </c>
      <c r="D349" t="s">
        <v>740</v>
      </c>
      <c r="E349" t="s">
        <v>743</v>
      </c>
      <c r="F349" s="34">
        <v>64</v>
      </c>
      <c r="G349" s="34" t="s">
        <v>43</v>
      </c>
      <c r="H349" s="36">
        <v>59056</v>
      </c>
      <c r="I349" s="58">
        <v>483236</v>
      </c>
      <c r="J349">
        <f>IFERROR(VLOOKUP(G349,'LEAID Match'!$A$2:$B$526,2,FALSE),"")</f>
        <v>2911940</v>
      </c>
      <c r="K349" s="68">
        <f t="shared" si="11"/>
        <v>8</v>
      </c>
    </row>
    <row r="350" spans="1:11" x14ac:dyDescent="0.2">
      <c r="A350">
        <f t="shared" si="10"/>
        <v>2911940</v>
      </c>
      <c r="B350">
        <v>2019</v>
      </c>
      <c r="C350" t="s">
        <v>739</v>
      </c>
      <c r="D350" t="s">
        <v>740</v>
      </c>
      <c r="E350" t="s">
        <v>743</v>
      </c>
      <c r="F350" s="34">
        <v>64</v>
      </c>
      <c r="G350" s="34" t="s">
        <v>43</v>
      </c>
      <c r="H350" s="36">
        <v>65534</v>
      </c>
      <c r="I350" s="58">
        <v>508528</v>
      </c>
      <c r="J350">
        <f>IFERROR(VLOOKUP(G350,'LEAID Match'!$A$2:$B$526,2,FALSE),"")</f>
        <v>2911940</v>
      </c>
      <c r="K350" s="68">
        <f t="shared" si="11"/>
        <v>8</v>
      </c>
    </row>
    <row r="351" spans="1:11" x14ac:dyDescent="0.2">
      <c r="A351">
        <f t="shared" si="10"/>
        <v>2911940</v>
      </c>
      <c r="B351">
        <v>2020</v>
      </c>
      <c r="C351" t="s">
        <v>739</v>
      </c>
      <c r="D351" t="s">
        <v>740</v>
      </c>
      <c r="E351" t="s">
        <v>743</v>
      </c>
      <c r="F351" s="34">
        <v>64</v>
      </c>
      <c r="G351" s="34" t="s">
        <v>43</v>
      </c>
      <c r="H351" s="36">
        <v>62405</v>
      </c>
      <c r="I351" s="58">
        <v>502477</v>
      </c>
      <c r="J351">
        <f>IFERROR(VLOOKUP(G351,'LEAID Match'!$A$2:$B$526,2,FALSE),"")</f>
        <v>2911940</v>
      </c>
      <c r="K351" s="68">
        <f t="shared" si="11"/>
        <v>8</v>
      </c>
    </row>
    <row r="352" spans="1:11" x14ac:dyDescent="0.2">
      <c r="A352">
        <f t="shared" si="10"/>
        <v>2911940</v>
      </c>
      <c r="B352">
        <v>2021</v>
      </c>
      <c r="C352" t="s">
        <v>739</v>
      </c>
      <c r="D352" t="s">
        <v>740</v>
      </c>
      <c r="E352" t="s">
        <v>743</v>
      </c>
      <c r="F352" s="34">
        <v>64</v>
      </c>
      <c r="G352" s="34" t="s">
        <v>43</v>
      </c>
      <c r="H352" s="36">
        <v>61015</v>
      </c>
      <c r="I352" s="58">
        <v>545688</v>
      </c>
      <c r="J352">
        <f>IFERROR(VLOOKUP(G352,'LEAID Match'!$A$2:$B$526,2,FALSE),"")</f>
        <v>2911940</v>
      </c>
      <c r="K352" s="68">
        <f t="shared" si="11"/>
        <v>8</v>
      </c>
    </row>
    <row r="353" spans="1:11" x14ac:dyDescent="0.2">
      <c r="A353">
        <f t="shared" si="10"/>
        <v>2911940</v>
      </c>
      <c r="B353">
        <v>2022</v>
      </c>
      <c r="C353" t="s">
        <v>739</v>
      </c>
      <c r="D353" t="s">
        <v>740</v>
      </c>
      <c r="E353" t="s">
        <v>743</v>
      </c>
      <c r="F353" s="34">
        <v>64</v>
      </c>
      <c r="G353" s="34" t="s">
        <v>43</v>
      </c>
      <c r="H353" s="36">
        <v>62735</v>
      </c>
      <c r="I353" s="58">
        <v>563287</v>
      </c>
      <c r="J353">
        <f>IFERROR(VLOOKUP(G353,'LEAID Match'!$A$2:$B$526,2,FALSE),"")</f>
        <v>2911940</v>
      </c>
      <c r="K353" s="68">
        <f t="shared" si="11"/>
        <v>8</v>
      </c>
    </row>
    <row r="354" spans="1:11" x14ac:dyDescent="0.2">
      <c r="A354">
        <f t="shared" si="10"/>
        <v>2911250</v>
      </c>
      <c r="B354">
        <v>2015</v>
      </c>
      <c r="C354" t="s">
        <v>739</v>
      </c>
      <c r="D354" t="s">
        <v>740</v>
      </c>
      <c r="E354" t="s">
        <v>743</v>
      </c>
      <c r="F354" s="37">
        <v>65</v>
      </c>
      <c r="G354" s="39" t="s">
        <v>44</v>
      </c>
      <c r="H354" s="40">
        <v>49970</v>
      </c>
      <c r="I354" s="58">
        <v>506011</v>
      </c>
      <c r="J354">
        <f>IFERROR(VLOOKUP(G354,'LEAID Match'!$A$2:$B$526,2,FALSE),"")</f>
        <v>2911250</v>
      </c>
      <c r="K354" s="68">
        <f t="shared" si="11"/>
        <v>8</v>
      </c>
    </row>
    <row r="355" spans="1:11" x14ac:dyDescent="0.2">
      <c r="A355">
        <f t="shared" si="10"/>
        <v>2911250</v>
      </c>
      <c r="B355">
        <v>2016</v>
      </c>
      <c r="C355" t="s">
        <v>739</v>
      </c>
      <c r="D355" t="s">
        <v>740</v>
      </c>
      <c r="E355" t="s">
        <v>743</v>
      </c>
      <c r="F355" s="34">
        <v>65</v>
      </c>
      <c r="G355" s="34" t="s">
        <v>44</v>
      </c>
      <c r="H355" s="36">
        <v>55572</v>
      </c>
      <c r="I355" s="60">
        <v>520966</v>
      </c>
      <c r="J355">
        <f>IFERROR(VLOOKUP(G355,'LEAID Match'!$A$2:$B$526,2,FALSE),"")</f>
        <v>2911250</v>
      </c>
      <c r="K355" s="68">
        <f t="shared" si="11"/>
        <v>8</v>
      </c>
    </row>
    <row r="356" spans="1:11" x14ac:dyDescent="0.2">
      <c r="A356">
        <f t="shared" si="10"/>
        <v>2911250</v>
      </c>
      <c r="B356">
        <v>2017</v>
      </c>
      <c r="C356" t="s">
        <v>739</v>
      </c>
      <c r="D356" t="s">
        <v>740</v>
      </c>
      <c r="E356" t="s">
        <v>743</v>
      </c>
      <c r="F356" s="34">
        <v>65</v>
      </c>
      <c r="G356" s="34" t="s">
        <v>44</v>
      </c>
      <c r="H356" s="36">
        <v>59038</v>
      </c>
      <c r="I356" s="58">
        <v>532407</v>
      </c>
      <c r="J356">
        <f>IFERROR(VLOOKUP(G356,'LEAID Match'!$A$2:$B$526,2,FALSE),"")</f>
        <v>2911250</v>
      </c>
      <c r="K356" s="68">
        <f t="shared" si="11"/>
        <v>8</v>
      </c>
    </row>
    <row r="357" spans="1:11" x14ac:dyDescent="0.2">
      <c r="A357">
        <f t="shared" si="10"/>
        <v>2911250</v>
      </c>
      <c r="B357">
        <v>2018</v>
      </c>
      <c r="C357" t="s">
        <v>739</v>
      </c>
      <c r="D357" t="s">
        <v>740</v>
      </c>
      <c r="E357" t="s">
        <v>743</v>
      </c>
      <c r="F357" s="34">
        <v>65</v>
      </c>
      <c r="G357" s="34" t="s">
        <v>44</v>
      </c>
      <c r="H357" s="36">
        <v>55774</v>
      </c>
      <c r="I357" s="58">
        <v>519363</v>
      </c>
      <c r="J357">
        <f>IFERROR(VLOOKUP(G357,'LEAID Match'!$A$2:$B$526,2,FALSE),"")</f>
        <v>2911250</v>
      </c>
      <c r="K357" s="68">
        <f t="shared" si="11"/>
        <v>8</v>
      </c>
    </row>
    <row r="358" spans="1:11" x14ac:dyDescent="0.2">
      <c r="A358">
        <f t="shared" si="10"/>
        <v>2911250</v>
      </c>
      <c r="B358">
        <v>2019</v>
      </c>
      <c r="C358" t="s">
        <v>739</v>
      </c>
      <c r="D358" t="s">
        <v>740</v>
      </c>
      <c r="E358" t="s">
        <v>743</v>
      </c>
      <c r="F358" s="34">
        <v>65</v>
      </c>
      <c r="G358" s="34" t="s">
        <v>44</v>
      </c>
      <c r="H358" s="36">
        <v>57118</v>
      </c>
      <c r="I358" s="58">
        <v>499246</v>
      </c>
      <c r="J358">
        <f>IFERROR(VLOOKUP(G358,'LEAID Match'!$A$2:$B$526,2,FALSE),"")</f>
        <v>2911250</v>
      </c>
      <c r="K358" s="68">
        <f t="shared" si="11"/>
        <v>8</v>
      </c>
    </row>
    <row r="359" spans="1:11" x14ac:dyDescent="0.2">
      <c r="A359">
        <f t="shared" si="10"/>
        <v>2911250</v>
      </c>
      <c r="B359">
        <v>2020</v>
      </c>
      <c r="C359" t="s">
        <v>739</v>
      </c>
      <c r="D359" t="s">
        <v>740</v>
      </c>
      <c r="E359" t="s">
        <v>743</v>
      </c>
      <c r="F359" s="34">
        <v>65</v>
      </c>
      <c r="G359" s="34" t="s">
        <v>44</v>
      </c>
      <c r="H359" s="36">
        <v>54981</v>
      </c>
      <c r="I359" s="58">
        <v>525006</v>
      </c>
      <c r="J359">
        <f>IFERROR(VLOOKUP(G359,'LEAID Match'!$A$2:$B$526,2,FALSE),"")</f>
        <v>2911250</v>
      </c>
      <c r="K359" s="68">
        <f t="shared" si="11"/>
        <v>8</v>
      </c>
    </row>
    <row r="360" spans="1:11" x14ac:dyDescent="0.2">
      <c r="A360">
        <f t="shared" si="10"/>
        <v>2911250</v>
      </c>
      <c r="B360">
        <v>2021</v>
      </c>
      <c r="C360" t="s">
        <v>739</v>
      </c>
      <c r="D360" t="s">
        <v>740</v>
      </c>
      <c r="E360" t="s">
        <v>743</v>
      </c>
      <c r="F360" s="34">
        <v>65</v>
      </c>
      <c r="G360" s="34" t="s">
        <v>44</v>
      </c>
      <c r="H360" s="36">
        <v>62183</v>
      </c>
      <c r="I360" s="58">
        <v>538441</v>
      </c>
      <c r="J360">
        <f>IFERROR(VLOOKUP(G360,'LEAID Match'!$A$2:$B$526,2,FALSE),"")</f>
        <v>2911250</v>
      </c>
      <c r="K360" s="68">
        <f t="shared" si="11"/>
        <v>8</v>
      </c>
    </row>
    <row r="361" spans="1:11" x14ac:dyDescent="0.2">
      <c r="A361">
        <f t="shared" si="10"/>
        <v>2911250</v>
      </c>
      <c r="B361">
        <v>2022</v>
      </c>
      <c r="C361" t="s">
        <v>739</v>
      </c>
      <c r="D361" t="s">
        <v>740</v>
      </c>
      <c r="E361" t="s">
        <v>743</v>
      </c>
      <c r="F361" s="34">
        <v>65</v>
      </c>
      <c r="G361" s="34" t="s">
        <v>44</v>
      </c>
      <c r="H361" s="36">
        <v>66017</v>
      </c>
      <c r="I361" s="58">
        <v>567307</v>
      </c>
      <c r="J361">
        <f>IFERROR(VLOOKUP(G361,'LEAID Match'!$A$2:$B$526,2,FALSE),"")</f>
        <v>2911250</v>
      </c>
      <c r="K361" s="68">
        <f t="shared" si="11"/>
        <v>8</v>
      </c>
    </row>
    <row r="362" spans="1:11" x14ac:dyDescent="0.2">
      <c r="A362">
        <f t="shared" si="10"/>
        <v>2927060</v>
      </c>
      <c r="B362">
        <v>2015</v>
      </c>
      <c r="C362" t="s">
        <v>739</v>
      </c>
      <c r="D362" t="s">
        <v>740</v>
      </c>
      <c r="E362" t="s">
        <v>743</v>
      </c>
      <c r="F362" s="37">
        <v>66</v>
      </c>
      <c r="G362" s="39" t="s">
        <v>45</v>
      </c>
      <c r="H362" s="40">
        <v>1468891</v>
      </c>
      <c r="I362" s="58">
        <v>8223364</v>
      </c>
      <c r="J362">
        <f>IFERROR(VLOOKUP(G362,'LEAID Match'!$A$2:$B$526,2,FALSE),"")</f>
        <v>2927060</v>
      </c>
      <c r="K362" s="68">
        <f t="shared" si="11"/>
        <v>8</v>
      </c>
    </row>
    <row r="363" spans="1:11" x14ac:dyDescent="0.2">
      <c r="A363">
        <f t="shared" si="10"/>
        <v>2927060</v>
      </c>
      <c r="B363">
        <v>2016</v>
      </c>
      <c r="C363" t="s">
        <v>739</v>
      </c>
      <c r="D363" t="s">
        <v>740</v>
      </c>
      <c r="E363" t="s">
        <v>743</v>
      </c>
      <c r="F363" s="34">
        <v>66</v>
      </c>
      <c r="G363" s="34" t="s">
        <v>45</v>
      </c>
      <c r="H363" s="36">
        <v>1527584</v>
      </c>
      <c r="I363" s="60">
        <v>8297465</v>
      </c>
      <c r="J363">
        <f>IFERROR(VLOOKUP(G363,'LEAID Match'!$A$2:$B$526,2,FALSE),"")</f>
        <v>2927060</v>
      </c>
      <c r="K363" s="68">
        <f t="shared" si="11"/>
        <v>8</v>
      </c>
    </row>
    <row r="364" spans="1:11" x14ac:dyDescent="0.2">
      <c r="A364">
        <f t="shared" si="10"/>
        <v>2927060</v>
      </c>
      <c r="B364">
        <v>2017</v>
      </c>
      <c r="C364" t="s">
        <v>739</v>
      </c>
      <c r="D364" t="s">
        <v>740</v>
      </c>
      <c r="E364" t="s">
        <v>743</v>
      </c>
      <c r="F364" s="34">
        <v>66</v>
      </c>
      <c r="G364" s="34" t="s">
        <v>45</v>
      </c>
      <c r="H364" s="36">
        <v>1588123</v>
      </c>
      <c r="I364" s="58">
        <v>8673782</v>
      </c>
      <c r="J364">
        <f>IFERROR(VLOOKUP(G364,'LEAID Match'!$A$2:$B$526,2,FALSE),"")</f>
        <v>2927060</v>
      </c>
      <c r="K364" s="68">
        <f t="shared" si="11"/>
        <v>8</v>
      </c>
    </row>
    <row r="365" spans="1:11" x14ac:dyDescent="0.2">
      <c r="A365">
        <f t="shared" si="10"/>
        <v>2927060</v>
      </c>
      <c r="B365">
        <v>2018</v>
      </c>
      <c r="C365" t="s">
        <v>739</v>
      </c>
      <c r="D365" t="s">
        <v>740</v>
      </c>
      <c r="E365" t="s">
        <v>743</v>
      </c>
      <c r="F365" s="34">
        <v>66</v>
      </c>
      <c r="G365" s="34" t="s">
        <v>45</v>
      </c>
      <c r="H365" s="36">
        <v>1626948</v>
      </c>
      <c r="I365" s="58">
        <v>8658685</v>
      </c>
      <c r="J365">
        <f>IFERROR(VLOOKUP(G365,'LEAID Match'!$A$2:$B$526,2,FALSE),"")</f>
        <v>2927060</v>
      </c>
      <c r="K365" s="68">
        <f t="shared" si="11"/>
        <v>8</v>
      </c>
    </row>
    <row r="366" spans="1:11" x14ac:dyDescent="0.2">
      <c r="A366">
        <f t="shared" si="10"/>
        <v>2927060</v>
      </c>
      <c r="B366">
        <v>2019</v>
      </c>
      <c r="C366" t="s">
        <v>739</v>
      </c>
      <c r="D366" t="s">
        <v>740</v>
      </c>
      <c r="E366" t="s">
        <v>743</v>
      </c>
      <c r="F366" s="34">
        <v>66</v>
      </c>
      <c r="G366" s="34" t="s">
        <v>45</v>
      </c>
      <c r="H366" s="36">
        <v>1544272</v>
      </c>
      <c r="I366" s="58">
        <v>7874655</v>
      </c>
      <c r="J366">
        <f>IFERROR(VLOOKUP(G366,'LEAID Match'!$A$2:$B$526,2,FALSE),"")</f>
        <v>2927060</v>
      </c>
      <c r="K366" s="68">
        <f t="shared" si="11"/>
        <v>8</v>
      </c>
    </row>
    <row r="367" spans="1:11" x14ac:dyDescent="0.2">
      <c r="A367">
        <f t="shared" si="10"/>
        <v>2927060</v>
      </c>
      <c r="B367">
        <v>2020</v>
      </c>
      <c r="C367" t="s">
        <v>739</v>
      </c>
      <c r="D367" t="s">
        <v>740</v>
      </c>
      <c r="E367" t="s">
        <v>743</v>
      </c>
      <c r="F367" s="34">
        <v>66</v>
      </c>
      <c r="G367" s="34" t="s">
        <v>45</v>
      </c>
      <c r="H367" s="36">
        <v>1570848</v>
      </c>
      <c r="I367" s="58">
        <v>8089708</v>
      </c>
      <c r="J367">
        <f>IFERROR(VLOOKUP(G367,'LEAID Match'!$A$2:$B$526,2,FALSE),"")</f>
        <v>2927060</v>
      </c>
      <c r="K367" s="68">
        <f t="shared" si="11"/>
        <v>8</v>
      </c>
    </row>
    <row r="368" spans="1:11" x14ac:dyDescent="0.2">
      <c r="A368">
        <f t="shared" si="10"/>
        <v>2927060</v>
      </c>
      <c r="B368">
        <v>2021</v>
      </c>
      <c r="C368" t="s">
        <v>739</v>
      </c>
      <c r="D368" t="s">
        <v>740</v>
      </c>
      <c r="E368" t="s">
        <v>743</v>
      </c>
      <c r="F368" s="34">
        <v>66</v>
      </c>
      <c r="G368" s="34" t="s">
        <v>45</v>
      </c>
      <c r="H368" s="36">
        <v>1528193</v>
      </c>
      <c r="I368" s="58">
        <v>8361615</v>
      </c>
      <c r="J368">
        <f>IFERROR(VLOOKUP(G368,'LEAID Match'!$A$2:$B$526,2,FALSE),"")</f>
        <v>2927060</v>
      </c>
      <c r="K368" s="68">
        <f t="shared" si="11"/>
        <v>8</v>
      </c>
    </row>
    <row r="369" spans="1:11" x14ac:dyDescent="0.2">
      <c r="A369">
        <f t="shared" si="10"/>
        <v>2927060</v>
      </c>
      <c r="B369">
        <v>2022</v>
      </c>
      <c r="C369" t="s">
        <v>739</v>
      </c>
      <c r="D369" t="s">
        <v>740</v>
      </c>
      <c r="E369" t="s">
        <v>743</v>
      </c>
      <c r="F369" s="34">
        <v>66</v>
      </c>
      <c r="G369" s="34" t="s">
        <v>45</v>
      </c>
      <c r="H369" s="36">
        <v>1585247</v>
      </c>
      <c r="I369" s="58">
        <v>8298916</v>
      </c>
      <c r="J369">
        <f>IFERROR(VLOOKUP(G369,'LEAID Match'!$A$2:$B$526,2,FALSE),"")</f>
        <v>2927060</v>
      </c>
      <c r="K369" s="68">
        <f t="shared" si="11"/>
        <v>8</v>
      </c>
    </row>
    <row r="370" spans="1:11" x14ac:dyDescent="0.2">
      <c r="A370">
        <f t="shared" si="10"/>
        <v>2925450</v>
      </c>
      <c r="B370">
        <v>2015</v>
      </c>
      <c r="C370" t="s">
        <v>739</v>
      </c>
      <c r="D370" t="s">
        <v>740</v>
      </c>
      <c r="E370" t="s">
        <v>743</v>
      </c>
      <c r="F370" s="37">
        <v>67</v>
      </c>
      <c r="G370" s="34" t="s">
        <v>546</v>
      </c>
      <c r="H370" s="40">
        <v>424424</v>
      </c>
      <c r="I370" s="58">
        <v>3079955</v>
      </c>
      <c r="J370">
        <f>IFERROR(VLOOKUP(G370,'LEAID Match'!$A$2:$B$526,2,FALSE),"")</f>
        <v>2925450</v>
      </c>
      <c r="K370" s="68">
        <f t="shared" si="11"/>
        <v>8</v>
      </c>
    </row>
    <row r="371" spans="1:11" x14ac:dyDescent="0.2">
      <c r="A371">
        <f t="shared" si="10"/>
        <v>2925450</v>
      </c>
      <c r="B371">
        <v>2016</v>
      </c>
      <c r="C371" t="s">
        <v>739</v>
      </c>
      <c r="D371" t="s">
        <v>740</v>
      </c>
      <c r="E371" t="s">
        <v>743</v>
      </c>
      <c r="F371" s="34">
        <v>67</v>
      </c>
      <c r="G371" s="34" t="s">
        <v>546</v>
      </c>
      <c r="H371" s="36">
        <v>463057</v>
      </c>
      <c r="I371" s="60">
        <v>3155808</v>
      </c>
      <c r="J371">
        <f>IFERROR(VLOOKUP(G371,'LEAID Match'!$A$2:$B$526,2,FALSE),"")</f>
        <v>2925450</v>
      </c>
      <c r="K371" s="68">
        <f t="shared" si="11"/>
        <v>8</v>
      </c>
    </row>
    <row r="372" spans="1:11" x14ac:dyDescent="0.2">
      <c r="A372">
        <f t="shared" si="10"/>
        <v>2925450</v>
      </c>
      <c r="B372">
        <v>2017</v>
      </c>
      <c r="C372" t="s">
        <v>739</v>
      </c>
      <c r="D372" t="s">
        <v>740</v>
      </c>
      <c r="E372" t="s">
        <v>743</v>
      </c>
      <c r="F372" s="34">
        <v>67</v>
      </c>
      <c r="G372" s="34" t="s">
        <v>546</v>
      </c>
      <c r="H372" s="36">
        <v>536527</v>
      </c>
      <c r="I372" s="58">
        <v>3275400</v>
      </c>
      <c r="J372">
        <f>IFERROR(VLOOKUP(G372,'LEAID Match'!$A$2:$B$526,2,FALSE),"")</f>
        <v>2925450</v>
      </c>
      <c r="K372" s="68">
        <f t="shared" si="11"/>
        <v>8</v>
      </c>
    </row>
    <row r="373" spans="1:11" x14ac:dyDescent="0.2">
      <c r="A373">
        <f t="shared" si="10"/>
        <v>2925450</v>
      </c>
      <c r="B373">
        <v>2018</v>
      </c>
      <c r="C373" t="s">
        <v>739</v>
      </c>
      <c r="D373" t="s">
        <v>740</v>
      </c>
      <c r="E373" t="s">
        <v>743</v>
      </c>
      <c r="F373" s="34">
        <v>67</v>
      </c>
      <c r="G373" s="34" t="s">
        <v>546</v>
      </c>
      <c r="H373" s="36">
        <v>557902</v>
      </c>
      <c r="I373" s="58">
        <v>3245858</v>
      </c>
      <c r="J373">
        <f>IFERROR(VLOOKUP(G373,'LEAID Match'!$A$2:$B$526,2,FALSE),"")</f>
        <v>2925450</v>
      </c>
      <c r="K373" s="68">
        <f t="shared" si="11"/>
        <v>8</v>
      </c>
    </row>
    <row r="374" spans="1:11" x14ac:dyDescent="0.2">
      <c r="A374">
        <f t="shared" si="10"/>
        <v>2925450</v>
      </c>
      <c r="B374">
        <v>2019</v>
      </c>
      <c r="C374" t="s">
        <v>739</v>
      </c>
      <c r="D374" t="s">
        <v>740</v>
      </c>
      <c r="E374" t="s">
        <v>743</v>
      </c>
      <c r="F374" s="34">
        <v>67</v>
      </c>
      <c r="G374" s="34" t="s">
        <v>546</v>
      </c>
      <c r="H374" s="36">
        <v>580103</v>
      </c>
      <c r="I374" s="58">
        <v>3352760</v>
      </c>
      <c r="J374">
        <f>IFERROR(VLOOKUP(G374,'LEAID Match'!$A$2:$B$526,2,FALSE),"")</f>
        <v>2925450</v>
      </c>
      <c r="K374" s="68">
        <f t="shared" si="11"/>
        <v>8</v>
      </c>
    </row>
    <row r="375" spans="1:11" x14ac:dyDescent="0.2">
      <c r="A375">
        <f t="shared" si="10"/>
        <v>2925450</v>
      </c>
      <c r="B375">
        <v>2020</v>
      </c>
      <c r="C375" t="s">
        <v>739</v>
      </c>
      <c r="D375" t="s">
        <v>740</v>
      </c>
      <c r="E375" t="s">
        <v>743</v>
      </c>
      <c r="F375" s="34">
        <v>67</v>
      </c>
      <c r="G375" s="34" t="s">
        <v>546</v>
      </c>
      <c r="H375" s="36">
        <v>632171</v>
      </c>
      <c r="I375" s="58">
        <v>3377904</v>
      </c>
      <c r="J375">
        <f>IFERROR(VLOOKUP(G375,'LEAID Match'!$A$2:$B$526,2,FALSE),"")</f>
        <v>2925450</v>
      </c>
      <c r="K375" s="68">
        <f t="shared" si="11"/>
        <v>8</v>
      </c>
    </row>
    <row r="376" spans="1:11" x14ac:dyDescent="0.2">
      <c r="A376">
        <f t="shared" si="10"/>
        <v>2925450</v>
      </c>
      <c r="B376">
        <v>2021</v>
      </c>
      <c r="C376" t="s">
        <v>739</v>
      </c>
      <c r="D376" t="s">
        <v>740</v>
      </c>
      <c r="E376" t="s">
        <v>743</v>
      </c>
      <c r="F376" s="34">
        <v>67</v>
      </c>
      <c r="G376" s="34" t="s">
        <v>546</v>
      </c>
      <c r="H376" s="36">
        <v>630172</v>
      </c>
      <c r="I376" s="58">
        <v>3494308</v>
      </c>
      <c r="J376">
        <f>IFERROR(VLOOKUP(G376,'LEAID Match'!$A$2:$B$526,2,FALSE),"")</f>
        <v>2925450</v>
      </c>
      <c r="K376" s="68">
        <f t="shared" si="11"/>
        <v>8</v>
      </c>
    </row>
    <row r="377" spans="1:11" x14ac:dyDescent="0.2">
      <c r="A377">
        <f t="shared" si="10"/>
        <v>2925450</v>
      </c>
      <c r="B377">
        <v>2022</v>
      </c>
      <c r="C377" t="s">
        <v>739</v>
      </c>
      <c r="D377" t="s">
        <v>740</v>
      </c>
      <c r="E377" t="s">
        <v>743</v>
      </c>
      <c r="F377" s="34">
        <v>67</v>
      </c>
      <c r="G377" s="34" t="s">
        <v>546</v>
      </c>
      <c r="H377" s="36">
        <v>691839</v>
      </c>
      <c r="I377" s="58">
        <v>3729001</v>
      </c>
      <c r="J377">
        <f>IFERROR(VLOOKUP(G377,'LEAID Match'!$A$2:$B$526,2,FALSE),"")</f>
        <v>2925450</v>
      </c>
      <c r="K377" s="68">
        <f t="shared" si="11"/>
        <v>8</v>
      </c>
    </row>
    <row r="378" spans="1:11" x14ac:dyDescent="0.2">
      <c r="A378">
        <f t="shared" si="10"/>
        <v>2921750</v>
      </c>
      <c r="B378">
        <v>2015</v>
      </c>
      <c r="C378" t="s">
        <v>739</v>
      </c>
      <c r="D378" t="s">
        <v>740</v>
      </c>
      <c r="E378" t="s">
        <v>743</v>
      </c>
      <c r="F378" s="37">
        <v>68</v>
      </c>
      <c r="G378" s="39" t="s">
        <v>47</v>
      </c>
      <c r="H378" s="40">
        <v>50135</v>
      </c>
      <c r="I378" s="58">
        <v>403620</v>
      </c>
      <c r="J378">
        <f>IFERROR(VLOOKUP(G378,'LEAID Match'!$A$2:$B$526,2,FALSE),"")</f>
        <v>2921750</v>
      </c>
      <c r="K378" s="68">
        <f t="shared" si="11"/>
        <v>8</v>
      </c>
    </row>
    <row r="379" spans="1:11" x14ac:dyDescent="0.2">
      <c r="A379">
        <f t="shared" si="10"/>
        <v>2921750</v>
      </c>
      <c r="B379">
        <v>2016</v>
      </c>
      <c r="C379" t="s">
        <v>739</v>
      </c>
      <c r="D379" t="s">
        <v>740</v>
      </c>
      <c r="E379" t="s">
        <v>743</v>
      </c>
      <c r="F379" s="34">
        <v>68</v>
      </c>
      <c r="G379" s="34" t="s">
        <v>47</v>
      </c>
      <c r="H379" s="36">
        <v>50201</v>
      </c>
      <c r="I379" s="60">
        <v>423466</v>
      </c>
      <c r="J379">
        <f>IFERROR(VLOOKUP(G379,'LEAID Match'!$A$2:$B$526,2,FALSE),"")</f>
        <v>2921750</v>
      </c>
      <c r="K379" s="68">
        <f t="shared" si="11"/>
        <v>8</v>
      </c>
    </row>
    <row r="380" spans="1:11" x14ac:dyDescent="0.2">
      <c r="A380">
        <f t="shared" si="10"/>
        <v>2921750</v>
      </c>
      <c r="B380">
        <v>2017</v>
      </c>
      <c r="C380" t="s">
        <v>739</v>
      </c>
      <c r="D380" t="s">
        <v>740</v>
      </c>
      <c r="E380" t="s">
        <v>743</v>
      </c>
      <c r="F380" s="34">
        <v>68</v>
      </c>
      <c r="G380" s="34" t="s">
        <v>47</v>
      </c>
      <c r="H380" s="36">
        <v>54256</v>
      </c>
      <c r="I380" s="58">
        <v>432506</v>
      </c>
      <c r="J380">
        <f>IFERROR(VLOOKUP(G380,'LEAID Match'!$A$2:$B$526,2,FALSE),"")</f>
        <v>2921750</v>
      </c>
      <c r="K380" s="68">
        <f t="shared" si="11"/>
        <v>8</v>
      </c>
    </row>
    <row r="381" spans="1:11" x14ac:dyDescent="0.2">
      <c r="A381">
        <f t="shared" si="10"/>
        <v>2921750</v>
      </c>
      <c r="B381">
        <v>2018</v>
      </c>
      <c r="C381" t="s">
        <v>739</v>
      </c>
      <c r="D381" t="s">
        <v>740</v>
      </c>
      <c r="E381" t="s">
        <v>743</v>
      </c>
      <c r="F381" s="34">
        <v>68</v>
      </c>
      <c r="G381" s="34" t="s">
        <v>47</v>
      </c>
      <c r="H381" s="36">
        <v>51830</v>
      </c>
      <c r="I381" s="58">
        <v>441578</v>
      </c>
      <c r="J381">
        <f>IFERROR(VLOOKUP(G381,'LEAID Match'!$A$2:$B$526,2,FALSE),"")</f>
        <v>2921750</v>
      </c>
      <c r="K381" s="68">
        <f t="shared" si="11"/>
        <v>8</v>
      </c>
    </row>
    <row r="382" spans="1:11" x14ac:dyDescent="0.2">
      <c r="A382">
        <f t="shared" si="10"/>
        <v>2921750</v>
      </c>
      <c r="B382">
        <v>2019</v>
      </c>
      <c r="C382" t="s">
        <v>739</v>
      </c>
      <c r="D382" t="s">
        <v>740</v>
      </c>
      <c r="E382" t="s">
        <v>743</v>
      </c>
      <c r="F382" s="34">
        <v>68</v>
      </c>
      <c r="G382" s="34" t="s">
        <v>47</v>
      </c>
      <c r="H382" s="36">
        <v>55583</v>
      </c>
      <c r="I382" s="58">
        <v>457637</v>
      </c>
      <c r="J382">
        <f>IFERROR(VLOOKUP(G382,'LEAID Match'!$A$2:$B$526,2,FALSE),"")</f>
        <v>2921750</v>
      </c>
      <c r="K382" s="68">
        <f t="shared" si="11"/>
        <v>8</v>
      </c>
    </row>
    <row r="383" spans="1:11" x14ac:dyDescent="0.2">
      <c r="A383">
        <f t="shared" si="10"/>
        <v>2921750</v>
      </c>
      <c r="B383">
        <v>2020</v>
      </c>
      <c r="C383" t="s">
        <v>739</v>
      </c>
      <c r="D383" t="s">
        <v>740</v>
      </c>
      <c r="E383" t="s">
        <v>743</v>
      </c>
      <c r="F383" s="34">
        <v>68</v>
      </c>
      <c r="G383" s="34" t="s">
        <v>47</v>
      </c>
      <c r="H383" s="36">
        <v>55979</v>
      </c>
      <c r="I383" s="58">
        <v>442588</v>
      </c>
      <c r="J383">
        <f>IFERROR(VLOOKUP(G383,'LEAID Match'!$A$2:$B$526,2,FALSE),"")</f>
        <v>2921750</v>
      </c>
      <c r="K383" s="68">
        <f t="shared" si="11"/>
        <v>8</v>
      </c>
    </row>
    <row r="384" spans="1:11" x14ac:dyDescent="0.2">
      <c r="A384">
        <f t="shared" si="10"/>
        <v>2921750</v>
      </c>
      <c r="B384">
        <v>2021</v>
      </c>
      <c r="C384" t="s">
        <v>739</v>
      </c>
      <c r="D384" t="s">
        <v>740</v>
      </c>
      <c r="E384" t="s">
        <v>743</v>
      </c>
      <c r="F384" s="34">
        <v>68</v>
      </c>
      <c r="G384" s="34" t="s">
        <v>47</v>
      </c>
      <c r="H384" s="36">
        <v>65763</v>
      </c>
      <c r="I384" s="58">
        <v>452212</v>
      </c>
      <c r="J384">
        <f>IFERROR(VLOOKUP(G384,'LEAID Match'!$A$2:$B$526,2,FALSE),"")</f>
        <v>2921750</v>
      </c>
      <c r="K384" s="68">
        <f t="shared" si="11"/>
        <v>8</v>
      </c>
    </row>
    <row r="385" spans="1:11" x14ac:dyDescent="0.2">
      <c r="A385">
        <f t="shared" si="10"/>
        <v>2921750</v>
      </c>
      <c r="B385">
        <v>2022</v>
      </c>
      <c r="C385" t="s">
        <v>739</v>
      </c>
      <c r="D385" t="s">
        <v>740</v>
      </c>
      <c r="E385" t="s">
        <v>743</v>
      </c>
      <c r="F385" s="34">
        <v>68</v>
      </c>
      <c r="G385" s="34" t="s">
        <v>47</v>
      </c>
      <c r="H385" s="36">
        <v>66835</v>
      </c>
      <c r="I385" s="58">
        <v>476926</v>
      </c>
      <c r="J385">
        <f>IFERROR(VLOOKUP(G385,'LEAID Match'!$A$2:$B$526,2,FALSE),"")</f>
        <v>2921750</v>
      </c>
      <c r="K385" s="68">
        <f t="shared" si="11"/>
        <v>8</v>
      </c>
    </row>
    <row r="386" spans="1:11" x14ac:dyDescent="0.2">
      <c r="A386">
        <f t="shared" si="10"/>
        <v>2930520</v>
      </c>
      <c r="B386">
        <v>2015</v>
      </c>
      <c r="C386" t="s">
        <v>739</v>
      </c>
      <c r="D386" t="s">
        <v>740</v>
      </c>
      <c r="E386" t="s">
        <v>743</v>
      </c>
      <c r="F386" s="37">
        <v>69</v>
      </c>
      <c r="G386" s="39" t="s">
        <v>48</v>
      </c>
      <c r="H386" s="40">
        <v>97907</v>
      </c>
      <c r="I386" s="58">
        <v>611004</v>
      </c>
      <c r="J386">
        <f>IFERROR(VLOOKUP(G386,'LEAID Match'!$A$2:$B$526,2,FALSE),"")</f>
        <v>2930520</v>
      </c>
      <c r="K386" s="68">
        <f t="shared" si="11"/>
        <v>8</v>
      </c>
    </row>
    <row r="387" spans="1:11" x14ac:dyDescent="0.2">
      <c r="A387">
        <f t="shared" ref="A387:A450" si="12">J387</f>
        <v>2930520</v>
      </c>
      <c r="B387">
        <v>2016</v>
      </c>
      <c r="C387" t="s">
        <v>739</v>
      </c>
      <c r="D387" t="s">
        <v>740</v>
      </c>
      <c r="E387" t="s">
        <v>743</v>
      </c>
      <c r="F387" s="34">
        <v>69</v>
      </c>
      <c r="G387" s="34" t="s">
        <v>48</v>
      </c>
      <c r="H387" s="36">
        <v>108774</v>
      </c>
      <c r="I387" s="60">
        <v>616289</v>
      </c>
      <c r="J387">
        <f>IFERROR(VLOOKUP(G387,'LEAID Match'!$A$2:$B$526,2,FALSE),"")</f>
        <v>2930520</v>
      </c>
      <c r="K387" s="68">
        <f t="shared" ref="K387:K450" si="13">COUNTIF($J$2:$J$4295,J387)</f>
        <v>8</v>
      </c>
    </row>
    <row r="388" spans="1:11" x14ac:dyDescent="0.2">
      <c r="A388">
        <f t="shared" si="12"/>
        <v>2930520</v>
      </c>
      <c r="B388">
        <v>2017</v>
      </c>
      <c r="C388" t="s">
        <v>739</v>
      </c>
      <c r="D388" t="s">
        <v>740</v>
      </c>
      <c r="E388" t="s">
        <v>743</v>
      </c>
      <c r="F388" s="34">
        <v>69</v>
      </c>
      <c r="G388" s="34" t="s">
        <v>48</v>
      </c>
      <c r="H388" s="36">
        <v>116474</v>
      </c>
      <c r="I388" s="58">
        <v>623799</v>
      </c>
      <c r="J388">
        <f>IFERROR(VLOOKUP(G388,'LEAID Match'!$A$2:$B$526,2,FALSE),"")</f>
        <v>2930520</v>
      </c>
      <c r="K388" s="68">
        <f t="shared" si="13"/>
        <v>8</v>
      </c>
    </row>
    <row r="389" spans="1:11" x14ac:dyDescent="0.2">
      <c r="A389">
        <f t="shared" si="12"/>
        <v>2930520</v>
      </c>
      <c r="B389">
        <v>2018</v>
      </c>
      <c r="C389" t="s">
        <v>739</v>
      </c>
      <c r="D389" t="s">
        <v>740</v>
      </c>
      <c r="E389" t="s">
        <v>743</v>
      </c>
      <c r="F389" s="34">
        <v>69</v>
      </c>
      <c r="G389" s="34" t="s">
        <v>48</v>
      </c>
      <c r="H389" s="36">
        <v>110181</v>
      </c>
      <c r="I389" s="58">
        <v>629863</v>
      </c>
      <c r="J389">
        <f>IFERROR(VLOOKUP(G389,'LEAID Match'!$A$2:$B$526,2,FALSE),"")</f>
        <v>2930520</v>
      </c>
      <c r="K389" s="68">
        <f t="shared" si="13"/>
        <v>8</v>
      </c>
    </row>
    <row r="390" spans="1:11" x14ac:dyDescent="0.2">
      <c r="A390">
        <f t="shared" si="12"/>
        <v>2930520</v>
      </c>
      <c r="B390">
        <v>2019</v>
      </c>
      <c r="C390" t="s">
        <v>739</v>
      </c>
      <c r="D390" t="s">
        <v>740</v>
      </c>
      <c r="E390" t="s">
        <v>743</v>
      </c>
      <c r="F390" s="34">
        <v>69</v>
      </c>
      <c r="G390" s="34" t="s">
        <v>48</v>
      </c>
      <c r="H390" s="36">
        <v>120472</v>
      </c>
      <c r="I390" s="58">
        <v>652485</v>
      </c>
      <c r="J390">
        <f>IFERROR(VLOOKUP(G390,'LEAID Match'!$A$2:$B$526,2,FALSE),"")</f>
        <v>2930520</v>
      </c>
      <c r="K390" s="68">
        <f t="shared" si="13"/>
        <v>8</v>
      </c>
    </row>
    <row r="391" spans="1:11" x14ac:dyDescent="0.2">
      <c r="A391">
        <f t="shared" si="12"/>
        <v>2930520</v>
      </c>
      <c r="B391">
        <v>2020</v>
      </c>
      <c r="C391" t="s">
        <v>739</v>
      </c>
      <c r="D391" t="s">
        <v>740</v>
      </c>
      <c r="E391" t="s">
        <v>743</v>
      </c>
      <c r="F391" s="34">
        <v>69</v>
      </c>
      <c r="G391" s="34" t="s">
        <v>48</v>
      </c>
      <c r="H391" s="36">
        <v>126208</v>
      </c>
      <c r="I391" s="58">
        <v>640805</v>
      </c>
      <c r="J391">
        <f>IFERROR(VLOOKUP(G391,'LEAID Match'!$A$2:$B$526,2,FALSE),"")</f>
        <v>2930520</v>
      </c>
      <c r="K391" s="68">
        <f t="shared" si="13"/>
        <v>8</v>
      </c>
    </row>
    <row r="392" spans="1:11" x14ac:dyDescent="0.2">
      <c r="A392">
        <f t="shared" si="12"/>
        <v>2930520</v>
      </c>
      <c r="B392">
        <v>2021</v>
      </c>
      <c r="C392" t="s">
        <v>739</v>
      </c>
      <c r="D392" t="s">
        <v>740</v>
      </c>
      <c r="E392" t="s">
        <v>743</v>
      </c>
      <c r="F392" s="34">
        <v>69</v>
      </c>
      <c r="G392" s="34" t="s">
        <v>48</v>
      </c>
      <c r="H392" s="36">
        <v>97722</v>
      </c>
      <c r="I392" s="58">
        <v>626457</v>
      </c>
      <c r="J392">
        <f>IFERROR(VLOOKUP(G392,'LEAID Match'!$A$2:$B$526,2,FALSE),"")</f>
        <v>2930520</v>
      </c>
      <c r="K392" s="68">
        <f t="shared" si="13"/>
        <v>8</v>
      </c>
    </row>
    <row r="393" spans="1:11" x14ac:dyDescent="0.2">
      <c r="A393">
        <f t="shared" si="12"/>
        <v>2930520</v>
      </c>
      <c r="B393">
        <v>2022</v>
      </c>
      <c r="C393" t="s">
        <v>739</v>
      </c>
      <c r="D393" t="s">
        <v>740</v>
      </c>
      <c r="E393" t="s">
        <v>743</v>
      </c>
      <c r="F393" s="34">
        <v>69</v>
      </c>
      <c r="G393" s="34" t="s">
        <v>48</v>
      </c>
      <c r="H393" s="36">
        <v>97439</v>
      </c>
      <c r="I393" s="58">
        <v>636431</v>
      </c>
      <c r="J393">
        <f>IFERROR(VLOOKUP(G393,'LEAID Match'!$A$2:$B$526,2,FALSE),"")</f>
        <v>2930520</v>
      </c>
      <c r="K393" s="68">
        <f t="shared" si="13"/>
        <v>8</v>
      </c>
    </row>
    <row r="394" spans="1:11" x14ac:dyDescent="0.2">
      <c r="A394">
        <f t="shared" si="12"/>
        <v>2905850</v>
      </c>
      <c r="B394">
        <v>2015</v>
      </c>
      <c r="C394" t="s">
        <v>739</v>
      </c>
      <c r="D394" t="s">
        <v>740</v>
      </c>
      <c r="E394" t="s">
        <v>743</v>
      </c>
      <c r="F394" s="37">
        <v>74</v>
      </c>
      <c r="G394" s="39" t="s">
        <v>49</v>
      </c>
      <c r="H394" s="40">
        <v>15696</v>
      </c>
      <c r="I394" s="58">
        <v>85287</v>
      </c>
      <c r="J394">
        <f>IFERROR(VLOOKUP(G394,'LEAID Match'!$A$2:$B$526,2,FALSE),"")</f>
        <v>2905850</v>
      </c>
      <c r="K394" s="68">
        <f t="shared" si="13"/>
        <v>8</v>
      </c>
    </row>
    <row r="395" spans="1:11" x14ac:dyDescent="0.2">
      <c r="A395">
        <f t="shared" si="12"/>
        <v>2905850</v>
      </c>
      <c r="B395">
        <v>2016</v>
      </c>
      <c r="C395" t="s">
        <v>739</v>
      </c>
      <c r="D395" t="s">
        <v>740</v>
      </c>
      <c r="E395" t="s">
        <v>743</v>
      </c>
      <c r="F395" s="34">
        <v>74</v>
      </c>
      <c r="G395" s="34" t="s">
        <v>49</v>
      </c>
      <c r="H395" s="36">
        <v>15138</v>
      </c>
      <c r="I395" s="60">
        <v>87660</v>
      </c>
      <c r="J395">
        <f>IFERROR(VLOOKUP(G395,'LEAID Match'!$A$2:$B$526,2,FALSE),"")</f>
        <v>2905850</v>
      </c>
      <c r="K395" s="68">
        <f t="shared" si="13"/>
        <v>8</v>
      </c>
    </row>
    <row r="396" spans="1:11" x14ac:dyDescent="0.2">
      <c r="A396">
        <f t="shared" si="12"/>
        <v>2905850</v>
      </c>
      <c r="B396">
        <v>2017</v>
      </c>
      <c r="C396" t="s">
        <v>739</v>
      </c>
      <c r="D396" t="s">
        <v>740</v>
      </c>
      <c r="E396" t="s">
        <v>743</v>
      </c>
      <c r="F396" s="34">
        <v>74</v>
      </c>
      <c r="G396" s="34" t="s">
        <v>49</v>
      </c>
      <c r="H396" s="36">
        <v>13505</v>
      </c>
      <c r="I396" s="58">
        <v>90436</v>
      </c>
      <c r="J396">
        <f>IFERROR(VLOOKUP(G396,'LEAID Match'!$A$2:$B$526,2,FALSE),"")</f>
        <v>2905850</v>
      </c>
      <c r="K396" s="68">
        <f t="shared" si="13"/>
        <v>8</v>
      </c>
    </row>
    <row r="397" spans="1:11" x14ac:dyDescent="0.2">
      <c r="A397">
        <f t="shared" si="12"/>
        <v>2905850</v>
      </c>
      <c r="B397">
        <v>2018</v>
      </c>
      <c r="C397" t="s">
        <v>739</v>
      </c>
      <c r="D397" t="s">
        <v>740</v>
      </c>
      <c r="E397" t="s">
        <v>743</v>
      </c>
      <c r="F397" s="34">
        <v>74</v>
      </c>
      <c r="G397" s="34" t="s">
        <v>49</v>
      </c>
      <c r="H397" s="36">
        <v>22305</v>
      </c>
      <c r="I397" s="58">
        <v>69391</v>
      </c>
      <c r="J397">
        <f>IFERROR(VLOOKUP(G397,'LEAID Match'!$A$2:$B$526,2,FALSE),"")</f>
        <v>2905850</v>
      </c>
      <c r="K397" s="68">
        <f t="shared" si="13"/>
        <v>8</v>
      </c>
    </row>
    <row r="398" spans="1:11" x14ac:dyDescent="0.2">
      <c r="A398">
        <f t="shared" si="12"/>
        <v>2905850</v>
      </c>
      <c r="B398">
        <v>2019</v>
      </c>
      <c r="C398" t="s">
        <v>739</v>
      </c>
      <c r="D398" t="s">
        <v>740</v>
      </c>
      <c r="E398" t="s">
        <v>743</v>
      </c>
      <c r="F398" s="34">
        <v>74</v>
      </c>
      <c r="G398" s="34" t="s">
        <v>49</v>
      </c>
      <c r="H398" s="36">
        <v>20795</v>
      </c>
      <c r="I398" s="58">
        <v>66266</v>
      </c>
      <c r="J398">
        <f>IFERROR(VLOOKUP(G398,'LEAID Match'!$A$2:$B$526,2,FALSE),"")</f>
        <v>2905850</v>
      </c>
      <c r="K398" s="68">
        <f t="shared" si="13"/>
        <v>8</v>
      </c>
    </row>
    <row r="399" spans="1:11" x14ac:dyDescent="0.2">
      <c r="A399">
        <f t="shared" si="12"/>
        <v>2905850</v>
      </c>
      <c r="B399">
        <v>2020</v>
      </c>
      <c r="C399" t="s">
        <v>739</v>
      </c>
      <c r="D399" t="s">
        <v>740</v>
      </c>
      <c r="E399" t="s">
        <v>743</v>
      </c>
      <c r="F399" s="34">
        <v>74</v>
      </c>
      <c r="G399" s="34" t="s">
        <v>49</v>
      </c>
      <c r="H399" s="36">
        <v>19116</v>
      </c>
      <c r="I399" s="58">
        <v>74058</v>
      </c>
      <c r="J399">
        <f>IFERROR(VLOOKUP(G399,'LEAID Match'!$A$2:$B$526,2,FALSE),"")</f>
        <v>2905850</v>
      </c>
      <c r="K399" s="68">
        <f t="shared" si="13"/>
        <v>8</v>
      </c>
    </row>
    <row r="400" spans="1:11" x14ac:dyDescent="0.2">
      <c r="A400">
        <f t="shared" si="12"/>
        <v>2905850</v>
      </c>
      <c r="B400">
        <v>2021</v>
      </c>
      <c r="C400" t="s">
        <v>739</v>
      </c>
      <c r="D400" t="s">
        <v>740</v>
      </c>
      <c r="E400" t="s">
        <v>743</v>
      </c>
      <c r="F400" s="34">
        <v>74</v>
      </c>
      <c r="G400" s="34" t="s">
        <v>49</v>
      </c>
      <c r="H400" s="36">
        <v>20863</v>
      </c>
      <c r="I400" s="58">
        <v>69921</v>
      </c>
      <c r="J400">
        <f>IFERROR(VLOOKUP(G400,'LEAID Match'!$A$2:$B$526,2,FALSE),"")</f>
        <v>2905850</v>
      </c>
      <c r="K400" s="68">
        <f t="shared" si="13"/>
        <v>8</v>
      </c>
    </row>
    <row r="401" spans="1:11" x14ac:dyDescent="0.2">
      <c r="A401">
        <f t="shared" si="12"/>
        <v>2905850</v>
      </c>
      <c r="B401">
        <v>2022</v>
      </c>
      <c r="C401" t="s">
        <v>739</v>
      </c>
      <c r="D401" t="s">
        <v>740</v>
      </c>
      <c r="E401" t="s">
        <v>743</v>
      </c>
      <c r="F401" s="34">
        <v>74</v>
      </c>
      <c r="G401" s="34" t="s">
        <v>49</v>
      </c>
      <c r="H401" s="36">
        <v>20984</v>
      </c>
      <c r="I401" s="58">
        <v>78718</v>
      </c>
      <c r="J401">
        <f>IFERROR(VLOOKUP(G401,'LEAID Match'!$A$2:$B$526,2,FALSE),"")</f>
        <v>2905850</v>
      </c>
      <c r="K401" s="68">
        <f t="shared" si="13"/>
        <v>8</v>
      </c>
    </row>
    <row r="402" spans="1:11" x14ac:dyDescent="0.2">
      <c r="A402">
        <f t="shared" si="12"/>
        <v>2913590</v>
      </c>
      <c r="B402">
        <v>2015</v>
      </c>
      <c r="C402" t="s">
        <v>739</v>
      </c>
      <c r="D402" t="s">
        <v>740</v>
      </c>
      <c r="E402" t="s">
        <v>743</v>
      </c>
      <c r="F402" s="37">
        <v>75</v>
      </c>
      <c r="G402" s="39" t="s">
        <v>50</v>
      </c>
      <c r="H402" s="40">
        <v>50827</v>
      </c>
      <c r="I402" s="58">
        <v>481182</v>
      </c>
      <c r="J402">
        <f>IFERROR(VLOOKUP(G402,'LEAID Match'!$A$2:$B$526,2,FALSE),"")</f>
        <v>2913590</v>
      </c>
      <c r="K402" s="68">
        <f t="shared" si="13"/>
        <v>8</v>
      </c>
    </row>
    <row r="403" spans="1:11" x14ac:dyDescent="0.2">
      <c r="A403">
        <f t="shared" si="12"/>
        <v>2913590</v>
      </c>
      <c r="B403">
        <v>2016</v>
      </c>
      <c r="C403" t="s">
        <v>739</v>
      </c>
      <c r="D403" t="s">
        <v>740</v>
      </c>
      <c r="E403" t="s">
        <v>743</v>
      </c>
      <c r="F403" s="34">
        <v>75</v>
      </c>
      <c r="G403" s="34" t="s">
        <v>50</v>
      </c>
      <c r="H403" s="36">
        <v>57509</v>
      </c>
      <c r="I403" s="60">
        <v>479448</v>
      </c>
      <c r="J403">
        <f>IFERROR(VLOOKUP(G403,'LEAID Match'!$A$2:$B$526,2,FALSE),"")</f>
        <v>2913590</v>
      </c>
      <c r="K403" s="68">
        <f t="shared" si="13"/>
        <v>8</v>
      </c>
    </row>
    <row r="404" spans="1:11" x14ac:dyDescent="0.2">
      <c r="A404">
        <f t="shared" si="12"/>
        <v>2913590</v>
      </c>
      <c r="B404">
        <v>2017</v>
      </c>
      <c r="C404" t="s">
        <v>739</v>
      </c>
      <c r="D404" t="s">
        <v>740</v>
      </c>
      <c r="E404" t="s">
        <v>743</v>
      </c>
      <c r="F404" s="34">
        <v>75</v>
      </c>
      <c r="G404" s="34" t="s">
        <v>50</v>
      </c>
      <c r="H404" s="36">
        <v>59416</v>
      </c>
      <c r="I404" s="58">
        <v>488898</v>
      </c>
      <c r="J404">
        <f>IFERROR(VLOOKUP(G404,'LEAID Match'!$A$2:$B$526,2,FALSE),"")</f>
        <v>2913590</v>
      </c>
      <c r="K404" s="68">
        <f t="shared" si="13"/>
        <v>8</v>
      </c>
    </row>
    <row r="405" spans="1:11" x14ac:dyDescent="0.2">
      <c r="A405">
        <f t="shared" si="12"/>
        <v>2913590</v>
      </c>
      <c r="B405">
        <v>2018</v>
      </c>
      <c r="C405" t="s">
        <v>739</v>
      </c>
      <c r="D405" t="s">
        <v>740</v>
      </c>
      <c r="E405" t="s">
        <v>743</v>
      </c>
      <c r="F405" s="34">
        <v>75</v>
      </c>
      <c r="G405" s="34" t="s">
        <v>50</v>
      </c>
      <c r="H405" s="36">
        <v>57505</v>
      </c>
      <c r="I405" s="58">
        <v>501921</v>
      </c>
      <c r="J405">
        <f>IFERROR(VLOOKUP(G405,'LEAID Match'!$A$2:$B$526,2,FALSE),"")</f>
        <v>2913590</v>
      </c>
      <c r="K405" s="68">
        <f t="shared" si="13"/>
        <v>8</v>
      </c>
    </row>
    <row r="406" spans="1:11" x14ac:dyDescent="0.2">
      <c r="A406">
        <f t="shared" si="12"/>
        <v>2913590</v>
      </c>
      <c r="B406">
        <v>2019</v>
      </c>
      <c r="C406" t="s">
        <v>739</v>
      </c>
      <c r="D406" t="s">
        <v>740</v>
      </c>
      <c r="E406" t="s">
        <v>743</v>
      </c>
      <c r="F406" s="34">
        <v>75</v>
      </c>
      <c r="G406" s="34" t="s">
        <v>50</v>
      </c>
      <c r="H406" s="36">
        <v>63248</v>
      </c>
      <c r="I406" s="58">
        <v>498706</v>
      </c>
      <c r="J406">
        <f>IFERROR(VLOOKUP(G406,'LEAID Match'!$A$2:$B$526,2,FALSE),"")</f>
        <v>2913590</v>
      </c>
      <c r="K406" s="68">
        <f t="shared" si="13"/>
        <v>8</v>
      </c>
    </row>
    <row r="407" spans="1:11" x14ac:dyDescent="0.2">
      <c r="A407">
        <f t="shared" si="12"/>
        <v>2913590</v>
      </c>
      <c r="B407">
        <v>2020</v>
      </c>
      <c r="C407" t="s">
        <v>739</v>
      </c>
      <c r="D407" t="s">
        <v>740</v>
      </c>
      <c r="E407" t="s">
        <v>743</v>
      </c>
      <c r="F407" s="34">
        <v>75</v>
      </c>
      <c r="G407" s="34" t="s">
        <v>50</v>
      </c>
      <c r="H407" s="36">
        <v>61289</v>
      </c>
      <c r="I407" s="58">
        <v>516640</v>
      </c>
      <c r="J407">
        <f>IFERROR(VLOOKUP(G407,'LEAID Match'!$A$2:$B$526,2,FALSE),"")</f>
        <v>2913590</v>
      </c>
      <c r="K407" s="68">
        <f t="shared" si="13"/>
        <v>8</v>
      </c>
    </row>
    <row r="408" spans="1:11" x14ac:dyDescent="0.2">
      <c r="A408">
        <f t="shared" si="12"/>
        <v>2913590</v>
      </c>
      <c r="B408">
        <v>2021</v>
      </c>
      <c r="C408" t="s">
        <v>739</v>
      </c>
      <c r="D408" t="s">
        <v>740</v>
      </c>
      <c r="E408" t="s">
        <v>743</v>
      </c>
      <c r="F408" s="34">
        <v>75</v>
      </c>
      <c r="G408" s="34" t="s">
        <v>50</v>
      </c>
      <c r="H408" s="36">
        <v>61663</v>
      </c>
      <c r="I408" s="58">
        <v>538136</v>
      </c>
      <c r="J408">
        <f>IFERROR(VLOOKUP(G408,'LEAID Match'!$A$2:$B$526,2,FALSE),"")</f>
        <v>2913590</v>
      </c>
      <c r="K408" s="68">
        <f t="shared" si="13"/>
        <v>8</v>
      </c>
    </row>
    <row r="409" spans="1:11" x14ac:dyDescent="0.2">
      <c r="A409">
        <f t="shared" si="12"/>
        <v>2913590</v>
      </c>
      <c r="B409">
        <v>2022</v>
      </c>
      <c r="C409" t="s">
        <v>739</v>
      </c>
      <c r="D409" t="s">
        <v>740</v>
      </c>
      <c r="E409" t="s">
        <v>743</v>
      </c>
      <c r="F409" s="34">
        <v>75</v>
      </c>
      <c r="G409" s="34" t="s">
        <v>50</v>
      </c>
      <c r="H409" s="36">
        <v>69037</v>
      </c>
      <c r="I409" s="58">
        <v>540460</v>
      </c>
      <c r="J409">
        <f>IFERROR(VLOOKUP(G409,'LEAID Match'!$A$2:$B$526,2,FALSE),"")</f>
        <v>2913590</v>
      </c>
      <c r="K409" s="68">
        <f t="shared" si="13"/>
        <v>8</v>
      </c>
    </row>
    <row r="410" spans="1:11" x14ac:dyDescent="0.2">
      <c r="A410">
        <f t="shared" si="12"/>
        <v>2922110</v>
      </c>
      <c r="B410">
        <v>2015</v>
      </c>
      <c r="C410" t="s">
        <v>739</v>
      </c>
      <c r="D410" t="s">
        <v>740</v>
      </c>
      <c r="E410" t="s">
        <v>743</v>
      </c>
      <c r="F410" s="37">
        <v>76</v>
      </c>
      <c r="G410" s="39" t="s">
        <v>51</v>
      </c>
      <c r="H410" s="40">
        <v>2700</v>
      </c>
      <c r="I410" s="58">
        <v>36680</v>
      </c>
      <c r="J410">
        <f>IFERROR(VLOOKUP(G410,'LEAID Match'!$A$2:$B$526,2,FALSE),"")</f>
        <v>2922110</v>
      </c>
      <c r="K410" s="68">
        <f t="shared" si="13"/>
        <v>8</v>
      </c>
    </row>
    <row r="411" spans="1:11" x14ac:dyDescent="0.2">
      <c r="A411">
        <f t="shared" si="12"/>
        <v>2922110</v>
      </c>
      <c r="B411">
        <v>2016</v>
      </c>
      <c r="C411" t="s">
        <v>739</v>
      </c>
      <c r="D411" t="s">
        <v>740</v>
      </c>
      <c r="E411" t="s">
        <v>743</v>
      </c>
      <c r="F411" s="34">
        <v>76</v>
      </c>
      <c r="G411" s="34" t="s">
        <v>51</v>
      </c>
      <c r="H411" s="36">
        <v>2462</v>
      </c>
      <c r="I411" s="60">
        <v>37610</v>
      </c>
      <c r="J411">
        <f>IFERROR(VLOOKUP(G411,'LEAID Match'!$A$2:$B$526,2,FALSE),"")</f>
        <v>2922110</v>
      </c>
      <c r="K411" s="68">
        <f t="shared" si="13"/>
        <v>8</v>
      </c>
    </row>
    <row r="412" spans="1:11" x14ac:dyDescent="0.2">
      <c r="A412">
        <f t="shared" si="12"/>
        <v>2922110</v>
      </c>
      <c r="B412">
        <v>2017</v>
      </c>
      <c r="C412" t="s">
        <v>739</v>
      </c>
      <c r="D412" t="s">
        <v>740</v>
      </c>
      <c r="E412" t="s">
        <v>743</v>
      </c>
      <c r="F412" s="34">
        <v>76</v>
      </c>
      <c r="G412" s="34" t="s">
        <v>51</v>
      </c>
      <c r="H412" s="36">
        <v>1646</v>
      </c>
      <c r="I412" s="58">
        <v>28596</v>
      </c>
      <c r="J412">
        <f>IFERROR(VLOOKUP(G412,'LEAID Match'!$A$2:$B$526,2,FALSE),"")</f>
        <v>2922110</v>
      </c>
      <c r="K412" s="68">
        <f t="shared" si="13"/>
        <v>8</v>
      </c>
    </row>
    <row r="413" spans="1:11" x14ac:dyDescent="0.2">
      <c r="A413">
        <f t="shared" si="12"/>
        <v>2922110</v>
      </c>
      <c r="B413">
        <v>2018</v>
      </c>
      <c r="C413" t="s">
        <v>739</v>
      </c>
      <c r="D413" t="s">
        <v>740</v>
      </c>
      <c r="E413" t="s">
        <v>743</v>
      </c>
      <c r="F413" s="34">
        <v>76</v>
      </c>
      <c r="G413" s="34" t="s">
        <v>51</v>
      </c>
      <c r="H413" s="36">
        <v>1674</v>
      </c>
      <c r="I413" s="58">
        <v>28269</v>
      </c>
      <c r="J413">
        <f>IFERROR(VLOOKUP(G413,'LEAID Match'!$A$2:$B$526,2,FALSE),"")</f>
        <v>2922110</v>
      </c>
      <c r="K413" s="68">
        <f t="shared" si="13"/>
        <v>8</v>
      </c>
    </row>
    <row r="414" spans="1:11" x14ac:dyDescent="0.2">
      <c r="A414">
        <f t="shared" si="12"/>
        <v>2922110</v>
      </c>
      <c r="B414">
        <v>2019</v>
      </c>
      <c r="C414" t="s">
        <v>739</v>
      </c>
      <c r="D414" t="s">
        <v>740</v>
      </c>
      <c r="E414" t="s">
        <v>743</v>
      </c>
      <c r="F414" s="34">
        <v>76</v>
      </c>
      <c r="G414" s="34" t="s">
        <v>51</v>
      </c>
      <c r="H414" s="36">
        <v>1799</v>
      </c>
      <c r="I414" s="58">
        <v>31317</v>
      </c>
      <c r="J414">
        <f>IFERROR(VLOOKUP(G414,'LEAID Match'!$A$2:$B$526,2,FALSE),"")</f>
        <v>2922110</v>
      </c>
      <c r="K414" s="68">
        <f t="shared" si="13"/>
        <v>8</v>
      </c>
    </row>
    <row r="415" spans="1:11" x14ac:dyDescent="0.2">
      <c r="A415">
        <f t="shared" si="12"/>
        <v>2922110</v>
      </c>
      <c r="B415">
        <v>2020</v>
      </c>
      <c r="C415" t="s">
        <v>739</v>
      </c>
      <c r="D415" t="s">
        <v>740</v>
      </c>
      <c r="E415" t="s">
        <v>743</v>
      </c>
      <c r="F415" s="34">
        <v>76</v>
      </c>
      <c r="G415" s="34" t="s">
        <v>51</v>
      </c>
      <c r="H415" s="36">
        <v>2018</v>
      </c>
      <c r="I415" s="58">
        <v>32891</v>
      </c>
      <c r="J415">
        <f>IFERROR(VLOOKUP(G415,'LEAID Match'!$A$2:$B$526,2,FALSE),"")</f>
        <v>2922110</v>
      </c>
      <c r="K415" s="68">
        <f t="shared" si="13"/>
        <v>8</v>
      </c>
    </row>
    <row r="416" spans="1:11" x14ac:dyDescent="0.2">
      <c r="A416">
        <f t="shared" si="12"/>
        <v>2922110</v>
      </c>
      <c r="B416">
        <v>2021</v>
      </c>
      <c r="C416" t="s">
        <v>739</v>
      </c>
      <c r="D416" t="s">
        <v>740</v>
      </c>
      <c r="E416" t="s">
        <v>743</v>
      </c>
      <c r="F416" s="34">
        <v>76</v>
      </c>
      <c r="G416" s="34" t="s">
        <v>51</v>
      </c>
      <c r="H416" s="36">
        <v>2571</v>
      </c>
      <c r="I416" s="58">
        <v>26422</v>
      </c>
      <c r="J416">
        <f>IFERROR(VLOOKUP(G416,'LEAID Match'!$A$2:$B$526,2,FALSE),"")</f>
        <v>2922110</v>
      </c>
      <c r="K416" s="68">
        <f t="shared" si="13"/>
        <v>8</v>
      </c>
    </row>
    <row r="417" spans="1:11" x14ac:dyDescent="0.2">
      <c r="A417">
        <f t="shared" si="12"/>
        <v>2922110</v>
      </c>
      <c r="B417">
        <v>2022</v>
      </c>
      <c r="C417" t="s">
        <v>739</v>
      </c>
      <c r="D417" t="s">
        <v>740</v>
      </c>
      <c r="E417" t="s">
        <v>743</v>
      </c>
      <c r="F417" s="34">
        <v>76</v>
      </c>
      <c r="G417" s="34" t="s">
        <v>51</v>
      </c>
      <c r="H417" s="36">
        <v>3379</v>
      </c>
      <c r="I417" s="58">
        <v>41758</v>
      </c>
      <c r="J417">
        <f>IFERROR(VLOOKUP(G417,'LEAID Match'!$A$2:$B$526,2,FALSE),"")</f>
        <v>2922110</v>
      </c>
      <c r="K417" s="68">
        <f t="shared" si="13"/>
        <v>8</v>
      </c>
    </row>
    <row r="418" spans="1:11" x14ac:dyDescent="0.2">
      <c r="A418">
        <f t="shared" si="12"/>
        <v>2910230</v>
      </c>
      <c r="B418">
        <v>2015</v>
      </c>
      <c r="C418" t="s">
        <v>739</v>
      </c>
      <c r="D418" t="s">
        <v>740</v>
      </c>
      <c r="E418" t="s">
        <v>743</v>
      </c>
      <c r="F418" s="37">
        <v>77</v>
      </c>
      <c r="G418" s="39" t="s">
        <v>52</v>
      </c>
      <c r="H418" s="40">
        <v>5024</v>
      </c>
      <c r="I418" s="58">
        <v>37412</v>
      </c>
      <c r="J418">
        <f>IFERROR(VLOOKUP(G418,'LEAID Match'!$A$2:$B$526,2,FALSE),"")</f>
        <v>2910230</v>
      </c>
      <c r="K418" s="68">
        <f t="shared" si="13"/>
        <v>8</v>
      </c>
    </row>
    <row r="419" spans="1:11" x14ac:dyDescent="0.2">
      <c r="A419">
        <f t="shared" si="12"/>
        <v>2910230</v>
      </c>
      <c r="B419">
        <v>2016</v>
      </c>
      <c r="C419" t="s">
        <v>739</v>
      </c>
      <c r="D419" t="s">
        <v>740</v>
      </c>
      <c r="E419" t="s">
        <v>743</v>
      </c>
      <c r="F419" s="34">
        <v>77</v>
      </c>
      <c r="G419" s="34" t="s">
        <v>52</v>
      </c>
      <c r="H419" s="36">
        <v>5372</v>
      </c>
      <c r="I419" s="60">
        <v>38650</v>
      </c>
      <c r="J419">
        <f>IFERROR(VLOOKUP(G419,'LEAID Match'!$A$2:$B$526,2,FALSE),"")</f>
        <v>2910230</v>
      </c>
      <c r="K419" s="68">
        <f t="shared" si="13"/>
        <v>8</v>
      </c>
    </row>
    <row r="420" spans="1:11" x14ac:dyDescent="0.2">
      <c r="A420">
        <f t="shared" si="12"/>
        <v>2910230</v>
      </c>
      <c r="B420">
        <v>2017</v>
      </c>
      <c r="C420" t="s">
        <v>739</v>
      </c>
      <c r="D420" t="s">
        <v>740</v>
      </c>
      <c r="E420" t="s">
        <v>743</v>
      </c>
      <c r="F420" s="34">
        <v>77</v>
      </c>
      <c r="G420" s="34" t="s">
        <v>52</v>
      </c>
      <c r="H420" s="36">
        <v>7529</v>
      </c>
      <c r="I420" s="58">
        <v>37936</v>
      </c>
      <c r="J420">
        <f>IFERROR(VLOOKUP(G420,'LEAID Match'!$A$2:$B$526,2,FALSE),"")</f>
        <v>2910230</v>
      </c>
      <c r="K420" s="68">
        <f t="shared" si="13"/>
        <v>8</v>
      </c>
    </row>
    <row r="421" spans="1:11" x14ac:dyDescent="0.2">
      <c r="A421">
        <f t="shared" si="12"/>
        <v>2910230</v>
      </c>
      <c r="B421">
        <v>2018</v>
      </c>
      <c r="C421" t="s">
        <v>739</v>
      </c>
      <c r="D421" t="s">
        <v>740</v>
      </c>
      <c r="E421" t="s">
        <v>743</v>
      </c>
      <c r="F421" s="34">
        <v>77</v>
      </c>
      <c r="G421" s="34" t="s">
        <v>52</v>
      </c>
      <c r="H421" s="36">
        <v>7854</v>
      </c>
      <c r="I421" s="58">
        <v>38958</v>
      </c>
      <c r="J421">
        <f>IFERROR(VLOOKUP(G421,'LEAID Match'!$A$2:$B$526,2,FALSE),"")</f>
        <v>2910230</v>
      </c>
      <c r="K421" s="68">
        <f t="shared" si="13"/>
        <v>8</v>
      </c>
    </row>
    <row r="422" spans="1:11" x14ac:dyDescent="0.2">
      <c r="A422">
        <f t="shared" si="12"/>
        <v>2910230</v>
      </c>
      <c r="B422">
        <v>2019</v>
      </c>
      <c r="C422" t="s">
        <v>739</v>
      </c>
      <c r="D422" t="s">
        <v>740</v>
      </c>
      <c r="E422" t="s">
        <v>743</v>
      </c>
      <c r="F422" s="34">
        <v>77</v>
      </c>
      <c r="G422" s="34" t="s">
        <v>52</v>
      </c>
      <c r="H422" s="36">
        <v>7169</v>
      </c>
      <c r="I422" s="58">
        <v>42496</v>
      </c>
      <c r="J422">
        <f>IFERROR(VLOOKUP(G422,'LEAID Match'!$A$2:$B$526,2,FALSE),"")</f>
        <v>2910230</v>
      </c>
      <c r="K422" s="68">
        <f t="shared" si="13"/>
        <v>8</v>
      </c>
    </row>
    <row r="423" spans="1:11" x14ac:dyDescent="0.2">
      <c r="A423">
        <f t="shared" si="12"/>
        <v>2910230</v>
      </c>
      <c r="B423">
        <v>2020</v>
      </c>
      <c r="C423" t="s">
        <v>739</v>
      </c>
      <c r="D423" t="s">
        <v>740</v>
      </c>
      <c r="E423" t="s">
        <v>743</v>
      </c>
      <c r="F423" s="34">
        <v>77</v>
      </c>
      <c r="G423" s="34" t="s">
        <v>52</v>
      </c>
      <c r="H423" s="36">
        <v>12516</v>
      </c>
      <c r="I423" s="58">
        <v>49545</v>
      </c>
      <c r="J423">
        <f>IFERROR(VLOOKUP(G423,'LEAID Match'!$A$2:$B$526,2,FALSE),"")</f>
        <v>2910230</v>
      </c>
      <c r="K423" s="68">
        <f t="shared" si="13"/>
        <v>8</v>
      </c>
    </row>
    <row r="424" spans="1:11" x14ac:dyDescent="0.2">
      <c r="A424">
        <f t="shared" si="12"/>
        <v>2910230</v>
      </c>
      <c r="B424">
        <v>2021</v>
      </c>
      <c r="C424" t="s">
        <v>739</v>
      </c>
      <c r="D424" t="s">
        <v>740</v>
      </c>
      <c r="E424" t="s">
        <v>743</v>
      </c>
      <c r="F424" s="34">
        <v>77</v>
      </c>
      <c r="G424" s="34" t="s">
        <v>52</v>
      </c>
      <c r="H424" s="36">
        <v>11886</v>
      </c>
      <c r="I424" s="58">
        <v>57409</v>
      </c>
      <c r="J424">
        <f>IFERROR(VLOOKUP(G424,'LEAID Match'!$A$2:$B$526,2,FALSE),"")</f>
        <v>2910230</v>
      </c>
      <c r="K424" s="68">
        <f t="shared" si="13"/>
        <v>8</v>
      </c>
    </row>
    <row r="425" spans="1:11" x14ac:dyDescent="0.2">
      <c r="A425">
        <f t="shared" si="12"/>
        <v>2910230</v>
      </c>
      <c r="B425">
        <v>2022</v>
      </c>
      <c r="C425" t="s">
        <v>739</v>
      </c>
      <c r="D425" t="s">
        <v>740</v>
      </c>
      <c r="E425" t="s">
        <v>743</v>
      </c>
      <c r="F425" s="34">
        <v>77</v>
      </c>
      <c r="G425" s="34" t="s">
        <v>52</v>
      </c>
      <c r="H425" s="36">
        <v>9485</v>
      </c>
      <c r="I425" s="58">
        <v>52047</v>
      </c>
      <c r="J425">
        <f>IFERROR(VLOOKUP(G425,'LEAID Match'!$A$2:$B$526,2,FALSE),"")</f>
        <v>2910230</v>
      </c>
      <c r="K425" s="68">
        <f t="shared" si="13"/>
        <v>8</v>
      </c>
    </row>
    <row r="426" spans="1:11" x14ac:dyDescent="0.2">
      <c r="A426">
        <f t="shared" si="12"/>
        <v>2925410</v>
      </c>
      <c r="B426">
        <v>2015</v>
      </c>
      <c r="C426" t="s">
        <v>739</v>
      </c>
      <c r="D426" t="s">
        <v>740</v>
      </c>
      <c r="E426" t="s">
        <v>743</v>
      </c>
      <c r="F426" s="37">
        <v>78</v>
      </c>
      <c r="G426" s="39" t="s">
        <v>53</v>
      </c>
      <c r="H426" s="40">
        <v>32967</v>
      </c>
      <c r="I426" s="58">
        <v>297991</v>
      </c>
      <c r="J426">
        <f>IFERROR(VLOOKUP(G426,'LEAID Match'!$A$2:$B$526,2,FALSE),"")</f>
        <v>2925410</v>
      </c>
      <c r="K426" s="68">
        <f t="shared" si="13"/>
        <v>8</v>
      </c>
    </row>
    <row r="427" spans="1:11" x14ac:dyDescent="0.2">
      <c r="A427">
        <f t="shared" si="12"/>
        <v>2925410</v>
      </c>
      <c r="B427">
        <v>2016</v>
      </c>
      <c r="C427" t="s">
        <v>739</v>
      </c>
      <c r="D427" t="s">
        <v>740</v>
      </c>
      <c r="E427" t="s">
        <v>743</v>
      </c>
      <c r="F427" s="34">
        <v>78</v>
      </c>
      <c r="G427" s="34" t="s">
        <v>53</v>
      </c>
      <c r="H427" s="36">
        <v>36058</v>
      </c>
      <c r="I427" s="60">
        <v>299666</v>
      </c>
      <c r="J427">
        <f>IFERROR(VLOOKUP(G427,'LEAID Match'!$A$2:$B$526,2,FALSE),"")</f>
        <v>2925410</v>
      </c>
      <c r="K427" s="68">
        <f t="shared" si="13"/>
        <v>8</v>
      </c>
    </row>
    <row r="428" spans="1:11" x14ac:dyDescent="0.2">
      <c r="A428">
        <f t="shared" si="12"/>
        <v>2925410</v>
      </c>
      <c r="B428">
        <v>2017</v>
      </c>
      <c r="C428" t="s">
        <v>739</v>
      </c>
      <c r="D428" t="s">
        <v>740</v>
      </c>
      <c r="E428" t="s">
        <v>743</v>
      </c>
      <c r="F428" s="34">
        <v>78</v>
      </c>
      <c r="G428" s="34" t="s">
        <v>53</v>
      </c>
      <c r="H428" s="36">
        <v>36517</v>
      </c>
      <c r="I428" s="58">
        <v>318002</v>
      </c>
      <c r="J428">
        <f>IFERROR(VLOOKUP(G428,'LEAID Match'!$A$2:$B$526,2,FALSE),"")</f>
        <v>2925410</v>
      </c>
      <c r="K428" s="68">
        <f t="shared" si="13"/>
        <v>8</v>
      </c>
    </row>
    <row r="429" spans="1:11" x14ac:dyDescent="0.2">
      <c r="A429">
        <f t="shared" si="12"/>
        <v>2925410</v>
      </c>
      <c r="B429">
        <v>2018</v>
      </c>
      <c r="C429" t="s">
        <v>739</v>
      </c>
      <c r="D429" t="s">
        <v>740</v>
      </c>
      <c r="E429" t="s">
        <v>743</v>
      </c>
      <c r="F429" s="34">
        <v>78</v>
      </c>
      <c r="G429" s="34" t="s">
        <v>53</v>
      </c>
      <c r="H429" s="36">
        <v>42080</v>
      </c>
      <c r="I429" s="58">
        <v>295920</v>
      </c>
      <c r="J429">
        <f>IFERROR(VLOOKUP(G429,'LEAID Match'!$A$2:$B$526,2,FALSE),"")</f>
        <v>2925410</v>
      </c>
      <c r="K429" s="68">
        <f t="shared" si="13"/>
        <v>8</v>
      </c>
    </row>
    <row r="430" spans="1:11" x14ac:dyDescent="0.2">
      <c r="A430">
        <f t="shared" si="12"/>
        <v>2925410</v>
      </c>
      <c r="B430">
        <v>2019</v>
      </c>
      <c r="C430" t="s">
        <v>739</v>
      </c>
      <c r="D430" t="s">
        <v>740</v>
      </c>
      <c r="E430" t="s">
        <v>743</v>
      </c>
      <c r="F430" s="34">
        <v>78</v>
      </c>
      <c r="G430" s="34" t="s">
        <v>53</v>
      </c>
      <c r="H430" s="36">
        <v>38757</v>
      </c>
      <c r="I430" s="58">
        <v>327628</v>
      </c>
      <c r="J430">
        <f>IFERROR(VLOOKUP(G430,'LEAID Match'!$A$2:$B$526,2,FALSE),"")</f>
        <v>2925410</v>
      </c>
      <c r="K430" s="68">
        <f t="shared" si="13"/>
        <v>8</v>
      </c>
    </row>
    <row r="431" spans="1:11" x14ac:dyDescent="0.2">
      <c r="A431">
        <f t="shared" si="12"/>
        <v>2925410</v>
      </c>
      <c r="B431">
        <v>2020</v>
      </c>
      <c r="C431" t="s">
        <v>739</v>
      </c>
      <c r="D431" t="s">
        <v>740</v>
      </c>
      <c r="E431" t="s">
        <v>743</v>
      </c>
      <c r="F431" s="34">
        <v>78</v>
      </c>
      <c r="G431" s="34" t="s">
        <v>53</v>
      </c>
      <c r="H431" s="36">
        <v>39493</v>
      </c>
      <c r="I431" s="58">
        <v>335810</v>
      </c>
      <c r="J431">
        <f>IFERROR(VLOOKUP(G431,'LEAID Match'!$A$2:$B$526,2,FALSE),"")</f>
        <v>2925410</v>
      </c>
      <c r="K431" s="68">
        <f t="shared" si="13"/>
        <v>8</v>
      </c>
    </row>
    <row r="432" spans="1:11" x14ac:dyDescent="0.2">
      <c r="A432">
        <f t="shared" si="12"/>
        <v>2925410</v>
      </c>
      <c r="B432">
        <v>2021</v>
      </c>
      <c r="C432" t="s">
        <v>739</v>
      </c>
      <c r="D432" t="s">
        <v>740</v>
      </c>
      <c r="E432" t="s">
        <v>743</v>
      </c>
      <c r="F432" s="34">
        <v>78</v>
      </c>
      <c r="G432" s="34" t="s">
        <v>53</v>
      </c>
      <c r="H432" s="36">
        <v>41611</v>
      </c>
      <c r="I432" s="58">
        <v>358195</v>
      </c>
      <c r="J432">
        <f>IFERROR(VLOOKUP(G432,'LEAID Match'!$A$2:$B$526,2,FALSE),"")</f>
        <v>2925410</v>
      </c>
      <c r="K432" s="68">
        <f t="shared" si="13"/>
        <v>8</v>
      </c>
    </row>
    <row r="433" spans="1:11" x14ac:dyDescent="0.2">
      <c r="A433">
        <f t="shared" si="12"/>
        <v>2925410</v>
      </c>
      <c r="B433">
        <v>2022</v>
      </c>
      <c r="C433" t="s">
        <v>739</v>
      </c>
      <c r="D433" t="s">
        <v>740</v>
      </c>
      <c r="E433" t="s">
        <v>743</v>
      </c>
      <c r="F433" s="34">
        <v>78</v>
      </c>
      <c r="G433" s="34" t="s">
        <v>53</v>
      </c>
      <c r="H433" s="36">
        <v>46467</v>
      </c>
      <c r="I433" s="58">
        <v>351661</v>
      </c>
      <c r="J433">
        <f>IFERROR(VLOOKUP(G433,'LEAID Match'!$A$2:$B$526,2,FALSE),"")</f>
        <v>2925410</v>
      </c>
      <c r="K433" s="68">
        <f t="shared" si="13"/>
        <v>8</v>
      </c>
    </row>
    <row r="434" spans="1:11" x14ac:dyDescent="0.2">
      <c r="A434">
        <f t="shared" si="12"/>
        <v>2921030</v>
      </c>
      <c r="B434">
        <v>2015</v>
      </c>
      <c r="C434" t="s">
        <v>739</v>
      </c>
      <c r="D434" t="s">
        <v>740</v>
      </c>
      <c r="E434" t="s">
        <v>743</v>
      </c>
      <c r="F434" s="37">
        <v>79</v>
      </c>
      <c r="G434" s="39" t="s">
        <v>54</v>
      </c>
      <c r="H434" s="40">
        <v>5387</v>
      </c>
      <c r="I434" s="58">
        <v>44604</v>
      </c>
      <c r="J434">
        <f>IFERROR(VLOOKUP(G434,'LEAID Match'!$A$2:$B$526,2,FALSE),"")</f>
        <v>2921030</v>
      </c>
      <c r="K434" s="68">
        <f t="shared" si="13"/>
        <v>8</v>
      </c>
    </row>
    <row r="435" spans="1:11" x14ac:dyDescent="0.2">
      <c r="A435">
        <f t="shared" si="12"/>
        <v>2921030</v>
      </c>
      <c r="B435">
        <v>2016</v>
      </c>
      <c r="C435" t="s">
        <v>739</v>
      </c>
      <c r="D435" t="s">
        <v>740</v>
      </c>
      <c r="E435" t="s">
        <v>743</v>
      </c>
      <c r="F435" s="34">
        <v>79</v>
      </c>
      <c r="G435" s="34" t="s">
        <v>54</v>
      </c>
      <c r="H435" s="36">
        <v>5261</v>
      </c>
      <c r="I435" s="60">
        <v>44880</v>
      </c>
      <c r="J435">
        <f>IFERROR(VLOOKUP(G435,'LEAID Match'!$A$2:$B$526,2,FALSE),"")</f>
        <v>2921030</v>
      </c>
      <c r="K435" s="68">
        <f t="shared" si="13"/>
        <v>8</v>
      </c>
    </row>
    <row r="436" spans="1:11" x14ac:dyDescent="0.2">
      <c r="A436">
        <f t="shared" si="12"/>
        <v>2921030</v>
      </c>
      <c r="B436">
        <v>2017</v>
      </c>
      <c r="C436" t="s">
        <v>739</v>
      </c>
      <c r="D436" t="s">
        <v>740</v>
      </c>
      <c r="E436" t="s">
        <v>743</v>
      </c>
      <c r="F436" s="34">
        <v>79</v>
      </c>
      <c r="G436" s="34" t="s">
        <v>54</v>
      </c>
      <c r="H436" s="36">
        <v>6030</v>
      </c>
      <c r="I436" s="58">
        <v>42734</v>
      </c>
      <c r="J436">
        <f>IFERROR(VLOOKUP(G436,'LEAID Match'!$A$2:$B$526,2,FALSE),"")</f>
        <v>2921030</v>
      </c>
      <c r="K436" s="68">
        <f t="shared" si="13"/>
        <v>8</v>
      </c>
    </row>
    <row r="437" spans="1:11" x14ac:dyDescent="0.2">
      <c r="A437">
        <f t="shared" si="12"/>
        <v>2921030</v>
      </c>
      <c r="B437">
        <v>2018</v>
      </c>
      <c r="C437" t="s">
        <v>739</v>
      </c>
      <c r="D437" t="s">
        <v>740</v>
      </c>
      <c r="E437" t="s">
        <v>743</v>
      </c>
      <c r="F437" s="34">
        <v>79</v>
      </c>
      <c r="G437" s="34" t="s">
        <v>54</v>
      </c>
      <c r="H437" s="36">
        <v>6705</v>
      </c>
      <c r="I437" s="58">
        <v>41481</v>
      </c>
      <c r="J437">
        <f>IFERROR(VLOOKUP(G437,'LEAID Match'!$A$2:$B$526,2,FALSE),"")</f>
        <v>2921030</v>
      </c>
      <c r="K437" s="68">
        <f t="shared" si="13"/>
        <v>8</v>
      </c>
    </row>
    <row r="438" spans="1:11" x14ac:dyDescent="0.2">
      <c r="A438">
        <f t="shared" si="12"/>
        <v>2921030</v>
      </c>
      <c r="B438">
        <v>2019</v>
      </c>
      <c r="C438" t="s">
        <v>739</v>
      </c>
      <c r="D438" t="s">
        <v>740</v>
      </c>
      <c r="E438" t="s">
        <v>743</v>
      </c>
      <c r="F438" s="34">
        <v>79</v>
      </c>
      <c r="G438" s="34" t="s">
        <v>54</v>
      </c>
      <c r="H438" s="36">
        <v>6808</v>
      </c>
      <c r="I438" s="58">
        <v>41996</v>
      </c>
      <c r="J438">
        <f>IFERROR(VLOOKUP(G438,'LEAID Match'!$A$2:$B$526,2,FALSE),"")</f>
        <v>2921030</v>
      </c>
      <c r="K438" s="68">
        <f t="shared" si="13"/>
        <v>8</v>
      </c>
    </row>
    <row r="439" spans="1:11" x14ac:dyDescent="0.2">
      <c r="A439">
        <f t="shared" si="12"/>
        <v>2921030</v>
      </c>
      <c r="B439">
        <v>2020</v>
      </c>
      <c r="C439" t="s">
        <v>739</v>
      </c>
      <c r="D439" t="s">
        <v>740</v>
      </c>
      <c r="E439" t="s">
        <v>743</v>
      </c>
      <c r="F439" s="34">
        <v>79</v>
      </c>
      <c r="G439" s="34" t="s">
        <v>54</v>
      </c>
      <c r="H439" s="36">
        <v>7915</v>
      </c>
      <c r="I439" s="58">
        <v>32682</v>
      </c>
      <c r="J439">
        <f>IFERROR(VLOOKUP(G439,'LEAID Match'!$A$2:$B$526,2,FALSE),"")</f>
        <v>2921030</v>
      </c>
      <c r="K439" s="68">
        <f t="shared" si="13"/>
        <v>8</v>
      </c>
    </row>
    <row r="440" spans="1:11" x14ac:dyDescent="0.2">
      <c r="A440">
        <f t="shared" si="12"/>
        <v>2921030</v>
      </c>
      <c r="B440">
        <v>2021</v>
      </c>
      <c r="C440" t="s">
        <v>739</v>
      </c>
      <c r="D440" t="s">
        <v>740</v>
      </c>
      <c r="E440" t="s">
        <v>743</v>
      </c>
      <c r="F440" s="34">
        <v>79</v>
      </c>
      <c r="G440" s="34" t="s">
        <v>54</v>
      </c>
      <c r="H440" s="36">
        <v>6238</v>
      </c>
      <c r="I440" s="58">
        <v>35103</v>
      </c>
      <c r="J440">
        <f>IFERROR(VLOOKUP(G440,'LEAID Match'!$A$2:$B$526,2,FALSE),"")</f>
        <v>2921030</v>
      </c>
      <c r="K440" s="68">
        <f t="shared" si="13"/>
        <v>8</v>
      </c>
    </row>
    <row r="441" spans="1:11" x14ac:dyDescent="0.2">
      <c r="A441">
        <f t="shared" si="12"/>
        <v>2921030</v>
      </c>
      <c r="B441">
        <v>2022</v>
      </c>
      <c r="C441" t="s">
        <v>739</v>
      </c>
      <c r="D441" t="s">
        <v>740</v>
      </c>
      <c r="E441" t="s">
        <v>743</v>
      </c>
      <c r="F441" s="34">
        <v>79</v>
      </c>
      <c r="G441" s="34" t="s">
        <v>54</v>
      </c>
      <c r="H441" s="36">
        <v>5899</v>
      </c>
      <c r="I441" s="58">
        <v>33763</v>
      </c>
      <c r="J441">
        <f>IFERROR(VLOOKUP(G441,'LEAID Match'!$A$2:$B$526,2,FALSE),"")</f>
        <v>2921030</v>
      </c>
      <c r="K441" s="68">
        <f t="shared" si="13"/>
        <v>8</v>
      </c>
    </row>
    <row r="442" spans="1:11" x14ac:dyDescent="0.2">
      <c r="A442">
        <f t="shared" si="12"/>
        <v>2905820</v>
      </c>
      <c r="B442">
        <v>2015</v>
      </c>
      <c r="C442" t="s">
        <v>739</v>
      </c>
      <c r="D442" t="s">
        <v>740</v>
      </c>
      <c r="E442" t="s">
        <v>743</v>
      </c>
      <c r="F442" s="37">
        <v>80</v>
      </c>
      <c r="G442" s="39" t="s">
        <v>55</v>
      </c>
      <c r="H442" s="40">
        <v>22483</v>
      </c>
      <c r="I442" s="58">
        <v>189330</v>
      </c>
      <c r="J442">
        <f>IFERROR(VLOOKUP(G442,'LEAID Match'!$A$2:$B$526,2,FALSE),"")</f>
        <v>2905820</v>
      </c>
      <c r="K442" s="68">
        <f t="shared" si="13"/>
        <v>8</v>
      </c>
    </row>
    <row r="443" spans="1:11" x14ac:dyDescent="0.2">
      <c r="A443">
        <f t="shared" si="12"/>
        <v>2905820</v>
      </c>
      <c r="B443">
        <v>2016</v>
      </c>
      <c r="C443" t="s">
        <v>739</v>
      </c>
      <c r="D443" t="s">
        <v>740</v>
      </c>
      <c r="E443" t="s">
        <v>743</v>
      </c>
      <c r="F443" s="34">
        <v>80</v>
      </c>
      <c r="G443" s="34" t="s">
        <v>55</v>
      </c>
      <c r="H443" s="36">
        <v>23888</v>
      </c>
      <c r="I443" s="60">
        <v>199863</v>
      </c>
      <c r="J443">
        <f>IFERROR(VLOOKUP(G443,'LEAID Match'!$A$2:$B$526,2,FALSE),"")</f>
        <v>2905820</v>
      </c>
      <c r="K443" s="68">
        <f t="shared" si="13"/>
        <v>8</v>
      </c>
    </row>
    <row r="444" spans="1:11" x14ac:dyDescent="0.2">
      <c r="A444">
        <f t="shared" si="12"/>
        <v>2905820</v>
      </c>
      <c r="B444">
        <v>2017</v>
      </c>
      <c r="C444" t="s">
        <v>739</v>
      </c>
      <c r="D444" t="s">
        <v>740</v>
      </c>
      <c r="E444" t="s">
        <v>743</v>
      </c>
      <c r="F444" s="34">
        <v>80</v>
      </c>
      <c r="G444" s="34" t="s">
        <v>55</v>
      </c>
      <c r="H444" s="36">
        <v>26958</v>
      </c>
      <c r="I444" s="58">
        <v>209011</v>
      </c>
      <c r="J444">
        <f>IFERROR(VLOOKUP(G444,'LEAID Match'!$A$2:$B$526,2,FALSE),"")</f>
        <v>2905820</v>
      </c>
      <c r="K444" s="68">
        <f t="shared" si="13"/>
        <v>8</v>
      </c>
    </row>
    <row r="445" spans="1:11" x14ac:dyDescent="0.2">
      <c r="A445">
        <f t="shared" si="12"/>
        <v>2905820</v>
      </c>
      <c r="B445">
        <v>2018</v>
      </c>
      <c r="C445" t="s">
        <v>739</v>
      </c>
      <c r="D445" t="s">
        <v>740</v>
      </c>
      <c r="E445" t="s">
        <v>743</v>
      </c>
      <c r="F445" s="34">
        <v>80</v>
      </c>
      <c r="G445" s="34" t="s">
        <v>55</v>
      </c>
      <c r="H445" s="36">
        <v>31960</v>
      </c>
      <c r="I445" s="58">
        <v>221077</v>
      </c>
      <c r="J445">
        <f>IFERROR(VLOOKUP(G445,'LEAID Match'!$A$2:$B$526,2,FALSE),"")</f>
        <v>2905820</v>
      </c>
      <c r="K445" s="68">
        <f t="shared" si="13"/>
        <v>8</v>
      </c>
    </row>
    <row r="446" spans="1:11" x14ac:dyDescent="0.2">
      <c r="A446">
        <f t="shared" si="12"/>
        <v>2905820</v>
      </c>
      <c r="B446">
        <v>2019</v>
      </c>
      <c r="C446" t="s">
        <v>739</v>
      </c>
      <c r="D446" t="s">
        <v>740</v>
      </c>
      <c r="E446" t="s">
        <v>743</v>
      </c>
      <c r="F446" s="34">
        <v>80</v>
      </c>
      <c r="G446" s="34" t="s">
        <v>55</v>
      </c>
      <c r="H446" s="36">
        <v>33465</v>
      </c>
      <c r="I446" s="58">
        <v>226966</v>
      </c>
      <c r="J446">
        <f>IFERROR(VLOOKUP(G446,'LEAID Match'!$A$2:$B$526,2,FALSE),"")</f>
        <v>2905820</v>
      </c>
      <c r="K446" s="68">
        <f t="shared" si="13"/>
        <v>8</v>
      </c>
    </row>
    <row r="447" spans="1:11" x14ac:dyDescent="0.2">
      <c r="A447">
        <f t="shared" si="12"/>
        <v>2905820</v>
      </c>
      <c r="B447">
        <v>2020</v>
      </c>
      <c r="C447" t="s">
        <v>739</v>
      </c>
      <c r="D447" t="s">
        <v>740</v>
      </c>
      <c r="E447" t="s">
        <v>743</v>
      </c>
      <c r="F447" s="34">
        <v>80</v>
      </c>
      <c r="G447" s="34" t="s">
        <v>55</v>
      </c>
      <c r="H447" s="36">
        <v>33239</v>
      </c>
      <c r="I447" s="58">
        <v>226643</v>
      </c>
      <c r="J447">
        <f>IFERROR(VLOOKUP(G447,'LEAID Match'!$A$2:$B$526,2,FALSE),"")</f>
        <v>2905820</v>
      </c>
      <c r="K447" s="68">
        <f t="shared" si="13"/>
        <v>8</v>
      </c>
    </row>
    <row r="448" spans="1:11" x14ac:dyDescent="0.2">
      <c r="A448">
        <f t="shared" si="12"/>
        <v>2905820</v>
      </c>
      <c r="B448">
        <v>2021</v>
      </c>
      <c r="C448" t="s">
        <v>739</v>
      </c>
      <c r="D448" t="s">
        <v>740</v>
      </c>
      <c r="E448" t="s">
        <v>743</v>
      </c>
      <c r="F448" s="34">
        <v>80</v>
      </c>
      <c r="G448" s="34" t="s">
        <v>55</v>
      </c>
      <c r="H448" s="36">
        <v>30874</v>
      </c>
      <c r="I448" s="58">
        <v>227191</v>
      </c>
      <c r="J448">
        <f>IFERROR(VLOOKUP(G448,'LEAID Match'!$A$2:$B$526,2,FALSE),"")</f>
        <v>2905820</v>
      </c>
      <c r="K448" s="68">
        <f t="shared" si="13"/>
        <v>8</v>
      </c>
    </row>
    <row r="449" spans="1:11" x14ac:dyDescent="0.2">
      <c r="A449">
        <f t="shared" si="12"/>
        <v>2905820</v>
      </c>
      <c r="B449">
        <v>2022</v>
      </c>
      <c r="C449" t="s">
        <v>739</v>
      </c>
      <c r="D449" t="s">
        <v>740</v>
      </c>
      <c r="E449" t="s">
        <v>743</v>
      </c>
      <c r="F449" s="34">
        <v>80</v>
      </c>
      <c r="G449" s="34" t="s">
        <v>55</v>
      </c>
      <c r="H449" s="36">
        <v>38364</v>
      </c>
      <c r="I449" s="58">
        <v>235283</v>
      </c>
      <c r="J449">
        <f>IFERROR(VLOOKUP(G449,'LEAID Match'!$A$2:$B$526,2,FALSE),"")</f>
        <v>2905820</v>
      </c>
      <c r="K449" s="68">
        <f t="shared" si="13"/>
        <v>8</v>
      </c>
    </row>
    <row r="450" spans="1:11" x14ac:dyDescent="0.2">
      <c r="A450">
        <f t="shared" si="12"/>
        <v>2916620</v>
      </c>
      <c r="B450">
        <v>2015</v>
      </c>
      <c r="C450" t="s">
        <v>739</v>
      </c>
      <c r="D450" t="s">
        <v>740</v>
      </c>
      <c r="E450" t="s">
        <v>743</v>
      </c>
      <c r="F450" s="37">
        <v>82</v>
      </c>
      <c r="G450" s="39" t="s">
        <v>56</v>
      </c>
      <c r="H450" s="40">
        <v>2874</v>
      </c>
      <c r="I450" s="58">
        <v>36954</v>
      </c>
      <c r="J450">
        <f>IFERROR(VLOOKUP(G450,'LEAID Match'!$A$2:$B$526,2,FALSE),"")</f>
        <v>2916620</v>
      </c>
      <c r="K450" s="68">
        <f t="shared" si="13"/>
        <v>8</v>
      </c>
    </row>
    <row r="451" spans="1:11" x14ac:dyDescent="0.2">
      <c r="A451">
        <f t="shared" ref="A451:A514" si="14">J451</f>
        <v>2916620</v>
      </c>
      <c r="B451">
        <v>2016</v>
      </c>
      <c r="C451" t="s">
        <v>739</v>
      </c>
      <c r="D451" t="s">
        <v>740</v>
      </c>
      <c r="E451" t="s">
        <v>743</v>
      </c>
      <c r="F451" s="34">
        <v>82</v>
      </c>
      <c r="G451" s="34" t="s">
        <v>56</v>
      </c>
      <c r="H451" s="36">
        <v>2848</v>
      </c>
      <c r="I451" s="60">
        <v>38095</v>
      </c>
      <c r="J451">
        <f>IFERROR(VLOOKUP(G451,'LEAID Match'!$A$2:$B$526,2,FALSE),"")</f>
        <v>2916620</v>
      </c>
      <c r="K451" s="68">
        <f t="shared" ref="K451:K514" si="15">COUNTIF($J$2:$J$4295,J451)</f>
        <v>8</v>
      </c>
    </row>
    <row r="452" spans="1:11" x14ac:dyDescent="0.2">
      <c r="A452">
        <f t="shared" si="14"/>
        <v>2916620</v>
      </c>
      <c r="B452">
        <v>2017</v>
      </c>
      <c r="C452" t="s">
        <v>739</v>
      </c>
      <c r="D452" t="s">
        <v>740</v>
      </c>
      <c r="E452" t="s">
        <v>743</v>
      </c>
      <c r="F452" s="34">
        <v>82</v>
      </c>
      <c r="G452" s="34" t="s">
        <v>56</v>
      </c>
      <c r="H452" s="36">
        <v>3031</v>
      </c>
      <c r="I452" s="58">
        <v>37902</v>
      </c>
      <c r="J452">
        <f>IFERROR(VLOOKUP(G452,'LEAID Match'!$A$2:$B$526,2,FALSE),"")</f>
        <v>2916620</v>
      </c>
      <c r="K452" s="68">
        <f t="shared" si="15"/>
        <v>8</v>
      </c>
    </row>
    <row r="453" spans="1:11" x14ac:dyDescent="0.2">
      <c r="A453">
        <f t="shared" si="14"/>
        <v>2916620</v>
      </c>
      <c r="B453">
        <v>2018</v>
      </c>
      <c r="C453" t="s">
        <v>739</v>
      </c>
      <c r="D453" t="s">
        <v>740</v>
      </c>
      <c r="E453" t="s">
        <v>743</v>
      </c>
      <c r="F453" s="34">
        <v>82</v>
      </c>
      <c r="G453" s="34" t="s">
        <v>56</v>
      </c>
      <c r="H453" s="36">
        <v>3019</v>
      </c>
      <c r="I453" s="58">
        <v>38525</v>
      </c>
      <c r="J453">
        <f>IFERROR(VLOOKUP(G453,'LEAID Match'!$A$2:$B$526,2,FALSE),"")</f>
        <v>2916620</v>
      </c>
      <c r="K453" s="68">
        <f t="shared" si="15"/>
        <v>8</v>
      </c>
    </row>
    <row r="454" spans="1:11" x14ac:dyDescent="0.2">
      <c r="A454">
        <f t="shared" si="14"/>
        <v>2916620</v>
      </c>
      <c r="B454">
        <v>2019</v>
      </c>
      <c r="C454" t="s">
        <v>739</v>
      </c>
      <c r="D454" t="s">
        <v>740</v>
      </c>
      <c r="E454" t="s">
        <v>743</v>
      </c>
      <c r="F454" s="34">
        <v>82</v>
      </c>
      <c r="G454" s="34" t="s">
        <v>56</v>
      </c>
      <c r="H454" s="36">
        <v>3835</v>
      </c>
      <c r="I454" s="58">
        <v>40735</v>
      </c>
      <c r="J454">
        <f>IFERROR(VLOOKUP(G454,'LEAID Match'!$A$2:$B$526,2,FALSE),"")</f>
        <v>2916620</v>
      </c>
      <c r="K454" s="68">
        <f t="shared" si="15"/>
        <v>8</v>
      </c>
    </row>
    <row r="455" spans="1:11" x14ac:dyDescent="0.2">
      <c r="A455">
        <f t="shared" si="14"/>
        <v>2916620</v>
      </c>
      <c r="B455">
        <v>2020</v>
      </c>
      <c r="C455" t="s">
        <v>739</v>
      </c>
      <c r="D455" t="s">
        <v>740</v>
      </c>
      <c r="E455" t="s">
        <v>743</v>
      </c>
      <c r="F455" s="34">
        <v>82</v>
      </c>
      <c r="G455" s="34" t="s">
        <v>56</v>
      </c>
      <c r="H455" s="36">
        <v>4408</v>
      </c>
      <c r="I455" s="58">
        <v>36707</v>
      </c>
      <c r="J455">
        <f>IFERROR(VLOOKUP(G455,'LEAID Match'!$A$2:$B$526,2,FALSE),"")</f>
        <v>2916620</v>
      </c>
      <c r="K455" s="68">
        <f t="shared" si="15"/>
        <v>8</v>
      </c>
    </row>
    <row r="456" spans="1:11" x14ac:dyDescent="0.2">
      <c r="A456">
        <f t="shared" si="14"/>
        <v>2916620</v>
      </c>
      <c r="B456">
        <v>2021</v>
      </c>
      <c r="C456" t="s">
        <v>739</v>
      </c>
      <c r="D456" t="s">
        <v>740</v>
      </c>
      <c r="E456" t="s">
        <v>743</v>
      </c>
      <c r="F456" s="34">
        <v>82</v>
      </c>
      <c r="G456" s="34" t="s">
        <v>56</v>
      </c>
      <c r="H456" s="36">
        <v>3636</v>
      </c>
      <c r="I456" s="58">
        <v>39630</v>
      </c>
      <c r="J456">
        <f>IFERROR(VLOOKUP(G456,'LEAID Match'!$A$2:$B$526,2,FALSE),"")</f>
        <v>2916620</v>
      </c>
      <c r="K456" s="68">
        <f t="shared" si="15"/>
        <v>8</v>
      </c>
    </row>
    <row r="457" spans="1:11" x14ac:dyDescent="0.2">
      <c r="A457">
        <f t="shared" si="14"/>
        <v>2916620</v>
      </c>
      <c r="B457">
        <v>2022</v>
      </c>
      <c r="C457" t="s">
        <v>739</v>
      </c>
      <c r="D457" t="s">
        <v>740</v>
      </c>
      <c r="E457" t="s">
        <v>743</v>
      </c>
      <c r="F457" s="34">
        <v>82</v>
      </c>
      <c r="G457" s="34" t="s">
        <v>56</v>
      </c>
      <c r="H457" s="36">
        <v>4226</v>
      </c>
      <c r="I457" s="58">
        <v>37497</v>
      </c>
      <c r="J457">
        <f>IFERROR(VLOOKUP(G457,'LEAID Match'!$A$2:$B$526,2,FALSE),"")</f>
        <v>2916620</v>
      </c>
      <c r="K457" s="68">
        <f t="shared" si="15"/>
        <v>8</v>
      </c>
    </row>
    <row r="458" spans="1:11" x14ac:dyDescent="0.2">
      <c r="A458">
        <f t="shared" si="14"/>
        <v>2922740</v>
      </c>
      <c r="B458">
        <v>2015</v>
      </c>
      <c r="C458" t="s">
        <v>739</v>
      </c>
      <c r="D458" t="s">
        <v>740</v>
      </c>
      <c r="E458" t="s">
        <v>743</v>
      </c>
      <c r="F458" s="37">
        <v>83</v>
      </c>
      <c r="G458" s="34" t="s">
        <v>547</v>
      </c>
      <c r="H458" s="40">
        <v>70295</v>
      </c>
      <c r="I458" s="58">
        <v>755534</v>
      </c>
      <c r="J458">
        <f>IFERROR(VLOOKUP(G458,'LEAID Match'!$A$2:$B$526,2,FALSE),"")</f>
        <v>2922740</v>
      </c>
      <c r="K458" s="68">
        <f t="shared" si="15"/>
        <v>8</v>
      </c>
    </row>
    <row r="459" spans="1:11" x14ac:dyDescent="0.2">
      <c r="A459">
        <f t="shared" si="14"/>
        <v>2922740</v>
      </c>
      <c r="B459">
        <v>2016</v>
      </c>
      <c r="C459" t="s">
        <v>739</v>
      </c>
      <c r="D459" t="s">
        <v>740</v>
      </c>
      <c r="E459" t="s">
        <v>743</v>
      </c>
      <c r="F459" s="34">
        <v>83</v>
      </c>
      <c r="G459" s="34" t="s">
        <v>547</v>
      </c>
      <c r="H459" s="36">
        <v>76012</v>
      </c>
      <c r="I459" s="60">
        <v>713372</v>
      </c>
      <c r="J459">
        <f>IFERROR(VLOOKUP(G459,'LEAID Match'!$A$2:$B$526,2,FALSE),"")</f>
        <v>2922740</v>
      </c>
      <c r="K459" s="68">
        <f t="shared" si="15"/>
        <v>8</v>
      </c>
    </row>
    <row r="460" spans="1:11" x14ac:dyDescent="0.2">
      <c r="A460">
        <f t="shared" si="14"/>
        <v>2922740</v>
      </c>
      <c r="B460">
        <v>2017</v>
      </c>
      <c r="C460" t="s">
        <v>739</v>
      </c>
      <c r="D460" t="s">
        <v>740</v>
      </c>
      <c r="E460" t="s">
        <v>743</v>
      </c>
      <c r="F460" s="34">
        <v>83</v>
      </c>
      <c r="G460" s="34" t="s">
        <v>547</v>
      </c>
      <c r="H460" s="36">
        <v>85686</v>
      </c>
      <c r="I460" s="58">
        <v>711879</v>
      </c>
      <c r="J460">
        <f>IFERROR(VLOOKUP(G460,'LEAID Match'!$A$2:$B$526,2,FALSE),"")</f>
        <v>2922740</v>
      </c>
      <c r="K460" s="68">
        <f t="shared" si="15"/>
        <v>8</v>
      </c>
    </row>
    <row r="461" spans="1:11" x14ac:dyDescent="0.2">
      <c r="A461">
        <f t="shared" si="14"/>
        <v>2922740</v>
      </c>
      <c r="B461">
        <v>2018</v>
      </c>
      <c r="C461" t="s">
        <v>739</v>
      </c>
      <c r="D461" t="s">
        <v>740</v>
      </c>
      <c r="E461" t="s">
        <v>743</v>
      </c>
      <c r="F461" s="34">
        <v>83</v>
      </c>
      <c r="G461" s="34" t="s">
        <v>547</v>
      </c>
      <c r="H461" s="36">
        <v>99287</v>
      </c>
      <c r="I461" s="58">
        <v>720511</v>
      </c>
      <c r="J461">
        <f>IFERROR(VLOOKUP(G461,'LEAID Match'!$A$2:$B$526,2,FALSE),"")</f>
        <v>2922740</v>
      </c>
      <c r="K461" s="68">
        <f t="shared" si="15"/>
        <v>8</v>
      </c>
    </row>
    <row r="462" spans="1:11" x14ac:dyDescent="0.2">
      <c r="A462">
        <f t="shared" si="14"/>
        <v>2922740</v>
      </c>
      <c r="B462">
        <v>2019</v>
      </c>
      <c r="C462" t="s">
        <v>739</v>
      </c>
      <c r="D462" t="s">
        <v>740</v>
      </c>
      <c r="E462" t="s">
        <v>743</v>
      </c>
      <c r="F462" s="34">
        <v>83</v>
      </c>
      <c r="G462" s="34" t="s">
        <v>547</v>
      </c>
      <c r="H462" s="36">
        <v>99131</v>
      </c>
      <c r="I462" s="58">
        <v>791151</v>
      </c>
      <c r="J462">
        <f>IFERROR(VLOOKUP(G462,'LEAID Match'!$A$2:$B$526,2,FALSE),"")</f>
        <v>2922740</v>
      </c>
      <c r="K462" s="68">
        <f t="shared" si="15"/>
        <v>8</v>
      </c>
    </row>
    <row r="463" spans="1:11" x14ac:dyDescent="0.2">
      <c r="A463">
        <f t="shared" si="14"/>
        <v>2922740</v>
      </c>
      <c r="B463">
        <v>2020</v>
      </c>
      <c r="C463" t="s">
        <v>739</v>
      </c>
      <c r="D463" t="s">
        <v>740</v>
      </c>
      <c r="E463" t="s">
        <v>743</v>
      </c>
      <c r="F463" s="34">
        <v>83</v>
      </c>
      <c r="G463" s="34" t="s">
        <v>547</v>
      </c>
      <c r="H463" s="36">
        <v>99075</v>
      </c>
      <c r="I463" s="58">
        <v>770896</v>
      </c>
      <c r="J463">
        <f>IFERROR(VLOOKUP(G463,'LEAID Match'!$A$2:$B$526,2,FALSE),"")</f>
        <v>2922740</v>
      </c>
      <c r="K463" s="68">
        <f t="shared" si="15"/>
        <v>8</v>
      </c>
    </row>
    <row r="464" spans="1:11" x14ac:dyDescent="0.2">
      <c r="A464">
        <f t="shared" si="14"/>
        <v>2922740</v>
      </c>
      <c r="B464">
        <v>2021</v>
      </c>
      <c r="C464" t="s">
        <v>739</v>
      </c>
      <c r="D464" t="s">
        <v>740</v>
      </c>
      <c r="E464" t="s">
        <v>743</v>
      </c>
      <c r="F464" s="34">
        <v>83</v>
      </c>
      <c r="G464" s="34" t="s">
        <v>547</v>
      </c>
      <c r="H464" s="36">
        <v>108900</v>
      </c>
      <c r="I464" s="58">
        <v>767232</v>
      </c>
      <c r="J464">
        <f>IFERROR(VLOOKUP(G464,'LEAID Match'!$A$2:$B$526,2,FALSE),"")</f>
        <v>2922740</v>
      </c>
      <c r="K464" s="68">
        <f t="shared" si="15"/>
        <v>8</v>
      </c>
    </row>
    <row r="465" spans="1:11" x14ac:dyDescent="0.2">
      <c r="A465">
        <f t="shared" si="14"/>
        <v>2922740</v>
      </c>
      <c r="B465">
        <v>2022</v>
      </c>
      <c r="C465" t="s">
        <v>739</v>
      </c>
      <c r="D465" t="s">
        <v>740</v>
      </c>
      <c r="E465" t="s">
        <v>743</v>
      </c>
      <c r="F465" s="34">
        <v>83</v>
      </c>
      <c r="G465" s="34" t="s">
        <v>547</v>
      </c>
      <c r="H465" s="36">
        <v>105803</v>
      </c>
      <c r="I465" s="58">
        <v>788978</v>
      </c>
      <c r="J465">
        <f>IFERROR(VLOOKUP(G465,'LEAID Match'!$A$2:$B$526,2,FALSE),"")</f>
        <v>2922740</v>
      </c>
      <c r="K465" s="68">
        <f t="shared" si="15"/>
        <v>8</v>
      </c>
    </row>
    <row r="466" spans="1:11" x14ac:dyDescent="0.2">
      <c r="A466">
        <f t="shared" si="14"/>
        <v>2928430</v>
      </c>
      <c r="B466">
        <v>2015</v>
      </c>
      <c r="C466" t="s">
        <v>739</v>
      </c>
      <c r="D466" t="s">
        <v>740</v>
      </c>
      <c r="E466" t="s">
        <v>743</v>
      </c>
      <c r="F466" s="37">
        <v>84</v>
      </c>
      <c r="G466" s="39" t="s">
        <v>85</v>
      </c>
      <c r="H466" s="40">
        <v>109521</v>
      </c>
      <c r="I466" s="58">
        <v>674887</v>
      </c>
      <c r="J466">
        <f>IFERROR(VLOOKUP(G466,'LEAID Match'!$A$2:$B$526,2,FALSE),"")</f>
        <v>2928430</v>
      </c>
      <c r="K466" s="68">
        <f t="shared" si="15"/>
        <v>8</v>
      </c>
    </row>
    <row r="467" spans="1:11" x14ac:dyDescent="0.2">
      <c r="A467">
        <f t="shared" si="14"/>
        <v>2928430</v>
      </c>
      <c r="B467">
        <v>2016</v>
      </c>
      <c r="C467" t="s">
        <v>739</v>
      </c>
      <c r="D467" t="s">
        <v>740</v>
      </c>
      <c r="E467" t="s">
        <v>743</v>
      </c>
      <c r="F467" s="34">
        <v>84</v>
      </c>
      <c r="G467" s="34" t="s">
        <v>85</v>
      </c>
      <c r="H467" s="36">
        <v>113607</v>
      </c>
      <c r="I467" s="60">
        <v>670234</v>
      </c>
      <c r="J467">
        <f>IFERROR(VLOOKUP(G467,'LEAID Match'!$A$2:$B$526,2,FALSE),"")</f>
        <v>2928430</v>
      </c>
      <c r="K467" s="68">
        <f t="shared" si="15"/>
        <v>8</v>
      </c>
    </row>
    <row r="468" spans="1:11" x14ac:dyDescent="0.2">
      <c r="A468">
        <f t="shared" si="14"/>
        <v>2928430</v>
      </c>
      <c r="B468">
        <v>2017</v>
      </c>
      <c r="C468" t="s">
        <v>739</v>
      </c>
      <c r="D468" t="s">
        <v>740</v>
      </c>
      <c r="E468" t="s">
        <v>743</v>
      </c>
      <c r="F468" s="34">
        <v>84</v>
      </c>
      <c r="G468" s="34" t="s">
        <v>85</v>
      </c>
      <c r="H468" s="36">
        <v>110572</v>
      </c>
      <c r="I468" s="58">
        <v>652459</v>
      </c>
      <c r="J468">
        <f>IFERROR(VLOOKUP(G468,'LEAID Match'!$A$2:$B$526,2,FALSE),"")</f>
        <v>2928430</v>
      </c>
      <c r="K468" s="68">
        <f t="shared" si="15"/>
        <v>8</v>
      </c>
    </row>
    <row r="469" spans="1:11" x14ac:dyDescent="0.2">
      <c r="A469">
        <f t="shared" si="14"/>
        <v>2928430</v>
      </c>
      <c r="B469">
        <v>2018</v>
      </c>
      <c r="C469" t="s">
        <v>739</v>
      </c>
      <c r="D469" t="s">
        <v>740</v>
      </c>
      <c r="E469" t="s">
        <v>743</v>
      </c>
      <c r="F469" s="34">
        <v>84</v>
      </c>
      <c r="G469" s="34" t="s">
        <v>85</v>
      </c>
      <c r="H469" s="36">
        <v>112385</v>
      </c>
      <c r="I469" s="58">
        <v>646984</v>
      </c>
      <c r="J469">
        <f>IFERROR(VLOOKUP(G469,'LEAID Match'!$A$2:$B$526,2,FALSE),"")</f>
        <v>2928430</v>
      </c>
      <c r="K469" s="68">
        <f t="shared" si="15"/>
        <v>8</v>
      </c>
    </row>
    <row r="470" spans="1:11" x14ac:dyDescent="0.2">
      <c r="A470">
        <f t="shared" si="14"/>
        <v>2928430</v>
      </c>
      <c r="B470">
        <v>2019</v>
      </c>
      <c r="C470" t="s">
        <v>739</v>
      </c>
      <c r="D470" t="s">
        <v>740</v>
      </c>
      <c r="E470" t="s">
        <v>743</v>
      </c>
      <c r="F470" s="34">
        <v>84</v>
      </c>
      <c r="G470" s="34" t="s">
        <v>85</v>
      </c>
      <c r="H470" s="36">
        <v>128498</v>
      </c>
      <c r="I470" s="58">
        <v>666653</v>
      </c>
      <c r="J470">
        <f>IFERROR(VLOOKUP(G470,'LEAID Match'!$A$2:$B$526,2,FALSE),"")</f>
        <v>2928430</v>
      </c>
      <c r="K470" s="68">
        <f t="shared" si="15"/>
        <v>8</v>
      </c>
    </row>
    <row r="471" spans="1:11" x14ac:dyDescent="0.2">
      <c r="A471">
        <f t="shared" si="14"/>
        <v>2928430</v>
      </c>
      <c r="B471">
        <v>2020</v>
      </c>
      <c r="C471" t="s">
        <v>739</v>
      </c>
      <c r="D471" t="s">
        <v>740</v>
      </c>
      <c r="E471" t="s">
        <v>743</v>
      </c>
      <c r="F471" s="34">
        <v>84</v>
      </c>
      <c r="G471" s="34" t="s">
        <v>85</v>
      </c>
      <c r="H471" s="36">
        <v>125245</v>
      </c>
      <c r="I471" s="58">
        <v>673790</v>
      </c>
      <c r="J471">
        <f>IFERROR(VLOOKUP(G471,'LEAID Match'!$A$2:$B$526,2,FALSE),"")</f>
        <v>2928430</v>
      </c>
      <c r="K471" s="68">
        <f t="shared" si="15"/>
        <v>8</v>
      </c>
    </row>
    <row r="472" spans="1:11" x14ac:dyDescent="0.2">
      <c r="A472">
        <f t="shared" si="14"/>
        <v>2928430</v>
      </c>
      <c r="B472">
        <v>2021</v>
      </c>
      <c r="C472" t="s">
        <v>739</v>
      </c>
      <c r="D472" t="s">
        <v>740</v>
      </c>
      <c r="E472" t="s">
        <v>743</v>
      </c>
      <c r="F472" s="34">
        <v>84</v>
      </c>
      <c r="G472" s="34" t="s">
        <v>85</v>
      </c>
      <c r="H472" s="36">
        <v>123030</v>
      </c>
      <c r="I472" s="58">
        <v>689494</v>
      </c>
      <c r="J472">
        <f>IFERROR(VLOOKUP(G472,'LEAID Match'!$A$2:$B$526,2,FALSE),"")</f>
        <v>2928430</v>
      </c>
      <c r="K472" s="68">
        <f t="shared" si="15"/>
        <v>8</v>
      </c>
    </row>
    <row r="473" spans="1:11" x14ac:dyDescent="0.2">
      <c r="A473">
        <f t="shared" si="14"/>
        <v>2928430</v>
      </c>
      <c r="B473">
        <v>2022</v>
      </c>
      <c r="C473" t="s">
        <v>739</v>
      </c>
      <c r="D473" t="s">
        <v>740</v>
      </c>
      <c r="E473" t="s">
        <v>743</v>
      </c>
      <c r="F473" s="34">
        <v>84</v>
      </c>
      <c r="G473" s="34" t="s">
        <v>85</v>
      </c>
      <c r="H473" s="36">
        <v>121691</v>
      </c>
      <c r="I473" s="58">
        <v>695142</v>
      </c>
      <c r="J473">
        <f>IFERROR(VLOOKUP(G473,'LEAID Match'!$A$2:$B$526,2,FALSE),"")</f>
        <v>2928430</v>
      </c>
      <c r="K473" s="68">
        <f t="shared" si="15"/>
        <v>8</v>
      </c>
    </row>
    <row r="474" spans="1:11" x14ac:dyDescent="0.2">
      <c r="A474" t="str">
        <f t="shared" si="14"/>
        <v/>
      </c>
      <c r="B474">
        <v>2015</v>
      </c>
      <c r="C474" t="s">
        <v>739</v>
      </c>
      <c r="D474" t="s">
        <v>740</v>
      </c>
      <c r="E474" t="s">
        <v>743</v>
      </c>
      <c r="F474" s="37">
        <v>85</v>
      </c>
      <c r="G474" s="39" t="s">
        <v>58</v>
      </c>
      <c r="H474" s="40">
        <v>47956</v>
      </c>
      <c r="I474" s="58">
        <v>358007</v>
      </c>
      <c r="J474" t="str">
        <f>IFERROR(VLOOKUP(G474,'LEAID Match'!$A$2:$B$526,2,FALSE),"")</f>
        <v/>
      </c>
      <c r="K474" s="68">
        <f t="shared" si="15"/>
        <v>216</v>
      </c>
    </row>
    <row r="475" spans="1:11" x14ac:dyDescent="0.2">
      <c r="A475" t="str">
        <f t="shared" si="14"/>
        <v/>
      </c>
      <c r="B475">
        <v>2016</v>
      </c>
      <c r="C475" t="s">
        <v>739</v>
      </c>
      <c r="D475" t="s">
        <v>740</v>
      </c>
      <c r="E475" t="s">
        <v>743</v>
      </c>
      <c r="F475" s="34">
        <v>85</v>
      </c>
      <c r="G475" s="34" t="s">
        <v>58</v>
      </c>
      <c r="H475" s="36">
        <v>50957</v>
      </c>
      <c r="I475" s="60">
        <v>380434</v>
      </c>
      <c r="J475" t="str">
        <f>IFERROR(VLOOKUP(G475,'LEAID Match'!$A$2:$B$526,2,FALSE),"")</f>
        <v/>
      </c>
      <c r="K475" s="68">
        <f t="shared" si="15"/>
        <v>216</v>
      </c>
    </row>
    <row r="476" spans="1:11" x14ac:dyDescent="0.2">
      <c r="A476" t="str">
        <f t="shared" si="14"/>
        <v/>
      </c>
      <c r="B476">
        <v>2017</v>
      </c>
      <c r="C476" t="s">
        <v>739</v>
      </c>
      <c r="D476" t="s">
        <v>740</v>
      </c>
      <c r="E476" t="s">
        <v>743</v>
      </c>
      <c r="F476" s="34">
        <v>85</v>
      </c>
      <c r="G476" s="34" t="s">
        <v>58</v>
      </c>
      <c r="H476" s="36">
        <v>48298</v>
      </c>
      <c r="I476" s="58">
        <v>390755</v>
      </c>
      <c r="J476" t="str">
        <f>IFERROR(VLOOKUP(G476,'LEAID Match'!$A$2:$B$526,2,FALSE),"")</f>
        <v/>
      </c>
      <c r="K476" s="68">
        <f t="shared" si="15"/>
        <v>216</v>
      </c>
    </row>
    <row r="477" spans="1:11" x14ac:dyDescent="0.2">
      <c r="A477" t="str">
        <f t="shared" si="14"/>
        <v/>
      </c>
      <c r="B477">
        <v>2018</v>
      </c>
      <c r="C477" t="s">
        <v>739</v>
      </c>
      <c r="D477" t="s">
        <v>740</v>
      </c>
      <c r="E477" t="s">
        <v>743</v>
      </c>
      <c r="F477" s="34">
        <v>85</v>
      </c>
      <c r="G477" s="34" t="s">
        <v>58</v>
      </c>
      <c r="H477" s="36">
        <v>51988</v>
      </c>
      <c r="I477" s="58">
        <v>396238</v>
      </c>
      <c r="J477" t="str">
        <f>IFERROR(VLOOKUP(G477,'LEAID Match'!$A$2:$B$526,2,FALSE),"")</f>
        <v/>
      </c>
      <c r="K477" s="68">
        <f t="shared" si="15"/>
        <v>216</v>
      </c>
    </row>
    <row r="478" spans="1:11" x14ac:dyDescent="0.2">
      <c r="A478" t="str">
        <f t="shared" si="14"/>
        <v/>
      </c>
      <c r="B478">
        <v>2019</v>
      </c>
      <c r="C478" t="s">
        <v>739</v>
      </c>
      <c r="D478" t="s">
        <v>740</v>
      </c>
      <c r="E478" t="s">
        <v>743</v>
      </c>
      <c r="F478" s="34">
        <v>85</v>
      </c>
      <c r="G478" s="34" t="s">
        <v>58</v>
      </c>
      <c r="H478" s="36">
        <v>50096</v>
      </c>
      <c r="I478" s="58">
        <v>396171</v>
      </c>
      <c r="J478" t="str">
        <f>IFERROR(VLOOKUP(G478,'LEAID Match'!$A$2:$B$526,2,FALSE),"")</f>
        <v/>
      </c>
      <c r="K478" s="68">
        <f t="shared" si="15"/>
        <v>216</v>
      </c>
    </row>
    <row r="479" spans="1:11" x14ac:dyDescent="0.2">
      <c r="A479" t="str">
        <f t="shared" si="14"/>
        <v/>
      </c>
      <c r="B479">
        <v>2020</v>
      </c>
      <c r="C479" t="s">
        <v>739</v>
      </c>
      <c r="D479" t="s">
        <v>740</v>
      </c>
      <c r="E479" t="s">
        <v>743</v>
      </c>
      <c r="F479" s="34">
        <v>85</v>
      </c>
      <c r="G479" s="34" t="s">
        <v>58</v>
      </c>
      <c r="H479" s="36">
        <v>54138</v>
      </c>
      <c r="I479" s="58">
        <v>408392</v>
      </c>
      <c r="J479" t="str">
        <f>IFERROR(VLOOKUP(G479,'LEAID Match'!$A$2:$B$526,2,FALSE),"")</f>
        <v/>
      </c>
      <c r="K479" s="68">
        <f t="shared" si="15"/>
        <v>216</v>
      </c>
    </row>
    <row r="480" spans="1:11" x14ac:dyDescent="0.2">
      <c r="A480" t="str">
        <f t="shared" si="14"/>
        <v/>
      </c>
      <c r="B480">
        <v>2021</v>
      </c>
      <c r="C480" t="s">
        <v>739</v>
      </c>
      <c r="D480" t="s">
        <v>740</v>
      </c>
      <c r="E480" t="s">
        <v>743</v>
      </c>
      <c r="F480" s="34">
        <v>85</v>
      </c>
      <c r="G480" s="34" t="s">
        <v>58</v>
      </c>
      <c r="H480" s="36">
        <v>58485</v>
      </c>
      <c r="I480" s="58">
        <v>399310</v>
      </c>
      <c r="J480" t="str">
        <f>IFERROR(VLOOKUP(G480,'LEAID Match'!$A$2:$B$526,2,FALSE),"")</f>
        <v/>
      </c>
      <c r="K480" s="68">
        <f t="shared" si="15"/>
        <v>216</v>
      </c>
    </row>
    <row r="481" spans="1:11" x14ac:dyDescent="0.2">
      <c r="A481" t="str">
        <f t="shared" si="14"/>
        <v/>
      </c>
      <c r="B481">
        <v>2022</v>
      </c>
      <c r="C481" t="s">
        <v>739</v>
      </c>
      <c r="D481" t="s">
        <v>740</v>
      </c>
      <c r="E481" t="s">
        <v>743</v>
      </c>
      <c r="F481" s="34">
        <v>85</v>
      </c>
      <c r="G481" s="34" t="s">
        <v>58</v>
      </c>
      <c r="H481" s="36">
        <v>55527</v>
      </c>
      <c r="I481" s="58">
        <v>434890</v>
      </c>
      <c r="J481" t="str">
        <f>IFERROR(VLOOKUP(G481,'LEAID Match'!$A$2:$B$526,2,FALSE),"")</f>
        <v/>
      </c>
      <c r="K481" s="68">
        <f t="shared" si="15"/>
        <v>216</v>
      </c>
    </row>
    <row r="482" spans="1:11" x14ac:dyDescent="0.2">
      <c r="A482">
        <f t="shared" si="14"/>
        <v>2912550</v>
      </c>
      <c r="B482">
        <v>2015</v>
      </c>
      <c r="C482" t="s">
        <v>739</v>
      </c>
      <c r="D482" t="s">
        <v>740</v>
      </c>
      <c r="E482" t="s">
        <v>743</v>
      </c>
      <c r="F482" s="37">
        <v>86</v>
      </c>
      <c r="G482" s="39" t="s">
        <v>59</v>
      </c>
      <c r="H482" s="40">
        <v>223961</v>
      </c>
      <c r="I482" s="58">
        <v>1356299</v>
      </c>
      <c r="J482">
        <f>IFERROR(VLOOKUP(G482,'LEAID Match'!$A$2:$B$526,2,FALSE),"")</f>
        <v>2912550</v>
      </c>
      <c r="K482" s="68">
        <f t="shared" si="15"/>
        <v>8</v>
      </c>
    </row>
    <row r="483" spans="1:11" x14ac:dyDescent="0.2">
      <c r="A483">
        <f t="shared" si="14"/>
        <v>2912550</v>
      </c>
      <c r="B483">
        <v>2016</v>
      </c>
      <c r="C483" t="s">
        <v>739</v>
      </c>
      <c r="D483" t="s">
        <v>740</v>
      </c>
      <c r="E483" t="s">
        <v>743</v>
      </c>
      <c r="F483" s="34">
        <v>86</v>
      </c>
      <c r="G483" s="34" t="s">
        <v>59</v>
      </c>
      <c r="H483" s="36">
        <v>244351</v>
      </c>
      <c r="I483" s="60">
        <v>1381693</v>
      </c>
      <c r="J483">
        <f>IFERROR(VLOOKUP(G483,'LEAID Match'!$A$2:$B$526,2,FALSE),"")</f>
        <v>2912550</v>
      </c>
      <c r="K483" s="68">
        <f t="shared" si="15"/>
        <v>8</v>
      </c>
    </row>
    <row r="484" spans="1:11" x14ac:dyDescent="0.2">
      <c r="A484">
        <f t="shared" si="14"/>
        <v>2912550</v>
      </c>
      <c r="B484">
        <v>2017</v>
      </c>
      <c r="C484" t="s">
        <v>739</v>
      </c>
      <c r="D484" t="s">
        <v>740</v>
      </c>
      <c r="E484" t="s">
        <v>743</v>
      </c>
      <c r="F484" s="34">
        <v>86</v>
      </c>
      <c r="G484" s="34" t="s">
        <v>59</v>
      </c>
      <c r="H484" s="36">
        <v>255064</v>
      </c>
      <c r="I484" s="58">
        <v>1383044</v>
      </c>
      <c r="J484">
        <f>IFERROR(VLOOKUP(G484,'LEAID Match'!$A$2:$B$526,2,FALSE),"")</f>
        <v>2912550</v>
      </c>
      <c r="K484" s="68">
        <f t="shared" si="15"/>
        <v>8</v>
      </c>
    </row>
    <row r="485" spans="1:11" x14ac:dyDescent="0.2">
      <c r="A485">
        <f t="shared" si="14"/>
        <v>2912550</v>
      </c>
      <c r="B485">
        <v>2018</v>
      </c>
      <c r="C485" t="s">
        <v>739</v>
      </c>
      <c r="D485" t="s">
        <v>740</v>
      </c>
      <c r="E485" t="s">
        <v>743</v>
      </c>
      <c r="F485" s="34">
        <v>86</v>
      </c>
      <c r="G485" s="34" t="s">
        <v>59</v>
      </c>
      <c r="H485" s="36">
        <v>269556</v>
      </c>
      <c r="I485" s="58">
        <v>1474547</v>
      </c>
      <c r="J485">
        <f>IFERROR(VLOOKUP(G485,'LEAID Match'!$A$2:$B$526,2,FALSE),"")</f>
        <v>2912550</v>
      </c>
      <c r="K485" s="68">
        <f t="shared" si="15"/>
        <v>8</v>
      </c>
    </row>
    <row r="486" spans="1:11" x14ac:dyDescent="0.2">
      <c r="A486">
        <f t="shared" si="14"/>
        <v>2912550</v>
      </c>
      <c r="B486">
        <v>2019</v>
      </c>
      <c r="C486" t="s">
        <v>739</v>
      </c>
      <c r="D486" t="s">
        <v>740</v>
      </c>
      <c r="E486" t="s">
        <v>743</v>
      </c>
      <c r="F486" s="34">
        <v>86</v>
      </c>
      <c r="G486" s="34" t="s">
        <v>59</v>
      </c>
      <c r="H486" s="36">
        <v>294756</v>
      </c>
      <c r="I486" s="58">
        <v>1523735</v>
      </c>
      <c r="J486">
        <f>IFERROR(VLOOKUP(G486,'LEAID Match'!$A$2:$B$526,2,FALSE),"")</f>
        <v>2912550</v>
      </c>
      <c r="K486" s="68">
        <f t="shared" si="15"/>
        <v>8</v>
      </c>
    </row>
    <row r="487" spans="1:11" x14ac:dyDescent="0.2">
      <c r="A487">
        <f t="shared" si="14"/>
        <v>2912550</v>
      </c>
      <c r="B487">
        <v>2020</v>
      </c>
      <c r="C487" t="s">
        <v>739</v>
      </c>
      <c r="D487" t="s">
        <v>740</v>
      </c>
      <c r="E487" t="s">
        <v>743</v>
      </c>
      <c r="F487" s="34">
        <v>86</v>
      </c>
      <c r="G487" s="34" t="s">
        <v>59</v>
      </c>
      <c r="H487" s="36">
        <v>314916</v>
      </c>
      <c r="I487" s="58">
        <v>1564443</v>
      </c>
      <c r="J487">
        <f>IFERROR(VLOOKUP(G487,'LEAID Match'!$A$2:$B$526,2,FALSE),"")</f>
        <v>2912550</v>
      </c>
      <c r="K487" s="68">
        <f t="shared" si="15"/>
        <v>8</v>
      </c>
    </row>
    <row r="488" spans="1:11" x14ac:dyDescent="0.2">
      <c r="A488">
        <f t="shared" si="14"/>
        <v>2912550</v>
      </c>
      <c r="B488">
        <v>2021</v>
      </c>
      <c r="C488" t="s">
        <v>739</v>
      </c>
      <c r="D488" t="s">
        <v>740</v>
      </c>
      <c r="E488" t="s">
        <v>743</v>
      </c>
      <c r="F488" s="34">
        <v>86</v>
      </c>
      <c r="G488" s="34" t="s">
        <v>59</v>
      </c>
      <c r="H488" s="36">
        <v>321246</v>
      </c>
      <c r="I488" s="58">
        <v>1586141</v>
      </c>
      <c r="J488">
        <f>IFERROR(VLOOKUP(G488,'LEAID Match'!$A$2:$B$526,2,FALSE),"")</f>
        <v>2912550</v>
      </c>
      <c r="K488" s="68">
        <f t="shared" si="15"/>
        <v>8</v>
      </c>
    </row>
    <row r="489" spans="1:11" x14ac:dyDescent="0.2">
      <c r="A489">
        <f t="shared" si="14"/>
        <v>2912550</v>
      </c>
      <c r="B489">
        <v>2022</v>
      </c>
      <c r="C489" t="s">
        <v>739</v>
      </c>
      <c r="D489" t="s">
        <v>740</v>
      </c>
      <c r="E489" t="s">
        <v>743</v>
      </c>
      <c r="F489" s="34">
        <v>86</v>
      </c>
      <c r="G489" s="34" t="s">
        <v>59</v>
      </c>
      <c r="H489" s="36">
        <v>342489</v>
      </c>
      <c r="I489" s="58">
        <v>1590889</v>
      </c>
      <c r="J489">
        <f>IFERROR(VLOOKUP(G489,'LEAID Match'!$A$2:$B$526,2,FALSE),"")</f>
        <v>2912550</v>
      </c>
      <c r="K489" s="68">
        <f t="shared" si="15"/>
        <v>8</v>
      </c>
    </row>
    <row r="490" spans="1:11" x14ac:dyDescent="0.2">
      <c r="A490" t="str">
        <f t="shared" si="14"/>
        <v/>
      </c>
      <c r="B490">
        <v>2015</v>
      </c>
      <c r="C490" t="s">
        <v>739</v>
      </c>
      <c r="D490" t="s">
        <v>740</v>
      </c>
      <c r="E490" t="s">
        <v>743</v>
      </c>
      <c r="F490" s="37">
        <v>93</v>
      </c>
      <c r="G490" s="39" t="s">
        <v>60</v>
      </c>
      <c r="H490" s="40">
        <v>40734</v>
      </c>
      <c r="I490" s="58">
        <v>257733</v>
      </c>
      <c r="J490" t="str">
        <f>IFERROR(VLOOKUP(G490,'LEAID Match'!$A$2:$B$526,2,FALSE),"")</f>
        <v/>
      </c>
      <c r="K490" s="68">
        <f t="shared" si="15"/>
        <v>216</v>
      </c>
    </row>
    <row r="491" spans="1:11" x14ac:dyDescent="0.2">
      <c r="A491" t="str">
        <f t="shared" si="14"/>
        <v/>
      </c>
      <c r="B491">
        <v>2016</v>
      </c>
      <c r="C491" t="s">
        <v>739</v>
      </c>
      <c r="D491" t="s">
        <v>740</v>
      </c>
      <c r="E491" t="s">
        <v>743</v>
      </c>
      <c r="F491" s="34">
        <v>93</v>
      </c>
      <c r="G491" s="34" t="s">
        <v>60</v>
      </c>
      <c r="H491" s="36">
        <v>44258</v>
      </c>
      <c r="I491" s="60">
        <v>271461</v>
      </c>
      <c r="J491" t="str">
        <f>IFERROR(VLOOKUP(G491,'LEAID Match'!$A$2:$B$526,2,FALSE),"")</f>
        <v/>
      </c>
      <c r="K491" s="68">
        <f t="shared" si="15"/>
        <v>216</v>
      </c>
    </row>
    <row r="492" spans="1:11" x14ac:dyDescent="0.2">
      <c r="A492" t="str">
        <f t="shared" si="14"/>
        <v/>
      </c>
      <c r="B492">
        <v>2017</v>
      </c>
      <c r="C492" t="s">
        <v>739</v>
      </c>
      <c r="D492" t="s">
        <v>740</v>
      </c>
      <c r="E492" t="s">
        <v>743</v>
      </c>
      <c r="F492" s="34">
        <v>93</v>
      </c>
      <c r="G492" s="34" t="s">
        <v>60</v>
      </c>
      <c r="H492" s="36">
        <v>50545</v>
      </c>
      <c r="I492" s="58">
        <v>284054</v>
      </c>
      <c r="J492" t="str">
        <f>IFERROR(VLOOKUP(G492,'LEAID Match'!$A$2:$B$526,2,FALSE),"")</f>
        <v/>
      </c>
      <c r="K492" s="68">
        <f t="shared" si="15"/>
        <v>216</v>
      </c>
    </row>
    <row r="493" spans="1:11" x14ac:dyDescent="0.2">
      <c r="A493" t="str">
        <f t="shared" si="14"/>
        <v/>
      </c>
      <c r="B493">
        <v>2018</v>
      </c>
      <c r="C493" t="s">
        <v>739</v>
      </c>
      <c r="D493" t="s">
        <v>740</v>
      </c>
      <c r="E493" t="s">
        <v>743</v>
      </c>
      <c r="F493" s="34">
        <v>93</v>
      </c>
      <c r="G493" s="34" t="s">
        <v>60</v>
      </c>
      <c r="H493" s="36">
        <v>49043</v>
      </c>
      <c r="I493" s="58">
        <v>269003</v>
      </c>
      <c r="J493" t="str">
        <f>IFERROR(VLOOKUP(G493,'LEAID Match'!$A$2:$B$526,2,FALSE),"")</f>
        <v/>
      </c>
      <c r="K493" s="68">
        <f t="shared" si="15"/>
        <v>216</v>
      </c>
    </row>
    <row r="494" spans="1:11" x14ac:dyDescent="0.2">
      <c r="A494" t="str">
        <f t="shared" si="14"/>
        <v/>
      </c>
      <c r="B494">
        <v>2019</v>
      </c>
      <c r="C494" t="s">
        <v>739</v>
      </c>
      <c r="D494" t="s">
        <v>740</v>
      </c>
      <c r="E494" t="s">
        <v>743</v>
      </c>
      <c r="F494" s="34">
        <v>93</v>
      </c>
      <c r="G494" s="34" t="s">
        <v>60</v>
      </c>
      <c r="H494" s="36">
        <v>48851</v>
      </c>
      <c r="I494" s="58">
        <v>289063</v>
      </c>
      <c r="J494" t="str">
        <f>IFERROR(VLOOKUP(G494,'LEAID Match'!$A$2:$B$526,2,FALSE),"")</f>
        <v/>
      </c>
      <c r="K494" s="68">
        <f t="shared" si="15"/>
        <v>216</v>
      </c>
    </row>
    <row r="495" spans="1:11" x14ac:dyDescent="0.2">
      <c r="A495" t="str">
        <f t="shared" si="14"/>
        <v/>
      </c>
      <c r="B495">
        <v>2020</v>
      </c>
      <c r="C495" t="s">
        <v>739</v>
      </c>
      <c r="D495" t="s">
        <v>740</v>
      </c>
      <c r="E495" t="s">
        <v>743</v>
      </c>
      <c r="F495" s="34">
        <v>93</v>
      </c>
      <c r="G495" s="34" t="s">
        <v>60</v>
      </c>
      <c r="H495" s="36">
        <v>47243</v>
      </c>
      <c r="I495" s="58">
        <v>284057</v>
      </c>
      <c r="J495" t="str">
        <f>IFERROR(VLOOKUP(G495,'LEAID Match'!$A$2:$B$526,2,FALSE),"")</f>
        <v/>
      </c>
      <c r="K495" s="68">
        <f t="shared" si="15"/>
        <v>216</v>
      </c>
    </row>
    <row r="496" spans="1:11" x14ac:dyDescent="0.2">
      <c r="A496" t="str">
        <f t="shared" si="14"/>
        <v/>
      </c>
      <c r="B496">
        <v>2021</v>
      </c>
      <c r="C496" t="s">
        <v>739</v>
      </c>
      <c r="D496" t="s">
        <v>740</v>
      </c>
      <c r="E496" t="s">
        <v>743</v>
      </c>
      <c r="F496" s="34">
        <v>93</v>
      </c>
      <c r="G496" s="34" t="s">
        <v>60</v>
      </c>
      <c r="H496" s="36">
        <v>52274</v>
      </c>
      <c r="I496" s="58">
        <v>252789</v>
      </c>
      <c r="J496" t="str">
        <f>IFERROR(VLOOKUP(G496,'LEAID Match'!$A$2:$B$526,2,FALSE),"")</f>
        <v/>
      </c>
      <c r="K496" s="68">
        <f t="shared" si="15"/>
        <v>216</v>
      </c>
    </row>
    <row r="497" spans="1:11" x14ac:dyDescent="0.2">
      <c r="A497" t="str">
        <f t="shared" si="14"/>
        <v/>
      </c>
      <c r="B497">
        <v>2022</v>
      </c>
      <c r="C497" t="s">
        <v>739</v>
      </c>
      <c r="D497" t="s">
        <v>740</v>
      </c>
      <c r="E497" t="s">
        <v>743</v>
      </c>
      <c r="F497" s="34">
        <v>93</v>
      </c>
      <c r="G497" s="34" t="s">
        <v>60</v>
      </c>
      <c r="H497" s="36">
        <v>54114</v>
      </c>
      <c r="I497" s="58">
        <v>287589</v>
      </c>
      <c r="J497" t="str">
        <f>IFERROR(VLOOKUP(G497,'LEAID Match'!$A$2:$B$526,2,FALSE),"")</f>
        <v/>
      </c>
      <c r="K497" s="68">
        <f t="shared" si="15"/>
        <v>216</v>
      </c>
    </row>
    <row r="498" spans="1:11" x14ac:dyDescent="0.2">
      <c r="A498">
        <f t="shared" si="14"/>
        <v>2906990</v>
      </c>
      <c r="B498">
        <v>2015</v>
      </c>
      <c r="C498" t="s">
        <v>739</v>
      </c>
      <c r="D498" t="s">
        <v>740</v>
      </c>
      <c r="E498" t="s">
        <v>743</v>
      </c>
      <c r="F498" s="37">
        <v>94</v>
      </c>
      <c r="G498" s="39" t="s">
        <v>61</v>
      </c>
      <c r="H498" s="40">
        <v>488045</v>
      </c>
      <c r="I498" s="58">
        <v>3183597</v>
      </c>
      <c r="J498">
        <f>IFERROR(VLOOKUP(G498,'LEAID Match'!$A$2:$B$526,2,FALSE),"")</f>
        <v>2906990</v>
      </c>
      <c r="K498" s="68">
        <f t="shared" si="15"/>
        <v>8</v>
      </c>
    </row>
    <row r="499" spans="1:11" x14ac:dyDescent="0.2">
      <c r="A499">
        <f t="shared" si="14"/>
        <v>2906990</v>
      </c>
      <c r="B499">
        <v>2016</v>
      </c>
      <c r="C499" t="s">
        <v>739</v>
      </c>
      <c r="D499" t="s">
        <v>740</v>
      </c>
      <c r="E499" t="s">
        <v>743</v>
      </c>
      <c r="F499" s="34">
        <v>94</v>
      </c>
      <c r="G499" s="34" t="s">
        <v>61</v>
      </c>
      <c r="H499" s="36">
        <v>508836</v>
      </c>
      <c r="I499" s="60">
        <v>3271928</v>
      </c>
      <c r="J499">
        <f>IFERROR(VLOOKUP(G499,'LEAID Match'!$A$2:$B$526,2,FALSE),"")</f>
        <v>2906990</v>
      </c>
      <c r="K499" s="68">
        <f t="shared" si="15"/>
        <v>8</v>
      </c>
    </row>
    <row r="500" spans="1:11" x14ac:dyDescent="0.2">
      <c r="A500">
        <f t="shared" si="14"/>
        <v>2906990</v>
      </c>
      <c r="B500">
        <v>2017</v>
      </c>
      <c r="C500" t="s">
        <v>739</v>
      </c>
      <c r="D500" t="s">
        <v>740</v>
      </c>
      <c r="E500" t="s">
        <v>743</v>
      </c>
      <c r="F500" s="34">
        <v>94</v>
      </c>
      <c r="G500" s="34" t="s">
        <v>61</v>
      </c>
      <c r="H500" s="36">
        <v>522607</v>
      </c>
      <c r="I500" s="58">
        <v>3297901</v>
      </c>
      <c r="J500">
        <f>IFERROR(VLOOKUP(G500,'LEAID Match'!$A$2:$B$526,2,FALSE),"")</f>
        <v>2906990</v>
      </c>
      <c r="K500" s="68">
        <f t="shared" si="15"/>
        <v>8</v>
      </c>
    </row>
    <row r="501" spans="1:11" x14ac:dyDescent="0.2">
      <c r="A501">
        <f t="shared" si="14"/>
        <v>2906990</v>
      </c>
      <c r="B501">
        <v>2018</v>
      </c>
      <c r="C501" t="s">
        <v>739</v>
      </c>
      <c r="D501" t="s">
        <v>740</v>
      </c>
      <c r="E501" t="s">
        <v>743</v>
      </c>
      <c r="F501" s="34">
        <v>94</v>
      </c>
      <c r="G501" s="34" t="s">
        <v>61</v>
      </c>
      <c r="H501" s="36">
        <v>536255</v>
      </c>
      <c r="I501" s="58">
        <v>3246563</v>
      </c>
      <c r="J501">
        <f>IFERROR(VLOOKUP(G501,'LEAID Match'!$A$2:$B$526,2,FALSE),"")</f>
        <v>2906990</v>
      </c>
      <c r="K501" s="68">
        <f t="shared" si="15"/>
        <v>8</v>
      </c>
    </row>
    <row r="502" spans="1:11" x14ac:dyDescent="0.2">
      <c r="A502">
        <f t="shared" si="14"/>
        <v>2906990</v>
      </c>
      <c r="B502">
        <v>2019</v>
      </c>
      <c r="C502" t="s">
        <v>739</v>
      </c>
      <c r="D502" t="s">
        <v>740</v>
      </c>
      <c r="E502" t="s">
        <v>743</v>
      </c>
      <c r="F502" s="34">
        <v>94</v>
      </c>
      <c r="G502" s="34" t="s">
        <v>61</v>
      </c>
      <c r="H502" s="36">
        <v>575649</v>
      </c>
      <c r="I502" s="58">
        <v>3354762</v>
      </c>
      <c r="J502">
        <f>IFERROR(VLOOKUP(G502,'LEAID Match'!$A$2:$B$526,2,FALSE),"")</f>
        <v>2906990</v>
      </c>
      <c r="K502" s="68">
        <f t="shared" si="15"/>
        <v>8</v>
      </c>
    </row>
    <row r="503" spans="1:11" x14ac:dyDescent="0.2">
      <c r="A503">
        <f t="shared" si="14"/>
        <v>2906990</v>
      </c>
      <c r="B503">
        <v>2020</v>
      </c>
      <c r="C503" t="s">
        <v>739</v>
      </c>
      <c r="D503" t="s">
        <v>740</v>
      </c>
      <c r="E503" t="s">
        <v>743</v>
      </c>
      <c r="F503" s="34">
        <v>94</v>
      </c>
      <c r="G503" s="34" t="s">
        <v>61</v>
      </c>
      <c r="H503" s="36">
        <v>587601</v>
      </c>
      <c r="I503" s="58">
        <v>3392294</v>
      </c>
      <c r="J503">
        <f>IFERROR(VLOOKUP(G503,'LEAID Match'!$A$2:$B$526,2,FALSE),"")</f>
        <v>2906990</v>
      </c>
      <c r="K503" s="68">
        <f t="shared" si="15"/>
        <v>8</v>
      </c>
    </row>
    <row r="504" spans="1:11" x14ac:dyDescent="0.2">
      <c r="A504">
        <f t="shared" si="14"/>
        <v>2906990</v>
      </c>
      <c r="B504">
        <v>2021</v>
      </c>
      <c r="C504" t="s">
        <v>739</v>
      </c>
      <c r="D504" t="s">
        <v>740</v>
      </c>
      <c r="E504" t="s">
        <v>743</v>
      </c>
      <c r="F504" s="34">
        <v>94</v>
      </c>
      <c r="G504" s="34" t="s">
        <v>61</v>
      </c>
      <c r="H504" s="36">
        <v>559945</v>
      </c>
      <c r="I504" s="58">
        <v>3420668</v>
      </c>
      <c r="J504">
        <f>IFERROR(VLOOKUP(G504,'LEAID Match'!$A$2:$B$526,2,FALSE),"")</f>
        <v>2906990</v>
      </c>
      <c r="K504" s="68">
        <f t="shared" si="15"/>
        <v>8</v>
      </c>
    </row>
    <row r="505" spans="1:11" x14ac:dyDescent="0.2">
      <c r="A505">
        <f t="shared" si="14"/>
        <v>2906990</v>
      </c>
      <c r="B505">
        <v>2022</v>
      </c>
      <c r="C505" t="s">
        <v>739</v>
      </c>
      <c r="D505" t="s">
        <v>740</v>
      </c>
      <c r="E505" t="s">
        <v>743</v>
      </c>
      <c r="F505" s="34">
        <v>94</v>
      </c>
      <c r="G505" s="34" t="s">
        <v>61</v>
      </c>
      <c r="H505" s="36">
        <v>573961</v>
      </c>
      <c r="I505" s="58">
        <v>3489861</v>
      </c>
      <c r="J505">
        <f>IFERROR(VLOOKUP(G505,'LEAID Match'!$A$2:$B$526,2,FALSE),"")</f>
        <v>2906990</v>
      </c>
      <c r="K505" s="68">
        <f t="shared" si="15"/>
        <v>8</v>
      </c>
    </row>
    <row r="506" spans="1:11" x14ac:dyDescent="0.2">
      <c r="A506">
        <f t="shared" si="14"/>
        <v>2909810</v>
      </c>
      <c r="B506">
        <v>2015</v>
      </c>
      <c r="C506" t="s">
        <v>739</v>
      </c>
      <c r="D506" t="s">
        <v>740</v>
      </c>
      <c r="E506" t="s">
        <v>743</v>
      </c>
      <c r="F506" s="37">
        <v>95</v>
      </c>
      <c r="G506" s="39" t="s">
        <v>62</v>
      </c>
      <c r="H506" s="40">
        <v>39673</v>
      </c>
      <c r="I506" s="58">
        <v>175980</v>
      </c>
      <c r="J506">
        <f>IFERROR(VLOOKUP(G506,'LEAID Match'!$A$2:$B$526,2,FALSE),"")</f>
        <v>2909810</v>
      </c>
      <c r="K506" s="68">
        <f t="shared" si="15"/>
        <v>8</v>
      </c>
    </row>
    <row r="507" spans="1:11" x14ac:dyDescent="0.2">
      <c r="A507">
        <f t="shared" si="14"/>
        <v>2909810</v>
      </c>
      <c r="B507">
        <v>2016</v>
      </c>
      <c r="C507" t="s">
        <v>739</v>
      </c>
      <c r="D507" t="s">
        <v>740</v>
      </c>
      <c r="E507" t="s">
        <v>743</v>
      </c>
      <c r="F507" s="34">
        <v>95</v>
      </c>
      <c r="G507" s="34" t="s">
        <v>62</v>
      </c>
      <c r="H507" s="36">
        <v>41896</v>
      </c>
      <c r="I507" s="60">
        <v>182050</v>
      </c>
      <c r="J507">
        <f>IFERROR(VLOOKUP(G507,'LEAID Match'!$A$2:$B$526,2,FALSE),"")</f>
        <v>2909810</v>
      </c>
      <c r="K507" s="68">
        <f t="shared" si="15"/>
        <v>8</v>
      </c>
    </row>
    <row r="508" spans="1:11" x14ac:dyDescent="0.2">
      <c r="A508">
        <f t="shared" si="14"/>
        <v>2909810</v>
      </c>
      <c r="B508">
        <v>2017</v>
      </c>
      <c r="C508" t="s">
        <v>739</v>
      </c>
      <c r="D508" t="s">
        <v>740</v>
      </c>
      <c r="E508" t="s">
        <v>743</v>
      </c>
      <c r="F508" s="34">
        <v>95</v>
      </c>
      <c r="G508" s="34" t="s">
        <v>62</v>
      </c>
      <c r="H508" s="36">
        <v>39351</v>
      </c>
      <c r="I508" s="58">
        <v>195145</v>
      </c>
      <c r="J508">
        <f>IFERROR(VLOOKUP(G508,'LEAID Match'!$A$2:$B$526,2,FALSE),"")</f>
        <v>2909810</v>
      </c>
      <c r="K508" s="68">
        <f t="shared" si="15"/>
        <v>8</v>
      </c>
    </row>
    <row r="509" spans="1:11" x14ac:dyDescent="0.2">
      <c r="A509">
        <f t="shared" si="14"/>
        <v>2909810</v>
      </c>
      <c r="B509">
        <v>2018</v>
      </c>
      <c r="C509" t="s">
        <v>739</v>
      </c>
      <c r="D509" t="s">
        <v>740</v>
      </c>
      <c r="E509" t="s">
        <v>743</v>
      </c>
      <c r="F509" s="34">
        <v>95</v>
      </c>
      <c r="G509" s="34" t="s">
        <v>62</v>
      </c>
      <c r="H509" s="36">
        <v>40764</v>
      </c>
      <c r="I509" s="58">
        <v>190411</v>
      </c>
      <c r="J509">
        <f>IFERROR(VLOOKUP(G509,'LEAID Match'!$A$2:$B$526,2,FALSE),"")</f>
        <v>2909810</v>
      </c>
      <c r="K509" s="68">
        <f t="shared" si="15"/>
        <v>8</v>
      </c>
    </row>
    <row r="510" spans="1:11" x14ac:dyDescent="0.2">
      <c r="A510">
        <f t="shared" si="14"/>
        <v>2909810</v>
      </c>
      <c r="B510">
        <v>2019</v>
      </c>
      <c r="C510" t="s">
        <v>739</v>
      </c>
      <c r="D510" t="s">
        <v>740</v>
      </c>
      <c r="E510" t="s">
        <v>743</v>
      </c>
      <c r="F510" s="34">
        <v>95</v>
      </c>
      <c r="G510" s="34" t="s">
        <v>62</v>
      </c>
      <c r="H510" s="36">
        <v>43376</v>
      </c>
      <c r="I510" s="58">
        <v>187594</v>
      </c>
      <c r="J510">
        <f>IFERROR(VLOOKUP(G510,'LEAID Match'!$A$2:$B$526,2,FALSE),"")</f>
        <v>2909810</v>
      </c>
      <c r="K510" s="68">
        <f t="shared" si="15"/>
        <v>8</v>
      </c>
    </row>
    <row r="511" spans="1:11" x14ac:dyDescent="0.2">
      <c r="A511">
        <f t="shared" si="14"/>
        <v>2909810</v>
      </c>
      <c r="B511">
        <v>2020</v>
      </c>
      <c r="C511" t="s">
        <v>739</v>
      </c>
      <c r="D511" t="s">
        <v>740</v>
      </c>
      <c r="E511" t="s">
        <v>743</v>
      </c>
      <c r="F511" s="34">
        <v>95</v>
      </c>
      <c r="G511" s="34" t="s">
        <v>62</v>
      </c>
      <c r="H511" s="36">
        <v>40863</v>
      </c>
      <c r="I511" s="58">
        <v>192701</v>
      </c>
      <c r="J511">
        <f>IFERROR(VLOOKUP(G511,'LEAID Match'!$A$2:$B$526,2,FALSE),"")</f>
        <v>2909810</v>
      </c>
      <c r="K511" s="68">
        <f t="shared" si="15"/>
        <v>8</v>
      </c>
    </row>
    <row r="512" spans="1:11" x14ac:dyDescent="0.2">
      <c r="A512">
        <f t="shared" si="14"/>
        <v>2909810</v>
      </c>
      <c r="B512">
        <v>2021</v>
      </c>
      <c r="C512" t="s">
        <v>739</v>
      </c>
      <c r="D512" t="s">
        <v>740</v>
      </c>
      <c r="E512" t="s">
        <v>743</v>
      </c>
      <c r="F512" s="34">
        <v>95</v>
      </c>
      <c r="G512" s="34" t="s">
        <v>62</v>
      </c>
      <c r="H512" s="36">
        <v>43175</v>
      </c>
      <c r="I512" s="58">
        <v>186430</v>
      </c>
      <c r="J512">
        <f>IFERROR(VLOOKUP(G512,'LEAID Match'!$A$2:$B$526,2,FALSE),"")</f>
        <v>2909810</v>
      </c>
      <c r="K512" s="68">
        <f t="shared" si="15"/>
        <v>8</v>
      </c>
    </row>
    <row r="513" spans="1:11" x14ac:dyDescent="0.2">
      <c r="A513">
        <f t="shared" si="14"/>
        <v>2909810</v>
      </c>
      <c r="B513">
        <v>2022</v>
      </c>
      <c r="C513" t="s">
        <v>739</v>
      </c>
      <c r="D513" t="s">
        <v>740</v>
      </c>
      <c r="E513" t="s">
        <v>743</v>
      </c>
      <c r="F513" s="34">
        <v>95</v>
      </c>
      <c r="G513" s="34" t="s">
        <v>62</v>
      </c>
      <c r="H513" s="36">
        <v>45433</v>
      </c>
      <c r="I513" s="58">
        <v>195541</v>
      </c>
      <c r="J513">
        <f>IFERROR(VLOOKUP(G513,'LEAID Match'!$A$2:$B$526,2,FALSE),"")</f>
        <v>2909810</v>
      </c>
      <c r="K513" s="68">
        <f t="shared" si="15"/>
        <v>8</v>
      </c>
    </row>
    <row r="514" spans="1:11" x14ac:dyDescent="0.2">
      <c r="A514">
        <f t="shared" si="14"/>
        <v>2919380</v>
      </c>
      <c r="B514">
        <v>2015</v>
      </c>
      <c r="C514" t="s">
        <v>739</v>
      </c>
      <c r="D514" t="s">
        <v>740</v>
      </c>
      <c r="E514" t="s">
        <v>743</v>
      </c>
      <c r="F514" s="37">
        <v>96</v>
      </c>
      <c r="G514" s="39" t="s">
        <v>63</v>
      </c>
      <c r="H514" s="40">
        <v>29310</v>
      </c>
      <c r="I514" s="58">
        <v>241240</v>
      </c>
      <c r="J514">
        <f>IFERROR(VLOOKUP(G514,'LEAID Match'!$A$2:$B$526,2,FALSE),"")</f>
        <v>2919380</v>
      </c>
      <c r="K514" s="68">
        <f t="shared" si="15"/>
        <v>8</v>
      </c>
    </row>
    <row r="515" spans="1:11" x14ac:dyDescent="0.2">
      <c r="A515">
        <f t="shared" ref="A515:A578" si="16">J515</f>
        <v>2919380</v>
      </c>
      <c r="B515">
        <v>2016</v>
      </c>
      <c r="C515" t="s">
        <v>739</v>
      </c>
      <c r="D515" t="s">
        <v>740</v>
      </c>
      <c r="E515" t="s">
        <v>743</v>
      </c>
      <c r="F515" s="34">
        <v>96</v>
      </c>
      <c r="G515" s="34" t="s">
        <v>63</v>
      </c>
      <c r="H515" s="36">
        <v>27963</v>
      </c>
      <c r="I515" s="60">
        <v>251958</v>
      </c>
      <c r="J515">
        <f>IFERROR(VLOOKUP(G515,'LEAID Match'!$A$2:$B$526,2,FALSE),"")</f>
        <v>2919380</v>
      </c>
      <c r="K515" s="68">
        <f t="shared" ref="K515:K578" si="17">COUNTIF($J$2:$J$4295,J515)</f>
        <v>8</v>
      </c>
    </row>
    <row r="516" spans="1:11" x14ac:dyDescent="0.2">
      <c r="A516">
        <f t="shared" si="16"/>
        <v>2919380</v>
      </c>
      <c r="B516">
        <v>2017</v>
      </c>
      <c r="C516" t="s">
        <v>739</v>
      </c>
      <c r="D516" t="s">
        <v>740</v>
      </c>
      <c r="E516" t="s">
        <v>743</v>
      </c>
      <c r="F516" s="34">
        <v>96</v>
      </c>
      <c r="G516" s="34" t="s">
        <v>63</v>
      </c>
      <c r="H516" s="36">
        <v>32441</v>
      </c>
      <c r="I516" s="58">
        <v>251172</v>
      </c>
      <c r="J516">
        <f>IFERROR(VLOOKUP(G516,'LEAID Match'!$A$2:$B$526,2,FALSE),"")</f>
        <v>2919380</v>
      </c>
      <c r="K516" s="68">
        <f t="shared" si="17"/>
        <v>8</v>
      </c>
    </row>
    <row r="517" spans="1:11" x14ac:dyDescent="0.2">
      <c r="A517">
        <f t="shared" si="16"/>
        <v>2919380</v>
      </c>
      <c r="B517">
        <v>2018</v>
      </c>
      <c r="C517" t="s">
        <v>739</v>
      </c>
      <c r="D517" t="s">
        <v>740</v>
      </c>
      <c r="E517" t="s">
        <v>743</v>
      </c>
      <c r="F517" s="34">
        <v>96</v>
      </c>
      <c r="G517" s="34" t="s">
        <v>63</v>
      </c>
      <c r="H517" s="36">
        <v>31876</v>
      </c>
      <c r="I517" s="58">
        <v>242503</v>
      </c>
      <c r="J517">
        <f>IFERROR(VLOOKUP(G517,'LEAID Match'!$A$2:$B$526,2,FALSE),"")</f>
        <v>2919380</v>
      </c>
      <c r="K517" s="68">
        <f t="shared" si="17"/>
        <v>8</v>
      </c>
    </row>
    <row r="518" spans="1:11" x14ac:dyDescent="0.2">
      <c r="A518">
        <f t="shared" si="16"/>
        <v>2919380</v>
      </c>
      <c r="B518">
        <v>2019</v>
      </c>
      <c r="C518" t="s">
        <v>739</v>
      </c>
      <c r="D518" t="s">
        <v>740</v>
      </c>
      <c r="E518" t="s">
        <v>743</v>
      </c>
      <c r="F518" s="34">
        <v>96</v>
      </c>
      <c r="G518" s="34" t="s">
        <v>63</v>
      </c>
      <c r="H518" s="36">
        <v>33433</v>
      </c>
      <c r="I518" s="58">
        <v>238212</v>
      </c>
      <c r="J518">
        <f>IFERROR(VLOOKUP(G518,'LEAID Match'!$A$2:$B$526,2,FALSE),"")</f>
        <v>2919380</v>
      </c>
      <c r="K518" s="68">
        <f t="shared" si="17"/>
        <v>8</v>
      </c>
    </row>
    <row r="519" spans="1:11" x14ac:dyDescent="0.2">
      <c r="A519">
        <f t="shared" si="16"/>
        <v>2919380</v>
      </c>
      <c r="B519">
        <v>2020</v>
      </c>
      <c r="C519" t="s">
        <v>739</v>
      </c>
      <c r="D519" t="s">
        <v>740</v>
      </c>
      <c r="E519" t="s">
        <v>743</v>
      </c>
      <c r="F519" s="34">
        <v>96</v>
      </c>
      <c r="G519" s="34" t="s">
        <v>63</v>
      </c>
      <c r="H519" s="36">
        <v>35399</v>
      </c>
      <c r="I519" s="58">
        <v>251807</v>
      </c>
      <c r="J519">
        <f>IFERROR(VLOOKUP(G519,'LEAID Match'!$A$2:$B$526,2,FALSE),"")</f>
        <v>2919380</v>
      </c>
      <c r="K519" s="68">
        <f t="shared" si="17"/>
        <v>8</v>
      </c>
    </row>
    <row r="520" spans="1:11" x14ac:dyDescent="0.2">
      <c r="A520">
        <f t="shared" si="16"/>
        <v>2919380</v>
      </c>
      <c r="B520">
        <v>2021</v>
      </c>
      <c r="C520" t="s">
        <v>739</v>
      </c>
      <c r="D520" t="s">
        <v>740</v>
      </c>
      <c r="E520" t="s">
        <v>743</v>
      </c>
      <c r="F520" s="34">
        <v>96</v>
      </c>
      <c r="G520" s="34" t="s">
        <v>63</v>
      </c>
      <c r="H520" s="36">
        <v>37960</v>
      </c>
      <c r="I520" s="58">
        <v>273961</v>
      </c>
      <c r="J520">
        <f>IFERROR(VLOOKUP(G520,'LEAID Match'!$A$2:$B$526,2,FALSE),"")</f>
        <v>2919380</v>
      </c>
      <c r="K520" s="68">
        <f t="shared" si="17"/>
        <v>8</v>
      </c>
    </row>
    <row r="521" spans="1:11" x14ac:dyDescent="0.2">
      <c r="A521">
        <f t="shared" si="16"/>
        <v>2919380</v>
      </c>
      <c r="B521">
        <v>2022</v>
      </c>
      <c r="C521" t="s">
        <v>739</v>
      </c>
      <c r="D521" t="s">
        <v>740</v>
      </c>
      <c r="E521" t="s">
        <v>743</v>
      </c>
      <c r="F521" s="34">
        <v>96</v>
      </c>
      <c r="G521" s="34" t="s">
        <v>63</v>
      </c>
      <c r="H521" s="36">
        <v>36282</v>
      </c>
      <c r="I521" s="58">
        <v>257855</v>
      </c>
      <c r="J521">
        <f>IFERROR(VLOOKUP(G521,'LEAID Match'!$A$2:$B$526,2,FALSE),"")</f>
        <v>2919380</v>
      </c>
      <c r="K521" s="68">
        <f t="shared" si="17"/>
        <v>8</v>
      </c>
    </row>
    <row r="522" spans="1:11" x14ac:dyDescent="0.2">
      <c r="A522">
        <f t="shared" si="16"/>
        <v>2915600</v>
      </c>
      <c r="B522">
        <v>2015</v>
      </c>
      <c r="C522" t="s">
        <v>739</v>
      </c>
      <c r="D522" t="s">
        <v>740</v>
      </c>
      <c r="E522" t="s">
        <v>743</v>
      </c>
      <c r="F522" s="37">
        <v>97</v>
      </c>
      <c r="G522" s="34" t="s">
        <v>548</v>
      </c>
      <c r="H522" s="40">
        <v>486266</v>
      </c>
      <c r="I522" s="58">
        <v>2643334</v>
      </c>
      <c r="J522">
        <f>IFERROR(VLOOKUP(G522,'LEAID Match'!$A$2:$B$526,2,FALSE),"")</f>
        <v>2915600</v>
      </c>
      <c r="K522" s="68">
        <f t="shared" si="17"/>
        <v>8</v>
      </c>
    </row>
    <row r="523" spans="1:11" x14ac:dyDescent="0.2">
      <c r="A523">
        <f t="shared" si="16"/>
        <v>2915600</v>
      </c>
      <c r="B523">
        <v>2016</v>
      </c>
      <c r="C523" t="s">
        <v>739</v>
      </c>
      <c r="D523" t="s">
        <v>740</v>
      </c>
      <c r="E523" t="s">
        <v>743</v>
      </c>
      <c r="F523" s="34">
        <v>97</v>
      </c>
      <c r="G523" s="34" t="s">
        <v>548</v>
      </c>
      <c r="H523" s="36">
        <v>507087</v>
      </c>
      <c r="I523" s="60">
        <v>2748558</v>
      </c>
      <c r="J523">
        <f>IFERROR(VLOOKUP(G523,'LEAID Match'!$A$2:$B$526,2,FALSE),"")</f>
        <v>2915600</v>
      </c>
      <c r="K523" s="68">
        <f t="shared" si="17"/>
        <v>8</v>
      </c>
    </row>
    <row r="524" spans="1:11" x14ac:dyDescent="0.2">
      <c r="A524">
        <f t="shared" si="16"/>
        <v>2915600</v>
      </c>
      <c r="B524">
        <v>2017</v>
      </c>
      <c r="C524" t="s">
        <v>739</v>
      </c>
      <c r="D524" t="s">
        <v>740</v>
      </c>
      <c r="E524" t="s">
        <v>743</v>
      </c>
      <c r="F524" s="34">
        <v>97</v>
      </c>
      <c r="G524" s="34" t="s">
        <v>548</v>
      </c>
      <c r="H524" s="36">
        <v>558323</v>
      </c>
      <c r="I524" s="58">
        <v>2898688</v>
      </c>
      <c r="J524">
        <f>IFERROR(VLOOKUP(G524,'LEAID Match'!$A$2:$B$526,2,FALSE),"")</f>
        <v>2915600</v>
      </c>
      <c r="K524" s="68">
        <f t="shared" si="17"/>
        <v>8</v>
      </c>
    </row>
    <row r="525" spans="1:11" x14ac:dyDescent="0.2">
      <c r="A525">
        <f t="shared" si="16"/>
        <v>2915600</v>
      </c>
      <c r="B525">
        <v>2018</v>
      </c>
      <c r="C525" t="s">
        <v>739</v>
      </c>
      <c r="D525" t="s">
        <v>740</v>
      </c>
      <c r="E525" t="s">
        <v>743</v>
      </c>
      <c r="F525" s="34">
        <v>97</v>
      </c>
      <c r="G525" s="34" t="s">
        <v>548</v>
      </c>
      <c r="H525" s="36">
        <v>614637</v>
      </c>
      <c r="I525" s="58">
        <v>3021308</v>
      </c>
      <c r="J525">
        <f>IFERROR(VLOOKUP(G525,'LEAID Match'!$A$2:$B$526,2,FALSE),"")</f>
        <v>2915600</v>
      </c>
      <c r="K525" s="68">
        <f t="shared" si="17"/>
        <v>8</v>
      </c>
    </row>
    <row r="526" spans="1:11" x14ac:dyDescent="0.2">
      <c r="A526">
        <f t="shared" si="16"/>
        <v>2915600</v>
      </c>
      <c r="B526">
        <v>2019</v>
      </c>
      <c r="C526" t="s">
        <v>739</v>
      </c>
      <c r="D526" t="s">
        <v>740</v>
      </c>
      <c r="E526" t="s">
        <v>743</v>
      </c>
      <c r="F526" s="34">
        <v>97</v>
      </c>
      <c r="G526" s="34" t="s">
        <v>548</v>
      </c>
      <c r="H526" s="36">
        <v>697884</v>
      </c>
      <c r="I526" s="58">
        <v>3284487</v>
      </c>
      <c r="J526">
        <f>IFERROR(VLOOKUP(G526,'LEAID Match'!$A$2:$B$526,2,FALSE),"")</f>
        <v>2915600</v>
      </c>
      <c r="K526" s="68">
        <f t="shared" si="17"/>
        <v>8</v>
      </c>
    </row>
    <row r="527" spans="1:11" x14ac:dyDescent="0.2">
      <c r="A527">
        <f t="shared" si="16"/>
        <v>2915600</v>
      </c>
      <c r="B527">
        <v>2020</v>
      </c>
      <c r="C527" t="s">
        <v>739</v>
      </c>
      <c r="D527" t="s">
        <v>740</v>
      </c>
      <c r="E527" t="s">
        <v>743</v>
      </c>
      <c r="F527" s="34">
        <v>97</v>
      </c>
      <c r="G527" s="34" t="s">
        <v>548</v>
      </c>
      <c r="H527" s="36">
        <v>736400</v>
      </c>
      <c r="I527" s="58">
        <v>3462811</v>
      </c>
      <c r="J527">
        <f>IFERROR(VLOOKUP(G527,'LEAID Match'!$A$2:$B$526,2,FALSE),"")</f>
        <v>2915600</v>
      </c>
      <c r="K527" s="68">
        <f t="shared" si="17"/>
        <v>8</v>
      </c>
    </row>
    <row r="528" spans="1:11" x14ac:dyDescent="0.2">
      <c r="A528">
        <f t="shared" si="16"/>
        <v>2915600</v>
      </c>
      <c r="B528">
        <v>2021</v>
      </c>
      <c r="C528" t="s">
        <v>739</v>
      </c>
      <c r="D528" t="s">
        <v>740</v>
      </c>
      <c r="E528" t="s">
        <v>743</v>
      </c>
      <c r="F528" s="34">
        <v>97</v>
      </c>
      <c r="G528" s="34" t="s">
        <v>548</v>
      </c>
      <c r="H528" s="36">
        <v>765325</v>
      </c>
      <c r="I528" s="58">
        <v>3708036</v>
      </c>
      <c r="J528">
        <f>IFERROR(VLOOKUP(G528,'LEAID Match'!$A$2:$B$526,2,FALSE),"")</f>
        <v>2915600</v>
      </c>
      <c r="K528" s="68">
        <f t="shared" si="17"/>
        <v>8</v>
      </c>
    </row>
    <row r="529" spans="1:11" x14ac:dyDescent="0.2">
      <c r="A529">
        <f t="shared" si="16"/>
        <v>2915600</v>
      </c>
      <c r="B529">
        <v>2022</v>
      </c>
      <c r="C529" t="s">
        <v>739</v>
      </c>
      <c r="D529" t="s">
        <v>740</v>
      </c>
      <c r="E529" t="s">
        <v>743</v>
      </c>
      <c r="F529" s="34">
        <v>97</v>
      </c>
      <c r="G529" s="34" t="s">
        <v>548</v>
      </c>
      <c r="H529" s="36">
        <v>838109</v>
      </c>
      <c r="I529" s="58">
        <v>3745982</v>
      </c>
      <c r="J529">
        <f>IFERROR(VLOOKUP(G529,'LEAID Match'!$A$2:$B$526,2,FALSE),"")</f>
        <v>2915600</v>
      </c>
      <c r="K529" s="68">
        <f t="shared" si="17"/>
        <v>8</v>
      </c>
    </row>
    <row r="530" spans="1:11" x14ac:dyDescent="0.2">
      <c r="A530">
        <f t="shared" si="16"/>
        <v>2907320</v>
      </c>
      <c r="B530">
        <v>2015</v>
      </c>
      <c r="C530" t="s">
        <v>739</v>
      </c>
      <c r="D530" t="s">
        <v>740</v>
      </c>
      <c r="E530" t="s">
        <v>743</v>
      </c>
      <c r="F530" s="37">
        <v>98</v>
      </c>
      <c r="G530" s="39" t="s">
        <v>65</v>
      </c>
      <c r="H530" s="40">
        <v>25760</v>
      </c>
      <c r="I530" s="58">
        <v>268633</v>
      </c>
      <c r="J530">
        <f>IFERROR(VLOOKUP(G530,'LEAID Match'!$A$2:$B$526,2,FALSE),"")</f>
        <v>2907320</v>
      </c>
      <c r="K530" s="68">
        <f t="shared" si="17"/>
        <v>8</v>
      </c>
    </row>
    <row r="531" spans="1:11" x14ac:dyDescent="0.2">
      <c r="A531">
        <f t="shared" si="16"/>
        <v>2907320</v>
      </c>
      <c r="B531">
        <v>2016</v>
      </c>
      <c r="C531" t="s">
        <v>739</v>
      </c>
      <c r="D531" t="s">
        <v>740</v>
      </c>
      <c r="E531" t="s">
        <v>743</v>
      </c>
      <c r="F531" s="34">
        <v>98</v>
      </c>
      <c r="G531" s="34" t="s">
        <v>65</v>
      </c>
      <c r="H531" s="36">
        <v>23834</v>
      </c>
      <c r="I531" s="60">
        <v>246341</v>
      </c>
      <c r="J531">
        <f>IFERROR(VLOOKUP(G531,'LEAID Match'!$A$2:$B$526,2,FALSE),"")</f>
        <v>2907320</v>
      </c>
      <c r="K531" s="68">
        <f t="shared" si="17"/>
        <v>8</v>
      </c>
    </row>
    <row r="532" spans="1:11" x14ac:dyDescent="0.2">
      <c r="A532">
        <f t="shared" si="16"/>
        <v>2907320</v>
      </c>
      <c r="B532">
        <v>2017</v>
      </c>
      <c r="C532" t="s">
        <v>739</v>
      </c>
      <c r="D532" t="s">
        <v>740</v>
      </c>
      <c r="E532" t="s">
        <v>743</v>
      </c>
      <c r="F532" s="34">
        <v>98</v>
      </c>
      <c r="G532" s="34" t="s">
        <v>65</v>
      </c>
      <c r="H532" s="36">
        <v>21756</v>
      </c>
      <c r="I532" s="58">
        <v>226338</v>
      </c>
      <c r="J532">
        <f>IFERROR(VLOOKUP(G532,'LEAID Match'!$A$2:$B$526,2,FALSE),"")</f>
        <v>2907320</v>
      </c>
      <c r="K532" s="68">
        <f t="shared" si="17"/>
        <v>8</v>
      </c>
    </row>
    <row r="533" spans="1:11" x14ac:dyDescent="0.2">
      <c r="A533">
        <f t="shared" si="16"/>
        <v>2907320</v>
      </c>
      <c r="B533">
        <v>2018</v>
      </c>
      <c r="C533" t="s">
        <v>739</v>
      </c>
      <c r="D533" t="s">
        <v>740</v>
      </c>
      <c r="E533" t="s">
        <v>743</v>
      </c>
      <c r="F533" s="34">
        <v>98</v>
      </c>
      <c r="G533" s="34" t="s">
        <v>65</v>
      </c>
      <c r="H533" s="36">
        <v>22166</v>
      </c>
      <c r="I533" s="58">
        <v>239832</v>
      </c>
      <c r="J533">
        <f>IFERROR(VLOOKUP(G533,'LEAID Match'!$A$2:$B$526,2,FALSE),"")</f>
        <v>2907320</v>
      </c>
      <c r="K533" s="68">
        <f t="shared" si="17"/>
        <v>8</v>
      </c>
    </row>
    <row r="534" spans="1:11" x14ac:dyDescent="0.2">
      <c r="A534">
        <f t="shared" si="16"/>
        <v>2907320</v>
      </c>
      <c r="B534">
        <v>2019</v>
      </c>
      <c r="C534" t="s">
        <v>739</v>
      </c>
      <c r="D534" t="s">
        <v>740</v>
      </c>
      <c r="E534" t="s">
        <v>743</v>
      </c>
      <c r="F534" s="34">
        <v>98</v>
      </c>
      <c r="G534" s="34" t="s">
        <v>65</v>
      </c>
      <c r="H534" s="36">
        <v>24957</v>
      </c>
      <c r="I534" s="58">
        <v>253979</v>
      </c>
      <c r="J534">
        <f>IFERROR(VLOOKUP(G534,'LEAID Match'!$A$2:$B$526,2,FALSE),"")</f>
        <v>2907320</v>
      </c>
      <c r="K534" s="68">
        <f t="shared" si="17"/>
        <v>8</v>
      </c>
    </row>
    <row r="535" spans="1:11" x14ac:dyDescent="0.2">
      <c r="A535">
        <f t="shared" si="16"/>
        <v>2907320</v>
      </c>
      <c r="B535">
        <v>2020</v>
      </c>
      <c r="C535" t="s">
        <v>739</v>
      </c>
      <c r="D535" t="s">
        <v>740</v>
      </c>
      <c r="E535" t="s">
        <v>743</v>
      </c>
      <c r="F535" s="34">
        <v>98</v>
      </c>
      <c r="G535" s="34" t="s">
        <v>65</v>
      </c>
      <c r="H535" s="36">
        <v>33490</v>
      </c>
      <c r="I535" s="58">
        <v>244436</v>
      </c>
      <c r="J535">
        <f>IFERROR(VLOOKUP(G535,'LEAID Match'!$A$2:$B$526,2,FALSE),"")</f>
        <v>2907320</v>
      </c>
      <c r="K535" s="68">
        <f t="shared" si="17"/>
        <v>8</v>
      </c>
    </row>
    <row r="536" spans="1:11" x14ac:dyDescent="0.2">
      <c r="A536">
        <f t="shared" si="16"/>
        <v>2907320</v>
      </c>
      <c r="B536">
        <v>2021</v>
      </c>
      <c r="C536" t="s">
        <v>739</v>
      </c>
      <c r="D536" t="s">
        <v>740</v>
      </c>
      <c r="E536" t="s">
        <v>743</v>
      </c>
      <c r="F536" s="34">
        <v>98</v>
      </c>
      <c r="G536" s="34" t="s">
        <v>65</v>
      </c>
      <c r="H536" s="36">
        <v>32501</v>
      </c>
      <c r="I536" s="58">
        <v>252543</v>
      </c>
      <c r="J536">
        <f>IFERROR(VLOOKUP(G536,'LEAID Match'!$A$2:$B$526,2,FALSE),"")</f>
        <v>2907320</v>
      </c>
      <c r="K536" s="68">
        <f t="shared" si="17"/>
        <v>8</v>
      </c>
    </row>
    <row r="537" spans="1:11" x14ac:dyDescent="0.2">
      <c r="A537">
        <f t="shared" si="16"/>
        <v>2907320</v>
      </c>
      <c r="B537">
        <v>2022</v>
      </c>
      <c r="C537" t="s">
        <v>739</v>
      </c>
      <c r="D537" t="s">
        <v>740</v>
      </c>
      <c r="E537" t="s">
        <v>743</v>
      </c>
      <c r="F537" s="34">
        <v>98</v>
      </c>
      <c r="G537" s="34" t="s">
        <v>65</v>
      </c>
      <c r="H537" s="36">
        <v>32945</v>
      </c>
      <c r="I537" s="58">
        <v>265357</v>
      </c>
      <c r="J537">
        <f>IFERROR(VLOOKUP(G537,'LEAID Match'!$A$2:$B$526,2,FALSE),"")</f>
        <v>2907320</v>
      </c>
      <c r="K537" s="68">
        <f t="shared" si="17"/>
        <v>8</v>
      </c>
    </row>
    <row r="538" spans="1:11" x14ac:dyDescent="0.2">
      <c r="A538">
        <f t="shared" si="16"/>
        <v>2910620</v>
      </c>
      <c r="B538">
        <v>2015</v>
      </c>
      <c r="C538" t="s">
        <v>739</v>
      </c>
      <c r="D538" t="s">
        <v>740</v>
      </c>
      <c r="E538" t="s">
        <v>743</v>
      </c>
      <c r="F538" s="37">
        <v>99</v>
      </c>
      <c r="G538" s="39" t="s">
        <v>66</v>
      </c>
      <c r="H538" s="40">
        <v>20086</v>
      </c>
      <c r="I538" s="58">
        <v>218181</v>
      </c>
      <c r="J538">
        <f>IFERROR(VLOOKUP(G538,'LEAID Match'!$A$2:$B$526,2,FALSE),"")</f>
        <v>2910620</v>
      </c>
      <c r="K538" s="68">
        <f t="shared" si="17"/>
        <v>8</v>
      </c>
    </row>
    <row r="539" spans="1:11" x14ac:dyDescent="0.2">
      <c r="A539">
        <f t="shared" si="16"/>
        <v>2910620</v>
      </c>
      <c r="B539">
        <v>2016</v>
      </c>
      <c r="C539" t="s">
        <v>739</v>
      </c>
      <c r="D539" t="s">
        <v>740</v>
      </c>
      <c r="E539" t="s">
        <v>743</v>
      </c>
      <c r="F539" s="34">
        <v>99</v>
      </c>
      <c r="G539" s="34" t="s">
        <v>66</v>
      </c>
      <c r="H539" s="36">
        <v>23334</v>
      </c>
      <c r="I539" s="60">
        <v>213942</v>
      </c>
      <c r="J539">
        <f>IFERROR(VLOOKUP(G539,'LEAID Match'!$A$2:$B$526,2,FALSE),"")</f>
        <v>2910620</v>
      </c>
      <c r="K539" s="68">
        <f t="shared" si="17"/>
        <v>8</v>
      </c>
    </row>
    <row r="540" spans="1:11" x14ac:dyDescent="0.2">
      <c r="A540">
        <f t="shared" si="16"/>
        <v>2910620</v>
      </c>
      <c r="B540">
        <v>2017</v>
      </c>
      <c r="C540" t="s">
        <v>739</v>
      </c>
      <c r="D540" t="s">
        <v>740</v>
      </c>
      <c r="E540" t="s">
        <v>743</v>
      </c>
      <c r="F540" s="34">
        <v>99</v>
      </c>
      <c r="G540" s="34" t="s">
        <v>66</v>
      </c>
      <c r="H540" s="36">
        <v>23944</v>
      </c>
      <c r="I540" s="58">
        <v>222627</v>
      </c>
      <c r="J540">
        <f>IFERROR(VLOOKUP(G540,'LEAID Match'!$A$2:$B$526,2,FALSE),"")</f>
        <v>2910620</v>
      </c>
      <c r="K540" s="68">
        <f t="shared" si="17"/>
        <v>8</v>
      </c>
    </row>
    <row r="541" spans="1:11" x14ac:dyDescent="0.2">
      <c r="A541">
        <f t="shared" si="16"/>
        <v>2910620</v>
      </c>
      <c r="B541">
        <v>2018</v>
      </c>
      <c r="C541" t="s">
        <v>739</v>
      </c>
      <c r="D541" t="s">
        <v>740</v>
      </c>
      <c r="E541" t="s">
        <v>743</v>
      </c>
      <c r="F541" s="34">
        <v>99</v>
      </c>
      <c r="G541" s="34" t="s">
        <v>66</v>
      </c>
      <c r="H541" s="36">
        <v>25365</v>
      </c>
      <c r="I541" s="58">
        <v>224426</v>
      </c>
      <c r="J541">
        <f>IFERROR(VLOOKUP(G541,'LEAID Match'!$A$2:$B$526,2,FALSE),"")</f>
        <v>2910620</v>
      </c>
      <c r="K541" s="68">
        <f t="shared" si="17"/>
        <v>8</v>
      </c>
    </row>
    <row r="542" spans="1:11" x14ac:dyDescent="0.2">
      <c r="A542">
        <f t="shared" si="16"/>
        <v>2910620</v>
      </c>
      <c r="B542">
        <v>2019</v>
      </c>
      <c r="C542" t="s">
        <v>739</v>
      </c>
      <c r="D542" t="s">
        <v>740</v>
      </c>
      <c r="E542" t="s">
        <v>743</v>
      </c>
      <c r="F542" s="34">
        <v>99</v>
      </c>
      <c r="G542" s="34" t="s">
        <v>66</v>
      </c>
      <c r="H542" s="36">
        <v>26421</v>
      </c>
      <c r="I542" s="58">
        <v>218073</v>
      </c>
      <c r="J542">
        <f>IFERROR(VLOOKUP(G542,'LEAID Match'!$A$2:$B$526,2,FALSE),"")</f>
        <v>2910620</v>
      </c>
      <c r="K542" s="68">
        <f t="shared" si="17"/>
        <v>8</v>
      </c>
    </row>
    <row r="543" spans="1:11" x14ac:dyDescent="0.2">
      <c r="A543">
        <f t="shared" si="16"/>
        <v>2910620</v>
      </c>
      <c r="B543">
        <v>2020</v>
      </c>
      <c r="C543" t="s">
        <v>739</v>
      </c>
      <c r="D543" t="s">
        <v>740</v>
      </c>
      <c r="E543" t="s">
        <v>743</v>
      </c>
      <c r="F543" s="34">
        <v>99</v>
      </c>
      <c r="G543" s="34" t="s">
        <v>66</v>
      </c>
      <c r="H543" s="36">
        <v>24452</v>
      </c>
      <c r="I543" s="58">
        <v>197762</v>
      </c>
      <c r="J543">
        <f>IFERROR(VLOOKUP(G543,'LEAID Match'!$A$2:$B$526,2,FALSE),"")</f>
        <v>2910620</v>
      </c>
      <c r="K543" s="68">
        <f t="shared" si="17"/>
        <v>8</v>
      </c>
    </row>
    <row r="544" spans="1:11" x14ac:dyDescent="0.2">
      <c r="A544">
        <f t="shared" si="16"/>
        <v>2910620</v>
      </c>
      <c r="B544">
        <v>2021</v>
      </c>
      <c r="C544" t="s">
        <v>739</v>
      </c>
      <c r="D544" t="s">
        <v>740</v>
      </c>
      <c r="E544" t="s">
        <v>743</v>
      </c>
      <c r="F544" s="34">
        <v>99</v>
      </c>
      <c r="G544" s="34" t="s">
        <v>66</v>
      </c>
      <c r="H544" s="36">
        <v>23379</v>
      </c>
      <c r="I544" s="58">
        <v>207815</v>
      </c>
      <c r="J544">
        <f>IFERROR(VLOOKUP(G544,'LEAID Match'!$A$2:$B$526,2,FALSE),"")</f>
        <v>2910620</v>
      </c>
      <c r="K544" s="68">
        <f t="shared" si="17"/>
        <v>8</v>
      </c>
    </row>
    <row r="545" spans="1:11" x14ac:dyDescent="0.2">
      <c r="A545">
        <f t="shared" si="16"/>
        <v>2910620</v>
      </c>
      <c r="B545">
        <v>2022</v>
      </c>
      <c r="C545" t="s">
        <v>739</v>
      </c>
      <c r="D545" t="s">
        <v>740</v>
      </c>
      <c r="E545" t="s">
        <v>743</v>
      </c>
      <c r="F545" s="34">
        <v>99</v>
      </c>
      <c r="G545" s="34" t="s">
        <v>66</v>
      </c>
      <c r="H545" s="36">
        <v>26299</v>
      </c>
      <c r="I545" s="58">
        <v>230738</v>
      </c>
      <c r="J545">
        <f>IFERROR(VLOOKUP(G545,'LEAID Match'!$A$2:$B$526,2,FALSE),"")</f>
        <v>2910620</v>
      </c>
      <c r="K545" s="68">
        <f t="shared" si="17"/>
        <v>8</v>
      </c>
    </row>
    <row r="546" spans="1:11" x14ac:dyDescent="0.2">
      <c r="A546">
        <f t="shared" si="16"/>
        <v>2923070</v>
      </c>
      <c r="B546">
        <v>2015</v>
      </c>
      <c r="C546" t="s">
        <v>739</v>
      </c>
      <c r="D546" t="s">
        <v>740</v>
      </c>
      <c r="E546" t="s">
        <v>743</v>
      </c>
      <c r="F546" s="37">
        <v>100</v>
      </c>
      <c r="G546" s="39" t="s">
        <v>67</v>
      </c>
      <c r="H546" s="40">
        <v>26720</v>
      </c>
      <c r="I546" s="58">
        <v>253030</v>
      </c>
      <c r="J546">
        <f>IFERROR(VLOOKUP(G546,'LEAID Match'!$A$2:$B$526,2,FALSE),"")</f>
        <v>2923070</v>
      </c>
      <c r="K546" s="68">
        <f t="shared" si="17"/>
        <v>8</v>
      </c>
    </row>
    <row r="547" spans="1:11" x14ac:dyDescent="0.2">
      <c r="A547">
        <f t="shared" si="16"/>
        <v>2923070</v>
      </c>
      <c r="B547">
        <v>2016</v>
      </c>
      <c r="C547" t="s">
        <v>739</v>
      </c>
      <c r="D547" t="s">
        <v>740</v>
      </c>
      <c r="E547" t="s">
        <v>743</v>
      </c>
      <c r="F547" s="34">
        <v>100</v>
      </c>
      <c r="G547" s="34" t="s">
        <v>67</v>
      </c>
      <c r="H547" s="36">
        <v>33110</v>
      </c>
      <c r="I547" s="60">
        <v>246397</v>
      </c>
      <c r="J547">
        <f>IFERROR(VLOOKUP(G547,'LEAID Match'!$A$2:$B$526,2,FALSE),"")</f>
        <v>2923070</v>
      </c>
      <c r="K547" s="68">
        <f t="shared" si="17"/>
        <v>8</v>
      </c>
    </row>
    <row r="548" spans="1:11" x14ac:dyDescent="0.2">
      <c r="A548">
        <f t="shared" si="16"/>
        <v>2923070</v>
      </c>
      <c r="B548">
        <v>2017</v>
      </c>
      <c r="C548" t="s">
        <v>739</v>
      </c>
      <c r="D548" t="s">
        <v>740</v>
      </c>
      <c r="E548" t="s">
        <v>743</v>
      </c>
      <c r="F548" s="34">
        <v>100</v>
      </c>
      <c r="G548" s="34" t="s">
        <v>67</v>
      </c>
      <c r="H548" s="36">
        <v>32397</v>
      </c>
      <c r="I548" s="58">
        <v>252540</v>
      </c>
      <c r="J548">
        <f>IFERROR(VLOOKUP(G548,'LEAID Match'!$A$2:$B$526,2,FALSE),"")</f>
        <v>2923070</v>
      </c>
      <c r="K548" s="68">
        <f t="shared" si="17"/>
        <v>8</v>
      </c>
    </row>
    <row r="549" spans="1:11" x14ac:dyDescent="0.2">
      <c r="A549">
        <f t="shared" si="16"/>
        <v>2923070</v>
      </c>
      <c r="B549">
        <v>2018</v>
      </c>
      <c r="C549" t="s">
        <v>739</v>
      </c>
      <c r="D549" t="s">
        <v>740</v>
      </c>
      <c r="E549" t="s">
        <v>743</v>
      </c>
      <c r="F549" s="34">
        <v>100</v>
      </c>
      <c r="G549" s="34" t="s">
        <v>67</v>
      </c>
      <c r="H549" s="36">
        <v>33535</v>
      </c>
      <c r="I549" s="58">
        <v>263582</v>
      </c>
      <c r="J549">
        <f>IFERROR(VLOOKUP(G549,'LEAID Match'!$A$2:$B$526,2,FALSE),"")</f>
        <v>2923070</v>
      </c>
      <c r="K549" s="68">
        <f t="shared" si="17"/>
        <v>8</v>
      </c>
    </row>
    <row r="550" spans="1:11" x14ac:dyDescent="0.2">
      <c r="A550">
        <f t="shared" si="16"/>
        <v>2923070</v>
      </c>
      <c r="B550">
        <v>2019</v>
      </c>
      <c r="C550" t="s">
        <v>739</v>
      </c>
      <c r="D550" t="s">
        <v>740</v>
      </c>
      <c r="E550" t="s">
        <v>743</v>
      </c>
      <c r="F550" s="34">
        <v>100</v>
      </c>
      <c r="G550" s="34" t="s">
        <v>67</v>
      </c>
      <c r="H550" s="36">
        <v>34966</v>
      </c>
      <c r="I550" s="58">
        <v>295730</v>
      </c>
      <c r="J550">
        <f>IFERROR(VLOOKUP(G550,'LEAID Match'!$A$2:$B$526,2,FALSE),"")</f>
        <v>2923070</v>
      </c>
      <c r="K550" s="68">
        <f t="shared" si="17"/>
        <v>8</v>
      </c>
    </row>
    <row r="551" spans="1:11" x14ac:dyDescent="0.2">
      <c r="A551">
        <f t="shared" si="16"/>
        <v>2923070</v>
      </c>
      <c r="B551">
        <v>2020</v>
      </c>
      <c r="C551" t="s">
        <v>739</v>
      </c>
      <c r="D551" t="s">
        <v>740</v>
      </c>
      <c r="E551" t="s">
        <v>743</v>
      </c>
      <c r="F551" s="34">
        <v>100</v>
      </c>
      <c r="G551" s="34" t="s">
        <v>67</v>
      </c>
      <c r="H551" s="36">
        <v>35839</v>
      </c>
      <c r="I551" s="58">
        <v>291334</v>
      </c>
      <c r="J551">
        <f>IFERROR(VLOOKUP(G551,'LEAID Match'!$A$2:$B$526,2,FALSE),"")</f>
        <v>2923070</v>
      </c>
      <c r="K551" s="68">
        <f t="shared" si="17"/>
        <v>8</v>
      </c>
    </row>
    <row r="552" spans="1:11" x14ac:dyDescent="0.2">
      <c r="A552">
        <f t="shared" si="16"/>
        <v>2923070</v>
      </c>
      <c r="B552">
        <v>2021</v>
      </c>
      <c r="C552" t="s">
        <v>739</v>
      </c>
      <c r="D552" t="s">
        <v>740</v>
      </c>
      <c r="E552" t="s">
        <v>743</v>
      </c>
      <c r="F552" s="34">
        <v>100</v>
      </c>
      <c r="G552" s="34" t="s">
        <v>67</v>
      </c>
      <c r="H552" s="36">
        <v>33218</v>
      </c>
      <c r="I552" s="58">
        <v>244885</v>
      </c>
      <c r="J552">
        <f>IFERROR(VLOOKUP(G552,'LEAID Match'!$A$2:$B$526,2,FALSE),"")</f>
        <v>2923070</v>
      </c>
      <c r="K552" s="68">
        <f t="shared" si="17"/>
        <v>8</v>
      </c>
    </row>
    <row r="553" spans="1:11" x14ac:dyDescent="0.2">
      <c r="A553">
        <f t="shared" si="16"/>
        <v>2923070</v>
      </c>
      <c r="B553">
        <v>2022</v>
      </c>
      <c r="C553" t="s">
        <v>739</v>
      </c>
      <c r="D553" t="s">
        <v>740</v>
      </c>
      <c r="E553" t="s">
        <v>743</v>
      </c>
      <c r="F553" s="34">
        <v>100</v>
      </c>
      <c r="G553" s="34" t="s">
        <v>67</v>
      </c>
      <c r="H553" s="36">
        <v>45687</v>
      </c>
      <c r="I553" s="58">
        <v>234225</v>
      </c>
      <c r="J553">
        <f>IFERROR(VLOOKUP(G553,'LEAID Match'!$A$2:$B$526,2,FALSE),"")</f>
        <v>2923070</v>
      </c>
      <c r="K553" s="68">
        <f t="shared" si="17"/>
        <v>8</v>
      </c>
    </row>
    <row r="554" spans="1:11" x14ac:dyDescent="0.2">
      <c r="A554">
        <f t="shared" si="16"/>
        <v>2907120</v>
      </c>
      <c r="B554">
        <v>2015</v>
      </c>
      <c r="C554" t="s">
        <v>739</v>
      </c>
      <c r="D554" t="s">
        <v>740</v>
      </c>
      <c r="E554" t="s">
        <v>743</v>
      </c>
      <c r="F554" s="37">
        <v>101</v>
      </c>
      <c r="G554" s="39" t="s">
        <v>68</v>
      </c>
      <c r="H554" s="40">
        <v>468806</v>
      </c>
      <c r="I554" s="58">
        <v>3221483</v>
      </c>
      <c r="J554">
        <f>IFERROR(VLOOKUP(G554,'LEAID Match'!$A$2:$B$526,2,FALSE),"")</f>
        <v>2907120</v>
      </c>
      <c r="K554" s="68">
        <f t="shared" si="17"/>
        <v>8</v>
      </c>
    </row>
    <row r="555" spans="1:11" x14ac:dyDescent="0.2">
      <c r="A555">
        <f t="shared" si="16"/>
        <v>2907120</v>
      </c>
      <c r="B555">
        <v>2016</v>
      </c>
      <c r="C555" t="s">
        <v>739</v>
      </c>
      <c r="D555" t="s">
        <v>740</v>
      </c>
      <c r="E555" t="s">
        <v>743</v>
      </c>
      <c r="F555" s="34">
        <v>101</v>
      </c>
      <c r="G555" s="34" t="s">
        <v>68</v>
      </c>
      <c r="H555" s="36">
        <v>469879</v>
      </c>
      <c r="I555" s="60">
        <v>3229544</v>
      </c>
      <c r="J555">
        <f>IFERROR(VLOOKUP(G555,'LEAID Match'!$A$2:$B$526,2,FALSE),"")</f>
        <v>2907120</v>
      </c>
      <c r="K555" s="68">
        <f t="shared" si="17"/>
        <v>8</v>
      </c>
    </row>
    <row r="556" spans="1:11" x14ac:dyDescent="0.2">
      <c r="A556">
        <f t="shared" si="16"/>
        <v>2907120</v>
      </c>
      <c r="B556">
        <v>2017</v>
      </c>
      <c r="C556" t="s">
        <v>739</v>
      </c>
      <c r="D556" t="s">
        <v>740</v>
      </c>
      <c r="E556" t="s">
        <v>743</v>
      </c>
      <c r="F556" s="34">
        <v>101</v>
      </c>
      <c r="G556" s="34" t="s">
        <v>68</v>
      </c>
      <c r="H556" s="36">
        <v>471106</v>
      </c>
      <c r="I556" s="58">
        <v>3188459</v>
      </c>
      <c r="J556">
        <f>IFERROR(VLOOKUP(G556,'LEAID Match'!$A$2:$B$526,2,FALSE),"")</f>
        <v>2907120</v>
      </c>
      <c r="K556" s="68">
        <f t="shared" si="17"/>
        <v>8</v>
      </c>
    </row>
    <row r="557" spans="1:11" x14ac:dyDescent="0.2">
      <c r="A557">
        <f t="shared" si="16"/>
        <v>2907120</v>
      </c>
      <c r="B557">
        <v>2018</v>
      </c>
      <c r="C557" t="s">
        <v>739</v>
      </c>
      <c r="D557" t="s">
        <v>740</v>
      </c>
      <c r="E557" t="s">
        <v>743</v>
      </c>
      <c r="F557" s="34">
        <v>101</v>
      </c>
      <c r="G557" s="34" t="s">
        <v>68</v>
      </c>
      <c r="H557" s="36">
        <v>498135</v>
      </c>
      <c r="I557" s="58">
        <v>3274688</v>
      </c>
      <c r="J557">
        <f>IFERROR(VLOOKUP(G557,'LEAID Match'!$A$2:$B$526,2,FALSE),"")</f>
        <v>2907120</v>
      </c>
      <c r="K557" s="68">
        <f t="shared" si="17"/>
        <v>8</v>
      </c>
    </row>
    <row r="558" spans="1:11" x14ac:dyDescent="0.2">
      <c r="A558">
        <f t="shared" si="16"/>
        <v>2907120</v>
      </c>
      <c r="B558">
        <v>2019</v>
      </c>
      <c r="C558" t="s">
        <v>739</v>
      </c>
      <c r="D558" t="s">
        <v>740</v>
      </c>
      <c r="E558" t="s">
        <v>743</v>
      </c>
      <c r="F558" s="34">
        <v>101</v>
      </c>
      <c r="G558" s="34" t="s">
        <v>68</v>
      </c>
      <c r="H558" s="36">
        <v>527125</v>
      </c>
      <c r="I558" s="58">
        <v>3292628</v>
      </c>
      <c r="J558">
        <f>IFERROR(VLOOKUP(G558,'LEAID Match'!$A$2:$B$526,2,FALSE),"")</f>
        <v>2907120</v>
      </c>
      <c r="K558" s="68">
        <f t="shared" si="17"/>
        <v>8</v>
      </c>
    </row>
    <row r="559" spans="1:11" x14ac:dyDescent="0.2">
      <c r="A559">
        <f t="shared" si="16"/>
        <v>2907120</v>
      </c>
      <c r="B559">
        <v>2020</v>
      </c>
      <c r="C559" t="s">
        <v>739</v>
      </c>
      <c r="D559" t="s">
        <v>740</v>
      </c>
      <c r="E559" t="s">
        <v>743</v>
      </c>
      <c r="F559" s="34">
        <v>101</v>
      </c>
      <c r="G559" s="34" t="s">
        <v>68</v>
      </c>
      <c r="H559" s="36">
        <v>559111</v>
      </c>
      <c r="I559" s="58">
        <v>3304298</v>
      </c>
      <c r="J559">
        <f>IFERROR(VLOOKUP(G559,'LEAID Match'!$A$2:$B$526,2,FALSE),"")</f>
        <v>2907120</v>
      </c>
      <c r="K559" s="68">
        <f t="shared" si="17"/>
        <v>8</v>
      </c>
    </row>
    <row r="560" spans="1:11" x14ac:dyDescent="0.2">
      <c r="A560">
        <f t="shared" si="16"/>
        <v>2907120</v>
      </c>
      <c r="B560">
        <v>2021</v>
      </c>
      <c r="C560" t="s">
        <v>739</v>
      </c>
      <c r="D560" t="s">
        <v>740</v>
      </c>
      <c r="E560" t="s">
        <v>743</v>
      </c>
      <c r="F560" s="34">
        <v>101</v>
      </c>
      <c r="G560" s="34" t="s">
        <v>68</v>
      </c>
      <c r="H560" s="36">
        <v>588369</v>
      </c>
      <c r="I560" s="58">
        <v>3420921</v>
      </c>
      <c r="J560">
        <f>IFERROR(VLOOKUP(G560,'LEAID Match'!$A$2:$B$526,2,FALSE),"")</f>
        <v>2907120</v>
      </c>
      <c r="K560" s="68">
        <f t="shared" si="17"/>
        <v>8</v>
      </c>
    </row>
    <row r="561" spans="1:11" x14ac:dyDescent="0.2">
      <c r="A561">
        <f t="shared" si="16"/>
        <v>2907120</v>
      </c>
      <c r="B561">
        <v>2022</v>
      </c>
      <c r="C561" t="s">
        <v>739</v>
      </c>
      <c r="D561" t="s">
        <v>740</v>
      </c>
      <c r="E561" t="s">
        <v>743</v>
      </c>
      <c r="F561" s="34">
        <v>101</v>
      </c>
      <c r="G561" s="34" t="s">
        <v>68</v>
      </c>
      <c r="H561" s="36">
        <v>654899</v>
      </c>
      <c r="I561" s="58">
        <v>3565687</v>
      </c>
      <c r="J561">
        <f>IFERROR(VLOOKUP(G561,'LEAID Match'!$A$2:$B$526,2,FALSE),"")</f>
        <v>2907120</v>
      </c>
      <c r="K561" s="68">
        <f t="shared" si="17"/>
        <v>8</v>
      </c>
    </row>
    <row r="562" spans="1:11" x14ac:dyDescent="0.2">
      <c r="A562">
        <f t="shared" si="16"/>
        <v>2913500</v>
      </c>
      <c r="B562">
        <v>2015</v>
      </c>
      <c r="C562" t="s">
        <v>739</v>
      </c>
      <c r="D562" t="s">
        <v>740</v>
      </c>
      <c r="E562" t="s">
        <v>743</v>
      </c>
      <c r="F562" s="37">
        <v>103</v>
      </c>
      <c r="G562" s="39" t="s">
        <v>69</v>
      </c>
      <c r="H562" s="40">
        <v>8564</v>
      </c>
      <c r="I562" s="58">
        <v>134953</v>
      </c>
      <c r="J562">
        <f>IFERROR(VLOOKUP(G562,'LEAID Match'!$A$2:$B$526,2,FALSE),"")</f>
        <v>2913500</v>
      </c>
      <c r="K562" s="68">
        <f t="shared" si="17"/>
        <v>8</v>
      </c>
    </row>
    <row r="563" spans="1:11" x14ac:dyDescent="0.2">
      <c r="A563">
        <f t="shared" si="16"/>
        <v>2913500</v>
      </c>
      <c r="B563">
        <v>2016</v>
      </c>
      <c r="C563" t="s">
        <v>739</v>
      </c>
      <c r="D563" t="s">
        <v>740</v>
      </c>
      <c r="E563" t="s">
        <v>743</v>
      </c>
      <c r="F563" s="34">
        <v>103</v>
      </c>
      <c r="G563" s="34" t="s">
        <v>69</v>
      </c>
      <c r="H563" s="36">
        <v>8460</v>
      </c>
      <c r="I563" s="60">
        <v>132335</v>
      </c>
      <c r="J563">
        <f>IFERROR(VLOOKUP(G563,'LEAID Match'!$A$2:$B$526,2,FALSE),"")</f>
        <v>2913500</v>
      </c>
      <c r="K563" s="68">
        <f t="shared" si="17"/>
        <v>8</v>
      </c>
    </row>
    <row r="564" spans="1:11" x14ac:dyDescent="0.2">
      <c r="A564">
        <f t="shared" si="16"/>
        <v>2913500</v>
      </c>
      <c r="B564">
        <v>2017</v>
      </c>
      <c r="C564" t="s">
        <v>739</v>
      </c>
      <c r="D564" t="s">
        <v>740</v>
      </c>
      <c r="E564" t="s">
        <v>743</v>
      </c>
      <c r="F564" s="34">
        <v>103</v>
      </c>
      <c r="G564" s="34" t="s">
        <v>69</v>
      </c>
      <c r="H564" s="36">
        <v>8867</v>
      </c>
      <c r="I564" s="58">
        <v>135554</v>
      </c>
      <c r="J564">
        <f>IFERROR(VLOOKUP(G564,'LEAID Match'!$A$2:$B$526,2,FALSE),"")</f>
        <v>2913500</v>
      </c>
      <c r="K564" s="68">
        <f t="shared" si="17"/>
        <v>8</v>
      </c>
    </row>
    <row r="565" spans="1:11" x14ac:dyDescent="0.2">
      <c r="A565">
        <f t="shared" si="16"/>
        <v>2913500</v>
      </c>
      <c r="B565">
        <v>2018</v>
      </c>
      <c r="C565" t="s">
        <v>739</v>
      </c>
      <c r="D565" t="s">
        <v>740</v>
      </c>
      <c r="E565" t="s">
        <v>743</v>
      </c>
      <c r="F565" s="34">
        <v>103</v>
      </c>
      <c r="G565" s="34" t="s">
        <v>69</v>
      </c>
      <c r="H565" s="36">
        <v>16190</v>
      </c>
      <c r="I565" s="58">
        <v>126500</v>
      </c>
      <c r="J565">
        <f>IFERROR(VLOOKUP(G565,'LEAID Match'!$A$2:$B$526,2,FALSE),"")</f>
        <v>2913500</v>
      </c>
      <c r="K565" s="68">
        <f t="shared" si="17"/>
        <v>8</v>
      </c>
    </row>
    <row r="566" spans="1:11" x14ac:dyDescent="0.2">
      <c r="A566">
        <f t="shared" si="16"/>
        <v>2913500</v>
      </c>
      <c r="B566">
        <v>2019</v>
      </c>
      <c r="C566" t="s">
        <v>739</v>
      </c>
      <c r="D566" t="s">
        <v>740</v>
      </c>
      <c r="E566" t="s">
        <v>743</v>
      </c>
      <c r="F566" s="34">
        <v>103</v>
      </c>
      <c r="G566" s="34" t="s">
        <v>69</v>
      </c>
      <c r="H566" s="36">
        <v>16910</v>
      </c>
      <c r="I566" s="58">
        <v>129776</v>
      </c>
      <c r="J566">
        <f>IFERROR(VLOOKUP(G566,'LEAID Match'!$A$2:$B$526,2,FALSE),"")</f>
        <v>2913500</v>
      </c>
      <c r="K566" s="68">
        <f t="shared" si="17"/>
        <v>8</v>
      </c>
    </row>
    <row r="567" spans="1:11" x14ac:dyDescent="0.2">
      <c r="A567">
        <f t="shared" si="16"/>
        <v>2913500</v>
      </c>
      <c r="B567">
        <v>2020</v>
      </c>
      <c r="C567" t="s">
        <v>739</v>
      </c>
      <c r="D567" t="s">
        <v>740</v>
      </c>
      <c r="E567" t="s">
        <v>743</v>
      </c>
      <c r="F567" s="34">
        <v>103</v>
      </c>
      <c r="G567" s="34" t="s">
        <v>69</v>
      </c>
      <c r="H567" s="36">
        <v>15968</v>
      </c>
      <c r="I567" s="58">
        <v>138613</v>
      </c>
      <c r="J567">
        <f>IFERROR(VLOOKUP(G567,'LEAID Match'!$A$2:$B$526,2,FALSE),"")</f>
        <v>2913500</v>
      </c>
      <c r="K567" s="68">
        <f t="shared" si="17"/>
        <v>8</v>
      </c>
    </row>
    <row r="568" spans="1:11" x14ac:dyDescent="0.2">
      <c r="A568">
        <f t="shared" si="16"/>
        <v>2913500</v>
      </c>
      <c r="B568">
        <v>2021</v>
      </c>
      <c r="C568" t="s">
        <v>739</v>
      </c>
      <c r="D568" t="s">
        <v>740</v>
      </c>
      <c r="E568" t="s">
        <v>743</v>
      </c>
      <c r="F568" s="34">
        <v>103</v>
      </c>
      <c r="G568" s="34" t="s">
        <v>69</v>
      </c>
      <c r="H568" s="36">
        <v>18686</v>
      </c>
      <c r="I568" s="58">
        <v>132959</v>
      </c>
      <c r="J568">
        <f>IFERROR(VLOOKUP(G568,'LEAID Match'!$A$2:$B$526,2,FALSE),"")</f>
        <v>2913500</v>
      </c>
      <c r="K568" s="68">
        <f t="shared" si="17"/>
        <v>8</v>
      </c>
    </row>
    <row r="569" spans="1:11" x14ac:dyDescent="0.2">
      <c r="A569">
        <f t="shared" si="16"/>
        <v>2913500</v>
      </c>
      <c r="B569">
        <v>2022</v>
      </c>
      <c r="C569" t="s">
        <v>739</v>
      </c>
      <c r="D569" t="s">
        <v>740</v>
      </c>
      <c r="E569" t="s">
        <v>743</v>
      </c>
      <c r="F569" s="34">
        <v>103</v>
      </c>
      <c r="G569" s="34" t="s">
        <v>69</v>
      </c>
      <c r="H569" s="36">
        <v>18485</v>
      </c>
      <c r="I569" s="58">
        <v>128691</v>
      </c>
      <c r="J569">
        <f>IFERROR(VLOOKUP(G569,'LEAID Match'!$A$2:$B$526,2,FALSE),"")</f>
        <v>2913500</v>
      </c>
      <c r="K569" s="68">
        <f t="shared" si="17"/>
        <v>8</v>
      </c>
    </row>
    <row r="570" spans="1:11" x14ac:dyDescent="0.2">
      <c r="A570">
        <f t="shared" si="16"/>
        <v>2930300</v>
      </c>
      <c r="B570">
        <v>2015</v>
      </c>
      <c r="C570" t="s">
        <v>739</v>
      </c>
      <c r="D570" t="s">
        <v>740</v>
      </c>
      <c r="E570" t="s">
        <v>743</v>
      </c>
      <c r="F570" s="37">
        <v>104</v>
      </c>
      <c r="G570" s="34" t="s">
        <v>549</v>
      </c>
      <c r="H570" s="40">
        <v>13981</v>
      </c>
      <c r="I570" s="58">
        <v>136634</v>
      </c>
      <c r="J570">
        <f>IFERROR(VLOOKUP(G570,'LEAID Match'!$A$2:$B$526,2,FALSE),"")</f>
        <v>2930300</v>
      </c>
      <c r="K570" s="68">
        <f t="shared" si="17"/>
        <v>8</v>
      </c>
    </row>
    <row r="571" spans="1:11" x14ac:dyDescent="0.2">
      <c r="A571">
        <f t="shared" si="16"/>
        <v>2930300</v>
      </c>
      <c r="B571">
        <v>2016</v>
      </c>
      <c r="C571" t="s">
        <v>739</v>
      </c>
      <c r="D571" t="s">
        <v>740</v>
      </c>
      <c r="E571" t="s">
        <v>743</v>
      </c>
      <c r="F571" s="34">
        <v>104</v>
      </c>
      <c r="G571" s="34" t="s">
        <v>549</v>
      </c>
      <c r="H571" s="36">
        <v>14247</v>
      </c>
      <c r="I571" s="60">
        <v>139705</v>
      </c>
      <c r="J571">
        <f>IFERROR(VLOOKUP(G571,'LEAID Match'!$A$2:$B$526,2,FALSE),"")</f>
        <v>2930300</v>
      </c>
      <c r="K571" s="68">
        <f t="shared" si="17"/>
        <v>8</v>
      </c>
    </row>
    <row r="572" spans="1:11" x14ac:dyDescent="0.2">
      <c r="A572">
        <f t="shared" si="16"/>
        <v>2930300</v>
      </c>
      <c r="B572">
        <v>2017</v>
      </c>
      <c r="C572" t="s">
        <v>739</v>
      </c>
      <c r="D572" t="s">
        <v>740</v>
      </c>
      <c r="E572" t="s">
        <v>743</v>
      </c>
      <c r="F572" s="34">
        <v>104</v>
      </c>
      <c r="G572" s="34" t="s">
        <v>549</v>
      </c>
      <c r="H572" s="36">
        <v>13987</v>
      </c>
      <c r="I572" s="58">
        <v>148179</v>
      </c>
      <c r="J572">
        <f>IFERROR(VLOOKUP(G572,'LEAID Match'!$A$2:$B$526,2,FALSE),"")</f>
        <v>2930300</v>
      </c>
      <c r="K572" s="68">
        <f t="shared" si="17"/>
        <v>8</v>
      </c>
    </row>
    <row r="573" spans="1:11" x14ac:dyDescent="0.2">
      <c r="A573">
        <f t="shared" si="16"/>
        <v>2930300</v>
      </c>
      <c r="B573">
        <v>2018</v>
      </c>
      <c r="C573" t="s">
        <v>739</v>
      </c>
      <c r="D573" t="s">
        <v>740</v>
      </c>
      <c r="E573" t="s">
        <v>743</v>
      </c>
      <c r="F573" s="34">
        <v>104</v>
      </c>
      <c r="G573" s="34" t="s">
        <v>549</v>
      </c>
      <c r="H573" s="36">
        <v>14240</v>
      </c>
      <c r="I573" s="58">
        <v>149053</v>
      </c>
      <c r="J573">
        <f>IFERROR(VLOOKUP(G573,'LEAID Match'!$A$2:$B$526,2,FALSE),"")</f>
        <v>2930300</v>
      </c>
      <c r="K573" s="68">
        <f t="shared" si="17"/>
        <v>8</v>
      </c>
    </row>
    <row r="574" spans="1:11" x14ac:dyDescent="0.2">
      <c r="A574">
        <f t="shared" si="16"/>
        <v>2930300</v>
      </c>
      <c r="B574">
        <v>2019</v>
      </c>
      <c r="C574" t="s">
        <v>739</v>
      </c>
      <c r="D574" t="s">
        <v>740</v>
      </c>
      <c r="E574" t="s">
        <v>743</v>
      </c>
      <c r="F574" s="34">
        <v>104</v>
      </c>
      <c r="G574" s="34" t="s">
        <v>549</v>
      </c>
      <c r="H574" s="36">
        <v>12834</v>
      </c>
      <c r="I574" s="58">
        <v>154728</v>
      </c>
      <c r="J574">
        <f>IFERROR(VLOOKUP(G574,'LEAID Match'!$A$2:$B$526,2,FALSE),"")</f>
        <v>2930300</v>
      </c>
      <c r="K574" s="68">
        <f t="shared" si="17"/>
        <v>8</v>
      </c>
    </row>
    <row r="575" spans="1:11" x14ac:dyDescent="0.2">
      <c r="A575">
        <f t="shared" si="16"/>
        <v>2930300</v>
      </c>
      <c r="B575">
        <v>2020</v>
      </c>
      <c r="C575" t="s">
        <v>739</v>
      </c>
      <c r="D575" t="s">
        <v>740</v>
      </c>
      <c r="E575" t="s">
        <v>743</v>
      </c>
      <c r="F575" s="34">
        <v>104</v>
      </c>
      <c r="G575" s="34" t="s">
        <v>549</v>
      </c>
      <c r="H575" s="36">
        <v>19042</v>
      </c>
      <c r="I575" s="58">
        <v>135825</v>
      </c>
      <c r="J575">
        <f>IFERROR(VLOOKUP(G575,'LEAID Match'!$A$2:$B$526,2,FALSE),"")</f>
        <v>2930300</v>
      </c>
      <c r="K575" s="68">
        <f t="shared" si="17"/>
        <v>8</v>
      </c>
    </row>
    <row r="576" spans="1:11" x14ac:dyDescent="0.2">
      <c r="A576">
        <f t="shared" si="16"/>
        <v>2930300</v>
      </c>
      <c r="B576">
        <v>2021</v>
      </c>
      <c r="C576" t="s">
        <v>739</v>
      </c>
      <c r="D576" t="s">
        <v>740</v>
      </c>
      <c r="E576" t="s">
        <v>743</v>
      </c>
      <c r="F576" s="34">
        <v>104</v>
      </c>
      <c r="G576" s="34" t="s">
        <v>549</v>
      </c>
      <c r="H576" s="36">
        <v>16355</v>
      </c>
      <c r="I576" s="58">
        <v>145581</v>
      </c>
      <c r="J576">
        <f>IFERROR(VLOOKUP(G576,'LEAID Match'!$A$2:$B$526,2,FALSE),"")</f>
        <v>2930300</v>
      </c>
      <c r="K576" s="68">
        <f t="shared" si="17"/>
        <v>8</v>
      </c>
    </row>
    <row r="577" spans="1:11" x14ac:dyDescent="0.2">
      <c r="A577">
        <f t="shared" si="16"/>
        <v>2930300</v>
      </c>
      <c r="B577">
        <v>2022</v>
      </c>
      <c r="C577" t="s">
        <v>739</v>
      </c>
      <c r="D577" t="s">
        <v>740</v>
      </c>
      <c r="E577" t="s">
        <v>743</v>
      </c>
      <c r="F577" s="34">
        <v>104</v>
      </c>
      <c r="G577" s="34" t="s">
        <v>549</v>
      </c>
      <c r="H577" s="36">
        <v>15127</v>
      </c>
      <c r="I577" s="58">
        <v>153279</v>
      </c>
      <c r="J577">
        <f>IFERROR(VLOOKUP(G577,'LEAID Match'!$A$2:$B$526,2,FALSE),"")</f>
        <v>2930300</v>
      </c>
      <c r="K577" s="68">
        <f t="shared" si="17"/>
        <v>8</v>
      </c>
    </row>
    <row r="578" spans="1:11" x14ac:dyDescent="0.2">
      <c r="A578">
        <f t="shared" si="16"/>
        <v>2905610</v>
      </c>
      <c r="B578">
        <v>2015</v>
      </c>
      <c r="C578" t="s">
        <v>739</v>
      </c>
      <c r="D578" t="s">
        <v>740</v>
      </c>
      <c r="E578" t="s">
        <v>743</v>
      </c>
      <c r="F578" s="37">
        <v>106</v>
      </c>
      <c r="G578" s="39" t="s">
        <v>71</v>
      </c>
      <c r="H578" s="40">
        <v>14381</v>
      </c>
      <c r="I578" s="58">
        <v>95914</v>
      </c>
      <c r="J578">
        <f>IFERROR(VLOOKUP(G578,'LEAID Match'!$A$2:$B$526,2,FALSE),"")</f>
        <v>2905610</v>
      </c>
      <c r="K578" s="68">
        <f t="shared" si="17"/>
        <v>8</v>
      </c>
    </row>
    <row r="579" spans="1:11" x14ac:dyDescent="0.2">
      <c r="A579">
        <f t="shared" ref="A579:A642" si="18">J579</f>
        <v>2905610</v>
      </c>
      <c r="B579">
        <v>2016</v>
      </c>
      <c r="C579" t="s">
        <v>739</v>
      </c>
      <c r="D579" t="s">
        <v>740</v>
      </c>
      <c r="E579" t="s">
        <v>743</v>
      </c>
      <c r="F579" s="34">
        <v>106</v>
      </c>
      <c r="G579" s="34" t="s">
        <v>71</v>
      </c>
      <c r="H579" s="36">
        <v>9300</v>
      </c>
      <c r="I579" s="60">
        <v>100711</v>
      </c>
      <c r="J579">
        <f>IFERROR(VLOOKUP(G579,'LEAID Match'!$A$2:$B$526,2,FALSE),"")</f>
        <v>2905610</v>
      </c>
      <c r="K579" s="68">
        <f t="shared" ref="K579:K642" si="19">COUNTIF($J$2:$J$4295,J579)</f>
        <v>8</v>
      </c>
    </row>
    <row r="580" spans="1:11" x14ac:dyDescent="0.2">
      <c r="A580">
        <f t="shared" si="18"/>
        <v>2905610</v>
      </c>
      <c r="B580">
        <v>2017</v>
      </c>
      <c r="C580" t="s">
        <v>739</v>
      </c>
      <c r="D580" t="s">
        <v>740</v>
      </c>
      <c r="E580" t="s">
        <v>743</v>
      </c>
      <c r="F580" s="34">
        <v>106</v>
      </c>
      <c r="G580" s="34" t="s">
        <v>71</v>
      </c>
      <c r="H580" s="36">
        <v>8336</v>
      </c>
      <c r="I580" s="58">
        <v>97836</v>
      </c>
      <c r="J580">
        <f>IFERROR(VLOOKUP(G580,'LEAID Match'!$A$2:$B$526,2,FALSE),"")</f>
        <v>2905610</v>
      </c>
      <c r="K580" s="68">
        <f t="shared" si="19"/>
        <v>8</v>
      </c>
    </row>
    <row r="581" spans="1:11" x14ac:dyDescent="0.2">
      <c r="A581">
        <f t="shared" si="18"/>
        <v>2905610</v>
      </c>
      <c r="B581">
        <v>2018</v>
      </c>
      <c r="C581" t="s">
        <v>739</v>
      </c>
      <c r="D581" t="s">
        <v>740</v>
      </c>
      <c r="E581" t="s">
        <v>743</v>
      </c>
      <c r="F581" s="34">
        <v>106</v>
      </c>
      <c r="G581" s="34" t="s">
        <v>71</v>
      </c>
      <c r="H581" s="36">
        <v>14795</v>
      </c>
      <c r="I581" s="58">
        <v>99134</v>
      </c>
      <c r="J581">
        <f>IFERROR(VLOOKUP(G581,'LEAID Match'!$A$2:$B$526,2,FALSE),"")</f>
        <v>2905610</v>
      </c>
      <c r="K581" s="68">
        <f t="shared" si="19"/>
        <v>8</v>
      </c>
    </row>
    <row r="582" spans="1:11" x14ac:dyDescent="0.2">
      <c r="A582">
        <f t="shared" si="18"/>
        <v>2905610</v>
      </c>
      <c r="B582">
        <v>2019</v>
      </c>
      <c r="C582" t="s">
        <v>739</v>
      </c>
      <c r="D582" t="s">
        <v>740</v>
      </c>
      <c r="E582" t="s">
        <v>743</v>
      </c>
      <c r="F582" s="34">
        <v>106</v>
      </c>
      <c r="G582" s="34" t="s">
        <v>71</v>
      </c>
      <c r="H582" s="36">
        <v>15964</v>
      </c>
      <c r="I582" s="58">
        <v>101480</v>
      </c>
      <c r="J582">
        <f>IFERROR(VLOOKUP(G582,'LEAID Match'!$A$2:$B$526,2,FALSE),"")</f>
        <v>2905610</v>
      </c>
      <c r="K582" s="68">
        <f t="shared" si="19"/>
        <v>8</v>
      </c>
    </row>
    <row r="583" spans="1:11" x14ac:dyDescent="0.2">
      <c r="A583">
        <f t="shared" si="18"/>
        <v>2905610</v>
      </c>
      <c r="B583">
        <v>2020</v>
      </c>
      <c r="C583" t="s">
        <v>739</v>
      </c>
      <c r="D583" t="s">
        <v>740</v>
      </c>
      <c r="E583" t="s">
        <v>743</v>
      </c>
      <c r="F583" s="34">
        <v>106</v>
      </c>
      <c r="G583" s="34" t="s">
        <v>71</v>
      </c>
      <c r="H583" s="36">
        <v>18921</v>
      </c>
      <c r="I583" s="58">
        <v>87708</v>
      </c>
      <c r="J583">
        <f>IFERROR(VLOOKUP(G583,'LEAID Match'!$A$2:$B$526,2,FALSE),"")</f>
        <v>2905610</v>
      </c>
      <c r="K583" s="68">
        <f t="shared" si="19"/>
        <v>8</v>
      </c>
    </row>
    <row r="584" spans="1:11" x14ac:dyDescent="0.2">
      <c r="A584">
        <f t="shared" si="18"/>
        <v>2905610</v>
      </c>
      <c r="B584">
        <v>2021</v>
      </c>
      <c r="C584" t="s">
        <v>739</v>
      </c>
      <c r="D584" t="s">
        <v>740</v>
      </c>
      <c r="E584" t="s">
        <v>743</v>
      </c>
      <c r="F584" s="34">
        <v>106</v>
      </c>
      <c r="G584" s="34" t="s">
        <v>71</v>
      </c>
      <c r="H584" s="36">
        <v>20285</v>
      </c>
      <c r="I584" s="58">
        <v>85719</v>
      </c>
      <c r="J584">
        <f>IFERROR(VLOOKUP(G584,'LEAID Match'!$A$2:$B$526,2,FALSE),"")</f>
        <v>2905610</v>
      </c>
      <c r="K584" s="68">
        <f t="shared" si="19"/>
        <v>8</v>
      </c>
    </row>
    <row r="585" spans="1:11" x14ac:dyDescent="0.2">
      <c r="A585">
        <f t="shared" si="18"/>
        <v>2905610</v>
      </c>
      <c r="B585">
        <v>2022</v>
      </c>
      <c r="C585" t="s">
        <v>739</v>
      </c>
      <c r="D585" t="s">
        <v>740</v>
      </c>
      <c r="E585" t="s">
        <v>743</v>
      </c>
      <c r="F585" s="34">
        <v>106</v>
      </c>
      <c r="G585" s="34" t="s">
        <v>71</v>
      </c>
      <c r="H585" s="36">
        <v>22754</v>
      </c>
      <c r="I585" s="58">
        <v>80898</v>
      </c>
      <c r="J585">
        <f>IFERROR(VLOOKUP(G585,'LEAID Match'!$A$2:$B$526,2,FALSE),"")</f>
        <v>2905610</v>
      </c>
      <c r="K585" s="68">
        <f t="shared" si="19"/>
        <v>8</v>
      </c>
    </row>
    <row r="586" spans="1:11" x14ac:dyDescent="0.2">
      <c r="A586">
        <f t="shared" si="18"/>
        <v>2907380</v>
      </c>
      <c r="B586">
        <v>2015</v>
      </c>
      <c r="C586" t="s">
        <v>739</v>
      </c>
      <c r="D586" t="s">
        <v>740</v>
      </c>
      <c r="E586" t="s">
        <v>743</v>
      </c>
      <c r="F586" s="37">
        <v>107</v>
      </c>
      <c r="G586" s="39" t="s">
        <v>72</v>
      </c>
      <c r="H586" s="40">
        <v>88540</v>
      </c>
      <c r="I586" s="58">
        <v>616821</v>
      </c>
      <c r="J586">
        <f>IFERROR(VLOOKUP(G586,'LEAID Match'!$A$2:$B$526,2,FALSE),"")</f>
        <v>2907380</v>
      </c>
      <c r="K586" s="68">
        <f t="shared" si="19"/>
        <v>8</v>
      </c>
    </row>
    <row r="587" spans="1:11" x14ac:dyDescent="0.2">
      <c r="A587">
        <f t="shared" si="18"/>
        <v>2907380</v>
      </c>
      <c r="B587">
        <v>2016</v>
      </c>
      <c r="C587" t="s">
        <v>739</v>
      </c>
      <c r="D587" t="s">
        <v>740</v>
      </c>
      <c r="E587" t="s">
        <v>743</v>
      </c>
      <c r="F587" s="34">
        <v>107</v>
      </c>
      <c r="G587" s="34" t="s">
        <v>72</v>
      </c>
      <c r="H587" s="36">
        <v>99342</v>
      </c>
      <c r="I587" s="60">
        <v>661701</v>
      </c>
      <c r="J587">
        <f>IFERROR(VLOOKUP(G587,'LEAID Match'!$A$2:$B$526,2,FALSE),"")</f>
        <v>2907380</v>
      </c>
      <c r="K587" s="68">
        <f t="shared" si="19"/>
        <v>8</v>
      </c>
    </row>
    <row r="588" spans="1:11" x14ac:dyDescent="0.2">
      <c r="A588">
        <f t="shared" si="18"/>
        <v>2907380</v>
      </c>
      <c r="B588">
        <v>2017</v>
      </c>
      <c r="C588" t="s">
        <v>739</v>
      </c>
      <c r="D588" t="s">
        <v>740</v>
      </c>
      <c r="E588" t="s">
        <v>743</v>
      </c>
      <c r="F588" s="34">
        <v>107</v>
      </c>
      <c r="G588" s="34" t="s">
        <v>72</v>
      </c>
      <c r="H588" s="36">
        <v>106462</v>
      </c>
      <c r="I588" s="58">
        <v>683117</v>
      </c>
      <c r="J588">
        <f>IFERROR(VLOOKUP(G588,'LEAID Match'!$A$2:$B$526,2,FALSE),"")</f>
        <v>2907380</v>
      </c>
      <c r="K588" s="68">
        <f t="shared" si="19"/>
        <v>8</v>
      </c>
    </row>
    <row r="589" spans="1:11" x14ac:dyDescent="0.2">
      <c r="A589">
        <f t="shared" si="18"/>
        <v>2907380</v>
      </c>
      <c r="B589">
        <v>2018</v>
      </c>
      <c r="C589" t="s">
        <v>739</v>
      </c>
      <c r="D589" t="s">
        <v>740</v>
      </c>
      <c r="E589" t="s">
        <v>743</v>
      </c>
      <c r="F589" s="34">
        <v>107</v>
      </c>
      <c r="G589" s="34" t="s">
        <v>72</v>
      </c>
      <c r="H589" s="36">
        <v>108338</v>
      </c>
      <c r="I589" s="58">
        <v>710923</v>
      </c>
      <c r="J589">
        <f>IFERROR(VLOOKUP(G589,'LEAID Match'!$A$2:$B$526,2,FALSE),"")</f>
        <v>2907380</v>
      </c>
      <c r="K589" s="68">
        <f t="shared" si="19"/>
        <v>8</v>
      </c>
    </row>
    <row r="590" spans="1:11" x14ac:dyDescent="0.2">
      <c r="A590">
        <f t="shared" si="18"/>
        <v>2907380</v>
      </c>
      <c r="B590">
        <v>2019</v>
      </c>
      <c r="C590" t="s">
        <v>739</v>
      </c>
      <c r="D590" t="s">
        <v>740</v>
      </c>
      <c r="E590" t="s">
        <v>743</v>
      </c>
      <c r="F590" s="34">
        <v>107</v>
      </c>
      <c r="G590" s="34" t="s">
        <v>72</v>
      </c>
      <c r="H590" s="36">
        <v>100604</v>
      </c>
      <c r="I590" s="58">
        <v>753716</v>
      </c>
      <c r="J590">
        <f>IFERROR(VLOOKUP(G590,'LEAID Match'!$A$2:$B$526,2,FALSE),"")</f>
        <v>2907380</v>
      </c>
      <c r="K590" s="68">
        <f t="shared" si="19"/>
        <v>8</v>
      </c>
    </row>
    <row r="591" spans="1:11" x14ac:dyDescent="0.2">
      <c r="A591">
        <f t="shared" si="18"/>
        <v>2907380</v>
      </c>
      <c r="B591">
        <v>2020</v>
      </c>
      <c r="C591" t="s">
        <v>739</v>
      </c>
      <c r="D591" t="s">
        <v>740</v>
      </c>
      <c r="E591" t="s">
        <v>743</v>
      </c>
      <c r="F591" s="34">
        <v>107</v>
      </c>
      <c r="G591" s="34" t="s">
        <v>72</v>
      </c>
      <c r="H591" s="36">
        <v>102466</v>
      </c>
      <c r="I591" s="58">
        <v>758355</v>
      </c>
      <c r="J591">
        <f>IFERROR(VLOOKUP(G591,'LEAID Match'!$A$2:$B$526,2,FALSE),"")</f>
        <v>2907380</v>
      </c>
      <c r="K591" s="68">
        <f t="shared" si="19"/>
        <v>8</v>
      </c>
    </row>
    <row r="592" spans="1:11" x14ac:dyDescent="0.2">
      <c r="A592">
        <f t="shared" si="18"/>
        <v>2907380</v>
      </c>
      <c r="B592">
        <v>2021</v>
      </c>
      <c r="C592" t="s">
        <v>739</v>
      </c>
      <c r="D592" t="s">
        <v>740</v>
      </c>
      <c r="E592" t="s">
        <v>743</v>
      </c>
      <c r="F592" s="34">
        <v>107</v>
      </c>
      <c r="G592" s="34" t="s">
        <v>72</v>
      </c>
      <c r="H592" s="36">
        <v>108063</v>
      </c>
      <c r="I592" s="58">
        <v>764310</v>
      </c>
      <c r="J592">
        <f>IFERROR(VLOOKUP(G592,'LEAID Match'!$A$2:$B$526,2,FALSE),"")</f>
        <v>2907380</v>
      </c>
      <c r="K592" s="68">
        <f t="shared" si="19"/>
        <v>8</v>
      </c>
    </row>
    <row r="593" spans="1:11" x14ac:dyDescent="0.2">
      <c r="A593">
        <f t="shared" si="18"/>
        <v>2907380</v>
      </c>
      <c r="B593">
        <v>2022</v>
      </c>
      <c r="C593" t="s">
        <v>739</v>
      </c>
      <c r="D593" t="s">
        <v>740</v>
      </c>
      <c r="E593" t="s">
        <v>743</v>
      </c>
      <c r="F593" s="34">
        <v>107</v>
      </c>
      <c r="G593" s="34" t="s">
        <v>72</v>
      </c>
      <c r="H593" s="36">
        <v>110508</v>
      </c>
      <c r="I593" s="58">
        <v>807091</v>
      </c>
      <c r="J593">
        <f>IFERROR(VLOOKUP(G593,'LEAID Match'!$A$2:$B$526,2,FALSE),"")</f>
        <v>2907380</v>
      </c>
      <c r="K593" s="68">
        <f t="shared" si="19"/>
        <v>8</v>
      </c>
    </row>
    <row r="594" spans="1:11" x14ac:dyDescent="0.2">
      <c r="A594">
        <f t="shared" si="18"/>
        <v>2922620</v>
      </c>
      <c r="B594">
        <v>2015</v>
      </c>
      <c r="C594" t="s">
        <v>739</v>
      </c>
      <c r="D594" t="s">
        <v>740</v>
      </c>
      <c r="E594" t="s">
        <v>743</v>
      </c>
      <c r="F594" s="37">
        <v>108</v>
      </c>
      <c r="G594" s="39" t="s">
        <v>73</v>
      </c>
      <c r="H594" s="40">
        <v>20225</v>
      </c>
      <c r="I594" s="58">
        <v>160266</v>
      </c>
      <c r="J594">
        <f>IFERROR(VLOOKUP(G594,'LEAID Match'!$A$2:$B$526,2,FALSE),"")</f>
        <v>2922620</v>
      </c>
      <c r="K594" s="68">
        <f t="shared" si="19"/>
        <v>8</v>
      </c>
    </row>
    <row r="595" spans="1:11" x14ac:dyDescent="0.2">
      <c r="A595">
        <f t="shared" si="18"/>
        <v>2922620</v>
      </c>
      <c r="B595">
        <v>2016</v>
      </c>
      <c r="C595" t="s">
        <v>739</v>
      </c>
      <c r="D595" t="s">
        <v>740</v>
      </c>
      <c r="E595" t="s">
        <v>743</v>
      </c>
      <c r="F595" s="34">
        <v>108</v>
      </c>
      <c r="G595" s="34" t="s">
        <v>73</v>
      </c>
      <c r="H595" s="36">
        <v>20537</v>
      </c>
      <c r="I595" s="60">
        <v>163706</v>
      </c>
      <c r="J595">
        <f>IFERROR(VLOOKUP(G595,'LEAID Match'!$A$2:$B$526,2,FALSE),"")</f>
        <v>2922620</v>
      </c>
      <c r="K595" s="68">
        <f t="shared" si="19"/>
        <v>8</v>
      </c>
    </row>
    <row r="596" spans="1:11" x14ac:dyDescent="0.2">
      <c r="A596">
        <f t="shared" si="18"/>
        <v>2922620</v>
      </c>
      <c r="B596">
        <v>2017</v>
      </c>
      <c r="C596" t="s">
        <v>739</v>
      </c>
      <c r="D596" t="s">
        <v>740</v>
      </c>
      <c r="E596" t="s">
        <v>743</v>
      </c>
      <c r="F596" s="34">
        <v>108</v>
      </c>
      <c r="G596" s="34" t="s">
        <v>73</v>
      </c>
      <c r="H596" s="36">
        <v>23147</v>
      </c>
      <c r="I596" s="58">
        <v>167466</v>
      </c>
      <c r="J596">
        <f>IFERROR(VLOOKUP(G596,'LEAID Match'!$A$2:$B$526,2,FALSE),"")</f>
        <v>2922620</v>
      </c>
      <c r="K596" s="68">
        <f t="shared" si="19"/>
        <v>8</v>
      </c>
    </row>
    <row r="597" spans="1:11" x14ac:dyDescent="0.2">
      <c r="A597">
        <f t="shared" si="18"/>
        <v>2922620</v>
      </c>
      <c r="B597">
        <v>2018</v>
      </c>
      <c r="C597" t="s">
        <v>739</v>
      </c>
      <c r="D597" t="s">
        <v>740</v>
      </c>
      <c r="E597" t="s">
        <v>743</v>
      </c>
      <c r="F597" s="34">
        <v>108</v>
      </c>
      <c r="G597" s="34" t="s">
        <v>73</v>
      </c>
      <c r="H597" s="36">
        <v>22243</v>
      </c>
      <c r="I597" s="58">
        <v>183475</v>
      </c>
      <c r="J597">
        <f>IFERROR(VLOOKUP(G597,'LEAID Match'!$A$2:$B$526,2,FALSE),"")</f>
        <v>2922620</v>
      </c>
      <c r="K597" s="68">
        <f t="shared" si="19"/>
        <v>8</v>
      </c>
    </row>
    <row r="598" spans="1:11" x14ac:dyDescent="0.2">
      <c r="A598">
        <f t="shared" si="18"/>
        <v>2922620</v>
      </c>
      <c r="B598">
        <v>2019</v>
      </c>
      <c r="C598" t="s">
        <v>739</v>
      </c>
      <c r="D598" t="s">
        <v>740</v>
      </c>
      <c r="E598" t="s">
        <v>743</v>
      </c>
      <c r="F598" s="34">
        <v>108</v>
      </c>
      <c r="G598" s="34" t="s">
        <v>73</v>
      </c>
      <c r="H598" s="36">
        <v>27079</v>
      </c>
      <c r="I598" s="58">
        <v>172321</v>
      </c>
      <c r="J598">
        <f>IFERROR(VLOOKUP(G598,'LEAID Match'!$A$2:$B$526,2,FALSE),"")</f>
        <v>2922620</v>
      </c>
      <c r="K598" s="68">
        <f t="shared" si="19"/>
        <v>8</v>
      </c>
    </row>
    <row r="599" spans="1:11" x14ac:dyDescent="0.2">
      <c r="A599">
        <f t="shared" si="18"/>
        <v>2922620</v>
      </c>
      <c r="B599">
        <v>2020</v>
      </c>
      <c r="C599" t="s">
        <v>739</v>
      </c>
      <c r="D599" t="s">
        <v>740</v>
      </c>
      <c r="E599" t="s">
        <v>743</v>
      </c>
      <c r="F599" s="34">
        <v>108</v>
      </c>
      <c r="G599" s="34" t="s">
        <v>73</v>
      </c>
      <c r="H599" s="36">
        <v>28096</v>
      </c>
      <c r="I599" s="58">
        <v>179041</v>
      </c>
      <c r="J599">
        <f>IFERROR(VLOOKUP(G599,'LEAID Match'!$A$2:$B$526,2,FALSE),"")</f>
        <v>2922620</v>
      </c>
      <c r="K599" s="68">
        <f t="shared" si="19"/>
        <v>8</v>
      </c>
    </row>
    <row r="600" spans="1:11" x14ac:dyDescent="0.2">
      <c r="A600">
        <f t="shared" si="18"/>
        <v>2922620</v>
      </c>
      <c r="B600">
        <v>2021</v>
      </c>
      <c r="C600" t="s">
        <v>739</v>
      </c>
      <c r="D600" t="s">
        <v>740</v>
      </c>
      <c r="E600" t="s">
        <v>743</v>
      </c>
      <c r="F600" s="34">
        <v>108</v>
      </c>
      <c r="G600" s="34" t="s">
        <v>73</v>
      </c>
      <c r="H600" s="36">
        <v>31159</v>
      </c>
      <c r="I600" s="58">
        <v>187303</v>
      </c>
      <c r="J600">
        <f>IFERROR(VLOOKUP(G600,'LEAID Match'!$A$2:$B$526,2,FALSE),"")</f>
        <v>2922620</v>
      </c>
      <c r="K600" s="68">
        <f t="shared" si="19"/>
        <v>8</v>
      </c>
    </row>
    <row r="601" spans="1:11" x14ac:dyDescent="0.2">
      <c r="A601">
        <f t="shared" si="18"/>
        <v>2922620</v>
      </c>
      <c r="B601">
        <v>2022</v>
      </c>
      <c r="C601" t="s">
        <v>739</v>
      </c>
      <c r="D601" t="s">
        <v>740</v>
      </c>
      <c r="E601" t="s">
        <v>743</v>
      </c>
      <c r="F601" s="34">
        <v>108</v>
      </c>
      <c r="G601" s="34" t="s">
        <v>73</v>
      </c>
      <c r="H601" s="36">
        <v>26206</v>
      </c>
      <c r="I601" s="58">
        <v>197970</v>
      </c>
      <c r="J601">
        <f>IFERROR(VLOOKUP(G601,'LEAID Match'!$A$2:$B$526,2,FALSE),"")</f>
        <v>2922620</v>
      </c>
      <c r="K601" s="68">
        <f t="shared" si="19"/>
        <v>8</v>
      </c>
    </row>
    <row r="602" spans="1:11" x14ac:dyDescent="0.2">
      <c r="A602">
        <f t="shared" si="18"/>
        <v>2930750</v>
      </c>
      <c r="B602">
        <v>2015</v>
      </c>
      <c r="C602" t="s">
        <v>739</v>
      </c>
      <c r="D602" t="s">
        <v>740</v>
      </c>
      <c r="E602" t="s">
        <v>743</v>
      </c>
      <c r="F602" s="37">
        <v>110</v>
      </c>
      <c r="G602" s="39" t="s">
        <v>74</v>
      </c>
      <c r="H602" s="40">
        <v>47057</v>
      </c>
      <c r="I602" s="58">
        <v>336424</v>
      </c>
      <c r="J602">
        <f>IFERROR(VLOOKUP(G602,'LEAID Match'!$A$2:$B$526,2,FALSE),"")</f>
        <v>2930750</v>
      </c>
      <c r="K602" s="68">
        <f t="shared" si="19"/>
        <v>8</v>
      </c>
    </row>
    <row r="603" spans="1:11" x14ac:dyDescent="0.2">
      <c r="A603">
        <f t="shared" si="18"/>
        <v>2930750</v>
      </c>
      <c r="B603">
        <v>2016</v>
      </c>
      <c r="C603" t="s">
        <v>739</v>
      </c>
      <c r="D603" t="s">
        <v>740</v>
      </c>
      <c r="E603" t="s">
        <v>743</v>
      </c>
      <c r="F603" s="34">
        <v>110</v>
      </c>
      <c r="G603" s="34" t="s">
        <v>74</v>
      </c>
      <c r="H603" s="36">
        <v>63955</v>
      </c>
      <c r="I603" s="60">
        <v>316155</v>
      </c>
      <c r="J603">
        <f>IFERROR(VLOOKUP(G603,'LEAID Match'!$A$2:$B$526,2,FALSE),"")</f>
        <v>2930750</v>
      </c>
      <c r="K603" s="68">
        <f t="shared" si="19"/>
        <v>8</v>
      </c>
    </row>
    <row r="604" spans="1:11" x14ac:dyDescent="0.2">
      <c r="A604">
        <f t="shared" si="18"/>
        <v>2930750</v>
      </c>
      <c r="B604">
        <v>2017</v>
      </c>
      <c r="C604" t="s">
        <v>739</v>
      </c>
      <c r="D604" t="s">
        <v>740</v>
      </c>
      <c r="E604" t="s">
        <v>743</v>
      </c>
      <c r="F604" s="34">
        <v>110</v>
      </c>
      <c r="G604" s="34" t="s">
        <v>74</v>
      </c>
      <c r="H604" s="36">
        <v>76626</v>
      </c>
      <c r="I604" s="58">
        <v>318325</v>
      </c>
      <c r="J604">
        <f>IFERROR(VLOOKUP(G604,'LEAID Match'!$A$2:$B$526,2,FALSE),"")</f>
        <v>2930750</v>
      </c>
      <c r="K604" s="68">
        <f t="shared" si="19"/>
        <v>8</v>
      </c>
    </row>
    <row r="605" spans="1:11" x14ac:dyDescent="0.2">
      <c r="A605">
        <f t="shared" si="18"/>
        <v>2930750</v>
      </c>
      <c r="B605">
        <v>2018</v>
      </c>
      <c r="C605" t="s">
        <v>739</v>
      </c>
      <c r="D605" t="s">
        <v>740</v>
      </c>
      <c r="E605" t="s">
        <v>743</v>
      </c>
      <c r="F605" s="34">
        <v>110</v>
      </c>
      <c r="G605" s="34" t="s">
        <v>74</v>
      </c>
      <c r="H605" s="36">
        <v>83403</v>
      </c>
      <c r="I605" s="58">
        <v>327717</v>
      </c>
      <c r="J605">
        <f>IFERROR(VLOOKUP(G605,'LEAID Match'!$A$2:$B$526,2,FALSE),"")</f>
        <v>2930750</v>
      </c>
      <c r="K605" s="68">
        <f t="shared" si="19"/>
        <v>8</v>
      </c>
    </row>
    <row r="606" spans="1:11" x14ac:dyDescent="0.2">
      <c r="A606">
        <f t="shared" si="18"/>
        <v>2930750</v>
      </c>
      <c r="B606">
        <v>2019</v>
      </c>
      <c r="C606" t="s">
        <v>739</v>
      </c>
      <c r="D606" t="s">
        <v>740</v>
      </c>
      <c r="E606" t="s">
        <v>743</v>
      </c>
      <c r="F606" s="34">
        <v>110</v>
      </c>
      <c r="G606" s="34" t="s">
        <v>74</v>
      </c>
      <c r="H606" s="36">
        <v>80406</v>
      </c>
      <c r="I606" s="58">
        <v>348407</v>
      </c>
      <c r="J606">
        <f>IFERROR(VLOOKUP(G606,'LEAID Match'!$A$2:$B$526,2,FALSE),"")</f>
        <v>2930750</v>
      </c>
      <c r="K606" s="68">
        <f t="shared" si="19"/>
        <v>8</v>
      </c>
    </row>
    <row r="607" spans="1:11" x14ac:dyDescent="0.2">
      <c r="A607">
        <f t="shared" si="18"/>
        <v>2930750</v>
      </c>
      <c r="B607">
        <v>2020</v>
      </c>
      <c r="C607" t="s">
        <v>739</v>
      </c>
      <c r="D607" t="s">
        <v>740</v>
      </c>
      <c r="E607" t="s">
        <v>743</v>
      </c>
      <c r="F607" s="34">
        <v>110</v>
      </c>
      <c r="G607" s="34" t="s">
        <v>74</v>
      </c>
      <c r="H607" s="36">
        <v>71117</v>
      </c>
      <c r="I607" s="58">
        <v>344252</v>
      </c>
      <c r="J607">
        <f>IFERROR(VLOOKUP(G607,'LEAID Match'!$A$2:$B$526,2,FALSE),"")</f>
        <v>2930750</v>
      </c>
      <c r="K607" s="68">
        <f t="shared" si="19"/>
        <v>8</v>
      </c>
    </row>
    <row r="608" spans="1:11" x14ac:dyDescent="0.2">
      <c r="A608">
        <f t="shared" si="18"/>
        <v>2930750</v>
      </c>
      <c r="B608">
        <v>2021</v>
      </c>
      <c r="C608" t="s">
        <v>739</v>
      </c>
      <c r="D608" t="s">
        <v>740</v>
      </c>
      <c r="E608" t="s">
        <v>743</v>
      </c>
      <c r="F608" s="34">
        <v>110</v>
      </c>
      <c r="G608" s="34" t="s">
        <v>74</v>
      </c>
      <c r="H608" s="36">
        <v>70539</v>
      </c>
      <c r="I608" s="58">
        <v>332893</v>
      </c>
      <c r="J608">
        <f>IFERROR(VLOOKUP(G608,'LEAID Match'!$A$2:$B$526,2,FALSE),"")</f>
        <v>2930750</v>
      </c>
      <c r="K608" s="68">
        <f t="shared" si="19"/>
        <v>8</v>
      </c>
    </row>
    <row r="609" spans="1:11" x14ac:dyDescent="0.2">
      <c r="A609">
        <f t="shared" si="18"/>
        <v>2930750</v>
      </c>
      <c r="B609">
        <v>2022</v>
      </c>
      <c r="C609" t="s">
        <v>739</v>
      </c>
      <c r="D609" t="s">
        <v>740</v>
      </c>
      <c r="E609" t="s">
        <v>743</v>
      </c>
      <c r="F609" s="34">
        <v>110</v>
      </c>
      <c r="G609" s="34" t="s">
        <v>74</v>
      </c>
      <c r="H609" s="36">
        <v>71932</v>
      </c>
      <c r="I609" s="58">
        <v>367668</v>
      </c>
      <c r="J609">
        <f>IFERROR(VLOOKUP(G609,'LEAID Match'!$A$2:$B$526,2,FALSE),"")</f>
        <v>2930750</v>
      </c>
      <c r="K609" s="68">
        <f t="shared" si="19"/>
        <v>8</v>
      </c>
    </row>
    <row r="610" spans="1:11" x14ac:dyDescent="0.2">
      <c r="A610">
        <f t="shared" si="18"/>
        <v>2911100</v>
      </c>
      <c r="B610">
        <v>2015</v>
      </c>
      <c r="C610" t="s">
        <v>739</v>
      </c>
      <c r="D610" t="s">
        <v>740</v>
      </c>
      <c r="E610" t="s">
        <v>743</v>
      </c>
      <c r="F610" s="37">
        <v>111</v>
      </c>
      <c r="G610" s="34" t="s">
        <v>86</v>
      </c>
      <c r="H610" s="40">
        <v>53947</v>
      </c>
      <c r="I610" s="58">
        <v>390573</v>
      </c>
      <c r="J610">
        <f>IFERROR(VLOOKUP(G610,'LEAID Match'!$A$2:$B$526,2,FALSE),"")</f>
        <v>2911100</v>
      </c>
      <c r="K610" s="68">
        <f t="shared" si="19"/>
        <v>8</v>
      </c>
    </row>
    <row r="611" spans="1:11" x14ac:dyDescent="0.2">
      <c r="A611">
        <f t="shared" si="18"/>
        <v>2911100</v>
      </c>
      <c r="B611">
        <v>2016</v>
      </c>
      <c r="C611" t="s">
        <v>739</v>
      </c>
      <c r="D611" t="s">
        <v>740</v>
      </c>
      <c r="E611" t="s">
        <v>743</v>
      </c>
      <c r="F611" s="34">
        <v>111</v>
      </c>
      <c r="G611" s="34" t="s">
        <v>86</v>
      </c>
      <c r="H611" s="36">
        <v>56369</v>
      </c>
      <c r="I611" s="60">
        <v>400213</v>
      </c>
      <c r="J611">
        <f>IFERROR(VLOOKUP(G611,'LEAID Match'!$A$2:$B$526,2,FALSE),"")</f>
        <v>2911100</v>
      </c>
      <c r="K611" s="68">
        <f t="shared" si="19"/>
        <v>8</v>
      </c>
    </row>
    <row r="612" spans="1:11" x14ac:dyDescent="0.2">
      <c r="A612">
        <f t="shared" si="18"/>
        <v>2911100</v>
      </c>
      <c r="B612">
        <v>2017</v>
      </c>
      <c r="C612" t="s">
        <v>739</v>
      </c>
      <c r="D612" t="s">
        <v>740</v>
      </c>
      <c r="E612" t="s">
        <v>743</v>
      </c>
      <c r="F612" s="34">
        <v>111</v>
      </c>
      <c r="G612" s="34" t="s">
        <v>86</v>
      </c>
      <c r="H612" s="36">
        <v>60075</v>
      </c>
      <c r="I612" s="58">
        <v>411936</v>
      </c>
      <c r="J612">
        <f>IFERROR(VLOOKUP(G612,'LEAID Match'!$A$2:$B$526,2,FALSE),"")</f>
        <v>2911100</v>
      </c>
      <c r="K612" s="68">
        <f t="shared" si="19"/>
        <v>8</v>
      </c>
    </row>
    <row r="613" spans="1:11" x14ac:dyDescent="0.2">
      <c r="A613">
        <f t="shared" si="18"/>
        <v>2911100</v>
      </c>
      <c r="B613">
        <v>2018</v>
      </c>
      <c r="C613" t="s">
        <v>739</v>
      </c>
      <c r="D613" t="s">
        <v>740</v>
      </c>
      <c r="E613" t="s">
        <v>743</v>
      </c>
      <c r="F613" s="34">
        <v>111</v>
      </c>
      <c r="G613" s="34" t="s">
        <v>86</v>
      </c>
      <c r="H613" s="36">
        <v>60259</v>
      </c>
      <c r="I613" s="58">
        <v>427742</v>
      </c>
      <c r="J613">
        <f>IFERROR(VLOOKUP(G613,'LEAID Match'!$A$2:$B$526,2,FALSE),"")</f>
        <v>2911100</v>
      </c>
      <c r="K613" s="68">
        <f t="shared" si="19"/>
        <v>8</v>
      </c>
    </row>
    <row r="614" spans="1:11" x14ac:dyDescent="0.2">
      <c r="A614">
        <f t="shared" si="18"/>
        <v>2911100</v>
      </c>
      <c r="B614">
        <v>2019</v>
      </c>
      <c r="C614" t="s">
        <v>739</v>
      </c>
      <c r="D614" t="s">
        <v>740</v>
      </c>
      <c r="E614" t="s">
        <v>743</v>
      </c>
      <c r="F614" s="34">
        <v>111</v>
      </c>
      <c r="G614" s="34" t="s">
        <v>86</v>
      </c>
      <c r="H614" s="36">
        <v>71725</v>
      </c>
      <c r="I614" s="58">
        <v>435011</v>
      </c>
      <c r="J614">
        <f>IFERROR(VLOOKUP(G614,'LEAID Match'!$A$2:$B$526,2,FALSE),"")</f>
        <v>2911100</v>
      </c>
      <c r="K614" s="68">
        <f t="shared" si="19"/>
        <v>8</v>
      </c>
    </row>
    <row r="615" spans="1:11" x14ac:dyDescent="0.2">
      <c r="A615">
        <f t="shared" si="18"/>
        <v>2911100</v>
      </c>
      <c r="B615">
        <v>2020</v>
      </c>
      <c r="C615" t="s">
        <v>739</v>
      </c>
      <c r="D615" t="s">
        <v>740</v>
      </c>
      <c r="E615" t="s">
        <v>743</v>
      </c>
      <c r="F615" s="34">
        <v>111</v>
      </c>
      <c r="G615" s="34" t="s">
        <v>86</v>
      </c>
      <c r="H615" s="36">
        <v>75333</v>
      </c>
      <c r="I615" s="58">
        <v>443512</v>
      </c>
      <c r="J615">
        <f>IFERROR(VLOOKUP(G615,'LEAID Match'!$A$2:$B$526,2,FALSE),"")</f>
        <v>2911100</v>
      </c>
      <c r="K615" s="68">
        <f t="shared" si="19"/>
        <v>8</v>
      </c>
    </row>
    <row r="616" spans="1:11" x14ac:dyDescent="0.2">
      <c r="A616">
        <f t="shared" si="18"/>
        <v>2911100</v>
      </c>
      <c r="B616">
        <v>2021</v>
      </c>
      <c r="C616" t="s">
        <v>739</v>
      </c>
      <c r="D616" t="s">
        <v>740</v>
      </c>
      <c r="E616" t="s">
        <v>743</v>
      </c>
      <c r="F616" s="34">
        <v>111</v>
      </c>
      <c r="G616" s="34" t="s">
        <v>86</v>
      </c>
      <c r="H616" s="36">
        <v>85034</v>
      </c>
      <c r="I616" s="58">
        <v>489547</v>
      </c>
      <c r="J616">
        <f>IFERROR(VLOOKUP(G616,'LEAID Match'!$A$2:$B$526,2,FALSE),"")</f>
        <v>2911100</v>
      </c>
      <c r="K616" s="68">
        <f t="shared" si="19"/>
        <v>8</v>
      </c>
    </row>
    <row r="617" spans="1:11" x14ac:dyDescent="0.2">
      <c r="A617">
        <f t="shared" si="18"/>
        <v>2911100</v>
      </c>
      <c r="B617">
        <v>2022</v>
      </c>
      <c r="C617" t="s">
        <v>739</v>
      </c>
      <c r="D617" t="s">
        <v>740</v>
      </c>
      <c r="E617" t="s">
        <v>743</v>
      </c>
      <c r="F617" s="34">
        <v>111</v>
      </c>
      <c r="G617" s="34" t="s">
        <v>86</v>
      </c>
      <c r="H617" s="36">
        <v>86211</v>
      </c>
      <c r="I617" s="58">
        <v>459329</v>
      </c>
      <c r="J617">
        <f>IFERROR(VLOOKUP(G617,'LEAID Match'!$A$2:$B$526,2,FALSE),"")</f>
        <v>2911100</v>
      </c>
      <c r="K617" s="68">
        <f t="shared" si="19"/>
        <v>8</v>
      </c>
    </row>
    <row r="618" spans="1:11" x14ac:dyDescent="0.2">
      <c r="A618">
        <f t="shared" si="18"/>
        <v>2931800</v>
      </c>
      <c r="B618">
        <v>2015</v>
      </c>
      <c r="C618" t="s">
        <v>739</v>
      </c>
      <c r="D618" t="s">
        <v>740</v>
      </c>
      <c r="E618" t="s">
        <v>743</v>
      </c>
      <c r="F618" s="37">
        <v>112</v>
      </c>
      <c r="G618" s="34" t="s">
        <v>550</v>
      </c>
      <c r="H618" s="40">
        <v>50314</v>
      </c>
      <c r="I618" s="58">
        <v>373278</v>
      </c>
      <c r="J618">
        <f>IFERROR(VLOOKUP(G618,'LEAID Match'!$A$2:$B$526,2,FALSE),"")</f>
        <v>2931800</v>
      </c>
      <c r="K618" s="68">
        <f t="shared" si="19"/>
        <v>8</v>
      </c>
    </row>
    <row r="619" spans="1:11" x14ac:dyDescent="0.2">
      <c r="A619">
        <f t="shared" si="18"/>
        <v>2931800</v>
      </c>
      <c r="B619">
        <v>2016</v>
      </c>
      <c r="C619" t="s">
        <v>739</v>
      </c>
      <c r="D619" t="s">
        <v>740</v>
      </c>
      <c r="E619" t="s">
        <v>743</v>
      </c>
      <c r="F619" s="34">
        <v>112</v>
      </c>
      <c r="G619" s="34" t="s">
        <v>550</v>
      </c>
      <c r="H619" s="36">
        <v>51576</v>
      </c>
      <c r="I619" s="60">
        <v>366028</v>
      </c>
      <c r="J619">
        <f>IFERROR(VLOOKUP(G619,'LEAID Match'!$A$2:$B$526,2,FALSE),"")</f>
        <v>2931800</v>
      </c>
      <c r="K619" s="68">
        <f t="shared" si="19"/>
        <v>8</v>
      </c>
    </row>
    <row r="620" spans="1:11" x14ac:dyDescent="0.2">
      <c r="A620">
        <f t="shared" si="18"/>
        <v>2931800</v>
      </c>
      <c r="B620">
        <v>2017</v>
      </c>
      <c r="C620" t="s">
        <v>739</v>
      </c>
      <c r="D620" t="s">
        <v>740</v>
      </c>
      <c r="E620" t="s">
        <v>743</v>
      </c>
      <c r="F620" s="34">
        <v>112</v>
      </c>
      <c r="G620" s="34" t="s">
        <v>550</v>
      </c>
      <c r="H620" s="36">
        <v>51762</v>
      </c>
      <c r="I620" s="58">
        <v>373295</v>
      </c>
      <c r="J620">
        <f>IFERROR(VLOOKUP(G620,'LEAID Match'!$A$2:$B$526,2,FALSE),"")</f>
        <v>2931800</v>
      </c>
      <c r="K620" s="68">
        <f t="shared" si="19"/>
        <v>8</v>
      </c>
    </row>
    <row r="621" spans="1:11" x14ac:dyDescent="0.2">
      <c r="A621">
        <f t="shared" si="18"/>
        <v>2931800</v>
      </c>
      <c r="B621">
        <v>2018</v>
      </c>
      <c r="C621" t="s">
        <v>739</v>
      </c>
      <c r="D621" t="s">
        <v>740</v>
      </c>
      <c r="E621" t="s">
        <v>743</v>
      </c>
      <c r="F621" s="34">
        <v>112</v>
      </c>
      <c r="G621" s="34" t="s">
        <v>550</v>
      </c>
      <c r="H621" s="36">
        <v>51650</v>
      </c>
      <c r="I621" s="58">
        <v>379510</v>
      </c>
      <c r="J621">
        <f>IFERROR(VLOOKUP(G621,'LEAID Match'!$A$2:$B$526,2,FALSE),"")</f>
        <v>2931800</v>
      </c>
      <c r="K621" s="68">
        <f t="shared" si="19"/>
        <v>8</v>
      </c>
    </row>
    <row r="622" spans="1:11" x14ac:dyDescent="0.2">
      <c r="A622">
        <f t="shared" si="18"/>
        <v>2931800</v>
      </c>
      <c r="B622">
        <v>2019</v>
      </c>
      <c r="C622" t="s">
        <v>739</v>
      </c>
      <c r="D622" t="s">
        <v>740</v>
      </c>
      <c r="E622" t="s">
        <v>743</v>
      </c>
      <c r="F622" s="34">
        <v>112</v>
      </c>
      <c r="G622" s="34" t="s">
        <v>550</v>
      </c>
      <c r="H622" s="36">
        <v>55080</v>
      </c>
      <c r="I622" s="58">
        <v>370845</v>
      </c>
      <c r="J622">
        <f>IFERROR(VLOOKUP(G622,'LEAID Match'!$A$2:$B$526,2,FALSE),"")</f>
        <v>2931800</v>
      </c>
      <c r="K622" s="68">
        <f t="shared" si="19"/>
        <v>8</v>
      </c>
    </row>
    <row r="623" spans="1:11" x14ac:dyDescent="0.2">
      <c r="A623">
        <f t="shared" si="18"/>
        <v>2931800</v>
      </c>
      <c r="B623">
        <v>2020</v>
      </c>
      <c r="C623" t="s">
        <v>739</v>
      </c>
      <c r="D623" t="s">
        <v>740</v>
      </c>
      <c r="E623" t="s">
        <v>743</v>
      </c>
      <c r="F623" s="34">
        <v>112</v>
      </c>
      <c r="G623" s="34" t="s">
        <v>550</v>
      </c>
      <c r="H623" s="36">
        <v>54948</v>
      </c>
      <c r="I623" s="58">
        <v>380744</v>
      </c>
      <c r="J623">
        <f>IFERROR(VLOOKUP(G623,'LEAID Match'!$A$2:$B$526,2,FALSE),"")</f>
        <v>2931800</v>
      </c>
      <c r="K623" s="68">
        <f t="shared" si="19"/>
        <v>8</v>
      </c>
    </row>
    <row r="624" spans="1:11" x14ac:dyDescent="0.2">
      <c r="A624">
        <f t="shared" si="18"/>
        <v>2931800</v>
      </c>
      <c r="B624">
        <v>2021</v>
      </c>
      <c r="C624" t="s">
        <v>739</v>
      </c>
      <c r="D624" t="s">
        <v>740</v>
      </c>
      <c r="E624" t="s">
        <v>743</v>
      </c>
      <c r="F624" s="34">
        <v>112</v>
      </c>
      <c r="G624" s="34" t="s">
        <v>550</v>
      </c>
      <c r="H624" s="36">
        <v>48293</v>
      </c>
      <c r="I624" s="58">
        <v>334072</v>
      </c>
      <c r="J624">
        <f>IFERROR(VLOOKUP(G624,'LEAID Match'!$A$2:$B$526,2,FALSE),"")</f>
        <v>2931800</v>
      </c>
      <c r="K624" s="68">
        <f t="shared" si="19"/>
        <v>8</v>
      </c>
    </row>
    <row r="625" spans="1:11" x14ac:dyDescent="0.2">
      <c r="A625">
        <f t="shared" si="18"/>
        <v>2931800</v>
      </c>
      <c r="B625">
        <v>2022</v>
      </c>
      <c r="C625" t="s">
        <v>739</v>
      </c>
      <c r="D625" t="s">
        <v>740</v>
      </c>
      <c r="E625" t="s">
        <v>743</v>
      </c>
      <c r="F625" s="34">
        <v>112</v>
      </c>
      <c r="G625" s="34" t="s">
        <v>550</v>
      </c>
      <c r="H625" s="36">
        <v>34680</v>
      </c>
      <c r="I625" s="58">
        <v>343202</v>
      </c>
      <c r="J625">
        <f>IFERROR(VLOOKUP(G625,'LEAID Match'!$A$2:$B$526,2,FALSE),"")</f>
        <v>2931800</v>
      </c>
      <c r="K625" s="68">
        <f t="shared" si="19"/>
        <v>8</v>
      </c>
    </row>
    <row r="626" spans="1:11" x14ac:dyDescent="0.2">
      <c r="A626">
        <f t="shared" si="18"/>
        <v>2923730</v>
      </c>
      <c r="B626">
        <v>2015</v>
      </c>
      <c r="C626" t="s">
        <v>739</v>
      </c>
      <c r="D626" t="s">
        <v>740</v>
      </c>
      <c r="E626" t="s">
        <v>743</v>
      </c>
      <c r="F626" s="37">
        <v>113</v>
      </c>
      <c r="G626" s="39" t="s">
        <v>77</v>
      </c>
      <c r="H626" s="40">
        <v>570174</v>
      </c>
      <c r="I626" s="58">
        <v>3940436</v>
      </c>
      <c r="J626">
        <f>IFERROR(VLOOKUP(G626,'LEAID Match'!$A$2:$B$526,2,FALSE),"")</f>
        <v>2923730</v>
      </c>
      <c r="K626" s="68">
        <f t="shared" si="19"/>
        <v>8</v>
      </c>
    </row>
    <row r="627" spans="1:11" x14ac:dyDescent="0.2">
      <c r="A627">
        <f t="shared" si="18"/>
        <v>2923730</v>
      </c>
      <c r="B627">
        <v>2016</v>
      </c>
      <c r="C627" t="s">
        <v>739</v>
      </c>
      <c r="D627" t="s">
        <v>740</v>
      </c>
      <c r="E627" t="s">
        <v>743</v>
      </c>
      <c r="F627" s="34">
        <v>113</v>
      </c>
      <c r="G627" s="34" t="s">
        <v>77</v>
      </c>
      <c r="H627" s="36">
        <v>573979</v>
      </c>
      <c r="I627" s="60">
        <v>4042088</v>
      </c>
      <c r="J627">
        <f>IFERROR(VLOOKUP(G627,'LEAID Match'!$A$2:$B$526,2,FALSE),"")</f>
        <v>2923730</v>
      </c>
      <c r="K627" s="68">
        <f t="shared" si="19"/>
        <v>8</v>
      </c>
    </row>
    <row r="628" spans="1:11" x14ac:dyDescent="0.2">
      <c r="A628">
        <f t="shared" si="18"/>
        <v>2923730</v>
      </c>
      <c r="B628">
        <v>2017</v>
      </c>
      <c r="C628" t="s">
        <v>739</v>
      </c>
      <c r="D628" t="s">
        <v>740</v>
      </c>
      <c r="E628" t="s">
        <v>743</v>
      </c>
      <c r="F628" s="34">
        <v>113</v>
      </c>
      <c r="G628" s="34" t="s">
        <v>77</v>
      </c>
      <c r="H628" s="36">
        <v>618981</v>
      </c>
      <c r="I628" s="58">
        <v>4141748</v>
      </c>
      <c r="J628">
        <f>IFERROR(VLOOKUP(G628,'LEAID Match'!$A$2:$B$526,2,FALSE),"")</f>
        <v>2923730</v>
      </c>
      <c r="K628" s="68">
        <f t="shared" si="19"/>
        <v>8</v>
      </c>
    </row>
    <row r="629" spans="1:11" x14ac:dyDescent="0.2">
      <c r="A629">
        <f t="shared" si="18"/>
        <v>2923730</v>
      </c>
      <c r="B629">
        <v>2018</v>
      </c>
      <c r="C629" t="s">
        <v>739</v>
      </c>
      <c r="D629" t="s">
        <v>740</v>
      </c>
      <c r="E629" t="s">
        <v>743</v>
      </c>
      <c r="F629" s="34">
        <v>113</v>
      </c>
      <c r="G629" s="34" t="s">
        <v>77</v>
      </c>
      <c r="H629" s="36">
        <v>673355</v>
      </c>
      <c r="I629" s="58">
        <v>4289875</v>
      </c>
      <c r="J629">
        <f>IFERROR(VLOOKUP(G629,'LEAID Match'!$A$2:$B$526,2,FALSE),"")</f>
        <v>2923730</v>
      </c>
      <c r="K629" s="68">
        <f t="shared" si="19"/>
        <v>8</v>
      </c>
    </row>
    <row r="630" spans="1:11" x14ac:dyDescent="0.2">
      <c r="A630">
        <f t="shared" si="18"/>
        <v>2923730</v>
      </c>
      <c r="B630">
        <v>2019</v>
      </c>
      <c r="C630" t="s">
        <v>739</v>
      </c>
      <c r="D630" t="s">
        <v>740</v>
      </c>
      <c r="E630" t="s">
        <v>743</v>
      </c>
      <c r="F630" s="34">
        <v>113</v>
      </c>
      <c r="G630" s="34" t="s">
        <v>77</v>
      </c>
      <c r="H630" s="36">
        <v>724904</v>
      </c>
      <c r="I630" s="58">
        <v>4498977</v>
      </c>
      <c r="J630">
        <f>IFERROR(VLOOKUP(G630,'LEAID Match'!$A$2:$B$526,2,FALSE),"")</f>
        <v>2923730</v>
      </c>
      <c r="K630" s="68">
        <f t="shared" si="19"/>
        <v>8</v>
      </c>
    </row>
    <row r="631" spans="1:11" x14ac:dyDescent="0.2">
      <c r="A631">
        <f t="shared" si="18"/>
        <v>2923730</v>
      </c>
      <c r="B631">
        <v>2020</v>
      </c>
      <c r="C631" t="s">
        <v>739</v>
      </c>
      <c r="D631" t="s">
        <v>740</v>
      </c>
      <c r="E631" t="s">
        <v>743</v>
      </c>
      <c r="F631" s="34">
        <v>113</v>
      </c>
      <c r="G631" s="34" t="s">
        <v>77</v>
      </c>
      <c r="H631" s="36">
        <v>775579</v>
      </c>
      <c r="I631" s="58">
        <v>4773747</v>
      </c>
      <c r="J631">
        <f>IFERROR(VLOOKUP(G631,'LEAID Match'!$A$2:$B$526,2,FALSE),"")</f>
        <v>2923730</v>
      </c>
      <c r="K631" s="68">
        <f t="shared" si="19"/>
        <v>8</v>
      </c>
    </row>
    <row r="632" spans="1:11" x14ac:dyDescent="0.2">
      <c r="A632">
        <f t="shared" si="18"/>
        <v>2923730</v>
      </c>
      <c r="B632">
        <v>2021</v>
      </c>
      <c r="C632" t="s">
        <v>739</v>
      </c>
      <c r="D632" t="s">
        <v>740</v>
      </c>
      <c r="E632" t="s">
        <v>743</v>
      </c>
      <c r="F632" s="34">
        <v>113</v>
      </c>
      <c r="G632" s="34" t="s">
        <v>77</v>
      </c>
      <c r="H632" s="36">
        <v>793105</v>
      </c>
      <c r="I632" s="58">
        <v>4988279</v>
      </c>
      <c r="J632">
        <f>IFERROR(VLOOKUP(G632,'LEAID Match'!$A$2:$B$526,2,FALSE),"")</f>
        <v>2923730</v>
      </c>
      <c r="K632" s="68">
        <f t="shared" si="19"/>
        <v>8</v>
      </c>
    </row>
    <row r="633" spans="1:11" x14ac:dyDescent="0.2">
      <c r="A633">
        <f t="shared" si="18"/>
        <v>2923730</v>
      </c>
      <c r="B633">
        <v>2022</v>
      </c>
      <c r="C633" t="s">
        <v>739</v>
      </c>
      <c r="D633" t="s">
        <v>740</v>
      </c>
      <c r="E633" t="s">
        <v>743</v>
      </c>
      <c r="F633" s="34">
        <v>113</v>
      </c>
      <c r="G633" s="34" t="s">
        <v>77</v>
      </c>
      <c r="H633" s="36">
        <v>834650</v>
      </c>
      <c r="I633" s="58">
        <v>5129260</v>
      </c>
      <c r="J633">
        <f>IFERROR(VLOOKUP(G633,'LEAID Match'!$A$2:$B$526,2,FALSE),"")</f>
        <v>2923730</v>
      </c>
      <c r="K633" s="68">
        <f t="shared" si="19"/>
        <v>8</v>
      </c>
    </row>
    <row r="634" spans="1:11" x14ac:dyDescent="0.2">
      <c r="A634">
        <f t="shared" si="18"/>
        <v>2925330</v>
      </c>
      <c r="B634">
        <v>2015</v>
      </c>
      <c r="C634" t="s">
        <v>739</v>
      </c>
      <c r="D634" t="s">
        <v>740</v>
      </c>
      <c r="E634" t="s">
        <v>743</v>
      </c>
      <c r="F634" s="37">
        <v>114</v>
      </c>
      <c r="G634" s="39" t="s">
        <v>78</v>
      </c>
      <c r="H634" s="40">
        <v>148029</v>
      </c>
      <c r="I634" s="58">
        <v>1335372</v>
      </c>
      <c r="J634">
        <f>IFERROR(VLOOKUP(G634,'LEAID Match'!$A$2:$B$526,2,FALSE),"")</f>
        <v>2925330</v>
      </c>
      <c r="K634" s="68">
        <f t="shared" si="19"/>
        <v>8</v>
      </c>
    </row>
    <row r="635" spans="1:11" x14ac:dyDescent="0.2">
      <c r="A635">
        <f t="shared" si="18"/>
        <v>2925330</v>
      </c>
      <c r="B635">
        <v>2016</v>
      </c>
      <c r="C635" t="s">
        <v>739</v>
      </c>
      <c r="D635" t="s">
        <v>740</v>
      </c>
      <c r="E635" t="s">
        <v>743</v>
      </c>
      <c r="F635" s="34">
        <v>114</v>
      </c>
      <c r="G635" s="34" t="s">
        <v>78</v>
      </c>
      <c r="H635" s="36">
        <v>154976</v>
      </c>
      <c r="I635" s="60">
        <v>1360380</v>
      </c>
      <c r="J635">
        <f>IFERROR(VLOOKUP(G635,'LEAID Match'!$A$2:$B$526,2,FALSE),"")</f>
        <v>2925330</v>
      </c>
      <c r="K635" s="68">
        <f t="shared" si="19"/>
        <v>8</v>
      </c>
    </row>
    <row r="636" spans="1:11" x14ac:dyDescent="0.2">
      <c r="A636">
        <f t="shared" si="18"/>
        <v>2925330</v>
      </c>
      <c r="B636">
        <v>2017</v>
      </c>
      <c r="C636" t="s">
        <v>739</v>
      </c>
      <c r="D636" t="s">
        <v>740</v>
      </c>
      <c r="E636" t="s">
        <v>743</v>
      </c>
      <c r="F636" s="34">
        <v>114</v>
      </c>
      <c r="G636" s="34" t="s">
        <v>78</v>
      </c>
      <c r="H636" s="36">
        <v>159912</v>
      </c>
      <c r="I636" s="58">
        <v>1382191</v>
      </c>
      <c r="J636">
        <f>IFERROR(VLOOKUP(G636,'LEAID Match'!$A$2:$B$526,2,FALSE),"")</f>
        <v>2925330</v>
      </c>
      <c r="K636" s="68">
        <f t="shared" si="19"/>
        <v>8</v>
      </c>
    </row>
    <row r="637" spans="1:11" x14ac:dyDescent="0.2">
      <c r="A637">
        <f t="shared" si="18"/>
        <v>2925330</v>
      </c>
      <c r="B637">
        <v>2018</v>
      </c>
      <c r="C637" t="s">
        <v>739</v>
      </c>
      <c r="D637" t="s">
        <v>740</v>
      </c>
      <c r="E637" t="s">
        <v>743</v>
      </c>
      <c r="F637" s="34">
        <v>114</v>
      </c>
      <c r="G637" s="34" t="s">
        <v>78</v>
      </c>
      <c r="H637" s="36">
        <v>167098</v>
      </c>
      <c r="I637" s="58">
        <v>1453277</v>
      </c>
      <c r="J637">
        <f>IFERROR(VLOOKUP(G637,'LEAID Match'!$A$2:$B$526,2,FALSE),"")</f>
        <v>2925330</v>
      </c>
      <c r="K637" s="68">
        <f t="shared" si="19"/>
        <v>8</v>
      </c>
    </row>
    <row r="638" spans="1:11" x14ac:dyDescent="0.2">
      <c r="A638">
        <f t="shared" si="18"/>
        <v>2925330</v>
      </c>
      <c r="B638">
        <v>2019</v>
      </c>
      <c r="C638" t="s">
        <v>739</v>
      </c>
      <c r="D638" t="s">
        <v>740</v>
      </c>
      <c r="E638" t="s">
        <v>743</v>
      </c>
      <c r="F638" s="34">
        <v>114</v>
      </c>
      <c r="G638" s="34" t="s">
        <v>78</v>
      </c>
      <c r="H638" s="36">
        <v>168589</v>
      </c>
      <c r="I638" s="58">
        <v>1476306</v>
      </c>
      <c r="J638">
        <f>IFERROR(VLOOKUP(G638,'LEAID Match'!$A$2:$B$526,2,FALSE),"")</f>
        <v>2925330</v>
      </c>
      <c r="K638" s="68">
        <f t="shared" si="19"/>
        <v>8</v>
      </c>
    </row>
    <row r="639" spans="1:11" x14ac:dyDescent="0.2">
      <c r="A639">
        <f t="shared" si="18"/>
        <v>2925330</v>
      </c>
      <c r="B639">
        <v>2020</v>
      </c>
      <c r="C639" t="s">
        <v>739</v>
      </c>
      <c r="D639" t="s">
        <v>740</v>
      </c>
      <c r="E639" t="s">
        <v>743</v>
      </c>
      <c r="F639" s="34">
        <v>114</v>
      </c>
      <c r="G639" s="34" t="s">
        <v>78</v>
      </c>
      <c r="H639" s="36">
        <v>182285</v>
      </c>
      <c r="I639" s="58">
        <v>1463141</v>
      </c>
      <c r="J639">
        <f>IFERROR(VLOOKUP(G639,'LEAID Match'!$A$2:$B$526,2,FALSE),"")</f>
        <v>2925330</v>
      </c>
      <c r="K639" s="68">
        <f t="shared" si="19"/>
        <v>8</v>
      </c>
    </row>
    <row r="640" spans="1:11" x14ac:dyDescent="0.2">
      <c r="A640">
        <f t="shared" si="18"/>
        <v>2925330</v>
      </c>
      <c r="B640">
        <v>2021</v>
      </c>
      <c r="C640" t="s">
        <v>739</v>
      </c>
      <c r="D640" t="s">
        <v>740</v>
      </c>
      <c r="E640" t="s">
        <v>743</v>
      </c>
      <c r="F640" s="34">
        <v>114</v>
      </c>
      <c r="G640" s="34" t="s">
        <v>78</v>
      </c>
      <c r="H640" s="36">
        <v>185892</v>
      </c>
      <c r="I640" s="58">
        <v>1587848</v>
      </c>
      <c r="J640">
        <f>IFERROR(VLOOKUP(G640,'LEAID Match'!$A$2:$B$526,2,FALSE),"")</f>
        <v>2925330</v>
      </c>
      <c r="K640" s="68">
        <f t="shared" si="19"/>
        <v>8</v>
      </c>
    </row>
    <row r="641" spans="1:11" x14ac:dyDescent="0.2">
      <c r="A641">
        <f t="shared" si="18"/>
        <v>2925330</v>
      </c>
      <c r="B641">
        <v>2022</v>
      </c>
      <c r="C641" t="s">
        <v>739</v>
      </c>
      <c r="D641" t="s">
        <v>740</v>
      </c>
      <c r="E641" t="s">
        <v>743</v>
      </c>
      <c r="F641" s="34">
        <v>114</v>
      </c>
      <c r="G641" s="34" t="s">
        <v>78</v>
      </c>
      <c r="H641" s="36">
        <v>199452</v>
      </c>
      <c r="I641" s="58">
        <v>1553803</v>
      </c>
      <c r="J641">
        <f>IFERROR(VLOOKUP(G641,'LEAID Match'!$A$2:$B$526,2,FALSE),"")</f>
        <v>2925330</v>
      </c>
      <c r="K641" s="68">
        <f t="shared" si="19"/>
        <v>8</v>
      </c>
    </row>
    <row r="642" spans="1:11" x14ac:dyDescent="0.2">
      <c r="A642">
        <f t="shared" si="18"/>
        <v>2911070</v>
      </c>
      <c r="B642">
        <v>2015</v>
      </c>
      <c r="C642" t="s">
        <v>739</v>
      </c>
      <c r="D642" t="s">
        <v>740</v>
      </c>
      <c r="E642" t="s">
        <v>743</v>
      </c>
      <c r="F642" s="37">
        <v>115</v>
      </c>
      <c r="G642" s="39" t="s">
        <v>87</v>
      </c>
      <c r="H642" s="40">
        <v>21967</v>
      </c>
      <c r="I642" s="58">
        <v>254644</v>
      </c>
      <c r="J642">
        <f>IFERROR(VLOOKUP(G642,'LEAID Match'!$A$2:$B$526,2,FALSE),"")</f>
        <v>2911070</v>
      </c>
      <c r="K642" s="68">
        <f t="shared" si="19"/>
        <v>8</v>
      </c>
    </row>
    <row r="643" spans="1:11" x14ac:dyDescent="0.2">
      <c r="A643">
        <f t="shared" ref="A643:A706" si="20">J643</f>
        <v>2911070</v>
      </c>
      <c r="B643">
        <v>2016</v>
      </c>
      <c r="C643" t="s">
        <v>739</v>
      </c>
      <c r="D643" t="s">
        <v>740</v>
      </c>
      <c r="E643" t="s">
        <v>743</v>
      </c>
      <c r="F643" s="34">
        <v>115</v>
      </c>
      <c r="G643" s="34" t="s">
        <v>87</v>
      </c>
      <c r="H643" s="36">
        <v>23223</v>
      </c>
      <c r="I643" s="60">
        <v>246852</v>
      </c>
      <c r="J643">
        <f>IFERROR(VLOOKUP(G643,'LEAID Match'!$A$2:$B$526,2,FALSE),"")</f>
        <v>2911070</v>
      </c>
      <c r="K643" s="68">
        <f t="shared" ref="K643:K706" si="21">COUNTIF($J$2:$J$4295,J643)</f>
        <v>8</v>
      </c>
    </row>
    <row r="644" spans="1:11" x14ac:dyDescent="0.2">
      <c r="A644">
        <f t="shared" si="20"/>
        <v>2911070</v>
      </c>
      <c r="B644">
        <v>2017</v>
      </c>
      <c r="C644" t="s">
        <v>739</v>
      </c>
      <c r="D644" t="s">
        <v>740</v>
      </c>
      <c r="E644" t="s">
        <v>743</v>
      </c>
      <c r="F644" s="34">
        <v>115</v>
      </c>
      <c r="G644" s="34" t="s">
        <v>87</v>
      </c>
      <c r="H644" s="36">
        <v>30666</v>
      </c>
      <c r="I644" s="58">
        <v>268275</v>
      </c>
      <c r="J644">
        <f>IFERROR(VLOOKUP(G644,'LEAID Match'!$A$2:$B$526,2,FALSE),"")</f>
        <v>2911070</v>
      </c>
      <c r="K644" s="68">
        <f t="shared" si="21"/>
        <v>8</v>
      </c>
    </row>
    <row r="645" spans="1:11" x14ac:dyDescent="0.2">
      <c r="A645">
        <f t="shared" si="20"/>
        <v>2911070</v>
      </c>
      <c r="B645">
        <v>2018</v>
      </c>
      <c r="C645" t="s">
        <v>739</v>
      </c>
      <c r="D645" t="s">
        <v>740</v>
      </c>
      <c r="E645" t="s">
        <v>743</v>
      </c>
      <c r="F645" s="34">
        <v>115</v>
      </c>
      <c r="G645" s="34" t="s">
        <v>87</v>
      </c>
      <c r="H645" s="36">
        <v>33326</v>
      </c>
      <c r="I645" s="58">
        <v>266555</v>
      </c>
      <c r="J645">
        <f>IFERROR(VLOOKUP(G645,'LEAID Match'!$A$2:$B$526,2,FALSE),"")</f>
        <v>2911070</v>
      </c>
      <c r="K645" s="68">
        <f t="shared" si="21"/>
        <v>8</v>
      </c>
    </row>
    <row r="646" spans="1:11" x14ac:dyDescent="0.2">
      <c r="A646">
        <f t="shared" si="20"/>
        <v>2911070</v>
      </c>
      <c r="B646">
        <v>2019</v>
      </c>
      <c r="C646" t="s">
        <v>739</v>
      </c>
      <c r="D646" t="s">
        <v>740</v>
      </c>
      <c r="E646" t="s">
        <v>743</v>
      </c>
      <c r="F646" s="34">
        <v>115</v>
      </c>
      <c r="G646" s="34" t="s">
        <v>87</v>
      </c>
      <c r="H646" s="36">
        <v>31644</v>
      </c>
      <c r="I646" s="58">
        <v>251150</v>
      </c>
      <c r="J646">
        <f>IFERROR(VLOOKUP(G646,'LEAID Match'!$A$2:$B$526,2,FALSE),"")</f>
        <v>2911070</v>
      </c>
      <c r="K646" s="68">
        <f t="shared" si="21"/>
        <v>8</v>
      </c>
    </row>
    <row r="647" spans="1:11" x14ac:dyDescent="0.2">
      <c r="A647">
        <f t="shared" si="20"/>
        <v>2911070</v>
      </c>
      <c r="B647">
        <v>2020</v>
      </c>
      <c r="C647" t="s">
        <v>739</v>
      </c>
      <c r="D647" t="s">
        <v>740</v>
      </c>
      <c r="E647" t="s">
        <v>743</v>
      </c>
      <c r="F647" s="34">
        <v>115</v>
      </c>
      <c r="G647" s="34" t="s">
        <v>87</v>
      </c>
      <c r="H647" s="36">
        <v>31334</v>
      </c>
      <c r="I647" s="58">
        <v>251909</v>
      </c>
      <c r="J647">
        <f>IFERROR(VLOOKUP(G647,'LEAID Match'!$A$2:$B$526,2,FALSE),"")</f>
        <v>2911070</v>
      </c>
      <c r="K647" s="68">
        <f t="shared" si="21"/>
        <v>8</v>
      </c>
    </row>
    <row r="648" spans="1:11" x14ac:dyDescent="0.2">
      <c r="A648">
        <f t="shared" si="20"/>
        <v>2911070</v>
      </c>
      <c r="B648">
        <v>2021</v>
      </c>
      <c r="C648" t="s">
        <v>739</v>
      </c>
      <c r="D648" t="s">
        <v>740</v>
      </c>
      <c r="E648" t="s">
        <v>743</v>
      </c>
      <c r="F648" s="34">
        <v>115</v>
      </c>
      <c r="G648" s="34" t="s">
        <v>87</v>
      </c>
      <c r="H648" s="36">
        <v>32187</v>
      </c>
      <c r="I648" s="58">
        <v>260587</v>
      </c>
      <c r="J648">
        <f>IFERROR(VLOOKUP(G648,'LEAID Match'!$A$2:$B$526,2,FALSE),"")</f>
        <v>2911070</v>
      </c>
      <c r="K648" s="68">
        <f t="shared" si="21"/>
        <v>8</v>
      </c>
    </row>
    <row r="649" spans="1:11" x14ac:dyDescent="0.2">
      <c r="A649">
        <f t="shared" si="20"/>
        <v>2911070</v>
      </c>
      <c r="B649">
        <v>2022</v>
      </c>
      <c r="C649" t="s">
        <v>739</v>
      </c>
      <c r="D649" t="s">
        <v>740</v>
      </c>
      <c r="E649" t="s">
        <v>743</v>
      </c>
      <c r="F649" s="34">
        <v>115</v>
      </c>
      <c r="G649" s="34" t="s">
        <v>87</v>
      </c>
      <c r="H649" s="36">
        <v>35085</v>
      </c>
      <c r="I649" s="58">
        <v>249846</v>
      </c>
      <c r="J649">
        <f>IFERROR(VLOOKUP(G649,'LEAID Match'!$A$2:$B$526,2,FALSE),"")</f>
        <v>2911070</v>
      </c>
      <c r="K649" s="68">
        <f t="shared" si="21"/>
        <v>8</v>
      </c>
    </row>
    <row r="650" spans="1:11" x14ac:dyDescent="0.2">
      <c r="A650" t="str">
        <f t="shared" si="20"/>
        <v/>
      </c>
      <c r="B650">
        <v>2015</v>
      </c>
      <c r="C650" t="s">
        <v>739</v>
      </c>
      <c r="D650" t="s">
        <v>740</v>
      </c>
      <c r="E650" t="s">
        <v>743</v>
      </c>
      <c r="F650" s="37">
        <v>116</v>
      </c>
      <c r="G650" s="39" t="s">
        <v>79</v>
      </c>
      <c r="H650" s="40">
        <v>35974</v>
      </c>
      <c r="I650" s="58">
        <v>385446</v>
      </c>
      <c r="J650" t="str">
        <f>IFERROR(VLOOKUP(G650,'LEAID Match'!$A$2:$B$526,2,FALSE),"")</f>
        <v/>
      </c>
      <c r="K650" s="68">
        <f t="shared" si="21"/>
        <v>216</v>
      </c>
    </row>
    <row r="651" spans="1:11" x14ac:dyDescent="0.2">
      <c r="A651" t="str">
        <f t="shared" si="20"/>
        <v/>
      </c>
      <c r="B651">
        <v>2016</v>
      </c>
      <c r="C651" t="s">
        <v>739</v>
      </c>
      <c r="D651" t="s">
        <v>740</v>
      </c>
      <c r="E651" t="s">
        <v>743</v>
      </c>
      <c r="F651" s="34">
        <v>116</v>
      </c>
      <c r="G651" s="34" t="s">
        <v>79</v>
      </c>
      <c r="H651" s="36">
        <v>33584</v>
      </c>
      <c r="I651" s="60">
        <v>374462</v>
      </c>
      <c r="J651" t="str">
        <f>IFERROR(VLOOKUP(G651,'LEAID Match'!$A$2:$B$526,2,FALSE),"")</f>
        <v/>
      </c>
      <c r="K651" s="68">
        <f t="shared" si="21"/>
        <v>216</v>
      </c>
    </row>
    <row r="652" spans="1:11" x14ac:dyDescent="0.2">
      <c r="A652" t="str">
        <f t="shared" si="20"/>
        <v/>
      </c>
      <c r="B652">
        <v>2017</v>
      </c>
      <c r="C652" t="s">
        <v>739</v>
      </c>
      <c r="D652" t="s">
        <v>740</v>
      </c>
      <c r="E652" t="s">
        <v>743</v>
      </c>
      <c r="F652" s="34">
        <v>116</v>
      </c>
      <c r="G652" s="34" t="s">
        <v>79</v>
      </c>
      <c r="H652" s="36">
        <v>32214</v>
      </c>
      <c r="I652" s="58">
        <v>378556</v>
      </c>
      <c r="J652" t="str">
        <f>IFERROR(VLOOKUP(G652,'LEAID Match'!$A$2:$B$526,2,FALSE),"")</f>
        <v/>
      </c>
      <c r="K652" s="68">
        <f t="shared" si="21"/>
        <v>216</v>
      </c>
    </row>
    <row r="653" spans="1:11" x14ac:dyDescent="0.2">
      <c r="A653" t="str">
        <f t="shared" si="20"/>
        <v/>
      </c>
      <c r="B653">
        <v>2018</v>
      </c>
      <c r="C653" t="s">
        <v>739</v>
      </c>
      <c r="D653" t="s">
        <v>740</v>
      </c>
      <c r="E653" t="s">
        <v>743</v>
      </c>
      <c r="F653" s="34">
        <v>116</v>
      </c>
      <c r="G653" s="34" t="s">
        <v>79</v>
      </c>
      <c r="H653" s="36">
        <v>31959</v>
      </c>
      <c r="I653" s="58">
        <v>384506</v>
      </c>
      <c r="J653" t="str">
        <f>IFERROR(VLOOKUP(G653,'LEAID Match'!$A$2:$B$526,2,FALSE),"")</f>
        <v/>
      </c>
      <c r="K653" s="68">
        <f t="shared" si="21"/>
        <v>216</v>
      </c>
    </row>
    <row r="654" spans="1:11" x14ac:dyDescent="0.2">
      <c r="A654" t="str">
        <f t="shared" si="20"/>
        <v/>
      </c>
      <c r="B654">
        <v>2019</v>
      </c>
      <c r="C654" t="s">
        <v>739</v>
      </c>
      <c r="D654" t="s">
        <v>740</v>
      </c>
      <c r="E654" t="s">
        <v>743</v>
      </c>
      <c r="F654" s="34">
        <v>116</v>
      </c>
      <c r="G654" s="34" t="s">
        <v>79</v>
      </c>
      <c r="H654" s="36">
        <v>34463</v>
      </c>
      <c r="I654" s="58">
        <v>391243</v>
      </c>
      <c r="J654" t="str">
        <f>IFERROR(VLOOKUP(G654,'LEAID Match'!$A$2:$B$526,2,FALSE),"")</f>
        <v/>
      </c>
      <c r="K654" s="68">
        <f t="shared" si="21"/>
        <v>216</v>
      </c>
    </row>
    <row r="655" spans="1:11" x14ac:dyDescent="0.2">
      <c r="A655" t="str">
        <f t="shared" si="20"/>
        <v/>
      </c>
      <c r="B655">
        <v>2020</v>
      </c>
      <c r="C655" t="s">
        <v>739</v>
      </c>
      <c r="D655" t="s">
        <v>740</v>
      </c>
      <c r="E655" t="s">
        <v>743</v>
      </c>
      <c r="F655" s="34">
        <v>116</v>
      </c>
      <c r="G655" s="34" t="s">
        <v>79</v>
      </c>
      <c r="H655" s="36">
        <v>33501</v>
      </c>
      <c r="I655" s="58">
        <v>378925</v>
      </c>
      <c r="J655" t="str">
        <f>IFERROR(VLOOKUP(G655,'LEAID Match'!$A$2:$B$526,2,FALSE),"")</f>
        <v/>
      </c>
      <c r="K655" s="68">
        <f t="shared" si="21"/>
        <v>216</v>
      </c>
    </row>
    <row r="656" spans="1:11" x14ac:dyDescent="0.2">
      <c r="A656" t="str">
        <f t="shared" si="20"/>
        <v/>
      </c>
      <c r="B656">
        <v>2021</v>
      </c>
      <c r="C656" t="s">
        <v>739</v>
      </c>
      <c r="D656" t="s">
        <v>740</v>
      </c>
      <c r="E656" t="s">
        <v>743</v>
      </c>
      <c r="F656" s="34">
        <v>116</v>
      </c>
      <c r="G656" s="34" t="s">
        <v>79</v>
      </c>
      <c r="H656" s="36">
        <v>35364</v>
      </c>
      <c r="I656" s="58">
        <v>373148</v>
      </c>
      <c r="J656" t="str">
        <f>IFERROR(VLOOKUP(G656,'LEAID Match'!$A$2:$B$526,2,FALSE),"")</f>
        <v/>
      </c>
      <c r="K656" s="68">
        <f t="shared" si="21"/>
        <v>216</v>
      </c>
    </row>
    <row r="657" spans="1:11" x14ac:dyDescent="0.2">
      <c r="A657" t="str">
        <f t="shared" si="20"/>
        <v/>
      </c>
      <c r="B657">
        <v>2022</v>
      </c>
      <c r="C657" t="s">
        <v>739</v>
      </c>
      <c r="D657" t="s">
        <v>740</v>
      </c>
      <c r="E657" t="s">
        <v>743</v>
      </c>
      <c r="F657" s="34">
        <v>116</v>
      </c>
      <c r="G657" s="34" t="s">
        <v>79</v>
      </c>
      <c r="H657" s="36">
        <v>35456</v>
      </c>
      <c r="I657" s="58">
        <v>387782</v>
      </c>
      <c r="J657" t="str">
        <f>IFERROR(VLOOKUP(G657,'LEAID Match'!$A$2:$B$526,2,FALSE),"")</f>
        <v/>
      </c>
      <c r="K657" s="68">
        <f t="shared" si="21"/>
        <v>216</v>
      </c>
    </row>
    <row r="658" spans="1:11" x14ac:dyDescent="0.2">
      <c r="A658">
        <f t="shared" si="20"/>
        <v>2910320</v>
      </c>
      <c r="B658">
        <v>2015</v>
      </c>
      <c r="C658" t="s">
        <v>739</v>
      </c>
      <c r="D658" t="s">
        <v>740</v>
      </c>
      <c r="E658" t="s">
        <v>743</v>
      </c>
      <c r="F658" s="37">
        <v>117</v>
      </c>
      <c r="G658" s="39" t="s">
        <v>80</v>
      </c>
      <c r="H658" s="40">
        <v>76194</v>
      </c>
      <c r="I658" s="58">
        <v>527141</v>
      </c>
      <c r="J658">
        <f>IFERROR(VLOOKUP(G658,'LEAID Match'!$A$2:$B$526,2,FALSE),"")</f>
        <v>2910320</v>
      </c>
      <c r="K658" s="68">
        <f t="shared" si="21"/>
        <v>8</v>
      </c>
    </row>
    <row r="659" spans="1:11" x14ac:dyDescent="0.2">
      <c r="A659">
        <f t="shared" si="20"/>
        <v>2910320</v>
      </c>
      <c r="B659">
        <v>2016</v>
      </c>
      <c r="C659" t="s">
        <v>739</v>
      </c>
      <c r="D659" t="s">
        <v>740</v>
      </c>
      <c r="E659" t="s">
        <v>743</v>
      </c>
      <c r="F659" s="34">
        <v>117</v>
      </c>
      <c r="G659" s="34" t="s">
        <v>80</v>
      </c>
      <c r="H659" s="36">
        <v>85442</v>
      </c>
      <c r="I659" s="60">
        <v>525973</v>
      </c>
      <c r="J659">
        <f>IFERROR(VLOOKUP(G659,'LEAID Match'!$A$2:$B$526,2,FALSE),"")</f>
        <v>2910320</v>
      </c>
      <c r="K659" s="68">
        <f t="shared" si="21"/>
        <v>8</v>
      </c>
    </row>
    <row r="660" spans="1:11" x14ac:dyDescent="0.2">
      <c r="A660">
        <f t="shared" si="20"/>
        <v>2910320</v>
      </c>
      <c r="B660">
        <v>2017</v>
      </c>
      <c r="C660" t="s">
        <v>739</v>
      </c>
      <c r="D660" t="s">
        <v>740</v>
      </c>
      <c r="E660" t="s">
        <v>743</v>
      </c>
      <c r="F660" s="34">
        <v>117</v>
      </c>
      <c r="G660" s="34" t="s">
        <v>80</v>
      </c>
      <c r="H660" s="36">
        <v>86746</v>
      </c>
      <c r="I660" s="58">
        <v>528702</v>
      </c>
      <c r="J660">
        <f>IFERROR(VLOOKUP(G660,'LEAID Match'!$A$2:$B$526,2,FALSE),"")</f>
        <v>2910320</v>
      </c>
      <c r="K660" s="68">
        <f t="shared" si="21"/>
        <v>8</v>
      </c>
    </row>
    <row r="661" spans="1:11" x14ac:dyDescent="0.2">
      <c r="A661">
        <f t="shared" si="20"/>
        <v>2910320</v>
      </c>
      <c r="B661">
        <v>2018</v>
      </c>
      <c r="C661" t="s">
        <v>739</v>
      </c>
      <c r="D661" t="s">
        <v>740</v>
      </c>
      <c r="E661" t="s">
        <v>743</v>
      </c>
      <c r="F661" s="34">
        <v>117</v>
      </c>
      <c r="G661" s="34" t="s">
        <v>80</v>
      </c>
      <c r="H661" s="36">
        <v>86423</v>
      </c>
      <c r="I661" s="58">
        <v>518085</v>
      </c>
      <c r="J661">
        <f>IFERROR(VLOOKUP(G661,'LEAID Match'!$A$2:$B$526,2,FALSE),"")</f>
        <v>2910320</v>
      </c>
      <c r="K661" s="68">
        <f t="shared" si="21"/>
        <v>8</v>
      </c>
    </row>
    <row r="662" spans="1:11" x14ac:dyDescent="0.2">
      <c r="A662">
        <f t="shared" si="20"/>
        <v>2910320</v>
      </c>
      <c r="B662">
        <v>2019</v>
      </c>
      <c r="C662" t="s">
        <v>739</v>
      </c>
      <c r="D662" t="s">
        <v>740</v>
      </c>
      <c r="E662" t="s">
        <v>743</v>
      </c>
      <c r="F662" s="34">
        <v>117</v>
      </c>
      <c r="G662" s="34" t="s">
        <v>80</v>
      </c>
      <c r="H662" s="36">
        <v>93252</v>
      </c>
      <c r="I662" s="58">
        <v>539372</v>
      </c>
      <c r="J662">
        <f>IFERROR(VLOOKUP(G662,'LEAID Match'!$A$2:$B$526,2,FALSE),"")</f>
        <v>2910320</v>
      </c>
      <c r="K662" s="68">
        <f t="shared" si="21"/>
        <v>8</v>
      </c>
    </row>
    <row r="663" spans="1:11" x14ac:dyDescent="0.2">
      <c r="A663">
        <f t="shared" si="20"/>
        <v>2910320</v>
      </c>
      <c r="B663">
        <v>2020</v>
      </c>
      <c r="C663" t="s">
        <v>739</v>
      </c>
      <c r="D663" t="s">
        <v>740</v>
      </c>
      <c r="E663" t="s">
        <v>743</v>
      </c>
      <c r="F663" s="34">
        <v>117</v>
      </c>
      <c r="G663" s="34" t="s">
        <v>80</v>
      </c>
      <c r="H663" s="36">
        <v>96992</v>
      </c>
      <c r="I663" s="58">
        <v>547914</v>
      </c>
      <c r="J663">
        <f>IFERROR(VLOOKUP(G663,'LEAID Match'!$A$2:$B$526,2,FALSE),"")</f>
        <v>2910320</v>
      </c>
      <c r="K663" s="68">
        <f t="shared" si="21"/>
        <v>8</v>
      </c>
    </row>
    <row r="664" spans="1:11" x14ac:dyDescent="0.2">
      <c r="A664">
        <f t="shared" si="20"/>
        <v>2910320</v>
      </c>
      <c r="B664">
        <v>2021</v>
      </c>
      <c r="C664" t="s">
        <v>739</v>
      </c>
      <c r="D664" t="s">
        <v>740</v>
      </c>
      <c r="E664" t="s">
        <v>743</v>
      </c>
      <c r="F664" s="34">
        <v>117</v>
      </c>
      <c r="G664" s="34" t="s">
        <v>80</v>
      </c>
      <c r="H664" s="36">
        <v>99746</v>
      </c>
      <c r="I664" s="58">
        <v>566059</v>
      </c>
      <c r="J664">
        <f>IFERROR(VLOOKUP(G664,'LEAID Match'!$A$2:$B$526,2,FALSE),"")</f>
        <v>2910320</v>
      </c>
      <c r="K664" s="68">
        <f t="shared" si="21"/>
        <v>8</v>
      </c>
    </row>
    <row r="665" spans="1:11" x14ac:dyDescent="0.2">
      <c r="A665">
        <f t="shared" si="20"/>
        <v>2910320</v>
      </c>
      <c r="B665">
        <v>2022</v>
      </c>
      <c r="C665" t="s">
        <v>739</v>
      </c>
      <c r="D665" t="s">
        <v>740</v>
      </c>
      <c r="E665" t="s">
        <v>743</v>
      </c>
      <c r="F665" s="34">
        <v>117</v>
      </c>
      <c r="G665" s="34" t="s">
        <v>80</v>
      </c>
      <c r="H665" s="36">
        <v>110267</v>
      </c>
      <c r="I665" s="58">
        <v>575117</v>
      </c>
      <c r="J665">
        <f>IFERROR(VLOOKUP(G665,'LEAID Match'!$A$2:$B$526,2,FALSE),"")</f>
        <v>2910320</v>
      </c>
      <c r="K665" s="68">
        <f t="shared" si="21"/>
        <v>8</v>
      </c>
    </row>
    <row r="666" spans="1:11" x14ac:dyDescent="0.2">
      <c r="A666">
        <f t="shared" si="20"/>
        <v>2913760</v>
      </c>
      <c r="B666">
        <v>2015</v>
      </c>
      <c r="C666" t="s">
        <v>739</v>
      </c>
      <c r="D666" t="s">
        <v>740</v>
      </c>
      <c r="E666" t="s">
        <v>743</v>
      </c>
      <c r="F666" s="37">
        <v>118</v>
      </c>
      <c r="G666" s="39" t="s">
        <v>81</v>
      </c>
      <c r="H666" s="40">
        <v>225318</v>
      </c>
      <c r="I666" s="58">
        <v>1807792</v>
      </c>
      <c r="J666">
        <f>IFERROR(VLOOKUP(G666,'LEAID Match'!$A$2:$B$526,2,FALSE),"")</f>
        <v>2913760</v>
      </c>
      <c r="K666" s="68">
        <f t="shared" si="21"/>
        <v>8</v>
      </c>
    </row>
    <row r="667" spans="1:11" x14ac:dyDescent="0.2">
      <c r="A667">
        <f t="shared" si="20"/>
        <v>2913760</v>
      </c>
      <c r="B667">
        <v>2016</v>
      </c>
      <c r="C667" t="s">
        <v>739</v>
      </c>
      <c r="D667" t="s">
        <v>740</v>
      </c>
      <c r="E667" t="s">
        <v>743</v>
      </c>
      <c r="F667" s="34">
        <v>118</v>
      </c>
      <c r="G667" s="34" t="s">
        <v>81</v>
      </c>
      <c r="H667" s="36">
        <v>238187</v>
      </c>
      <c r="I667" s="60">
        <v>1804757</v>
      </c>
      <c r="J667">
        <f>IFERROR(VLOOKUP(G667,'LEAID Match'!$A$2:$B$526,2,FALSE),"")</f>
        <v>2913760</v>
      </c>
      <c r="K667" s="68">
        <f t="shared" si="21"/>
        <v>8</v>
      </c>
    </row>
    <row r="668" spans="1:11" x14ac:dyDescent="0.2">
      <c r="A668">
        <f t="shared" si="20"/>
        <v>2913760</v>
      </c>
      <c r="B668">
        <v>2017</v>
      </c>
      <c r="C668" t="s">
        <v>739</v>
      </c>
      <c r="D668" t="s">
        <v>740</v>
      </c>
      <c r="E668" t="s">
        <v>743</v>
      </c>
      <c r="F668" s="34">
        <v>118</v>
      </c>
      <c r="G668" s="34" t="s">
        <v>81</v>
      </c>
      <c r="H668" s="36">
        <v>241565</v>
      </c>
      <c r="I668" s="58">
        <v>1868597</v>
      </c>
      <c r="J668">
        <f>IFERROR(VLOOKUP(G668,'LEAID Match'!$A$2:$B$526,2,FALSE),"")</f>
        <v>2913760</v>
      </c>
      <c r="K668" s="68">
        <f t="shared" si="21"/>
        <v>8</v>
      </c>
    </row>
    <row r="669" spans="1:11" x14ac:dyDescent="0.2">
      <c r="A669">
        <f t="shared" si="20"/>
        <v>2913760</v>
      </c>
      <c r="B669">
        <v>2018</v>
      </c>
      <c r="C669" t="s">
        <v>739</v>
      </c>
      <c r="D669" t="s">
        <v>740</v>
      </c>
      <c r="E669" t="s">
        <v>743</v>
      </c>
      <c r="F669" s="34">
        <v>118</v>
      </c>
      <c r="G669" s="34" t="s">
        <v>81</v>
      </c>
      <c r="H669" s="36">
        <v>251229</v>
      </c>
      <c r="I669" s="58">
        <v>1853370</v>
      </c>
      <c r="J669">
        <f>IFERROR(VLOOKUP(G669,'LEAID Match'!$A$2:$B$526,2,FALSE),"")</f>
        <v>2913760</v>
      </c>
      <c r="K669" s="68">
        <f t="shared" si="21"/>
        <v>8</v>
      </c>
    </row>
    <row r="670" spans="1:11" x14ac:dyDescent="0.2">
      <c r="A670">
        <f t="shared" si="20"/>
        <v>2913760</v>
      </c>
      <c r="B670">
        <v>2019</v>
      </c>
      <c r="C670" t="s">
        <v>739</v>
      </c>
      <c r="D670" t="s">
        <v>740</v>
      </c>
      <c r="E670" t="s">
        <v>743</v>
      </c>
      <c r="F670" s="34">
        <v>118</v>
      </c>
      <c r="G670" s="34" t="s">
        <v>81</v>
      </c>
      <c r="H670" s="36">
        <v>256340</v>
      </c>
      <c r="I670" s="58">
        <v>1875551</v>
      </c>
      <c r="J670">
        <f>IFERROR(VLOOKUP(G670,'LEAID Match'!$A$2:$B$526,2,FALSE),"")</f>
        <v>2913760</v>
      </c>
      <c r="K670" s="68">
        <f t="shared" si="21"/>
        <v>8</v>
      </c>
    </row>
    <row r="671" spans="1:11" x14ac:dyDescent="0.2">
      <c r="A671">
        <f t="shared" si="20"/>
        <v>2913760</v>
      </c>
      <c r="B671">
        <v>2020</v>
      </c>
      <c r="C671" t="s">
        <v>739</v>
      </c>
      <c r="D671" t="s">
        <v>740</v>
      </c>
      <c r="E671" t="s">
        <v>743</v>
      </c>
      <c r="F671" s="34">
        <v>118</v>
      </c>
      <c r="G671" s="34" t="s">
        <v>81</v>
      </c>
      <c r="H671" s="36">
        <v>173386</v>
      </c>
      <c r="I671" s="58">
        <v>1839406</v>
      </c>
      <c r="J671">
        <f>IFERROR(VLOOKUP(G671,'LEAID Match'!$A$2:$B$526,2,FALSE),"")</f>
        <v>2913760</v>
      </c>
      <c r="K671" s="68">
        <f t="shared" si="21"/>
        <v>8</v>
      </c>
    </row>
    <row r="672" spans="1:11" x14ac:dyDescent="0.2">
      <c r="A672">
        <f t="shared" si="20"/>
        <v>2913760</v>
      </c>
      <c r="B672">
        <v>2021</v>
      </c>
      <c r="C672" t="s">
        <v>739</v>
      </c>
      <c r="D672" t="s">
        <v>740</v>
      </c>
      <c r="E672" t="s">
        <v>743</v>
      </c>
      <c r="F672" s="34">
        <v>118</v>
      </c>
      <c r="G672" s="34" t="s">
        <v>81</v>
      </c>
      <c r="H672" s="36">
        <v>182467</v>
      </c>
      <c r="I672" s="58">
        <v>1883745</v>
      </c>
      <c r="J672">
        <f>IFERROR(VLOOKUP(G672,'LEAID Match'!$A$2:$B$526,2,FALSE),"")</f>
        <v>2913760</v>
      </c>
      <c r="K672" s="68">
        <f t="shared" si="21"/>
        <v>8</v>
      </c>
    </row>
    <row r="673" spans="1:11" x14ac:dyDescent="0.2">
      <c r="A673">
        <f t="shared" si="20"/>
        <v>2913760</v>
      </c>
      <c r="B673">
        <v>2022</v>
      </c>
      <c r="C673" t="s">
        <v>739</v>
      </c>
      <c r="D673" t="s">
        <v>740</v>
      </c>
      <c r="E673" t="s">
        <v>743</v>
      </c>
      <c r="F673" s="34">
        <v>118</v>
      </c>
      <c r="G673" s="34" t="s">
        <v>81</v>
      </c>
      <c r="H673" s="36">
        <v>200705</v>
      </c>
      <c r="I673" s="58">
        <v>1840489</v>
      </c>
      <c r="J673">
        <f>IFERROR(VLOOKUP(G673,'LEAID Match'!$A$2:$B$526,2,FALSE),"")</f>
        <v>2913760</v>
      </c>
      <c r="K673" s="68">
        <f t="shared" si="21"/>
        <v>8</v>
      </c>
    </row>
    <row r="674" spans="1:11" x14ac:dyDescent="0.2">
      <c r="A674">
        <f t="shared" si="20"/>
        <v>2929670</v>
      </c>
      <c r="B674">
        <v>2015</v>
      </c>
      <c r="C674" t="s">
        <v>739</v>
      </c>
      <c r="D674" t="s">
        <v>740</v>
      </c>
      <c r="E674" t="s">
        <v>743</v>
      </c>
      <c r="F674" s="37">
        <v>119</v>
      </c>
      <c r="G674" s="39" t="s">
        <v>82</v>
      </c>
      <c r="H674" s="40">
        <v>9596</v>
      </c>
      <c r="I674" s="58">
        <v>87037</v>
      </c>
      <c r="J674">
        <f>IFERROR(VLOOKUP(G674,'LEAID Match'!$A$2:$B$526,2,FALSE),"")</f>
        <v>2929670</v>
      </c>
      <c r="K674" s="68">
        <f t="shared" si="21"/>
        <v>8</v>
      </c>
    </row>
    <row r="675" spans="1:11" x14ac:dyDescent="0.2">
      <c r="A675">
        <f t="shared" si="20"/>
        <v>2929670</v>
      </c>
      <c r="B675">
        <v>2016</v>
      </c>
      <c r="C675" t="s">
        <v>739</v>
      </c>
      <c r="D675" t="s">
        <v>740</v>
      </c>
      <c r="E675" t="s">
        <v>743</v>
      </c>
      <c r="F675" s="34">
        <v>119</v>
      </c>
      <c r="G675" s="34" t="s">
        <v>82</v>
      </c>
      <c r="H675" s="36">
        <v>10786</v>
      </c>
      <c r="I675" s="60">
        <v>90288</v>
      </c>
      <c r="J675">
        <f>IFERROR(VLOOKUP(G675,'LEAID Match'!$A$2:$B$526,2,FALSE),"")</f>
        <v>2929670</v>
      </c>
      <c r="K675" s="68">
        <f t="shared" si="21"/>
        <v>8</v>
      </c>
    </row>
    <row r="676" spans="1:11" x14ac:dyDescent="0.2">
      <c r="A676">
        <f t="shared" si="20"/>
        <v>2929670</v>
      </c>
      <c r="B676">
        <v>2017</v>
      </c>
      <c r="C676" t="s">
        <v>739</v>
      </c>
      <c r="D676" t="s">
        <v>740</v>
      </c>
      <c r="E676" t="s">
        <v>743</v>
      </c>
      <c r="F676" s="34">
        <v>119</v>
      </c>
      <c r="G676" s="34" t="s">
        <v>82</v>
      </c>
      <c r="H676" s="36">
        <v>11092</v>
      </c>
      <c r="I676" s="58">
        <v>88462</v>
      </c>
      <c r="J676">
        <f>IFERROR(VLOOKUP(G676,'LEAID Match'!$A$2:$B$526,2,FALSE),"")</f>
        <v>2929670</v>
      </c>
      <c r="K676" s="68">
        <f t="shared" si="21"/>
        <v>8</v>
      </c>
    </row>
    <row r="677" spans="1:11" x14ac:dyDescent="0.2">
      <c r="A677">
        <f t="shared" si="20"/>
        <v>2929670</v>
      </c>
      <c r="B677">
        <v>2018</v>
      </c>
      <c r="C677" t="s">
        <v>739</v>
      </c>
      <c r="D677" t="s">
        <v>740</v>
      </c>
      <c r="E677" t="s">
        <v>743</v>
      </c>
      <c r="F677" s="34">
        <v>119</v>
      </c>
      <c r="G677" s="34" t="s">
        <v>82</v>
      </c>
      <c r="H677" s="36">
        <v>10863</v>
      </c>
      <c r="I677" s="58">
        <v>92266</v>
      </c>
      <c r="J677">
        <f>IFERROR(VLOOKUP(G677,'LEAID Match'!$A$2:$B$526,2,FALSE),"")</f>
        <v>2929670</v>
      </c>
      <c r="K677" s="68">
        <f t="shared" si="21"/>
        <v>8</v>
      </c>
    </row>
    <row r="678" spans="1:11" x14ac:dyDescent="0.2">
      <c r="A678">
        <f t="shared" si="20"/>
        <v>2929670</v>
      </c>
      <c r="B678">
        <v>2019</v>
      </c>
      <c r="C678" t="s">
        <v>739</v>
      </c>
      <c r="D678" t="s">
        <v>740</v>
      </c>
      <c r="E678" t="s">
        <v>743</v>
      </c>
      <c r="F678" s="34">
        <v>119</v>
      </c>
      <c r="G678" s="34" t="s">
        <v>82</v>
      </c>
      <c r="H678" s="36">
        <v>11735</v>
      </c>
      <c r="I678" s="58">
        <v>95423</v>
      </c>
      <c r="J678">
        <f>IFERROR(VLOOKUP(G678,'LEAID Match'!$A$2:$B$526,2,FALSE),"")</f>
        <v>2929670</v>
      </c>
      <c r="K678" s="68">
        <f t="shared" si="21"/>
        <v>8</v>
      </c>
    </row>
    <row r="679" spans="1:11" x14ac:dyDescent="0.2">
      <c r="A679">
        <f t="shared" si="20"/>
        <v>2929670</v>
      </c>
      <c r="B679">
        <v>2020</v>
      </c>
      <c r="C679" t="s">
        <v>739</v>
      </c>
      <c r="D679" t="s">
        <v>740</v>
      </c>
      <c r="E679" t="s">
        <v>743</v>
      </c>
      <c r="F679" s="34">
        <v>119</v>
      </c>
      <c r="G679" s="34" t="s">
        <v>82</v>
      </c>
      <c r="H679" s="36">
        <v>14613</v>
      </c>
      <c r="I679" s="58">
        <v>93683</v>
      </c>
      <c r="J679">
        <f>IFERROR(VLOOKUP(G679,'LEAID Match'!$A$2:$B$526,2,FALSE),"")</f>
        <v>2929670</v>
      </c>
      <c r="K679" s="68">
        <f t="shared" si="21"/>
        <v>8</v>
      </c>
    </row>
    <row r="680" spans="1:11" x14ac:dyDescent="0.2">
      <c r="A680">
        <f t="shared" si="20"/>
        <v>2929670</v>
      </c>
      <c r="B680">
        <v>2021</v>
      </c>
      <c r="C680" t="s">
        <v>739</v>
      </c>
      <c r="D680" t="s">
        <v>740</v>
      </c>
      <c r="E680" t="s">
        <v>743</v>
      </c>
      <c r="F680" s="34">
        <v>119</v>
      </c>
      <c r="G680" s="34" t="s">
        <v>82</v>
      </c>
      <c r="H680" s="36">
        <v>14781</v>
      </c>
      <c r="I680" s="58">
        <v>100781</v>
      </c>
      <c r="J680">
        <f>IFERROR(VLOOKUP(G680,'LEAID Match'!$A$2:$B$526,2,FALSE),"")</f>
        <v>2929670</v>
      </c>
      <c r="K680" s="68">
        <f t="shared" si="21"/>
        <v>8</v>
      </c>
    </row>
    <row r="681" spans="1:11" x14ac:dyDescent="0.2">
      <c r="A681">
        <f t="shared" si="20"/>
        <v>2929670</v>
      </c>
      <c r="B681">
        <v>2022</v>
      </c>
      <c r="C681" t="s">
        <v>739</v>
      </c>
      <c r="D681" t="s">
        <v>740</v>
      </c>
      <c r="E681" t="s">
        <v>743</v>
      </c>
      <c r="F681" s="34">
        <v>119</v>
      </c>
      <c r="G681" s="34" t="s">
        <v>82</v>
      </c>
      <c r="H681" s="36">
        <v>12131</v>
      </c>
      <c r="I681" s="58">
        <v>110777</v>
      </c>
      <c r="J681">
        <f>IFERROR(VLOOKUP(G681,'LEAID Match'!$A$2:$B$526,2,FALSE),"")</f>
        <v>2929670</v>
      </c>
      <c r="K681" s="68">
        <f t="shared" si="21"/>
        <v>8</v>
      </c>
    </row>
    <row r="682" spans="1:11" x14ac:dyDescent="0.2">
      <c r="A682">
        <f t="shared" si="20"/>
        <v>2904620</v>
      </c>
      <c r="B682">
        <v>2015</v>
      </c>
      <c r="C682" t="s">
        <v>739</v>
      </c>
      <c r="D682" t="s">
        <v>740</v>
      </c>
      <c r="E682" t="s">
        <v>743</v>
      </c>
      <c r="F682" s="37">
        <v>120</v>
      </c>
      <c r="G682" s="39" t="s">
        <v>83</v>
      </c>
      <c r="H682" s="40">
        <v>509485</v>
      </c>
      <c r="I682" s="58">
        <v>3220460</v>
      </c>
      <c r="J682">
        <f>IFERROR(VLOOKUP(G682,'LEAID Match'!$A$2:$B$526,2,FALSE),"")</f>
        <v>2904620</v>
      </c>
      <c r="K682" s="68">
        <f t="shared" si="21"/>
        <v>8</v>
      </c>
    </row>
    <row r="683" spans="1:11" x14ac:dyDescent="0.2">
      <c r="A683">
        <f t="shared" si="20"/>
        <v>2904620</v>
      </c>
      <c r="B683">
        <v>2016</v>
      </c>
      <c r="C683" t="s">
        <v>739</v>
      </c>
      <c r="D683" t="s">
        <v>740</v>
      </c>
      <c r="E683" t="s">
        <v>743</v>
      </c>
      <c r="F683" s="34">
        <v>120</v>
      </c>
      <c r="G683" s="34" t="s">
        <v>83</v>
      </c>
      <c r="H683" s="36">
        <v>522380</v>
      </c>
      <c r="I683" s="60">
        <v>3362661</v>
      </c>
      <c r="J683">
        <f>IFERROR(VLOOKUP(G683,'LEAID Match'!$A$2:$B$526,2,FALSE),"")</f>
        <v>2904620</v>
      </c>
      <c r="K683" s="68">
        <f t="shared" si="21"/>
        <v>8</v>
      </c>
    </row>
    <row r="684" spans="1:11" x14ac:dyDescent="0.2">
      <c r="A684">
        <f t="shared" si="20"/>
        <v>2904620</v>
      </c>
      <c r="B684">
        <v>2017</v>
      </c>
      <c r="C684" t="s">
        <v>739</v>
      </c>
      <c r="D684" t="s">
        <v>740</v>
      </c>
      <c r="E684" t="s">
        <v>743</v>
      </c>
      <c r="F684" s="34">
        <v>120</v>
      </c>
      <c r="G684" s="34" t="s">
        <v>83</v>
      </c>
      <c r="H684" s="36">
        <v>533354</v>
      </c>
      <c r="I684" s="58">
        <v>3455436</v>
      </c>
      <c r="J684">
        <f>IFERROR(VLOOKUP(G684,'LEAID Match'!$A$2:$B$526,2,FALSE),"")</f>
        <v>2904620</v>
      </c>
      <c r="K684" s="68">
        <f t="shared" si="21"/>
        <v>8</v>
      </c>
    </row>
    <row r="685" spans="1:11" x14ac:dyDescent="0.2">
      <c r="A685">
        <f t="shared" si="20"/>
        <v>2904620</v>
      </c>
      <c r="B685">
        <v>2018</v>
      </c>
      <c r="C685" t="s">
        <v>739</v>
      </c>
      <c r="D685" t="s">
        <v>740</v>
      </c>
      <c r="E685" t="s">
        <v>743</v>
      </c>
      <c r="F685" s="34">
        <v>120</v>
      </c>
      <c r="G685" s="34" t="s">
        <v>83</v>
      </c>
      <c r="H685" s="36">
        <v>552125</v>
      </c>
      <c r="I685" s="58">
        <v>3544334</v>
      </c>
      <c r="J685">
        <f>IFERROR(VLOOKUP(G685,'LEAID Match'!$A$2:$B$526,2,FALSE),"")</f>
        <v>2904620</v>
      </c>
      <c r="K685" s="68">
        <f t="shared" si="21"/>
        <v>8</v>
      </c>
    </row>
    <row r="686" spans="1:11" x14ac:dyDescent="0.2">
      <c r="A686">
        <f t="shared" si="20"/>
        <v>2904620</v>
      </c>
      <c r="B686">
        <v>2019</v>
      </c>
      <c r="C686" t="s">
        <v>739</v>
      </c>
      <c r="D686" t="s">
        <v>740</v>
      </c>
      <c r="E686" t="s">
        <v>743</v>
      </c>
      <c r="F686" s="34">
        <v>120</v>
      </c>
      <c r="G686" s="34" t="s">
        <v>83</v>
      </c>
      <c r="H686" s="36">
        <v>578488</v>
      </c>
      <c r="I686" s="58">
        <v>3517228</v>
      </c>
      <c r="J686">
        <f>IFERROR(VLOOKUP(G686,'LEAID Match'!$A$2:$B$526,2,FALSE),"")</f>
        <v>2904620</v>
      </c>
      <c r="K686" s="68">
        <f t="shared" si="21"/>
        <v>8</v>
      </c>
    </row>
    <row r="687" spans="1:11" x14ac:dyDescent="0.2">
      <c r="A687">
        <f t="shared" si="20"/>
        <v>2904620</v>
      </c>
      <c r="B687">
        <v>2020</v>
      </c>
      <c r="C687" t="s">
        <v>739</v>
      </c>
      <c r="D687" t="s">
        <v>740</v>
      </c>
      <c r="E687" t="s">
        <v>743</v>
      </c>
      <c r="F687" s="34">
        <v>120</v>
      </c>
      <c r="G687" s="34" t="s">
        <v>83</v>
      </c>
      <c r="H687" s="36">
        <v>599535</v>
      </c>
      <c r="I687" s="58">
        <v>3507883</v>
      </c>
      <c r="J687">
        <f>IFERROR(VLOOKUP(G687,'LEAID Match'!$A$2:$B$526,2,FALSE),"")</f>
        <v>2904620</v>
      </c>
      <c r="K687" s="68">
        <f t="shared" si="21"/>
        <v>8</v>
      </c>
    </row>
    <row r="688" spans="1:11" x14ac:dyDescent="0.2">
      <c r="A688">
        <f t="shared" si="20"/>
        <v>2904620</v>
      </c>
      <c r="B688">
        <v>2021</v>
      </c>
      <c r="C688" t="s">
        <v>739</v>
      </c>
      <c r="D688" t="s">
        <v>740</v>
      </c>
      <c r="E688" t="s">
        <v>743</v>
      </c>
      <c r="F688" s="34">
        <v>120</v>
      </c>
      <c r="G688" s="34" t="s">
        <v>83</v>
      </c>
      <c r="H688" s="36">
        <v>582478</v>
      </c>
      <c r="I688" s="58">
        <v>3538502</v>
      </c>
      <c r="J688">
        <f>IFERROR(VLOOKUP(G688,'LEAID Match'!$A$2:$B$526,2,FALSE),"")</f>
        <v>2904620</v>
      </c>
      <c r="K688" s="68">
        <f t="shared" si="21"/>
        <v>8</v>
      </c>
    </row>
    <row r="689" spans="1:11" x14ac:dyDescent="0.2">
      <c r="A689">
        <f t="shared" si="20"/>
        <v>2904620</v>
      </c>
      <c r="B689">
        <v>2022</v>
      </c>
      <c r="C689" t="s">
        <v>739</v>
      </c>
      <c r="D689" t="s">
        <v>740</v>
      </c>
      <c r="E689" t="s">
        <v>743</v>
      </c>
      <c r="F689" s="34">
        <v>120</v>
      </c>
      <c r="G689" s="34" t="s">
        <v>83</v>
      </c>
      <c r="H689" s="36">
        <v>622094</v>
      </c>
      <c r="I689" s="58">
        <v>3793675</v>
      </c>
      <c r="J689">
        <f>IFERROR(VLOOKUP(G689,'LEAID Match'!$A$2:$B$526,2,FALSE),"")</f>
        <v>2904620</v>
      </c>
      <c r="K689" s="68">
        <f t="shared" si="21"/>
        <v>8</v>
      </c>
    </row>
    <row r="690" spans="1:11" x14ac:dyDescent="0.2">
      <c r="A690">
        <f t="shared" si="20"/>
        <v>2911160</v>
      </c>
      <c r="B690">
        <v>2015</v>
      </c>
      <c r="C690" t="s">
        <v>739</v>
      </c>
      <c r="D690" t="s">
        <v>740</v>
      </c>
      <c r="E690" t="s">
        <v>743</v>
      </c>
      <c r="F690" s="37">
        <v>125</v>
      </c>
      <c r="G690" s="39" t="s">
        <v>84</v>
      </c>
      <c r="H690" s="40">
        <v>17678</v>
      </c>
      <c r="I690" s="58">
        <v>119319</v>
      </c>
      <c r="J690">
        <f>IFERROR(VLOOKUP(G690,'LEAID Match'!$A$2:$B$526,2,FALSE),"")</f>
        <v>2911160</v>
      </c>
      <c r="K690" s="68">
        <f t="shared" si="21"/>
        <v>8</v>
      </c>
    </row>
    <row r="691" spans="1:11" x14ac:dyDescent="0.2">
      <c r="A691">
        <f t="shared" si="20"/>
        <v>2911160</v>
      </c>
      <c r="B691">
        <v>2016</v>
      </c>
      <c r="C691" t="s">
        <v>739</v>
      </c>
      <c r="D691" t="s">
        <v>740</v>
      </c>
      <c r="E691" t="s">
        <v>743</v>
      </c>
      <c r="F691" s="34">
        <v>125</v>
      </c>
      <c r="G691" s="34" t="s">
        <v>84</v>
      </c>
      <c r="H691" s="36">
        <v>16876</v>
      </c>
      <c r="I691" s="60">
        <v>122950</v>
      </c>
      <c r="J691">
        <f>IFERROR(VLOOKUP(G691,'LEAID Match'!$A$2:$B$526,2,FALSE),"")</f>
        <v>2911160</v>
      </c>
      <c r="K691" s="68">
        <f t="shared" si="21"/>
        <v>8</v>
      </c>
    </row>
    <row r="692" spans="1:11" x14ac:dyDescent="0.2">
      <c r="A692">
        <f t="shared" si="20"/>
        <v>2911160</v>
      </c>
      <c r="B692">
        <v>2017</v>
      </c>
      <c r="C692" t="s">
        <v>739</v>
      </c>
      <c r="D692" t="s">
        <v>740</v>
      </c>
      <c r="E692" t="s">
        <v>743</v>
      </c>
      <c r="F692" s="34">
        <v>125</v>
      </c>
      <c r="G692" s="34" t="s">
        <v>84</v>
      </c>
      <c r="H692" s="36">
        <v>17098</v>
      </c>
      <c r="I692" s="58">
        <v>123094</v>
      </c>
      <c r="J692">
        <f>IFERROR(VLOOKUP(G692,'LEAID Match'!$A$2:$B$526,2,FALSE),"")</f>
        <v>2911160</v>
      </c>
      <c r="K692" s="68">
        <f t="shared" si="21"/>
        <v>8</v>
      </c>
    </row>
    <row r="693" spans="1:11" x14ac:dyDescent="0.2">
      <c r="A693">
        <f t="shared" si="20"/>
        <v>2911160</v>
      </c>
      <c r="B693">
        <v>2018</v>
      </c>
      <c r="C693" t="s">
        <v>739</v>
      </c>
      <c r="D693" t="s">
        <v>740</v>
      </c>
      <c r="E693" t="s">
        <v>743</v>
      </c>
      <c r="F693" s="34">
        <v>125</v>
      </c>
      <c r="G693" s="34" t="s">
        <v>84</v>
      </c>
      <c r="H693" s="36">
        <v>17459</v>
      </c>
      <c r="I693" s="58">
        <v>98474</v>
      </c>
      <c r="J693">
        <f>IFERROR(VLOOKUP(G693,'LEAID Match'!$A$2:$B$526,2,FALSE),"")</f>
        <v>2911160</v>
      </c>
      <c r="K693" s="68">
        <f t="shared" si="21"/>
        <v>8</v>
      </c>
    </row>
    <row r="694" spans="1:11" x14ac:dyDescent="0.2">
      <c r="A694">
        <f t="shared" si="20"/>
        <v>2911160</v>
      </c>
      <c r="B694">
        <v>2019</v>
      </c>
      <c r="C694" t="s">
        <v>739</v>
      </c>
      <c r="D694" t="s">
        <v>740</v>
      </c>
      <c r="E694" t="s">
        <v>743</v>
      </c>
      <c r="F694" s="34">
        <v>125</v>
      </c>
      <c r="G694" s="34" t="s">
        <v>84</v>
      </c>
      <c r="H694" s="36">
        <v>17826</v>
      </c>
      <c r="I694" s="58">
        <v>102874</v>
      </c>
      <c r="J694">
        <f>IFERROR(VLOOKUP(G694,'LEAID Match'!$A$2:$B$526,2,FALSE),"")</f>
        <v>2911160</v>
      </c>
      <c r="K694" s="68">
        <f t="shared" si="21"/>
        <v>8</v>
      </c>
    </row>
    <row r="695" spans="1:11" x14ac:dyDescent="0.2">
      <c r="A695">
        <f t="shared" si="20"/>
        <v>2911160</v>
      </c>
      <c r="B695">
        <v>2020</v>
      </c>
      <c r="C695" t="s">
        <v>739</v>
      </c>
      <c r="D695" t="s">
        <v>740</v>
      </c>
      <c r="E695" t="s">
        <v>743</v>
      </c>
      <c r="F695" s="34">
        <v>125</v>
      </c>
      <c r="G695" s="34" t="s">
        <v>84</v>
      </c>
      <c r="H695" s="36">
        <v>20360</v>
      </c>
      <c r="I695" s="58">
        <v>112206</v>
      </c>
      <c r="J695">
        <f>IFERROR(VLOOKUP(G695,'LEAID Match'!$A$2:$B$526,2,FALSE),"")</f>
        <v>2911160</v>
      </c>
      <c r="K695" s="68">
        <f t="shared" si="21"/>
        <v>8</v>
      </c>
    </row>
    <row r="696" spans="1:11" x14ac:dyDescent="0.2">
      <c r="A696">
        <f t="shared" si="20"/>
        <v>2911160</v>
      </c>
      <c r="B696">
        <v>2021</v>
      </c>
      <c r="C696" t="s">
        <v>739</v>
      </c>
      <c r="D696" t="s">
        <v>740</v>
      </c>
      <c r="E696" t="s">
        <v>743</v>
      </c>
      <c r="F696" s="34">
        <v>125</v>
      </c>
      <c r="G696" s="34" t="s">
        <v>84</v>
      </c>
      <c r="H696" s="36">
        <v>13849</v>
      </c>
      <c r="I696" s="58">
        <v>131272</v>
      </c>
      <c r="J696">
        <f>IFERROR(VLOOKUP(G696,'LEAID Match'!$A$2:$B$526,2,FALSE),"")</f>
        <v>2911160</v>
      </c>
      <c r="K696" s="68">
        <f t="shared" si="21"/>
        <v>8</v>
      </c>
    </row>
    <row r="697" spans="1:11" x14ac:dyDescent="0.2">
      <c r="A697">
        <f t="shared" si="20"/>
        <v>2911160</v>
      </c>
      <c r="B697">
        <v>2022</v>
      </c>
      <c r="C697" t="s">
        <v>739</v>
      </c>
      <c r="D697" t="s">
        <v>740</v>
      </c>
      <c r="E697" t="s">
        <v>743</v>
      </c>
      <c r="F697" s="34">
        <v>125</v>
      </c>
      <c r="G697" s="34" t="s">
        <v>84</v>
      </c>
      <c r="H697" s="36">
        <v>18709</v>
      </c>
      <c r="I697" s="58">
        <v>133834</v>
      </c>
      <c r="J697">
        <f>IFERROR(VLOOKUP(G697,'LEAID Match'!$A$2:$B$526,2,FALSE),"")</f>
        <v>2911160</v>
      </c>
      <c r="K697" s="68">
        <f t="shared" si="21"/>
        <v>8</v>
      </c>
    </row>
    <row r="698" spans="1:11" x14ac:dyDescent="0.2">
      <c r="A698">
        <f t="shared" si="20"/>
        <v>2929520</v>
      </c>
      <c r="B698">
        <v>2015</v>
      </c>
      <c r="C698" t="s">
        <v>739</v>
      </c>
      <c r="D698" t="s">
        <v>740</v>
      </c>
      <c r="E698" t="s">
        <v>743</v>
      </c>
      <c r="F698" s="37">
        <v>129</v>
      </c>
      <c r="G698" s="39" t="s">
        <v>129</v>
      </c>
      <c r="H698" s="40">
        <v>74841</v>
      </c>
      <c r="I698" s="58">
        <v>619206</v>
      </c>
      <c r="J698">
        <f>IFERROR(VLOOKUP(G698,'LEAID Match'!$A$2:$B$526,2,FALSE),"")</f>
        <v>2929520</v>
      </c>
      <c r="K698" s="68">
        <f t="shared" si="21"/>
        <v>8</v>
      </c>
    </row>
    <row r="699" spans="1:11" x14ac:dyDescent="0.2">
      <c r="A699">
        <f t="shared" si="20"/>
        <v>2929520</v>
      </c>
      <c r="B699">
        <v>2016</v>
      </c>
      <c r="C699" t="s">
        <v>739</v>
      </c>
      <c r="D699" t="s">
        <v>740</v>
      </c>
      <c r="E699" t="s">
        <v>743</v>
      </c>
      <c r="F699" s="34">
        <v>129</v>
      </c>
      <c r="G699" s="34" t="s">
        <v>129</v>
      </c>
      <c r="H699" s="36">
        <v>74693</v>
      </c>
      <c r="I699" s="60">
        <v>632493</v>
      </c>
      <c r="J699">
        <f>IFERROR(VLOOKUP(G699,'LEAID Match'!$A$2:$B$526,2,FALSE),"")</f>
        <v>2929520</v>
      </c>
      <c r="K699" s="68">
        <f t="shared" si="21"/>
        <v>8</v>
      </c>
    </row>
    <row r="700" spans="1:11" x14ac:dyDescent="0.2">
      <c r="A700">
        <f t="shared" si="20"/>
        <v>2929520</v>
      </c>
      <c r="B700">
        <v>2017</v>
      </c>
      <c r="C700" t="s">
        <v>739</v>
      </c>
      <c r="D700" t="s">
        <v>740</v>
      </c>
      <c r="E700" t="s">
        <v>743</v>
      </c>
      <c r="F700" s="34">
        <v>129</v>
      </c>
      <c r="G700" s="34" t="s">
        <v>129</v>
      </c>
      <c r="H700" s="36">
        <v>78454</v>
      </c>
      <c r="I700" s="58">
        <v>645241</v>
      </c>
      <c r="J700">
        <f>IFERROR(VLOOKUP(G700,'LEAID Match'!$A$2:$B$526,2,FALSE),"")</f>
        <v>2929520</v>
      </c>
      <c r="K700" s="68">
        <f t="shared" si="21"/>
        <v>8</v>
      </c>
    </row>
    <row r="701" spans="1:11" x14ac:dyDescent="0.2">
      <c r="A701">
        <f t="shared" si="20"/>
        <v>2929520</v>
      </c>
      <c r="B701">
        <v>2018</v>
      </c>
      <c r="C701" t="s">
        <v>739</v>
      </c>
      <c r="D701" t="s">
        <v>740</v>
      </c>
      <c r="E701" t="s">
        <v>743</v>
      </c>
      <c r="F701" s="34">
        <v>129</v>
      </c>
      <c r="G701" s="34" t="s">
        <v>129</v>
      </c>
      <c r="H701" s="36">
        <v>71803</v>
      </c>
      <c r="I701" s="58">
        <v>648393</v>
      </c>
      <c r="J701">
        <f>IFERROR(VLOOKUP(G701,'LEAID Match'!$A$2:$B$526,2,FALSE),"")</f>
        <v>2929520</v>
      </c>
      <c r="K701" s="68">
        <f t="shared" si="21"/>
        <v>8</v>
      </c>
    </row>
    <row r="702" spans="1:11" x14ac:dyDescent="0.2">
      <c r="A702">
        <f t="shared" si="20"/>
        <v>2929520</v>
      </c>
      <c r="B702">
        <v>2019</v>
      </c>
      <c r="C702" t="s">
        <v>739</v>
      </c>
      <c r="D702" t="s">
        <v>740</v>
      </c>
      <c r="E702" t="s">
        <v>743</v>
      </c>
      <c r="F702" s="34">
        <v>129</v>
      </c>
      <c r="G702" s="34" t="s">
        <v>129</v>
      </c>
      <c r="H702" s="36">
        <v>71019</v>
      </c>
      <c r="I702" s="58">
        <v>657499</v>
      </c>
      <c r="J702">
        <f>IFERROR(VLOOKUP(G702,'LEAID Match'!$A$2:$B$526,2,FALSE),"")</f>
        <v>2929520</v>
      </c>
      <c r="K702" s="68">
        <f t="shared" si="21"/>
        <v>8</v>
      </c>
    </row>
    <row r="703" spans="1:11" x14ac:dyDescent="0.2">
      <c r="A703">
        <f t="shared" si="20"/>
        <v>2929520</v>
      </c>
      <c r="B703">
        <v>2020</v>
      </c>
      <c r="C703" t="s">
        <v>739</v>
      </c>
      <c r="D703" t="s">
        <v>740</v>
      </c>
      <c r="E703" t="s">
        <v>743</v>
      </c>
      <c r="F703" s="34">
        <v>129</v>
      </c>
      <c r="G703" s="34" t="s">
        <v>129</v>
      </c>
      <c r="H703" s="36">
        <v>128078</v>
      </c>
      <c r="I703" s="58">
        <v>867207</v>
      </c>
      <c r="J703">
        <f>IFERROR(VLOOKUP(G703,'LEAID Match'!$A$2:$B$526,2,FALSE),"")</f>
        <v>2929520</v>
      </c>
      <c r="K703" s="68">
        <f t="shared" si="21"/>
        <v>8</v>
      </c>
    </row>
    <row r="704" spans="1:11" x14ac:dyDescent="0.2">
      <c r="A704">
        <f t="shared" si="20"/>
        <v>2929520</v>
      </c>
      <c r="B704">
        <v>2021</v>
      </c>
      <c r="C704" t="s">
        <v>739</v>
      </c>
      <c r="D704" t="s">
        <v>740</v>
      </c>
      <c r="E704" t="s">
        <v>743</v>
      </c>
      <c r="F704" s="34">
        <v>129</v>
      </c>
      <c r="G704" s="34" t="s">
        <v>129</v>
      </c>
      <c r="H704" s="36">
        <v>124069</v>
      </c>
      <c r="I704" s="58">
        <v>872909</v>
      </c>
      <c r="J704">
        <f>IFERROR(VLOOKUP(G704,'LEAID Match'!$A$2:$B$526,2,FALSE),"")</f>
        <v>2929520</v>
      </c>
      <c r="K704" s="68">
        <f t="shared" si="21"/>
        <v>8</v>
      </c>
    </row>
    <row r="705" spans="1:11" x14ac:dyDescent="0.2">
      <c r="A705">
        <f t="shared" si="20"/>
        <v>2929520</v>
      </c>
      <c r="B705">
        <v>2022</v>
      </c>
      <c r="C705" t="s">
        <v>739</v>
      </c>
      <c r="D705" t="s">
        <v>740</v>
      </c>
      <c r="E705" t="s">
        <v>743</v>
      </c>
      <c r="F705" s="34">
        <v>129</v>
      </c>
      <c r="G705" s="34" t="s">
        <v>129</v>
      </c>
      <c r="H705" s="36">
        <v>149992</v>
      </c>
      <c r="I705" s="58">
        <v>910262</v>
      </c>
      <c r="J705">
        <f>IFERROR(VLOOKUP(G705,'LEAID Match'!$A$2:$B$526,2,FALSE),"")</f>
        <v>2929520</v>
      </c>
      <c r="K705" s="68">
        <f t="shared" si="21"/>
        <v>8</v>
      </c>
    </row>
    <row r="706" spans="1:11" x14ac:dyDescent="0.2">
      <c r="A706">
        <f t="shared" si="20"/>
        <v>2911310</v>
      </c>
      <c r="B706">
        <v>2015</v>
      </c>
      <c r="C706" t="s">
        <v>739</v>
      </c>
      <c r="D706" t="s">
        <v>740</v>
      </c>
      <c r="E706" t="s">
        <v>743</v>
      </c>
      <c r="F706" s="37">
        <v>130</v>
      </c>
      <c r="G706" s="39" t="s">
        <v>88</v>
      </c>
      <c r="H706" s="40">
        <v>88022</v>
      </c>
      <c r="I706" s="58">
        <v>781894</v>
      </c>
      <c r="J706">
        <f>IFERROR(VLOOKUP(G706,'LEAID Match'!$A$2:$B$526,2,FALSE),"")</f>
        <v>2911310</v>
      </c>
      <c r="K706" s="68">
        <f t="shared" si="21"/>
        <v>8</v>
      </c>
    </row>
    <row r="707" spans="1:11" x14ac:dyDescent="0.2">
      <c r="A707">
        <f t="shared" ref="A707:A770" si="22">J707</f>
        <v>2911310</v>
      </c>
      <c r="B707">
        <v>2016</v>
      </c>
      <c r="C707" t="s">
        <v>739</v>
      </c>
      <c r="D707" t="s">
        <v>740</v>
      </c>
      <c r="E707" t="s">
        <v>743</v>
      </c>
      <c r="F707" s="34">
        <v>130</v>
      </c>
      <c r="G707" s="34" t="s">
        <v>88</v>
      </c>
      <c r="H707" s="36">
        <v>90755</v>
      </c>
      <c r="I707" s="60">
        <v>765398</v>
      </c>
      <c r="J707">
        <f>IFERROR(VLOOKUP(G707,'LEAID Match'!$A$2:$B$526,2,FALSE),"")</f>
        <v>2911310</v>
      </c>
      <c r="K707" s="68">
        <f t="shared" ref="K707:K770" si="23">COUNTIF($J$2:$J$4295,J707)</f>
        <v>8</v>
      </c>
    </row>
    <row r="708" spans="1:11" x14ac:dyDescent="0.2">
      <c r="A708">
        <f t="shared" si="22"/>
        <v>2911310</v>
      </c>
      <c r="B708">
        <v>2017</v>
      </c>
      <c r="C708" t="s">
        <v>739</v>
      </c>
      <c r="D708" t="s">
        <v>740</v>
      </c>
      <c r="E708" t="s">
        <v>743</v>
      </c>
      <c r="F708" s="34">
        <v>130</v>
      </c>
      <c r="G708" s="34" t="s">
        <v>88</v>
      </c>
      <c r="H708" s="36">
        <v>97239</v>
      </c>
      <c r="I708" s="58">
        <v>783773</v>
      </c>
      <c r="J708">
        <f>IFERROR(VLOOKUP(G708,'LEAID Match'!$A$2:$B$526,2,FALSE),"")</f>
        <v>2911310</v>
      </c>
      <c r="K708" s="68">
        <f t="shared" si="23"/>
        <v>8</v>
      </c>
    </row>
    <row r="709" spans="1:11" x14ac:dyDescent="0.2">
      <c r="A709">
        <f t="shared" si="22"/>
        <v>2911310</v>
      </c>
      <c r="B709">
        <v>2018</v>
      </c>
      <c r="C709" t="s">
        <v>739</v>
      </c>
      <c r="D709" t="s">
        <v>740</v>
      </c>
      <c r="E709" t="s">
        <v>743</v>
      </c>
      <c r="F709" s="34">
        <v>130</v>
      </c>
      <c r="G709" s="34" t="s">
        <v>88</v>
      </c>
      <c r="H709" s="36">
        <v>105604</v>
      </c>
      <c r="I709" s="58">
        <v>791817</v>
      </c>
      <c r="J709">
        <f>IFERROR(VLOOKUP(G709,'LEAID Match'!$A$2:$B$526,2,FALSE),"")</f>
        <v>2911310</v>
      </c>
      <c r="K709" s="68">
        <f t="shared" si="23"/>
        <v>8</v>
      </c>
    </row>
    <row r="710" spans="1:11" x14ac:dyDescent="0.2">
      <c r="A710">
        <f t="shared" si="22"/>
        <v>2911310</v>
      </c>
      <c r="B710">
        <v>2019</v>
      </c>
      <c r="C710" t="s">
        <v>739</v>
      </c>
      <c r="D710" t="s">
        <v>740</v>
      </c>
      <c r="E710" t="s">
        <v>743</v>
      </c>
      <c r="F710" s="34">
        <v>130</v>
      </c>
      <c r="G710" s="34" t="s">
        <v>88</v>
      </c>
      <c r="H710" s="36">
        <v>104747</v>
      </c>
      <c r="I710" s="58">
        <v>790303</v>
      </c>
      <c r="J710">
        <f>IFERROR(VLOOKUP(G710,'LEAID Match'!$A$2:$B$526,2,FALSE),"")</f>
        <v>2911310</v>
      </c>
      <c r="K710" s="68">
        <f t="shared" si="23"/>
        <v>8</v>
      </c>
    </row>
    <row r="711" spans="1:11" x14ac:dyDescent="0.2">
      <c r="A711">
        <f t="shared" si="22"/>
        <v>2911310</v>
      </c>
      <c r="B711">
        <v>2020</v>
      </c>
      <c r="C711" t="s">
        <v>739</v>
      </c>
      <c r="D711" t="s">
        <v>740</v>
      </c>
      <c r="E711" t="s">
        <v>743</v>
      </c>
      <c r="F711" s="34">
        <v>130</v>
      </c>
      <c r="G711" s="34" t="s">
        <v>88</v>
      </c>
      <c r="H711" s="36">
        <v>125532</v>
      </c>
      <c r="I711" s="58">
        <v>797285</v>
      </c>
      <c r="J711">
        <f>IFERROR(VLOOKUP(G711,'LEAID Match'!$A$2:$B$526,2,FALSE),"")</f>
        <v>2911310</v>
      </c>
      <c r="K711" s="68">
        <f t="shared" si="23"/>
        <v>8</v>
      </c>
    </row>
    <row r="712" spans="1:11" x14ac:dyDescent="0.2">
      <c r="A712">
        <f t="shared" si="22"/>
        <v>2911310</v>
      </c>
      <c r="B712">
        <v>2021</v>
      </c>
      <c r="C712" t="s">
        <v>739</v>
      </c>
      <c r="D712" t="s">
        <v>740</v>
      </c>
      <c r="E712" t="s">
        <v>743</v>
      </c>
      <c r="F712" s="34">
        <v>130</v>
      </c>
      <c r="G712" s="34" t="s">
        <v>88</v>
      </c>
      <c r="H712" s="36">
        <v>137936</v>
      </c>
      <c r="I712" s="58">
        <v>807142</v>
      </c>
      <c r="J712">
        <f>IFERROR(VLOOKUP(G712,'LEAID Match'!$A$2:$B$526,2,FALSE),"")</f>
        <v>2911310</v>
      </c>
      <c r="K712" s="68">
        <f t="shared" si="23"/>
        <v>8</v>
      </c>
    </row>
    <row r="713" spans="1:11" x14ac:dyDescent="0.2">
      <c r="A713">
        <f t="shared" si="22"/>
        <v>2911310</v>
      </c>
      <c r="B713">
        <v>2022</v>
      </c>
      <c r="C713" t="s">
        <v>739</v>
      </c>
      <c r="D713" t="s">
        <v>740</v>
      </c>
      <c r="E713" t="s">
        <v>743</v>
      </c>
      <c r="F713" s="34">
        <v>130</v>
      </c>
      <c r="G713" s="34" t="s">
        <v>88</v>
      </c>
      <c r="H713" s="36">
        <v>138904</v>
      </c>
      <c r="I713" s="58">
        <v>806106</v>
      </c>
      <c r="J713">
        <f>IFERROR(VLOOKUP(G713,'LEAID Match'!$A$2:$B$526,2,FALSE),"")</f>
        <v>2911310</v>
      </c>
      <c r="K713" s="68">
        <f t="shared" si="23"/>
        <v>8</v>
      </c>
    </row>
    <row r="714" spans="1:11" x14ac:dyDescent="0.2">
      <c r="A714">
        <f t="shared" si="22"/>
        <v>2922920</v>
      </c>
      <c r="B714">
        <v>2015</v>
      </c>
      <c r="C714" t="s">
        <v>739</v>
      </c>
      <c r="D714" t="s">
        <v>740</v>
      </c>
      <c r="E714" t="s">
        <v>743</v>
      </c>
      <c r="F714" s="37">
        <v>131</v>
      </c>
      <c r="G714" s="39" t="s">
        <v>89</v>
      </c>
      <c r="H714" s="40">
        <v>18007</v>
      </c>
      <c r="I714" s="58">
        <v>155079</v>
      </c>
      <c r="J714">
        <f>IFERROR(VLOOKUP(G714,'LEAID Match'!$A$2:$B$526,2,FALSE),"")</f>
        <v>2922920</v>
      </c>
      <c r="K714" s="68">
        <f t="shared" si="23"/>
        <v>8</v>
      </c>
    </row>
    <row r="715" spans="1:11" x14ac:dyDescent="0.2">
      <c r="A715">
        <f t="shared" si="22"/>
        <v>2922920</v>
      </c>
      <c r="B715">
        <v>2016</v>
      </c>
      <c r="C715" t="s">
        <v>739</v>
      </c>
      <c r="D715" t="s">
        <v>740</v>
      </c>
      <c r="E715" t="s">
        <v>743</v>
      </c>
      <c r="F715" s="34">
        <v>131</v>
      </c>
      <c r="G715" s="34" t="s">
        <v>89</v>
      </c>
      <c r="H715" s="36">
        <v>18370</v>
      </c>
      <c r="I715" s="60">
        <v>146085</v>
      </c>
      <c r="J715">
        <f>IFERROR(VLOOKUP(G715,'LEAID Match'!$A$2:$B$526,2,FALSE),"")</f>
        <v>2922920</v>
      </c>
      <c r="K715" s="68">
        <f t="shared" si="23"/>
        <v>8</v>
      </c>
    </row>
    <row r="716" spans="1:11" x14ac:dyDescent="0.2">
      <c r="A716">
        <f t="shared" si="22"/>
        <v>2922920</v>
      </c>
      <c r="B716">
        <v>2017</v>
      </c>
      <c r="C716" t="s">
        <v>739</v>
      </c>
      <c r="D716" t="s">
        <v>740</v>
      </c>
      <c r="E716" t="s">
        <v>743</v>
      </c>
      <c r="F716" s="34">
        <v>131</v>
      </c>
      <c r="G716" s="34" t="s">
        <v>89</v>
      </c>
      <c r="H716" s="36">
        <v>18213</v>
      </c>
      <c r="I716" s="58">
        <v>153490</v>
      </c>
      <c r="J716">
        <f>IFERROR(VLOOKUP(G716,'LEAID Match'!$A$2:$B$526,2,FALSE),"")</f>
        <v>2922920</v>
      </c>
      <c r="K716" s="68">
        <f t="shared" si="23"/>
        <v>8</v>
      </c>
    </row>
    <row r="717" spans="1:11" x14ac:dyDescent="0.2">
      <c r="A717">
        <f t="shared" si="22"/>
        <v>2922920</v>
      </c>
      <c r="B717">
        <v>2018</v>
      </c>
      <c r="C717" t="s">
        <v>739</v>
      </c>
      <c r="D717" t="s">
        <v>740</v>
      </c>
      <c r="E717" t="s">
        <v>743</v>
      </c>
      <c r="F717" s="34">
        <v>131</v>
      </c>
      <c r="G717" s="34" t="s">
        <v>89</v>
      </c>
      <c r="H717" s="36">
        <v>24353</v>
      </c>
      <c r="I717" s="58">
        <v>148551</v>
      </c>
      <c r="J717">
        <f>IFERROR(VLOOKUP(G717,'LEAID Match'!$A$2:$B$526,2,FALSE),"")</f>
        <v>2922920</v>
      </c>
      <c r="K717" s="68">
        <f t="shared" si="23"/>
        <v>8</v>
      </c>
    </row>
    <row r="718" spans="1:11" x14ac:dyDescent="0.2">
      <c r="A718">
        <f t="shared" si="22"/>
        <v>2922920</v>
      </c>
      <c r="B718">
        <v>2019</v>
      </c>
      <c r="C718" t="s">
        <v>739</v>
      </c>
      <c r="D718" t="s">
        <v>740</v>
      </c>
      <c r="E718" t="s">
        <v>743</v>
      </c>
      <c r="F718" s="34">
        <v>131</v>
      </c>
      <c r="G718" s="34" t="s">
        <v>89</v>
      </c>
      <c r="H718" s="36">
        <v>27172</v>
      </c>
      <c r="I718" s="58">
        <v>146495</v>
      </c>
      <c r="J718">
        <f>IFERROR(VLOOKUP(G718,'LEAID Match'!$A$2:$B$526,2,FALSE),"")</f>
        <v>2922920</v>
      </c>
      <c r="K718" s="68">
        <f t="shared" si="23"/>
        <v>8</v>
      </c>
    </row>
    <row r="719" spans="1:11" x14ac:dyDescent="0.2">
      <c r="A719">
        <f t="shared" si="22"/>
        <v>2922920</v>
      </c>
      <c r="B719">
        <v>2020</v>
      </c>
      <c r="C719" t="s">
        <v>739</v>
      </c>
      <c r="D719" t="s">
        <v>740</v>
      </c>
      <c r="E719" t="s">
        <v>743</v>
      </c>
      <c r="F719" s="34">
        <v>131</v>
      </c>
      <c r="G719" s="34" t="s">
        <v>89</v>
      </c>
      <c r="H719" s="36">
        <v>29761</v>
      </c>
      <c r="I719" s="58">
        <v>159499</v>
      </c>
      <c r="J719">
        <f>IFERROR(VLOOKUP(G719,'LEAID Match'!$A$2:$B$526,2,FALSE),"")</f>
        <v>2922920</v>
      </c>
      <c r="K719" s="68">
        <f t="shared" si="23"/>
        <v>8</v>
      </c>
    </row>
    <row r="720" spans="1:11" x14ac:dyDescent="0.2">
      <c r="A720">
        <f t="shared" si="22"/>
        <v>2922920</v>
      </c>
      <c r="B720">
        <v>2021</v>
      </c>
      <c r="C720" t="s">
        <v>739</v>
      </c>
      <c r="D720" t="s">
        <v>740</v>
      </c>
      <c r="E720" t="s">
        <v>743</v>
      </c>
      <c r="F720" s="34">
        <v>131</v>
      </c>
      <c r="G720" s="34" t="s">
        <v>89</v>
      </c>
      <c r="H720" s="36">
        <v>29322</v>
      </c>
      <c r="I720" s="58">
        <v>173580</v>
      </c>
      <c r="J720">
        <f>IFERROR(VLOOKUP(G720,'LEAID Match'!$A$2:$B$526,2,FALSE),"")</f>
        <v>2922920</v>
      </c>
      <c r="K720" s="68">
        <f t="shared" si="23"/>
        <v>8</v>
      </c>
    </row>
    <row r="721" spans="1:11" x14ac:dyDescent="0.2">
      <c r="A721">
        <f t="shared" si="22"/>
        <v>2922920</v>
      </c>
      <c r="B721">
        <v>2022</v>
      </c>
      <c r="C721" t="s">
        <v>739</v>
      </c>
      <c r="D721" t="s">
        <v>740</v>
      </c>
      <c r="E721" t="s">
        <v>743</v>
      </c>
      <c r="F721" s="34">
        <v>131</v>
      </c>
      <c r="G721" s="34" t="s">
        <v>89</v>
      </c>
      <c r="H721" s="36">
        <v>28490</v>
      </c>
      <c r="I721" s="58">
        <v>185210</v>
      </c>
      <c r="J721">
        <f>IFERROR(VLOOKUP(G721,'LEAID Match'!$A$2:$B$526,2,FALSE),"")</f>
        <v>2922920</v>
      </c>
      <c r="K721" s="68">
        <f t="shared" si="23"/>
        <v>8</v>
      </c>
    </row>
    <row r="722" spans="1:11" x14ac:dyDescent="0.2">
      <c r="A722">
        <f t="shared" si="22"/>
        <v>2906030</v>
      </c>
      <c r="B722">
        <v>2015</v>
      </c>
      <c r="C722" t="s">
        <v>739</v>
      </c>
      <c r="D722" t="s">
        <v>740</v>
      </c>
      <c r="E722" t="s">
        <v>743</v>
      </c>
      <c r="F722" s="37">
        <v>132</v>
      </c>
      <c r="G722" s="39" t="s">
        <v>90</v>
      </c>
      <c r="H722" s="40">
        <v>33111</v>
      </c>
      <c r="I722" s="58">
        <v>200401</v>
      </c>
      <c r="J722">
        <f>IFERROR(VLOOKUP(G722,'LEAID Match'!$A$2:$B$526,2,FALSE),"")</f>
        <v>2906030</v>
      </c>
      <c r="K722" s="68">
        <f t="shared" si="23"/>
        <v>8</v>
      </c>
    </row>
    <row r="723" spans="1:11" x14ac:dyDescent="0.2">
      <c r="A723">
        <f t="shared" si="22"/>
        <v>2906030</v>
      </c>
      <c r="B723">
        <v>2016</v>
      </c>
      <c r="C723" t="s">
        <v>739</v>
      </c>
      <c r="D723" t="s">
        <v>740</v>
      </c>
      <c r="E723" t="s">
        <v>743</v>
      </c>
      <c r="F723" s="34">
        <v>132</v>
      </c>
      <c r="G723" s="34" t="s">
        <v>90</v>
      </c>
      <c r="H723" s="36">
        <v>34233</v>
      </c>
      <c r="I723" s="60">
        <v>204245</v>
      </c>
      <c r="J723">
        <f>IFERROR(VLOOKUP(G723,'LEAID Match'!$A$2:$B$526,2,FALSE),"")</f>
        <v>2906030</v>
      </c>
      <c r="K723" s="68">
        <f t="shared" si="23"/>
        <v>8</v>
      </c>
    </row>
    <row r="724" spans="1:11" x14ac:dyDescent="0.2">
      <c r="A724">
        <f t="shared" si="22"/>
        <v>2906030</v>
      </c>
      <c r="B724">
        <v>2017</v>
      </c>
      <c r="C724" t="s">
        <v>739</v>
      </c>
      <c r="D724" t="s">
        <v>740</v>
      </c>
      <c r="E724" t="s">
        <v>743</v>
      </c>
      <c r="F724" s="34">
        <v>132</v>
      </c>
      <c r="G724" s="34" t="s">
        <v>90</v>
      </c>
      <c r="H724" s="36">
        <v>34924</v>
      </c>
      <c r="I724" s="58">
        <v>215092</v>
      </c>
      <c r="J724">
        <f>IFERROR(VLOOKUP(G724,'LEAID Match'!$A$2:$B$526,2,FALSE),"")</f>
        <v>2906030</v>
      </c>
      <c r="K724" s="68">
        <f t="shared" si="23"/>
        <v>8</v>
      </c>
    </row>
    <row r="725" spans="1:11" x14ac:dyDescent="0.2">
      <c r="A725">
        <f t="shared" si="22"/>
        <v>2906030</v>
      </c>
      <c r="B725">
        <v>2018</v>
      </c>
      <c r="C725" t="s">
        <v>739</v>
      </c>
      <c r="D725" t="s">
        <v>740</v>
      </c>
      <c r="E725" t="s">
        <v>743</v>
      </c>
      <c r="F725" s="34">
        <v>132</v>
      </c>
      <c r="G725" s="34" t="s">
        <v>90</v>
      </c>
      <c r="H725" s="36">
        <v>35497</v>
      </c>
      <c r="I725" s="58">
        <v>220192</v>
      </c>
      <c r="J725">
        <f>IFERROR(VLOOKUP(G725,'LEAID Match'!$A$2:$B$526,2,FALSE),"")</f>
        <v>2906030</v>
      </c>
      <c r="K725" s="68">
        <f t="shared" si="23"/>
        <v>8</v>
      </c>
    </row>
    <row r="726" spans="1:11" x14ac:dyDescent="0.2">
      <c r="A726">
        <f t="shared" si="22"/>
        <v>2906030</v>
      </c>
      <c r="B726">
        <v>2019</v>
      </c>
      <c r="C726" t="s">
        <v>739</v>
      </c>
      <c r="D726" t="s">
        <v>740</v>
      </c>
      <c r="E726" t="s">
        <v>743</v>
      </c>
      <c r="F726" s="34">
        <v>132</v>
      </c>
      <c r="G726" s="34" t="s">
        <v>90</v>
      </c>
      <c r="H726" s="36">
        <v>42721</v>
      </c>
      <c r="I726" s="58">
        <v>212959</v>
      </c>
      <c r="J726">
        <f>IFERROR(VLOOKUP(G726,'LEAID Match'!$A$2:$B$526,2,FALSE),"")</f>
        <v>2906030</v>
      </c>
      <c r="K726" s="68">
        <f t="shared" si="23"/>
        <v>8</v>
      </c>
    </row>
    <row r="727" spans="1:11" x14ac:dyDescent="0.2">
      <c r="A727">
        <f t="shared" si="22"/>
        <v>2906030</v>
      </c>
      <c r="B727">
        <v>2020</v>
      </c>
      <c r="C727" t="s">
        <v>739</v>
      </c>
      <c r="D727" t="s">
        <v>740</v>
      </c>
      <c r="E727" t="s">
        <v>743</v>
      </c>
      <c r="F727" s="34">
        <v>132</v>
      </c>
      <c r="G727" s="34" t="s">
        <v>90</v>
      </c>
      <c r="H727" s="36">
        <v>45701</v>
      </c>
      <c r="I727" s="58">
        <v>204066</v>
      </c>
      <c r="J727">
        <f>IFERROR(VLOOKUP(G727,'LEAID Match'!$A$2:$B$526,2,FALSE),"")</f>
        <v>2906030</v>
      </c>
      <c r="K727" s="68">
        <f t="shared" si="23"/>
        <v>8</v>
      </c>
    </row>
    <row r="728" spans="1:11" x14ac:dyDescent="0.2">
      <c r="A728">
        <f t="shared" si="22"/>
        <v>2906030</v>
      </c>
      <c r="B728">
        <v>2021</v>
      </c>
      <c r="C728" t="s">
        <v>739</v>
      </c>
      <c r="D728" t="s">
        <v>740</v>
      </c>
      <c r="E728" t="s">
        <v>743</v>
      </c>
      <c r="F728" s="34">
        <v>132</v>
      </c>
      <c r="G728" s="34" t="s">
        <v>90</v>
      </c>
      <c r="H728" s="36">
        <v>44273</v>
      </c>
      <c r="I728" s="58">
        <v>208984</v>
      </c>
      <c r="J728">
        <f>IFERROR(VLOOKUP(G728,'LEAID Match'!$A$2:$B$526,2,FALSE),"")</f>
        <v>2906030</v>
      </c>
      <c r="K728" s="68">
        <f t="shared" si="23"/>
        <v>8</v>
      </c>
    </row>
    <row r="729" spans="1:11" x14ac:dyDescent="0.2">
      <c r="A729">
        <f t="shared" si="22"/>
        <v>2906030</v>
      </c>
      <c r="B729">
        <v>2022</v>
      </c>
      <c r="C729" t="s">
        <v>739</v>
      </c>
      <c r="D729" t="s">
        <v>740</v>
      </c>
      <c r="E729" t="s">
        <v>743</v>
      </c>
      <c r="F729" s="34">
        <v>132</v>
      </c>
      <c r="G729" s="34" t="s">
        <v>90</v>
      </c>
      <c r="H729" s="36">
        <v>48633</v>
      </c>
      <c r="I729" s="58">
        <v>219258</v>
      </c>
      <c r="J729">
        <f>IFERROR(VLOOKUP(G729,'LEAID Match'!$A$2:$B$526,2,FALSE),"")</f>
        <v>2906030</v>
      </c>
      <c r="K729" s="68">
        <f t="shared" si="23"/>
        <v>8</v>
      </c>
    </row>
    <row r="730" spans="1:11" x14ac:dyDescent="0.2">
      <c r="A730">
        <f t="shared" si="22"/>
        <v>2916530</v>
      </c>
      <c r="B730">
        <v>2015</v>
      </c>
      <c r="C730" t="s">
        <v>739</v>
      </c>
      <c r="D730" t="s">
        <v>740</v>
      </c>
      <c r="E730" t="s">
        <v>743</v>
      </c>
      <c r="F730" s="37">
        <v>133</v>
      </c>
      <c r="G730" s="39" t="s">
        <v>91</v>
      </c>
      <c r="H730" s="40">
        <v>17872</v>
      </c>
      <c r="I730" s="58">
        <v>134936</v>
      </c>
      <c r="J730">
        <f>IFERROR(VLOOKUP(G730,'LEAID Match'!$A$2:$B$526,2,FALSE),"")</f>
        <v>2916530</v>
      </c>
      <c r="K730" s="68">
        <f t="shared" si="23"/>
        <v>8</v>
      </c>
    </row>
    <row r="731" spans="1:11" x14ac:dyDescent="0.2">
      <c r="A731">
        <f t="shared" si="22"/>
        <v>2916530</v>
      </c>
      <c r="B731">
        <v>2016</v>
      </c>
      <c r="C731" t="s">
        <v>739</v>
      </c>
      <c r="D731" t="s">
        <v>740</v>
      </c>
      <c r="E731" t="s">
        <v>743</v>
      </c>
      <c r="F731" s="34">
        <v>133</v>
      </c>
      <c r="G731" s="34" t="s">
        <v>91</v>
      </c>
      <c r="H731" s="36">
        <v>18659</v>
      </c>
      <c r="I731" s="60">
        <v>128370</v>
      </c>
      <c r="J731">
        <f>IFERROR(VLOOKUP(G731,'LEAID Match'!$A$2:$B$526,2,FALSE),"")</f>
        <v>2916530</v>
      </c>
      <c r="K731" s="68">
        <f t="shared" si="23"/>
        <v>8</v>
      </c>
    </row>
    <row r="732" spans="1:11" x14ac:dyDescent="0.2">
      <c r="A732">
        <f t="shared" si="22"/>
        <v>2916530</v>
      </c>
      <c r="B732">
        <v>2017</v>
      </c>
      <c r="C732" t="s">
        <v>739</v>
      </c>
      <c r="D732" t="s">
        <v>740</v>
      </c>
      <c r="E732" t="s">
        <v>743</v>
      </c>
      <c r="F732" s="34">
        <v>133</v>
      </c>
      <c r="G732" s="34" t="s">
        <v>91</v>
      </c>
      <c r="H732" s="36">
        <v>22173</v>
      </c>
      <c r="I732" s="58">
        <v>130216</v>
      </c>
      <c r="J732">
        <f>IFERROR(VLOOKUP(G732,'LEAID Match'!$A$2:$B$526,2,FALSE),"")</f>
        <v>2916530</v>
      </c>
      <c r="K732" s="68">
        <f t="shared" si="23"/>
        <v>8</v>
      </c>
    </row>
    <row r="733" spans="1:11" x14ac:dyDescent="0.2">
      <c r="A733">
        <f t="shared" si="22"/>
        <v>2916530</v>
      </c>
      <c r="B733">
        <v>2018</v>
      </c>
      <c r="C733" t="s">
        <v>739</v>
      </c>
      <c r="D733" t="s">
        <v>740</v>
      </c>
      <c r="E733" t="s">
        <v>743</v>
      </c>
      <c r="F733" s="34">
        <v>133</v>
      </c>
      <c r="G733" s="34" t="s">
        <v>91</v>
      </c>
      <c r="H733" s="36">
        <v>23140</v>
      </c>
      <c r="I733" s="58">
        <v>146642</v>
      </c>
      <c r="J733">
        <f>IFERROR(VLOOKUP(G733,'LEAID Match'!$A$2:$B$526,2,FALSE),"")</f>
        <v>2916530</v>
      </c>
      <c r="K733" s="68">
        <f t="shared" si="23"/>
        <v>8</v>
      </c>
    </row>
    <row r="734" spans="1:11" x14ac:dyDescent="0.2">
      <c r="A734">
        <f t="shared" si="22"/>
        <v>2916530</v>
      </c>
      <c r="B734">
        <v>2019</v>
      </c>
      <c r="C734" t="s">
        <v>739</v>
      </c>
      <c r="D734" t="s">
        <v>740</v>
      </c>
      <c r="E734" t="s">
        <v>743</v>
      </c>
      <c r="F734" s="34">
        <v>133</v>
      </c>
      <c r="G734" s="34" t="s">
        <v>91</v>
      </c>
      <c r="H734" s="36">
        <v>23704</v>
      </c>
      <c r="I734" s="58">
        <v>154203</v>
      </c>
      <c r="J734">
        <f>IFERROR(VLOOKUP(G734,'LEAID Match'!$A$2:$B$526,2,FALSE),"")</f>
        <v>2916530</v>
      </c>
      <c r="K734" s="68">
        <f t="shared" si="23"/>
        <v>8</v>
      </c>
    </row>
    <row r="735" spans="1:11" x14ac:dyDescent="0.2">
      <c r="A735">
        <f t="shared" si="22"/>
        <v>2916530</v>
      </c>
      <c r="B735">
        <v>2020</v>
      </c>
      <c r="C735" t="s">
        <v>739</v>
      </c>
      <c r="D735" t="s">
        <v>740</v>
      </c>
      <c r="E735" t="s">
        <v>743</v>
      </c>
      <c r="F735" s="34">
        <v>133</v>
      </c>
      <c r="G735" s="34" t="s">
        <v>91</v>
      </c>
      <c r="H735" s="36">
        <v>22937</v>
      </c>
      <c r="I735" s="58">
        <v>151689</v>
      </c>
      <c r="J735">
        <f>IFERROR(VLOOKUP(G735,'LEAID Match'!$A$2:$B$526,2,FALSE),"")</f>
        <v>2916530</v>
      </c>
      <c r="K735" s="68">
        <f t="shared" si="23"/>
        <v>8</v>
      </c>
    </row>
    <row r="736" spans="1:11" x14ac:dyDescent="0.2">
      <c r="A736">
        <f t="shared" si="22"/>
        <v>2916530</v>
      </c>
      <c r="B736">
        <v>2021</v>
      </c>
      <c r="C736" t="s">
        <v>739</v>
      </c>
      <c r="D736" t="s">
        <v>740</v>
      </c>
      <c r="E736" t="s">
        <v>743</v>
      </c>
      <c r="F736" s="34">
        <v>133</v>
      </c>
      <c r="G736" s="34" t="s">
        <v>91</v>
      </c>
      <c r="H736" s="36">
        <v>21885</v>
      </c>
      <c r="I736" s="58">
        <v>166968</v>
      </c>
      <c r="J736">
        <f>IFERROR(VLOOKUP(G736,'LEAID Match'!$A$2:$B$526,2,FALSE),"")</f>
        <v>2916530</v>
      </c>
      <c r="K736" s="68">
        <f t="shared" si="23"/>
        <v>8</v>
      </c>
    </row>
    <row r="737" spans="1:11" x14ac:dyDescent="0.2">
      <c r="A737">
        <f t="shared" si="22"/>
        <v>2916530</v>
      </c>
      <c r="B737">
        <v>2022</v>
      </c>
      <c r="C737" t="s">
        <v>739</v>
      </c>
      <c r="D737" t="s">
        <v>740</v>
      </c>
      <c r="E737" t="s">
        <v>743</v>
      </c>
      <c r="F737" s="34">
        <v>133</v>
      </c>
      <c r="G737" s="34" t="s">
        <v>91</v>
      </c>
      <c r="H737" s="36">
        <v>30686</v>
      </c>
      <c r="I737" s="58">
        <v>160718</v>
      </c>
      <c r="J737">
        <f>IFERROR(VLOOKUP(G737,'LEAID Match'!$A$2:$B$526,2,FALSE),"")</f>
        <v>2916530</v>
      </c>
      <c r="K737" s="68">
        <f t="shared" si="23"/>
        <v>8</v>
      </c>
    </row>
    <row r="738" spans="1:11" x14ac:dyDescent="0.2">
      <c r="A738">
        <f t="shared" si="22"/>
        <v>2927520</v>
      </c>
      <c r="B738">
        <v>2015</v>
      </c>
      <c r="C738" t="s">
        <v>739</v>
      </c>
      <c r="D738" t="s">
        <v>740</v>
      </c>
      <c r="E738" t="s">
        <v>743</v>
      </c>
      <c r="F738" s="37">
        <v>134</v>
      </c>
      <c r="G738" s="39" t="s">
        <v>92</v>
      </c>
      <c r="H738" s="40">
        <v>53760</v>
      </c>
      <c r="I738" s="58">
        <v>343914</v>
      </c>
      <c r="J738">
        <f>IFERROR(VLOOKUP(G738,'LEAID Match'!$A$2:$B$526,2,FALSE),"")</f>
        <v>2927520</v>
      </c>
      <c r="K738" s="68">
        <f t="shared" si="23"/>
        <v>8</v>
      </c>
    </row>
    <row r="739" spans="1:11" x14ac:dyDescent="0.2">
      <c r="A739">
        <f t="shared" si="22"/>
        <v>2927520</v>
      </c>
      <c r="B739">
        <v>2016</v>
      </c>
      <c r="C739" t="s">
        <v>739</v>
      </c>
      <c r="D739" t="s">
        <v>740</v>
      </c>
      <c r="E739" t="s">
        <v>743</v>
      </c>
      <c r="F739" s="34">
        <v>134</v>
      </c>
      <c r="G739" s="34" t="s">
        <v>92</v>
      </c>
      <c r="H739" s="36">
        <v>56147</v>
      </c>
      <c r="I739" s="60">
        <v>366290</v>
      </c>
      <c r="J739">
        <f>IFERROR(VLOOKUP(G739,'LEAID Match'!$A$2:$B$526,2,FALSE),"")</f>
        <v>2927520</v>
      </c>
      <c r="K739" s="68">
        <f t="shared" si="23"/>
        <v>8</v>
      </c>
    </row>
    <row r="740" spans="1:11" x14ac:dyDescent="0.2">
      <c r="A740">
        <f t="shared" si="22"/>
        <v>2927520</v>
      </c>
      <c r="B740">
        <v>2017</v>
      </c>
      <c r="C740" t="s">
        <v>739</v>
      </c>
      <c r="D740" t="s">
        <v>740</v>
      </c>
      <c r="E740" t="s">
        <v>743</v>
      </c>
      <c r="F740" s="34">
        <v>134</v>
      </c>
      <c r="G740" s="34" t="s">
        <v>92</v>
      </c>
      <c r="H740" s="36">
        <v>61411</v>
      </c>
      <c r="I740" s="58">
        <v>350624</v>
      </c>
      <c r="J740">
        <f>IFERROR(VLOOKUP(G740,'LEAID Match'!$A$2:$B$526,2,FALSE),"")</f>
        <v>2927520</v>
      </c>
      <c r="K740" s="68">
        <f t="shared" si="23"/>
        <v>8</v>
      </c>
    </row>
    <row r="741" spans="1:11" x14ac:dyDescent="0.2">
      <c r="A741">
        <f t="shared" si="22"/>
        <v>2927520</v>
      </c>
      <c r="B741">
        <v>2018</v>
      </c>
      <c r="C741" t="s">
        <v>739</v>
      </c>
      <c r="D741" t="s">
        <v>740</v>
      </c>
      <c r="E741" t="s">
        <v>743</v>
      </c>
      <c r="F741" s="34">
        <v>134</v>
      </c>
      <c r="G741" s="34" t="s">
        <v>92</v>
      </c>
      <c r="H741" s="36">
        <v>59699</v>
      </c>
      <c r="I741" s="58">
        <v>357222</v>
      </c>
      <c r="J741">
        <f>IFERROR(VLOOKUP(G741,'LEAID Match'!$A$2:$B$526,2,FALSE),"")</f>
        <v>2927520</v>
      </c>
      <c r="K741" s="68">
        <f t="shared" si="23"/>
        <v>8</v>
      </c>
    </row>
    <row r="742" spans="1:11" x14ac:dyDescent="0.2">
      <c r="A742">
        <f t="shared" si="22"/>
        <v>2927520</v>
      </c>
      <c r="B742">
        <v>2019</v>
      </c>
      <c r="C742" t="s">
        <v>739</v>
      </c>
      <c r="D742" t="s">
        <v>740</v>
      </c>
      <c r="E742" t="s">
        <v>743</v>
      </c>
      <c r="F742" s="34">
        <v>134</v>
      </c>
      <c r="G742" s="34" t="s">
        <v>92</v>
      </c>
      <c r="H742" s="36">
        <v>59992</v>
      </c>
      <c r="I742" s="58">
        <v>380880</v>
      </c>
      <c r="J742">
        <f>IFERROR(VLOOKUP(G742,'LEAID Match'!$A$2:$B$526,2,FALSE),"")</f>
        <v>2927520</v>
      </c>
      <c r="K742" s="68">
        <f t="shared" si="23"/>
        <v>8</v>
      </c>
    </row>
    <row r="743" spans="1:11" x14ac:dyDescent="0.2">
      <c r="A743">
        <f t="shared" si="22"/>
        <v>2927520</v>
      </c>
      <c r="B743">
        <v>2020</v>
      </c>
      <c r="C743" t="s">
        <v>739</v>
      </c>
      <c r="D743" t="s">
        <v>740</v>
      </c>
      <c r="E743" t="s">
        <v>743</v>
      </c>
      <c r="F743" s="34">
        <v>134</v>
      </c>
      <c r="G743" s="34" t="s">
        <v>92</v>
      </c>
      <c r="H743" s="36">
        <v>63686</v>
      </c>
      <c r="I743" s="58">
        <v>404200</v>
      </c>
      <c r="J743">
        <f>IFERROR(VLOOKUP(G743,'LEAID Match'!$A$2:$B$526,2,FALSE),"")</f>
        <v>2927520</v>
      </c>
      <c r="K743" s="68">
        <f t="shared" si="23"/>
        <v>8</v>
      </c>
    </row>
    <row r="744" spans="1:11" x14ac:dyDescent="0.2">
      <c r="A744">
        <f t="shared" si="22"/>
        <v>2927520</v>
      </c>
      <c r="B744">
        <v>2021</v>
      </c>
      <c r="C744" t="s">
        <v>739</v>
      </c>
      <c r="D744" t="s">
        <v>740</v>
      </c>
      <c r="E744" t="s">
        <v>743</v>
      </c>
      <c r="F744" s="34">
        <v>134</v>
      </c>
      <c r="G744" s="34" t="s">
        <v>92</v>
      </c>
      <c r="H744" s="36">
        <v>61781</v>
      </c>
      <c r="I744" s="58">
        <v>425274</v>
      </c>
      <c r="J744">
        <f>IFERROR(VLOOKUP(G744,'LEAID Match'!$A$2:$B$526,2,FALSE),"")</f>
        <v>2927520</v>
      </c>
      <c r="K744" s="68">
        <f t="shared" si="23"/>
        <v>8</v>
      </c>
    </row>
    <row r="745" spans="1:11" x14ac:dyDescent="0.2">
      <c r="A745">
        <f t="shared" si="22"/>
        <v>2927520</v>
      </c>
      <c r="B745">
        <v>2022</v>
      </c>
      <c r="C745" t="s">
        <v>739</v>
      </c>
      <c r="D745" t="s">
        <v>740</v>
      </c>
      <c r="E745" t="s">
        <v>743</v>
      </c>
      <c r="F745" s="34">
        <v>134</v>
      </c>
      <c r="G745" s="34" t="s">
        <v>92</v>
      </c>
      <c r="H745" s="36">
        <v>75504</v>
      </c>
      <c r="I745" s="58">
        <v>430772</v>
      </c>
      <c r="J745">
        <f>IFERROR(VLOOKUP(G745,'LEAID Match'!$A$2:$B$526,2,FALSE),"")</f>
        <v>2927520</v>
      </c>
      <c r="K745" s="68">
        <f t="shared" si="23"/>
        <v>8</v>
      </c>
    </row>
    <row r="746" spans="1:11" x14ac:dyDescent="0.2">
      <c r="A746">
        <f t="shared" si="22"/>
        <v>2908430</v>
      </c>
      <c r="B746">
        <v>2015</v>
      </c>
      <c r="C746" t="s">
        <v>739</v>
      </c>
      <c r="D746" t="s">
        <v>740</v>
      </c>
      <c r="E746" t="s">
        <v>743</v>
      </c>
      <c r="F746" s="37">
        <v>137</v>
      </c>
      <c r="G746" s="39" t="s">
        <v>93</v>
      </c>
      <c r="H746" s="40">
        <v>23304</v>
      </c>
      <c r="I746" s="58">
        <v>144912</v>
      </c>
      <c r="J746">
        <f>IFERROR(VLOOKUP(G746,'LEAID Match'!$A$2:$B$526,2,FALSE),"")</f>
        <v>2908430</v>
      </c>
      <c r="K746" s="68">
        <f t="shared" si="23"/>
        <v>8</v>
      </c>
    </row>
    <row r="747" spans="1:11" x14ac:dyDescent="0.2">
      <c r="A747">
        <f t="shared" si="22"/>
        <v>2908430</v>
      </c>
      <c r="B747">
        <v>2016</v>
      </c>
      <c r="C747" t="s">
        <v>739</v>
      </c>
      <c r="D747" t="s">
        <v>740</v>
      </c>
      <c r="E747" t="s">
        <v>743</v>
      </c>
      <c r="F747" s="34">
        <v>137</v>
      </c>
      <c r="G747" s="34" t="s">
        <v>93</v>
      </c>
      <c r="H747" s="36">
        <v>26220</v>
      </c>
      <c r="I747" s="60">
        <v>147534</v>
      </c>
      <c r="J747">
        <f>IFERROR(VLOOKUP(G747,'LEAID Match'!$A$2:$B$526,2,FALSE),"")</f>
        <v>2908430</v>
      </c>
      <c r="K747" s="68">
        <f t="shared" si="23"/>
        <v>8</v>
      </c>
    </row>
    <row r="748" spans="1:11" x14ac:dyDescent="0.2">
      <c r="A748">
        <f t="shared" si="22"/>
        <v>2908430</v>
      </c>
      <c r="B748">
        <v>2017</v>
      </c>
      <c r="C748" t="s">
        <v>739</v>
      </c>
      <c r="D748" t="s">
        <v>740</v>
      </c>
      <c r="E748" t="s">
        <v>743</v>
      </c>
      <c r="F748" s="34">
        <v>137</v>
      </c>
      <c r="G748" s="34" t="s">
        <v>93</v>
      </c>
      <c r="H748" s="36">
        <v>28739</v>
      </c>
      <c r="I748" s="58">
        <v>154075</v>
      </c>
      <c r="J748">
        <f>IFERROR(VLOOKUP(G748,'LEAID Match'!$A$2:$B$526,2,FALSE),"")</f>
        <v>2908430</v>
      </c>
      <c r="K748" s="68">
        <f t="shared" si="23"/>
        <v>8</v>
      </c>
    </row>
    <row r="749" spans="1:11" x14ac:dyDescent="0.2">
      <c r="A749">
        <f t="shared" si="22"/>
        <v>2908430</v>
      </c>
      <c r="B749">
        <v>2018</v>
      </c>
      <c r="C749" t="s">
        <v>739</v>
      </c>
      <c r="D749" t="s">
        <v>740</v>
      </c>
      <c r="E749" t="s">
        <v>743</v>
      </c>
      <c r="F749" s="34">
        <v>137</v>
      </c>
      <c r="G749" s="34" t="s">
        <v>93</v>
      </c>
      <c r="H749" s="36">
        <v>29067</v>
      </c>
      <c r="I749" s="58">
        <v>160595</v>
      </c>
      <c r="J749">
        <f>IFERROR(VLOOKUP(G749,'LEAID Match'!$A$2:$B$526,2,FALSE),"")</f>
        <v>2908430</v>
      </c>
      <c r="K749" s="68">
        <f t="shared" si="23"/>
        <v>8</v>
      </c>
    </row>
    <row r="750" spans="1:11" x14ac:dyDescent="0.2">
      <c r="A750">
        <f t="shared" si="22"/>
        <v>2908430</v>
      </c>
      <c r="B750">
        <v>2019</v>
      </c>
      <c r="C750" t="s">
        <v>739</v>
      </c>
      <c r="D750" t="s">
        <v>740</v>
      </c>
      <c r="E750" t="s">
        <v>743</v>
      </c>
      <c r="F750" s="34">
        <v>137</v>
      </c>
      <c r="G750" s="34" t="s">
        <v>93</v>
      </c>
      <c r="H750" s="36">
        <v>32593</v>
      </c>
      <c r="I750" s="58">
        <v>173608</v>
      </c>
      <c r="J750">
        <f>IFERROR(VLOOKUP(G750,'LEAID Match'!$A$2:$B$526,2,FALSE),"")</f>
        <v>2908430</v>
      </c>
      <c r="K750" s="68">
        <f t="shared" si="23"/>
        <v>8</v>
      </c>
    </row>
    <row r="751" spans="1:11" x14ac:dyDescent="0.2">
      <c r="A751">
        <f t="shared" si="22"/>
        <v>2908430</v>
      </c>
      <c r="B751">
        <v>2020</v>
      </c>
      <c r="C751" t="s">
        <v>739</v>
      </c>
      <c r="D751" t="s">
        <v>740</v>
      </c>
      <c r="E751" t="s">
        <v>743</v>
      </c>
      <c r="F751" s="34">
        <v>137</v>
      </c>
      <c r="G751" s="34" t="s">
        <v>93</v>
      </c>
      <c r="H751" s="36">
        <v>36100</v>
      </c>
      <c r="I751" s="58">
        <v>174734</v>
      </c>
      <c r="J751">
        <f>IFERROR(VLOOKUP(G751,'LEAID Match'!$A$2:$B$526,2,FALSE),"")</f>
        <v>2908430</v>
      </c>
      <c r="K751" s="68">
        <f t="shared" si="23"/>
        <v>8</v>
      </c>
    </row>
    <row r="752" spans="1:11" x14ac:dyDescent="0.2">
      <c r="A752">
        <f t="shared" si="22"/>
        <v>2908430</v>
      </c>
      <c r="B752">
        <v>2021</v>
      </c>
      <c r="C752" t="s">
        <v>739</v>
      </c>
      <c r="D752" t="s">
        <v>740</v>
      </c>
      <c r="E752" t="s">
        <v>743</v>
      </c>
      <c r="F752" s="34">
        <v>137</v>
      </c>
      <c r="G752" s="34" t="s">
        <v>93</v>
      </c>
      <c r="H752" s="36">
        <v>40968</v>
      </c>
      <c r="I752" s="58">
        <v>171388</v>
      </c>
      <c r="J752">
        <f>IFERROR(VLOOKUP(G752,'LEAID Match'!$A$2:$B$526,2,FALSE),"")</f>
        <v>2908430</v>
      </c>
      <c r="K752" s="68">
        <f t="shared" si="23"/>
        <v>8</v>
      </c>
    </row>
    <row r="753" spans="1:11" x14ac:dyDescent="0.2">
      <c r="A753">
        <f t="shared" si="22"/>
        <v>2908430</v>
      </c>
      <c r="B753">
        <v>2022</v>
      </c>
      <c r="C753" t="s">
        <v>739</v>
      </c>
      <c r="D753" t="s">
        <v>740</v>
      </c>
      <c r="E753" t="s">
        <v>743</v>
      </c>
      <c r="F753" s="34">
        <v>137</v>
      </c>
      <c r="G753" s="34" t="s">
        <v>93</v>
      </c>
      <c r="H753" s="36">
        <v>42629</v>
      </c>
      <c r="I753" s="58">
        <v>186257</v>
      </c>
      <c r="J753">
        <f>IFERROR(VLOOKUP(G753,'LEAID Match'!$A$2:$B$526,2,FALSE),"")</f>
        <v>2908430</v>
      </c>
      <c r="K753" s="68">
        <f t="shared" si="23"/>
        <v>8</v>
      </c>
    </row>
    <row r="754" spans="1:11" x14ac:dyDescent="0.2">
      <c r="A754">
        <f t="shared" si="22"/>
        <v>2922530</v>
      </c>
      <c r="B754">
        <v>2015</v>
      </c>
      <c r="C754" t="s">
        <v>739</v>
      </c>
      <c r="D754" t="s">
        <v>740</v>
      </c>
      <c r="E754" t="s">
        <v>743</v>
      </c>
      <c r="F754" s="37">
        <v>138</v>
      </c>
      <c r="G754" s="39" t="s">
        <v>94</v>
      </c>
      <c r="H754" s="40">
        <v>357585</v>
      </c>
      <c r="I754" s="58">
        <v>4003399</v>
      </c>
      <c r="J754">
        <f>IFERROR(VLOOKUP(G754,'LEAID Match'!$A$2:$B$526,2,FALSE),"")</f>
        <v>2922530</v>
      </c>
      <c r="K754" s="68">
        <f t="shared" si="23"/>
        <v>8</v>
      </c>
    </row>
    <row r="755" spans="1:11" x14ac:dyDescent="0.2">
      <c r="A755">
        <f t="shared" si="22"/>
        <v>2922530</v>
      </c>
      <c r="B755">
        <v>2016</v>
      </c>
      <c r="C755" t="s">
        <v>739</v>
      </c>
      <c r="D755" t="s">
        <v>740</v>
      </c>
      <c r="E755" t="s">
        <v>743</v>
      </c>
      <c r="F755" s="34">
        <v>138</v>
      </c>
      <c r="G755" s="34" t="s">
        <v>94</v>
      </c>
      <c r="H755" s="36">
        <v>387639</v>
      </c>
      <c r="I755" s="60">
        <v>4070589</v>
      </c>
      <c r="J755">
        <f>IFERROR(VLOOKUP(G755,'LEAID Match'!$A$2:$B$526,2,FALSE),"")</f>
        <v>2922530</v>
      </c>
      <c r="K755" s="68">
        <f t="shared" si="23"/>
        <v>8</v>
      </c>
    </row>
    <row r="756" spans="1:11" x14ac:dyDescent="0.2">
      <c r="A756">
        <f t="shared" si="22"/>
        <v>2922530</v>
      </c>
      <c r="B756">
        <v>2017</v>
      </c>
      <c r="C756" t="s">
        <v>739</v>
      </c>
      <c r="D756" t="s">
        <v>740</v>
      </c>
      <c r="E756" t="s">
        <v>743</v>
      </c>
      <c r="F756" s="34">
        <v>138</v>
      </c>
      <c r="G756" s="34" t="s">
        <v>94</v>
      </c>
      <c r="H756" s="36">
        <v>427756</v>
      </c>
      <c r="I756" s="58">
        <v>4142804</v>
      </c>
      <c r="J756">
        <f>IFERROR(VLOOKUP(G756,'LEAID Match'!$A$2:$B$526,2,FALSE),"")</f>
        <v>2922530</v>
      </c>
      <c r="K756" s="68">
        <f t="shared" si="23"/>
        <v>8</v>
      </c>
    </row>
    <row r="757" spans="1:11" x14ac:dyDescent="0.2">
      <c r="A757">
        <f t="shared" si="22"/>
        <v>2922530</v>
      </c>
      <c r="B757">
        <v>2018</v>
      </c>
      <c r="C757" t="s">
        <v>739</v>
      </c>
      <c r="D757" t="s">
        <v>740</v>
      </c>
      <c r="E757" t="s">
        <v>743</v>
      </c>
      <c r="F757" s="34">
        <v>138</v>
      </c>
      <c r="G757" s="34" t="s">
        <v>94</v>
      </c>
      <c r="H757" s="36">
        <v>450060</v>
      </c>
      <c r="I757" s="58">
        <v>4202861</v>
      </c>
      <c r="J757">
        <f>IFERROR(VLOOKUP(G757,'LEAID Match'!$A$2:$B$526,2,FALSE),"")</f>
        <v>2922530</v>
      </c>
      <c r="K757" s="68">
        <f t="shared" si="23"/>
        <v>8</v>
      </c>
    </row>
    <row r="758" spans="1:11" x14ac:dyDescent="0.2">
      <c r="A758">
        <f t="shared" si="22"/>
        <v>2922530</v>
      </c>
      <c r="B758">
        <v>2019</v>
      </c>
      <c r="C758" t="s">
        <v>739</v>
      </c>
      <c r="D758" t="s">
        <v>740</v>
      </c>
      <c r="E758" t="s">
        <v>743</v>
      </c>
      <c r="F758" s="34">
        <v>138</v>
      </c>
      <c r="G758" s="34" t="s">
        <v>94</v>
      </c>
      <c r="H758" s="36">
        <v>477497</v>
      </c>
      <c r="I758" s="58">
        <v>4322059</v>
      </c>
      <c r="J758">
        <f>IFERROR(VLOOKUP(G758,'LEAID Match'!$A$2:$B$526,2,FALSE),"")</f>
        <v>2922530</v>
      </c>
      <c r="K758" s="68">
        <f t="shared" si="23"/>
        <v>8</v>
      </c>
    </row>
    <row r="759" spans="1:11" x14ac:dyDescent="0.2">
      <c r="A759">
        <f t="shared" si="22"/>
        <v>2922530</v>
      </c>
      <c r="B759">
        <v>2020</v>
      </c>
      <c r="C759" t="s">
        <v>739</v>
      </c>
      <c r="D759" t="s">
        <v>740</v>
      </c>
      <c r="E759" t="s">
        <v>743</v>
      </c>
      <c r="F759" s="34">
        <v>138</v>
      </c>
      <c r="G759" s="34" t="s">
        <v>94</v>
      </c>
      <c r="H759" s="36">
        <v>526073</v>
      </c>
      <c r="I759" s="58">
        <v>4506449</v>
      </c>
      <c r="J759">
        <f>IFERROR(VLOOKUP(G759,'LEAID Match'!$A$2:$B$526,2,FALSE),"")</f>
        <v>2922530</v>
      </c>
      <c r="K759" s="68">
        <f t="shared" si="23"/>
        <v>8</v>
      </c>
    </row>
    <row r="760" spans="1:11" x14ac:dyDescent="0.2">
      <c r="A760">
        <f t="shared" si="22"/>
        <v>2922530</v>
      </c>
      <c r="B760">
        <v>2021</v>
      </c>
      <c r="C760" t="s">
        <v>739</v>
      </c>
      <c r="D760" t="s">
        <v>740</v>
      </c>
      <c r="E760" t="s">
        <v>743</v>
      </c>
      <c r="F760" s="34">
        <v>138</v>
      </c>
      <c r="G760" s="34" t="s">
        <v>94</v>
      </c>
      <c r="H760" s="36">
        <v>505709</v>
      </c>
      <c r="I760" s="58">
        <v>4656040</v>
      </c>
      <c r="J760">
        <f>IFERROR(VLOOKUP(G760,'LEAID Match'!$A$2:$B$526,2,FALSE),"")</f>
        <v>2922530</v>
      </c>
      <c r="K760" s="68">
        <f t="shared" si="23"/>
        <v>8</v>
      </c>
    </row>
    <row r="761" spans="1:11" x14ac:dyDescent="0.2">
      <c r="A761">
        <f t="shared" si="22"/>
        <v>2922530</v>
      </c>
      <c r="B761">
        <v>2022</v>
      </c>
      <c r="C761" t="s">
        <v>739</v>
      </c>
      <c r="D761" t="s">
        <v>740</v>
      </c>
      <c r="E761" t="s">
        <v>743</v>
      </c>
      <c r="F761" s="34">
        <v>138</v>
      </c>
      <c r="G761" s="34" t="s">
        <v>94</v>
      </c>
      <c r="H761" s="36">
        <v>558720</v>
      </c>
      <c r="I761" s="58">
        <v>4863527</v>
      </c>
      <c r="J761">
        <f>IFERROR(VLOOKUP(G761,'LEAID Match'!$A$2:$B$526,2,FALSE),"")</f>
        <v>2922530</v>
      </c>
      <c r="K761" s="68">
        <f t="shared" si="23"/>
        <v>8</v>
      </c>
    </row>
    <row r="762" spans="1:11" x14ac:dyDescent="0.2">
      <c r="A762">
        <f t="shared" si="22"/>
        <v>2928740</v>
      </c>
      <c r="B762">
        <v>2015</v>
      </c>
      <c r="C762" t="s">
        <v>739</v>
      </c>
      <c r="D762" t="s">
        <v>740</v>
      </c>
      <c r="E762" t="s">
        <v>743</v>
      </c>
      <c r="F762" s="37">
        <v>139</v>
      </c>
      <c r="G762" s="39" t="s">
        <v>95</v>
      </c>
      <c r="H762" s="40">
        <v>64000</v>
      </c>
      <c r="I762" s="58">
        <v>485922</v>
      </c>
      <c r="J762">
        <f>IFERROR(VLOOKUP(G762,'LEAID Match'!$A$2:$B$526,2,FALSE),"")</f>
        <v>2928740</v>
      </c>
      <c r="K762" s="68">
        <f t="shared" si="23"/>
        <v>8</v>
      </c>
    </row>
    <row r="763" spans="1:11" x14ac:dyDescent="0.2">
      <c r="A763">
        <f t="shared" si="22"/>
        <v>2928740</v>
      </c>
      <c r="B763">
        <v>2016</v>
      </c>
      <c r="C763" t="s">
        <v>739</v>
      </c>
      <c r="D763" t="s">
        <v>740</v>
      </c>
      <c r="E763" t="s">
        <v>743</v>
      </c>
      <c r="F763" s="34">
        <v>139</v>
      </c>
      <c r="G763" s="34" t="s">
        <v>95</v>
      </c>
      <c r="H763" s="36">
        <v>60560</v>
      </c>
      <c r="I763" s="60">
        <v>470129</v>
      </c>
      <c r="J763">
        <f>IFERROR(VLOOKUP(G763,'LEAID Match'!$A$2:$B$526,2,FALSE),"")</f>
        <v>2928740</v>
      </c>
      <c r="K763" s="68">
        <f t="shared" si="23"/>
        <v>8</v>
      </c>
    </row>
    <row r="764" spans="1:11" x14ac:dyDescent="0.2">
      <c r="A764">
        <f t="shared" si="22"/>
        <v>2928740</v>
      </c>
      <c r="B764">
        <v>2017</v>
      </c>
      <c r="C764" t="s">
        <v>739</v>
      </c>
      <c r="D764" t="s">
        <v>740</v>
      </c>
      <c r="E764" t="s">
        <v>743</v>
      </c>
      <c r="F764" s="34">
        <v>139</v>
      </c>
      <c r="G764" s="34" t="s">
        <v>95</v>
      </c>
      <c r="H764" s="36">
        <v>71008</v>
      </c>
      <c r="I764" s="58">
        <v>469276</v>
      </c>
      <c r="J764">
        <f>IFERROR(VLOOKUP(G764,'LEAID Match'!$A$2:$B$526,2,FALSE),"")</f>
        <v>2928740</v>
      </c>
      <c r="K764" s="68">
        <f t="shared" si="23"/>
        <v>8</v>
      </c>
    </row>
    <row r="765" spans="1:11" x14ac:dyDescent="0.2">
      <c r="A765">
        <f t="shared" si="22"/>
        <v>2928740</v>
      </c>
      <c r="B765">
        <v>2018</v>
      </c>
      <c r="C765" t="s">
        <v>739</v>
      </c>
      <c r="D765" t="s">
        <v>740</v>
      </c>
      <c r="E765" t="s">
        <v>743</v>
      </c>
      <c r="F765" s="34">
        <v>139</v>
      </c>
      <c r="G765" s="34" t="s">
        <v>95</v>
      </c>
      <c r="H765" s="36">
        <v>73019</v>
      </c>
      <c r="I765" s="58">
        <v>477117</v>
      </c>
      <c r="J765">
        <f>IFERROR(VLOOKUP(G765,'LEAID Match'!$A$2:$B$526,2,FALSE),"")</f>
        <v>2928740</v>
      </c>
      <c r="K765" s="68">
        <f t="shared" si="23"/>
        <v>8</v>
      </c>
    </row>
    <row r="766" spans="1:11" x14ac:dyDescent="0.2">
      <c r="A766">
        <f t="shared" si="22"/>
        <v>2928740</v>
      </c>
      <c r="B766">
        <v>2019</v>
      </c>
      <c r="C766" t="s">
        <v>739</v>
      </c>
      <c r="D766" t="s">
        <v>740</v>
      </c>
      <c r="E766" t="s">
        <v>743</v>
      </c>
      <c r="F766" s="34">
        <v>139</v>
      </c>
      <c r="G766" s="34" t="s">
        <v>95</v>
      </c>
      <c r="H766" s="36">
        <v>77676</v>
      </c>
      <c r="I766" s="58">
        <v>470962</v>
      </c>
      <c r="J766">
        <f>IFERROR(VLOOKUP(G766,'LEAID Match'!$A$2:$B$526,2,FALSE),"")</f>
        <v>2928740</v>
      </c>
      <c r="K766" s="68">
        <f t="shared" si="23"/>
        <v>8</v>
      </c>
    </row>
    <row r="767" spans="1:11" x14ac:dyDescent="0.2">
      <c r="A767">
        <f t="shared" si="22"/>
        <v>2928740</v>
      </c>
      <c r="B767">
        <v>2020</v>
      </c>
      <c r="C767" t="s">
        <v>739</v>
      </c>
      <c r="D767" t="s">
        <v>740</v>
      </c>
      <c r="E767" t="s">
        <v>743</v>
      </c>
      <c r="F767" s="34">
        <v>139</v>
      </c>
      <c r="G767" s="34" t="s">
        <v>95</v>
      </c>
      <c r="H767" s="36">
        <v>76742</v>
      </c>
      <c r="I767" s="58">
        <v>458387</v>
      </c>
      <c r="J767">
        <f>IFERROR(VLOOKUP(G767,'LEAID Match'!$A$2:$B$526,2,FALSE),"")</f>
        <v>2928740</v>
      </c>
      <c r="K767" s="68">
        <f t="shared" si="23"/>
        <v>8</v>
      </c>
    </row>
    <row r="768" spans="1:11" x14ac:dyDescent="0.2">
      <c r="A768">
        <f t="shared" si="22"/>
        <v>2928740</v>
      </c>
      <c r="B768">
        <v>2021</v>
      </c>
      <c r="C768" t="s">
        <v>739</v>
      </c>
      <c r="D768" t="s">
        <v>740</v>
      </c>
      <c r="E768" t="s">
        <v>743</v>
      </c>
      <c r="F768" s="34">
        <v>139</v>
      </c>
      <c r="G768" s="34" t="s">
        <v>95</v>
      </c>
      <c r="H768" s="36">
        <v>83791</v>
      </c>
      <c r="I768" s="58">
        <v>449024</v>
      </c>
      <c r="J768">
        <f>IFERROR(VLOOKUP(G768,'LEAID Match'!$A$2:$B$526,2,FALSE),"")</f>
        <v>2928740</v>
      </c>
      <c r="K768" s="68">
        <f t="shared" si="23"/>
        <v>8</v>
      </c>
    </row>
    <row r="769" spans="1:11" x14ac:dyDescent="0.2">
      <c r="A769">
        <f t="shared" si="22"/>
        <v>2928740</v>
      </c>
      <c r="B769">
        <v>2022</v>
      </c>
      <c r="C769" t="s">
        <v>739</v>
      </c>
      <c r="D769" t="s">
        <v>740</v>
      </c>
      <c r="E769" t="s">
        <v>743</v>
      </c>
      <c r="F769" s="34">
        <v>139</v>
      </c>
      <c r="G769" s="34" t="s">
        <v>95</v>
      </c>
      <c r="H769" s="36">
        <v>87413</v>
      </c>
      <c r="I769" s="58">
        <v>474951</v>
      </c>
      <c r="J769">
        <f>IFERROR(VLOOKUP(G769,'LEAID Match'!$A$2:$B$526,2,FALSE),"")</f>
        <v>2928740</v>
      </c>
      <c r="K769" s="68">
        <f t="shared" si="23"/>
        <v>8</v>
      </c>
    </row>
    <row r="770" spans="1:11" x14ac:dyDescent="0.2">
      <c r="A770">
        <f t="shared" si="22"/>
        <v>2905070</v>
      </c>
      <c r="B770">
        <v>2015</v>
      </c>
      <c r="C770" t="s">
        <v>739</v>
      </c>
      <c r="D770" t="s">
        <v>740</v>
      </c>
      <c r="E770" t="s">
        <v>743</v>
      </c>
      <c r="F770" s="37">
        <v>140</v>
      </c>
      <c r="G770" s="39" t="s">
        <v>96</v>
      </c>
      <c r="H770" s="40">
        <v>33930</v>
      </c>
      <c r="I770" s="58">
        <v>268988</v>
      </c>
      <c r="J770">
        <f>IFERROR(VLOOKUP(G770,'LEAID Match'!$A$2:$B$526,2,FALSE),"")</f>
        <v>2905070</v>
      </c>
      <c r="K770" s="68">
        <f t="shared" si="23"/>
        <v>8</v>
      </c>
    </row>
    <row r="771" spans="1:11" x14ac:dyDescent="0.2">
      <c r="A771">
        <f t="shared" ref="A771:A834" si="24">J771</f>
        <v>2905070</v>
      </c>
      <c r="B771">
        <v>2016</v>
      </c>
      <c r="C771" t="s">
        <v>739</v>
      </c>
      <c r="D771" t="s">
        <v>740</v>
      </c>
      <c r="E771" t="s">
        <v>743</v>
      </c>
      <c r="F771" s="34">
        <v>140</v>
      </c>
      <c r="G771" s="34" t="s">
        <v>96</v>
      </c>
      <c r="H771" s="36">
        <v>34814</v>
      </c>
      <c r="I771" s="60">
        <v>261013</v>
      </c>
      <c r="J771">
        <f>IFERROR(VLOOKUP(G771,'LEAID Match'!$A$2:$B$526,2,FALSE),"")</f>
        <v>2905070</v>
      </c>
      <c r="K771" s="68">
        <f t="shared" ref="K771:K834" si="25">COUNTIF($J$2:$J$4295,J771)</f>
        <v>8</v>
      </c>
    </row>
    <row r="772" spans="1:11" x14ac:dyDescent="0.2">
      <c r="A772">
        <f t="shared" si="24"/>
        <v>2905070</v>
      </c>
      <c r="B772">
        <v>2017</v>
      </c>
      <c r="C772" t="s">
        <v>739</v>
      </c>
      <c r="D772" t="s">
        <v>740</v>
      </c>
      <c r="E772" t="s">
        <v>743</v>
      </c>
      <c r="F772" s="34">
        <v>140</v>
      </c>
      <c r="G772" s="34" t="s">
        <v>96</v>
      </c>
      <c r="H772" s="36">
        <v>30466</v>
      </c>
      <c r="I772" s="58">
        <v>259877</v>
      </c>
      <c r="J772">
        <f>IFERROR(VLOOKUP(G772,'LEAID Match'!$A$2:$B$526,2,FALSE),"")</f>
        <v>2905070</v>
      </c>
      <c r="K772" s="68">
        <f t="shared" si="25"/>
        <v>8</v>
      </c>
    </row>
    <row r="773" spans="1:11" x14ac:dyDescent="0.2">
      <c r="A773">
        <f t="shared" si="24"/>
        <v>2905070</v>
      </c>
      <c r="B773">
        <v>2018</v>
      </c>
      <c r="C773" t="s">
        <v>739</v>
      </c>
      <c r="D773" t="s">
        <v>740</v>
      </c>
      <c r="E773" t="s">
        <v>743</v>
      </c>
      <c r="F773" s="34">
        <v>140</v>
      </c>
      <c r="G773" s="34" t="s">
        <v>96</v>
      </c>
      <c r="H773" s="36">
        <v>33180</v>
      </c>
      <c r="I773" s="58">
        <v>242160</v>
      </c>
      <c r="J773">
        <f>IFERROR(VLOOKUP(G773,'LEAID Match'!$A$2:$B$526,2,FALSE),"")</f>
        <v>2905070</v>
      </c>
      <c r="K773" s="68">
        <f t="shared" si="25"/>
        <v>8</v>
      </c>
    </row>
    <row r="774" spans="1:11" x14ac:dyDescent="0.2">
      <c r="A774">
        <f t="shared" si="24"/>
        <v>2905070</v>
      </c>
      <c r="B774">
        <v>2019</v>
      </c>
      <c r="C774" t="s">
        <v>739</v>
      </c>
      <c r="D774" t="s">
        <v>740</v>
      </c>
      <c r="E774" t="s">
        <v>743</v>
      </c>
      <c r="F774" s="34">
        <v>140</v>
      </c>
      <c r="G774" s="34" t="s">
        <v>96</v>
      </c>
      <c r="H774" s="36">
        <v>34281</v>
      </c>
      <c r="I774" s="58">
        <v>245810</v>
      </c>
      <c r="J774">
        <f>IFERROR(VLOOKUP(G774,'LEAID Match'!$A$2:$B$526,2,FALSE),"")</f>
        <v>2905070</v>
      </c>
      <c r="K774" s="68">
        <f t="shared" si="25"/>
        <v>8</v>
      </c>
    </row>
    <row r="775" spans="1:11" x14ac:dyDescent="0.2">
      <c r="A775">
        <f t="shared" si="24"/>
        <v>2905070</v>
      </c>
      <c r="B775">
        <v>2020</v>
      </c>
      <c r="C775" t="s">
        <v>739</v>
      </c>
      <c r="D775" t="s">
        <v>740</v>
      </c>
      <c r="E775" t="s">
        <v>743</v>
      </c>
      <c r="F775" s="34">
        <v>140</v>
      </c>
      <c r="G775" s="34" t="s">
        <v>96</v>
      </c>
      <c r="H775" s="36">
        <v>34477</v>
      </c>
      <c r="I775" s="58">
        <v>262898</v>
      </c>
      <c r="J775">
        <f>IFERROR(VLOOKUP(G775,'LEAID Match'!$A$2:$B$526,2,FALSE),"")</f>
        <v>2905070</v>
      </c>
      <c r="K775" s="68">
        <f t="shared" si="25"/>
        <v>8</v>
      </c>
    </row>
    <row r="776" spans="1:11" x14ac:dyDescent="0.2">
      <c r="A776">
        <f t="shared" si="24"/>
        <v>2905070</v>
      </c>
      <c r="B776">
        <v>2021</v>
      </c>
      <c r="C776" t="s">
        <v>739</v>
      </c>
      <c r="D776" t="s">
        <v>740</v>
      </c>
      <c r="E776" t="s">
        <v>743</v>
      </c>
      <c r="F776" s="34">
        <v>140</v>
      </c>
      <c r="G776" s="34" t="s">
        <v>96</v>
      </c>
      <c r="H776" s="36">
        <v>33461</v>
      </c>
      <c r="I776" s="58">
        <v>256803</v>
      </c>
      <c r="J776">
        <f>IFERROR(VLOOKUP(G776,'LEAID Match'!$A$2:$B$526,2,FALSE),"")</f>
        <v>2905070</v>
      </c>
      <c r="K776" s="68">
        <f t="shared" si="25"/>
        <v>8</v>
      </c>
    </row>
    <row r="777" spans="1:11" x14ac:dyDescent="0.2">
      <c r="A777">
        <f t="shared" si="24"/>
        <v>2905070</v>
      </c>
      <c r="B777">
        <v>2022</v>
      </c>
      <c r="C777" t="s">
        <v>739</v>
      </c>
      <c r="D777" t="s">
        <v>740</v>
      </c>
      <c r="E777" t="s">
        <v>743</v>
      </c>
      <c r="F777" s="34">
        <v>140</v>
      </c>
      <c r="G777" s="34" t="s">
        <v>96</v>
      </c>
      <c r="H777" s="36">
        <v>37712</v>
      </c>
      <c r="I777" s="58">
        <v>272669</v>
      </c>
      <c r="J777">
        <f>IFERROR(VLOOKUP(G777,'LEAID Match'!$A$2:$B$526,2,FALSE),"")</f>
        <v>2905070</v>
      </c>
      <c r="K777" s="68">
        <f t="shared" si="25"/>
        <v>8</v>
      </c>
    </row>
    <row r="778" spans="1:11" x14ac:dyDescent="0.2">
      <c r="A778">
        <f t="shared" si="24"/>
        <v>2909780</v>
      </c>
      <c r="B778">
        <v>2015</v>
      </c>
      <c r="C778" t="s">
        <v>739</v>
      </c>
      <c r="D778" t="s">
        <v>740</v>
      </c>
      <c r="E778" t="s">
        <v>743</v>
      </c>
      <c r="F778" s="37">
        <v>141</v>
      </c>
      <c r="G778" s="39" t="s">
        <v>97</v>
      </c>
      <c r="H778" s="40">
        <v>88727</v>
      </c>
      <c r="I778" s="58">
        <v>685379</v>
      </c>
      <c r="J778">
        <f>IFERROR(VLOOKUP(G778,'LEAID Match'!$A$2:$B$526,2,FALSE),"")</f>
        <v>2909780</v>
      </c>
      <c r="K778" s="68">
        <f t="shared" si="25"/>
        <v>8</v>
      </c>
    </row>
    <row r="779" spans="1:11" x14ac:dyDescent="0.2">
      <c r="A779">
        <f t="shared" si="24"/>
        <v>2909780</v>
      </c>
      <c r="B779">
        <v>2016</v>
      </c>
      <c r="C779" t="s">
        <v>739</v>
      </c>
      <c r="D779" t="s">
        <v>740</v>
      </c>
      <c r="E779" t="s">
        <v>743</v>
      </c>
      <c r="F779" s="34">
        <v>141</v>
      </c>
      <c r="G779" s="34" t="s">
        <v>97</v>
      </c>
      <c r="H779" s="36">
        <v>84528</v>
      </c>
      <c r="I779" s="60">
        <v>704770</v>
      </c>
      <c r="J779">
        <f>IFERROR(VLOOKUP(G779,'LEAID Match'!$A$2:$B$526,2,FALSE),"")</f>
        <v>2909780</v>
      </c>
      <c r="K779" s="68">
        <f t="shared" si="25"/>
        <v>8</v>
      </c>
    </row>
    <row r="780" spans="1:11" x14ac:dyDescent="0.2">
      <c r="A780">
        <f t="shared" si="24"/>
        <v>2909780</v>
      </c>
      <c r="B780">
        <v>2017</v>
      </c>
      <c r="C780" t="s">
        <v>739</v>
      </c>
      <c r="D780" t="s">
        <v>740</v>
      </c>
      <c r="E780" t="s">
        <v>743</v>
      </c>
      <c r="F780" s="34">
        <v>141</v>
      </c>
      <c r="G780" s="34" t="s">
        <v>97</v>
      </c>
      <c r="H780" s="36">
        <v>88020</v>
      </c>
      <c r="I780" s="58">
        <v>713273</v>
      </c>
      <c r="J780">
        <f>IFERROR(VLOOKUP(G780,'LEAID Match'!$A$2:$B$526,2,FALSE),"")</f>
        <v>2909780</v>
      </c>
      <c r="K780" s="68">
        <f t="shared" si="25"/>
        <v>8</v>
      </c>
    </row>
    <row r="781" spans="1:11" x14ac:dyDescent="0.2">
      <c r="A781">
        <f t="shared" si="24"/>
        <v>2909780</v>
      </c>
      <c r="B781">
        <v>2018</v>
      </c>
      <c r="C781" t="s">
        <v>739</v>
      </c>
      <c r="D781" t="s">
        <v>740</v>
      </c>
      <c r="E781" t="s">
        <v>743</v>
      </c>
      <c r="F781" s="34">
        <v>141</v>
      </c>
      <c r="G781" s="34" t="s">
        <v>97</v>
      </c>
      <c r="H781" s="36">
        <v>88489</v>
      </c>
      <c r="I781" s="58">
        <v>730175</v>
      </c>
      <c r="J781">
        <f>IFERROR(VLOOKUP(G781,'LEAID Match'!$A$2:$B$526,2,FALSE),"")</f>
        <v>2909780</v>
      </c>
      <c r="K781" s="68">
        <f t="shared" si="25"/>
        <v>8</v>
      </c>
    </row>
    <row r="782" spans="1:11" x14ac:dyDescent="0.2">
      <c r="A782">
        <f t="shared" si="24"/>
        <v>2909780</v>
      </c>
      <c r="B782">
        <v>2019</v>
      </c>
      <c r="C782" t="s">
        <v>739</v>
      </c>
      <c r="D782" t="s">
        <v>740</v>
      </c>
      <c r="E782" t="s">
        <v>743</v>
      </c>
      <c r="F782" s="34">
        <v>141</v>
      </c>
      <c r="G782" s="34" t="s">
        <v>97</v>
      </c>
      <c r="H782" s="36">
        <v>93314</v>
      </c>
      <c r="I782" s="58">
        <v>759222</v>
      </c>
      <c r="J782">
        <f>IFERROR(VLOOKUP(G782,'LEAID Match'!$A$2:$B$526,2,FALSE),"")</f>
        <v>2909780</v>
      </c>
      <c r="K782" s="68">
        <f t="shared" si="25"/>
        <v>8</v>
      </c>
    </row>
    <row r="783" spans="1:11" x14ac:dyDescent="0.2">
      <c r="A783">
        <f t="shared" si="24"/>
        <v>2909780</v>
      </c>
      <c r="B783">
        <v>2020</v>
      </c>
      <c r="C783" t="s">
        <v>739</v>
      </c>
      <c r="D783" t="s">
        <v>740</v>
      </c>
      <c r="E783" t="s">
        <v>743</v>
      </c>
      <c r="F783" s="34">
        <v>141</v>
      </c>
      <c r="G783" s="34" t="s">
        <v>97</v>
      </c>
      <c r="H783" s="36">
        <v>104661</v>
      </c>
      <c r="I783" s="58">
        <v>738790</v>
      </c>
      <c r="J783">
        <f>IFERROR(VLOOKUP(G783,'LEAID Match'!$A$2:$B$526,2,FALSE),"")</f>
        <v>2909780</v>
      </c>
      <c r="K783" s="68">
        <f t="shared" si="25"/>
        <v>8</v>
      </c>
    </row>
    <row r="784" spans="1:11" x14ac:dyDescent="0.2">
      <c r="A784">
        <f t="shared" si="24"/>
        <v>2909780</v>
      </c>
      <c r="B784">
        <v>2021</v>
      </c>
      <c r="C784" t="s">
        <v>739</v>
      </c>
      <c r="D784" t="s">
        <v>740</v>
      </c>
      <c r="E784" t="s">
        <v>743</v>
      </c>
      <c r="F784" s="34">
        <v>141</v>
      </c>
      <c r="G784" s="34" t="s">
        <v>97</v>
      </c>
      <c r="H784" s="36">
        <v>113911</v>
      </c>
      <c r="I784" s="58">
        <v>774410</v>
      </c>
      <c r="J784">
        <f>IFERROR(VLOOKUP(G784,'LEAID Match'!$A$2:$B$526,2,FALSE),"")</f>
        <v>2909780</v>
      </c>
      <c r="K784" s="68">
        <f t="shared" si="25"/>
        <v>8</v>
      </c>
    </row>
    <row r="785" spans="1:11" x14ac:dyDescent="0.2">
      <c r="A785">
        <f t="shared" si="24"/>
        <v>2909780</v>
      </c>
      <c r="B785">
        <v>2022</v>
      </c>
      <c r="C785" t="s">
        <v>739</v>
      </c>
      <c r="D785" t="s">
        <v>740</v>
      </c>
      <c r="E785" t="s">
        <v>743</v>
      </c>
      <c r="F785" s="34">
        <v>141</v>
      </c>
      <c r="G785" s="34" t="s">
        <v>97</v>
      </c>
      <c r="H785" s="36">
        <v>120356</v>
      </c>
      <c r="I785" s="58">
        <v>850896</v>
      </c>
      <c r="J785">
        <f>IFERROR(VLOOKUP(G785,'LEAID Match'!$A$2:$B$526,2,FALSE),"")</f>
        <v>2909780</v>
      </c>
      <c r="K785" s="68">
        <f t="shared" si="25"/>
        <v>8</v>
      </c>
    </row>
    <row r="786" spans="1:11" x14ac:dyDescent="0.2">
      <c r="A786">
        <f t="shared" si="24"/>
        <v>2923430</v>
      </c>
      <c r="B786">
        <v>2015</v>
      </c>
      <c r="C786" t="s">
        <v>739</v>
      </c>
      <c r="D786" t="s">
        <v>740</v>
      </c>
      <c r="E786" t="s">
        <v>743</v>
      </c>
      <c r="F786" s="37">
        <v>142</v>
      </c>
      <c r="G786" s="39" t="s">
        <v>98</v>
      </c>
      <c r="H786" s="40">
        <v>446980</v>
      </c>
      <c r="I786" s="58">
        <v>3533895</v>
      </c>
      <c r="J786">
        <f>IFERROR(VLOOKUP(G786,'LEAID Match'!$A$2:$B$526,2,FALSE),"")</f>
        <v>2923430</v>
      </c>
      <c r="K786" s="68">
        <f t="shared" si="25"/>
        <v>8</v>
      </c>
    </row>
    <row r="787" spans="1:11" x14ac:dyDescent="0.2">
      <c r="A787">
        <f t="shared" si="24"/>
        <v>2923430</v>
      </c>
      <c r="B787">
        <v>2016</v>
      </c>
      <c r="C787" t="s">
        <v>739</v>
      </c>
      <c r="D787" t="s">
        <v>740</v>
      </c>
      <c r="E787" t="s">
        <v>743</v>
      </c>
      <c r="F787" s="34">
        <v>142</v>
      </c>
      <c r="G787" s="34" t="s">
        <v>98</v>
      </c>
      <c r="H787" s="36">
        <v>471505</v>
      </c>
      <c r="I787" s="60">
        <v>3752104</v>
      </c>
      <c r="J787">
        <f>IFERROR(VLOOKUP(G787,'LEAID Match'!$A$2:$B$526,2,FALSE),"")</f>
        <v>2923430</v>
      </c>
      <c r="K787" s="68">
        <f t="shared" si="25"/>
        <v>8</v>
      </c>
    </row>
    <row r="788" spans="1:11" x14ac:dyDescent="0.2">
      <c r="A788">
        <f t="shared" si="24"/>
        <v>2923430</v>
      </c>
      <c r="B788">
        <v>2017</v>
      </c>
      <c r="C788" t="s">
        <v>739</v>
      </c>
      <c r="D788" t="s">
        <v>740</v>
      </c>
      <c r="E788" t="s">
        <v>743</v>
      </c>
      <c r="F788" s="34">
        <v>142</v>
      </c>
      <c r="G788" s="34" t="s">
        <v>98</v>
      </c>
      <c r="H788" s="36">
        <v>521831</v>
      </c>
      <c r="I788" s="58">
        <v>3967130</v>
      </c>
      <c r="J788">
        <f>IFERROR(VLOOKUP(G788,'LEAID Match'!$A$2:$B$526,2,FALSE),"")</f>
        <v>2923430</v>
      </c>
      <c r="K788" s="68">
        <f t="shared" si="25"/>
        <v>8</v>
      </c>
    </row>
    <row r="789" spans="1:11" x14ac:dyDescent="0.2">
      <c r="A789">
        <f t="shared" si="24"/>
        <v>2923430</v>
      </c>
      <c r="B789">
        <v>2018</v>
      </c>
      <c r="C789" t="s">
        <v>739</v>
      </c>
      <c r="D789" t="s">
        <v>740</v>
      </c>
      <c r="E789" t="s">
        <v>743</v>
      </c>
      <c r="F789" s="34">
        <v>142</v>
      </c>
      <c r="G789" s="34" t="s">
        <v>98</v>
      </c>
      <c r="H789" s="36">
        <v>544745</v>
      </c>
      <c r="I789" s="58">
        <v>4126872</v>
      </c>
      <c r="J789">
        <f>IFERROR(VLOOKUP(G789,'LEAID Match'!$A$2:$B$526,2,FALSE),"")</f>
        <v>2923430</v>
      </c>
      <c r="K789" s="68">
        <f t="shared" si="25"/>
        <v>8</v>
      </c>
    </row>
    <row r="790" spans="1:11" x14ac:dyDescent="0.2">
      <c r="A790">
        <f t="shared" si="24"/>
        <v>2923430</v>
      </c>
      <c r="B790">
        <v>2019</v>
      </c>
      <c r="C790" t="s">
        <v>739</v>
      </c>
      <c r="D790" t="s">
        <v>740</v>
      </c>
      <c r="E790" t="s">
        <v>743</v>
      </c>
      <c r="F790" s="34">
        <v>142</v>
      </c>
      <c r="G790" s="34" t="s">
        <v>98</v>
      </c>
      <c r="H790" s="36">
        <v>595082</v>
      </c>
      <c r="I790" s="58">
        <v>4360634</v>
      </c>
      <c r="J790">
        <f>IFERROR(VLOOKUP(G790,'LEAID Match'!$A$2:$B$526,2,FALSE),"")</f>
        <v>2923430</v>
      </c>
      <c r="K790" s="68">
        <f t="shared" si="25"/>
        <v>8</v>
      </c>
    </row>
    <row r="791" spans="1:11" x14ac:dyDescent="0.2">
      <c r="A791">
        <f t="shared" si="24"/>
        <v>2923430</v>
      </c>
      <c r="B791">
        <v>2020</v>
      </c>
      <c r="C791" t="s">
        <v>739</v>
      </c>
      <c r="D791" t="s">
        <v>740</v>
      </c>
      <c r="E791" t="s">
        <v>743</v>
      </c>
      <c r="F791" s="34">
        <v>142</v>
      </c>
      <c r="G791" s="34" t="s">
        <v>98</v>
      </c>
      <c r="H791" s="36">
        <v>631841</v>
      </c>
      <c r="I791" s="58">
        <v>4477381</v>
      </c>
      <c r="J791">
        <f>IFERROR(VLOOKUP(G791,'LEAID Match'!$A$2:$B$526,2,FALSE),"")</f>
        <v>2923430</v>
      </c>
      <c r="K791" s="68">
        <f t="shared" si="25"/>
        <v>8</v>
      </c>
    </row>
    <row r="792" spans="1:11" x14ac:dyDescent="0.2">
      <c r="A792">
        <f t="shared" si="24"/>
        <v>2923430</v>
      </c>
      <c r="B792">
        <v>2021</v>
      </c>
      <c r="C792" t="s">
        <v>739</v>
      </c>
      <c r="D792" t="s">
        <v>740</v>
      </c>
      <c r="E792" t="s">
        <v>743</v>
      </c>
      <c r="F792" s="34">
        <v>142</v>
      </c>
      <c r="G792" s="34" t="s">
        <v>98</v>
      </c>
      <c r="H792" s="36">
        <v>657269</v>
      </c>
      <c r="I792" s="58">
        <v>4563695</v>
      </c>
      <c r="J792">
        <f>IFERROR(VLOOKUP(G792,'LEAID Match'!$A$2:$B$526,2,FALSE),"")</f>
        <v>2923430</v>
      </c>
      <c r="K792" s="68">
        <f t="shared" si="25"/>
        <v>8</v>
      </c>
    </row>
    <row r="793" spans="1:11" x14ac:dyDescent="0.2">
      <c r="A793">
        <f t="shared" si="24"/>
        <v>2923430</v>
      </c>
      <c r="B793">
        <v>2022</v>
      </c>
      <c r="C793" t="s">
        <v>739</v>
      </c>
      <c r="D793" t="s">
        <v>740</v>
      </c>
      <c r="E793" t="s">
        <v>743</v>
      </c>
      <c r="F793" s="34">
        <v>142</v>
      </c>
      <c r="G793" s="34" t="s">
        <v>98</v>
      </c>
      <c r="H793" s="36">
        <v>753662</v>
      </c>
      <c r="I793" s="58">
        <v>4854514</v>
      </c>
      <c r="J793">
        <f>IFERROR(VLOOKUP(G793,'LEAID Match'!$A$2:$B$526,2,FALSE),"")</f>
        <v>2923430</v>
      </c>
      <c r="K793" s="68">
        <f t="shared" si="25"/>
        <v>8</v>
      </c>
    </row>
    <row r="794" spans="1:11" x14ac:dyDescent="0.2">
      <c r="A794">
        <f t="shared" si="24"/>
        <v>2928800</v>
      </c>
      <c r="B794">
        <v>2015</v>
      </c>
      <c r="C794" t="s">
        <v>739</v>
      </c>
      <c r="D794" t="s">
        <v>740</v>
      </c>
      <c r="E794" t="s">
        <v>743</v>
      </c>
      <c r="F794" s="37">
        <v>143</v>
      </c>
      <c r="G794" s="39" t="s">
        <v>99</v>
      </c>
      <c r="H794" s="40">
        <v>47718</v>
      </c>
      <c r="I794" s="58">
        <v>496291</v>
      </c>
      <c r="J794">
        <f>IFERROR(VLOOKUP(G794,'LEAID Match'!$A$2:$B$526,2,FALSE),"")</f>
        <v>2928800</v>
      </c>
      <c r="K794" s="68">
        <f t="shared" si="25"/>
        <v>8</v>
      </c>
    </row>
    <row r="795" spans="1:11" x14ac:dyDescent="0.2">
      <c r="A795">
        <f t="shared" si="24"/>
        <v>2928800</v>
      </c>
      <c r="B795">
        <v>2016</v>
      </c>
      <c r="C795" t="s">
        <v>739</v>
      </c>
      <c r="D795" t="s">
        <v>740</v>
      </c>
      <c r="E795" t="s">
        <v>743</v>
      </c>
      <c r="F795" s="34">
        <v>143</v>
      </c>
      <c r="G795" s="34" t="s">
        <v>99</v>
      </c>
      <c r="H795" s="36">
        <v>49657</v>
      </c>
      <c r="I795" s="60">
        <v>512152</v>
      </c>
      <c r="J795">
        <f>IFERROR(VLOOKUP(G795,'LEAID Match'!$A$2:$B$526,2,FALSE),"")</f>
        <v>2928800</v>
      </c>
      <c r="K795" s="68">
        <f t="shared" si="25"/>
        <v>8</v>
      </c>
    </row>
    <row r="796" spans="1:11" x14ac:dyDescent="0.2">
      <c r="A796">
        <f t="shared" si="24"/>
        <v>2928800</v>
      </c>
      <c r="B796">
        <v>2017</v>
      </c>
      <c r="C796" t="s">
        <v>739</v>
      </c>
      <c r="D796" t="s">
        <v>740</v>
      </c>
      <c r="E796" t="s">
        <v>743</v>
      </c>
      <c r="F796" s="34">
        <v>143</v>
      </c>
      <c r="G796" s="34" t="s">
        <v>99</v>
      </c>
      <c r="H796" s="36">
        <v>51505</v>
      </c>
      <c r="I796" s="58">
        <v>543416</v>
      </c>
      <c r="J796">
        <f>IFERROR(VLOOKUP(G796,'LEAID Match'!$A$2:$B$526,2,FALSE),"")</f>
        <v>2928800</v>
      </c>
      <c r="K796" s="68">
        <f t="shared" si="25"/>
        <v>8</v>
      </c>
    </row>
    <row r="797" spans="1:11" x14ac:dyDescent="0.2">
      <c r="A797">
        <f t="shared" si="24"/>
        <v>2928800</v>
      </c>
      <c r="B797">
        <v>2018</v>
      </c>
      <c r="C797" t="s">
        <v>739</v>
      </c>
      <c r="D797" t="s">
        <v>740</v>
      </c>
      <c r="E797" t="s">
        <v>743</v>
      </c>
      <c r="F797" s="34">
        <v>143</v>
      </c>
      <c r="G797" s="34" t="s">
        <v>99</v>
      </c>
      <c r="H797" s="36">
        <v>56174</v>
      </c>
      <c r="I797" s="58">
        <v>540757</v>
      </c>
      <c r="J797">
        <f>IFERROR(VLOOKUP(G797,'LEAID Match'!$A$2:$B$526,2,FALSE),"")</f>
        <v>2928800</v>
      </c>
      <c r="K797" s="68">
        <f t="shared" si="25"/>
        <v>8</v>
      </c>
    </row>
    <row r="798" spans="1:11" x14ac:dyDescent="0.2">
      <c r="A798">
        <f t="shared" si="24"/>
        <v>2928800</v>
      </c>
      <c r="B798">
        <v>2019</v>
      </c>
      <c r="C798" t="s">
        <v>739</v>
      </c>
      <c r="D798" t="s">
        <v>740</v>
      </c>
      <c r="E798" t="s">
        <v>743</v>
      </c>
      <c r="F798" s="34">
        <v>143</v>
      </c>
      <c r="G798" s="34" t="s">
        <v>99</v>
      </c>
      <c r="H798" s="36">
        <v>65285</v>
      </c>
      <c r="I798" s="58">
        <v>509321</v>
      </c>
      <c r="J798">
        <f>IFERROR(VLOOKUP(G798,'LEAID Match'!$A$2:$B$526,2,FALSE),"")</f>
        <v>2928800</v>
      </c>
      <c r="K798" s="68">
        <f t="shared" si="25"/>
        <v>8</v>
      </c>
    </row>
    <row r="799" spans="1:11" x14ac:dyDescent="0.2">
      <c r="A799">
        <f t="shared" si="24"/>
        <v>2928800</v>
      </c>
      <c r="B799">
        <v>2020</v>
      </c>
      <c r="C799" t="s">
        <v>739</v>
      </c>
      <c r="D799" t="s">
        <v>740</v>
      </c>
      <c r="E799" t="s">
        <v>743</v>
      </c>
      <c r="F799" s="34">
        <v>143</v>
      </c>
      <c r="G799" s="34" t="s">
        <v>99</v>
      </c>
      <c r="H799" s="36">
        <v>70555</v>
      </c>
      <c r="I799" s="58">
        <v>475520</v>
      </c>
      <c r="J799">
        <f>IFERROR(VLOOKUP(G799,'LEAID Match'!$A$2:$B$526,2,FALSE),"")</f>
        <v>2928800</v>
      </c>
      <c r="K799" s="68">
        <f t="shared" si="25"/>
        <v>8</v>
      </c>
    </row>
    <row r="800" spans="1:11" x14ac:dyDescent="0.2">
      <c r="A800">
        <f t="shared" si="24"/>
        <v>2928800</v>
      </c>
      <c r="B800">
        <v>2021</v>
      </c>
      <c r="C800" t="s">
        <v>739</v>
      </c>
      <c r="D800" t="s">
        <v>740</v>
      </c>
      <c r="E800" t="s">
        <v>743</v>
      </c>
      <c r="F800" s="34">
        <v>143</v>
      </c>
      <c r="G800" s="34" t="s">
        <v>99</v>
      </c>
      <c r="H800" s="36">
        <v>72494</v>
      </c>
      <c r="I800" s="58">
        <v>468659</v>
      </c>
      <c r="J800">
        <f>IFERROR(VLOOKUP(G800,'LEAID Match'!$A$2:$B$526,2,FALSE),"")</f>
        <v>2928800</v>
      </c>
      <c r="K800" s="68">
        <f t="shared" si="25"/>
        <v>8</v>
      </c>
    </row>
    <row r="801" spans="1:11" x14ac:dyDescent="0.2">
      <c r="A801">
        <f t="shared" si="24"/>
        <v>2928800</v>
      </c>
      <c r="B801">
        <v>2022</v>
      </c>
      <c r="C801" t="s">
        <v>739</v>
      </c>
      <c r="D801" t="s">
        <v>740</v>
      </c>
      <c r="E801" t="s">
        <v>743</v>
      </c>
      <c r="F801" s="34">
        <v>143</v>
      </c>
      <c r="G801" s="34" t="s">
        <v>99</v>
      </c>
      <c r="H801" s="36">
        <v>87806</v>
      </c>
      <c r="I801" s="58">
        <v>474749</v>
      </c>
      <c r="J801">
        <f>IFERROR(VLOOKUP(G801,'LEAID Match'!$A$2:$B$526,2,FALSE),"")</f>
        <v>2928800</v>
      </c>
      <c r="K801" s="68">
        <f t="shared" si="25"/>
        <v>8</v>
      </c>
    </row>
    <row r="802" spans="1:11" x14ac:dyDescent="0.2">
      <c r="A802">
        <f t="shared" si="24"/>
        <v>2916380</v>
      </c>
      <c r="B802">
        <v>2015</v>
      </c>
      <c r="C802" t="s">
        <v>739</v>
      </c>
      <c r="D802" t="s">
        <v>740</v>
      </c>
      <c r="E802" t="s">
        <v>743</v>
      </c>
      <c r="F802" s="37">
        <v>144</v>
      </c>
      <c r="G802" s="39" t="s">
        <v>100</v>
      </c>
      <c r="H802" s="40">
        <v>77505</v>
      </c>
      <c r="I802" s="58">
        <v>641895</v>
      </c>
      <c r="J802">
        <f>IFERROR(VLOOKUP(G802,'LEAID Match'!$A$2:$B$526,2,FALSE),"")</f>
        <v>2916380</v>
      </c>
      <c r="K802" s="68">
        <f t="shared" si="25"/>
        <v>8</v>
      </c>
    </row>
    <row r="803" spans="1:11" x14ac:dyDescent="0.2">
      <c r="A803">
        <f t="shared" si="24"/>
        <v>2916380</v>
      </c>
      <c r="B803">
        <v>2016</v>
      </c>
      <c r="C803" t="s">
        <v>739</v>
      </c>
      <c r="D803" t="s">
        <v>740</v>
      </c>
      <c r="E803" t="s">
        <v>743</v>
      </c>
      <c r="F803" s="34">
        <v>144</v>
      </c>
      <c r="G803" s="34" t="s">
        <v>100</v>
      </c>
      <c r="H803" s="36">
        <v>74964</v>
      </c>
      <c r="I803" s="60">
        <v>674972</v>
      </c>
      <c r="J803">
        <f>IFERROR(VLOOKUP(G803,'LEAID Match'!$A$2:$B$526,2,FALSE),"")</f>
        <v>2916380</v>
      </c>
      <c r="K803" s="68">
        <f t="shared" si="25"/>
        <v>8</v>
      </c>
    </row>
    <row r="804" spans="1:11" x14ac:dyDescent="0.2">
      <c r="A804">
        <f t="shared" si="24"/>
        <v>2916380</v>
      </c>
      <c r="B804">
        <v>2017</v>
      </c>
      <c r="C804" t="s">
        <v>739</v>
      </c>
      <c r="D804" t="s">
        <v>740</v>
      </c>
      <c r="E804" t="s">
        <v>743</v>
      </c>
      <c r="F804" s="34">
        <v>144</v>
      </c>
      <c r="G804" s="34" t="s">
        <v>100</v>
      </c>
      <c r="H804" s="36">
        <v>82934</v>
      </c>
      <c r="I804" s="58">
        <v>686909</v>
      </c>
      <c r="J804">
        <f>IFERROR(VLOOKUP(G804,'LEAID Match'!$A$2:$B$526,2,FALSE),"")</f>
        <v>2916380</v>
      </c>
      <c r="K804" s="68">
        <f t="shared" si="25"/>
        <v>8</v>
      </c>
    </row>
    <row r="805" spans="1:11" x14ac:dyDescent="0.2">
      <c r="A805">
        <f t="shared" si="24"/>
        <v>2916380</v>
      </c>
      <c r="B805">
        <v>2018</v>
      </c>
      <c r="C805" t="s">
        <v>739</v>
      </c>
      <c r="D805" t="s">
        <v>740</v>
      </c>
      <c r="E805" t="s">
        <v>743</v>
      </c>
      <c r="F805" s="34">
        <v>144</v>
      </c>
      <c r="G805" s="34" t="s">
        <v>100</v>
      </c>
      <c r="H805" s="36">
        <v>90998</v>
      </c>
      <c r="I805" s="58">
        <v>720997</v>
      </c>
      <c r="J805">
        <f>IFERROR(VLOOKUP(G805,'LEAID Match'!$A$2:$B$526,2,FALSE),"")</f>
        <v>2916380</v>
      </c>
      <c r="K805" s="68">
        <f t="shared" si="25"/>
        <v>8</v>
      </c>
    </row>
    <row r="806" spans="1:11" x14ac:dyDescent="0.2">
      <c r="A806">
        <f t="shared" si="24"/>
        <v>2916380</v>
      </c>
      <c r="B806">
        <v>2019</v>
      </c>
      <c r="C806" t="s">
        <v>739</v>
      </c>
      <c r="D806" t="s">
        <v>740</v>
      </c>
      <c r="E806" t="s">
        <v>743</v>
      </c>
      <c r="F806" s="34">
        <v>144</v>
      </c>
      <c r="G806" s="34" t="s">
        <v>100</v>
      </c>
      <c r="H806" s="36">
        <v>103640</v>
      </c>
      <c r="I806" s="58">
        <v>741601</v>
      </c>
      <c r="J806">
        <f>IFERROR(VLOOKUP(G806,'LEAID Match'!$A$2:$B$526,2,FALSE),"")</f>
        <v>2916380</v>
      </c>
      <c r="K806" s="68">
        <f t="shared" si="25"/>
        <v>8</v>
      </c>
    </row>
    <row r="807" spans="1:11" x14ac:dyDescent="0.2">
      <c r="A807">
        <f t="shared" si="24"/>
        <v>2916380</v>
      </c>
      <c r="B807">
        <v>2020</v>
      </c>
      <c r="C807" t="s">
        <v>739</v>
      </c>
      <c r="D807" t="s">
        <v>740</v>
      </c>
      <c r="E807" t="s">
        <v>743</v>
      </c>
      <c r="F807" s="34">
        <v>144</v>
      </c>
      <c r="G807" s="34" t="s">
        <v>100</v>
      </c>
      <c r="H807" s="36">
        <v>99165</v>
      </c>
      <c r="I807" s="58">
        <v>750149</v>
      </c>
      <c r="J807">
        <f>IFERROR(VLOOKUP(G807,'LEAID Match'!$A$2:$B$526,2,FALSE),"")</f>
        <v>2916380</v>
      </c>
      <c r="K807" s="68">
        <f t="shared" si="25"/>
        <v>8</v>
      </c>
    </row>
    <row r="808" spans="1:11" x14ac:dyDescent="0.2">
      <c r="A808">
        <f t="shared" si="24"/>
        <v>2916380</v>
      </c>
      <c r="B808">
        <v>2021</v>
      </c>
      <c r="C808" t="s">
        <v>739</v>
      </c>
      <c r="D808" t="s">
        <v>740</v>
      </c>
      <c r="E808" t="s">
        <v>743</v>
      </c>
      <c r="F808" s="34">
        <v>144</v>
      </c>
      <c r="G808" s="34" t="s">
        <v>100</v>
      </c>
      <c r="H808" s="36">
        <v>103687</v>
      </c>
      <c r="I808" s="58">
        <v>736956</v>
      </c>
      <c r="J808">
        <f>IFERROR(VLOOKUP(G808,'LEAID Match'!$A$2:$B$526,2,FALSE),"")</f>
        <v>2916380</v>
      </c>
      <c r="K808" s="68">
        <f t="shared" si="25"/>
        <v>8</v>
      </c>
    </row>
    <row r="809" spans="1:11" x14ac:dyDescent="0.2">
      <c r="A809">
        <f t="shared" si="24"/>
        <v>2916380</v>
      </c>
      <c r="B809">
        <v>2022</v>
      </c>
      <c r="C809" t="s">
        <v>739</v>
      </c>
      <c r="D809" t="s">
        <v>740</v>
      </c>
      <c r="E809" t="s">
        <v>743</v>
      </c>
      <c r="F809" s="34">
        <v>144</v>
      </c>
      <c r="G809" s="34" t="s">
        <v>100</v>
      </c>
      <c r="H809" s="36">
        <v>126792</v>
      </c>
      <c r="I809" s="58">
        <v>740373</v>
      </c>
      <c r="J809">
        <f>IFERROR(VLOOKUP(G809,'LEAID Match'!$A$2:$B$526,2,FALSE),"")</f>
        <v>2916380</v>
      </c>
      <c r="K809" s="68">
        <f t="shared" si="25"/>
        <v>8</v>
      </c>
    </row>
    <row r="810" spans="1:11" x14ac:dyDescent="0.2">
      <c r="A810">
        <f t="shared" si="24"/>
        <v>2919320</v>
      </c>
      <c r="B810">
        <v>2015</v>
      </c>
      <c r="C810" t="s">
        <v>739</v>
      </c>
      <c r="D810" t="s">
        <v>740</v>
      </c>
      <c r="E810" t="s">
        <v>743</v>
      </c>
      <c r="F810" s="37">
        <v>149</v>
      </c>
      <c r="G810" s="39" t="s">
        <v>101</v>
      </c>
      <c r="H810" s="40">
        <v>9106</v>
      </c>
      <c r="I810" s="58">
        <v>33278</v>
      </c>
      <c r="J810">
        <f>IFERROR(VLOOKUP(G810,'LEAID Match'!$A$2:$B$526,2,FALSE),"")</f>
        <v>2919320</v>
      </c>
      <c r="K810" s="68">
        <f t="shared" si="25"/>
        <v>8</v>
      </c>
    </row>
    <row r="811" spans="1:11" x14ac:dyDescent="0.2">
      <c r="A811">
        <f t="shared" si="24"/>
        <v>2919320</v>
      </c>
      <c r="B811">
        <v>2016</v>
      </c>
      <c r="C811" t="s">
        <v>739</v>
      </c>
      <c r="D811" t="s">
        <v>740</v>
      </c>
      <c r="E811" t="s">
        <v>743</v>
      </c>
      <c r="F811" s="34">
        <v>149</v>
      </c>
      <c r="G811" s="34" t="s">
        <v>101</v>
      </c>
      <c r="H811" s="34"/>
      <c r="I811" s="60"/>
      <c r="J811">
        <f>IFERROR(VLOOKUP(G811,'LEAID Match'!$A$2:$B$526,2,FALSE),"")</f>
        <v>2919320</v>
      </c>
      <c r="K811" s="68">
        <f t="shared" si="25"/>
        <v>8</v>
      </c>
    </row>
    <row r="812" spans="1:11" x14ac:dyDescent="0.2">
      <c r="A812">
        <f t="shared" si="24"/>
        <v>2919320</v>
      </c>
      <c r="B812">
        <v>2017</v>
      </c>
      <c r="C812" t="s">
        <v>739</v>
      </c>
      <c r="D812" t="s">
        <v>740</v>
      </c>
      <c r="E812" t="s">
        <v>743</v>
      </c>
      <c r="F812" s="34">
        <v>149</v>
      </c>
      <c r="G812" s="34" t="s">
        <v>101</v>
      </c>
      <c r="H812" s="34"/>
      <c r="J812">
        <f>IFERROR(VLOOKUP(G812,'LEAID Match'!$A$2:$B$526,2,FALSE),"")</f>
        <v>2919320</v>
      </c>
      <c r="K812" s="68">
        <f t="shared" si="25"/>
        <v>8</v>
      </c>
    </row>
    <row r="813" spans="1:11" x14ac:dyDescent="0.2">
      <c r="A813">
        <f t="shared" si="24"/>
        <v>2919320</v>
      </c>
      <c r="B813">
        <v>2018</v>
      </c>
      <c r="C813" t="s">
        <v>739</v>
      </c>
      <c r="D813" t="s">
        <v>740</v>
      </c>
      <c r="E813" t="s">
        <v>743</v>
      </c>
      <c r="F813" s="34">
        <v>149</v>
      </c>
      <c r="G813" s="34" t="s">
        <v>101</v>
      </c>
      <c r="H813" s="34"/>
      <c r="J813">
        <f>IFERROR(VLOOKUP(G813,'LEAID Match'!$A$2:$B$526,2,FALSE),"")</f>
        <v>2919320</v>
      </c>
      <c r="K813" s="68">
        <f t="shared" si="25"/>
        <v>8</v>
      </c>
    </row>
    <row r="814" spans="1:11" x14ac:dyDescent="0.2">
      <c r="A814">
        <f t="shared" si="24"/>
        <v>2919320</v>
      </c>
      <c r="B814">
        <v>2019</v>
      </c>
      <c r="C814" t="s">
        <v>739</v>
      </c>
      <c r="D814" t="s">
        <v>740</v>
      </c>
      <c r="E814" t="s">
        <v>743</v>
      </c>
      <c r="F814" s="34">
        <v>149</v>
      </c>
      <c r="G814" s="34" t="s">
        <v>101</v>
      </c>
      <c r="H814" s="34"/>
      <c r="J814">
        <f>IFERROR(VLOOKUP(G814,'LEAID Match'!$A$2:$B$526,2,FALSE),"")</f>
        <v>2919320</v>
      </c>
      <c r="K814" s="68">
        <f t="shared" si="25"/>
        <v>8</v>
      </c>
    </row>
    <row r="815" spans="1:11" x14ac:dyDescent="0.2">
      <c r="A815">
        <f t="shared" si="24"/>
        <v>2919320</v>
      </c>
      <c r="B815">
        <v>2020</v>
      </c>
      <c r="C815" t="s">
        <v>739</v>
      </c>
      <c r="D815" t="s">
        <v>740</v>
      </c>
      <c r="E815" t="s">
        <v>743</v>
      </c>
      <c r="F815" s="34">
        <v>149</v>
      </c>
      <c r="G815" s="34" t="s">
        <v>101</v>
      </c>
      <c r="H815" s="34"/>
      <c r="J815">
        <f>IFERROR(VLOOKUP(G815,'LEAID Match'!$A$2:$B$526,2,FALSE),"")</f>
        <v>2919320</v>
      </c>
      <c r="K815" s="68">
        <f t="shared" si="25"/>
        <v>8</v>
      </c>
    </row>
    <row r="816" spans="1:11" x14ac:dyDescent="0.2">
      <c r="A816">
        <f t="shared" si="24"/>
        <v>2919320</v>
      </c>
      <c r="B816">
        <v>2021</v>
      </c>
      <c r="C816" t="s">
        <v>739</v>
      </c>
      <c r="D816" t="s">
        <v>740</v>
      </c>
      <c r="E816" t="s">
        <v>743</v>
      </c>
      <c r="F816" s="34">
        <v>149</v>
      </c>
      <c r="G816" s="34" t="s">
        <v>101</v>
      </c>
      <c r="H816" s="34"/>
      <c r="J816">
        <f>IFERROR(VLOOKUP(G816,'LEAID Match'!$A$2:$B$526,2,FALSE),"")</f>
        <v>2919320</v>
      </c>
      <c r="K816" s="68">
        <f t="shared" si="25"/>
        <v>8</v>
      </c>
    </row>
    <row r="817" spans="1:11" x14ac:dyDescent="0.2">
      <c r="A817">
        <f t="shared" si="24"/>
        <v>2919320</v>
      </c>
      <c r="B817">
        <v>2022</v>
      </c>
      <c r="C817" t="s">
        <v>739</v>
      </c>
      <c r="D817" t="s">
        <v>740</v>
      </c>
      <c r="E817" t="s">
        <v>743</v>
      </c>
      <c r="F817" s="34">
        <v>149</v>
      </c>
      <c r="G817" s="34" t="s">
        <v>101</v>
      </c>
      <c r="H817" s="34"/>
      <c r="J817">
        <f>IFERROR(VLOOKUP(G817,'LEAID Match'!$A$2:$B$526,2,FALSE),"")</f>
        <v>2919320</v>
      </c>
      <c r="K817" s="68">
        <f t="shared" si="25"/>
        <v>8</v>
      </c>
    </row>
    <row r="818" spans="1:11" x14ac:dyDescent="0.2">
      <c r="A818">
        <f t="shared" si="24"/>
        <v>2916450</v>
      </c>
      <c r="B818">
        <v>2015</v>
      </c>
      <c r="C818" t="s">
        <v>739</v>
      </c>
      <c r="D818" t="s">
        <v>740</v>
      </c>
      <c r="E818" t="s">
        <v>743</v>
      </c>
      <c r="F818" s="37">
        <v>151</v>
      </c>
      <c r="G818" s="39" t="s">
        <v>102</v>
      </c>
      <c r="H818" s="40">
        <v>249869</v>
      </c>
      <c r="I818" s="58">
        <v>2479116</v>
      </c>
      <c r="J818">
        <f>IFERROR(VLOOKUP(G818,'LEAID Match'!$A$2:$B$526,2,FALSE),"")</f>
        <v>2916450</v>
      </c>
      <c r="K818" s="68">
        <f t="shared" si="25"/>
        <v>8</v>
      </c>
    </row>
    <row r="819" spans="1:11" x14ac:dyDescent="0.2">
      <c r="A819">
        <f t="shared" si="24"/>
        <v>2916450</v>
      </c>
      <c r="B819">
        <v>2016</v>
      </c>
      <c r="C819" t="s">
        <v>739</v>
      </c>
      <c r="D819" t="s">
        <v>740</v>
      </c>
      <c r="E819" t="s">
        <v>743</v>
      </c>
      <c r="F819" s="34">
        <v>151</v>
      </c>
      <c r="G819" s="34" t="s">
        <v>102</v>
      </c>
      <c r="H819" s="36">
        <v>270497</v>
      </c>
      <c r="I819" s="60">
        <v>2491163</v>
      </c>
      <c r="J819">
        <f>IFERROR(VLOOKUP(G819,'LEAID Match'!$A$2:$B$526,2,FALSE),"")</f>
        <v>2916450</v>
      </c>
      <c r="K819" s="68">
        <f t="shared" si="25"/>
        <v>8</v>
      </c>
    </row>
    <row r="820" spans="1:11" x14ac:dyDescent="0.2">
      <c r="A820">
        <f t="shared" si="24"/>
        <v>2916450</v>
      </c>
      <c r="B820">
        <v>2017</v>
      </c>
      <c r="C820" t="s">
        <v>739</v>
      </c>
      <c r="D820" t="s">
        <v>740</v>
      </c>
      <c r="E820" t="s">
        <v>743</v>
      </c>
      <c r="F820" s="34">
        <v>151</v>
      </c>
      <c r="G820" s="34" t="s">
        <v>102</v>
      </c>
      <c r="H820" s="36">
        <v>292279</v>
      </c>
      <c r="I820" s="58">
        <v>2565384</v>
      </c>
      <c r="J820">
        <f>IFERROR(VLOOKUP(G820,'LEAID Match'!$A$2:$B$526,2,FALSE),"")</f>
        <v>2916450</v>
      </c>
      <c r="K820" s="68">
        <f t="shared" si="25"/>
        <v>8</v>
      </c>
    </row>
    <row r="821" spans="1:11" x14ac:dyDescent="0.2">
      <c r="A821">
        <f t="shared" si="24"/>
        <v>2916450</v>
      </c>
      <c r="B821">
        <v>2018</v>
      </c>
      <c r="C821" t="s">
        <v>739</v>
      </c>
      <c r="D821" t="s">
        <v>740</v>
      </c>
      <c r="E821" t="s">
        <v>743</v>
      </c>
      <c r="F821" s="34">
        <v>151</v>
      </c>
      <c r="G821" s="34" t="s">
        <v>102</v>
      </c>
      <c r="H821" s="36">
        <v>303258</v>
      </c>
      <c r="I821" s="58">
        <v>2562167</v>
      </c>
      <c r="J821">
        <f>IFERROR(VLOOKUP(G821,'LEAID Match'!$A$2:$B$526,2,FALSE),"")</f>
        <v>2916450</v>
      </c>
      <c r="K821" s="68">
        <f t="shared" si="25"/>
        <v>8</v>
      </c>
    </row>
    <row r="822" spans="1:11" x14ac:dyDescent="0.2">
      <c r="A822">
        <f t="shared" si="24"/>
        <v>2916450</v>
      </c>
      <c r="B822">
        <v>2019</v>
      </c>
      <c r="C822" t="s">
        <v>739</v>
      </c>
      <c r="D822" t="s">
        <v>740</v>
      </c>
      <c r="E822" t="s">
        <v>743</v>
      </c>
      <c r="F822" s="34">
        <v>151</v>
      </c>
      <c r="G822" s="34" t="s">
        <v>102</v>
      </c>
      <c r="H822" s="36">
        <v>324773</v>
      </c>
      <c r="I822" s="58">
        <v>2659388</v>
      </c>
      <c r="J822">
        <f>IFERROR(VLOOKUP(G822,'LEAID Match'!$A$2:$B$526,2,FALSE),"")</f>
        <v>2916450</v>
      </c>
      <c r="K822" s="68">
        <f t="shared" si="25"/>
        <v>8</v>
      </c>
    </row>
    <row r="823" spans="1:11" x14ac:dyDescent="0.2">
      <c r="A823">
        <f t="shared" si="24"/>
        <v>2916450</v>
      </c>
      <c r="B823">
        <v>2020</v>
      </c>
      <c r="C823" t="s">
        <v>739</v>
      </c>
      <c r="D823" t="s">
        <v>740</v>
      </c>
      <c r="E823" t="s">
        <v>743</v>
      </c>
      <c r="F823" s="34">
        <v>151</v>
      </c>
      <c r="G823" s="34" t="s">
        <v>102</v>
      </c>
      <c r="H823" s="36">
        <v>354340</v>
      </c>
      <c r="I823" s="58">
        <v>2740625</v>
      </c>
      <c r="J823">
        <f>IFERROR(VLOOKUP(G823,'LEAID Match'!$A$2:$B$526,2,FALSE),"")</f>
        <v>2916450</v>
      </c>
      <c r="K823" s="68">
        <f t="shared" si="25"/>
        <v>8</v>
      </c>
    </row>
    <row r="824" spans="1:11" x14ac:dyDescent="0.2">
      <c r="A824">
        <f t="shared" si="24"/>
        <v>2916450</v>
      </c>
      <c r="B824">
        <v>2021</v>
      </c>
      <c r="C824" t="s">
        <v>739</v>
      </c>
      <c r="D824" t="s">
        <v>740</v>
      </c>
      <c r="E824" t="s">
        <v>743</v>
      </c>
      <c r="F824" s="34">
        <v>151</v>
      </c>
      <c r="G824" s="34" t="s">
        <v>102</v>
      </c>
      <c r="H824" s="36">
        <v>356137</v>
      </c>
      <c r="I824" s="58">
        <v>2780541</v>
      </c>
      <c r="J824">
        <f>IFERROR(VLOOKUP(G824,'LEAID Match'!$A$2:$B$526,2,FALSE),"")</f>
        <v>2916450</v>
      </c>
      <c r="K824" s="68">
        <f t="shared" si="25"/>
        <v>8</v>
      </c>
    </row>
    <row r="825" spans="1:11" x14ac:dyDescent="0.2">
      <c r="A825">
        <f t="shared" si="24"/>
        <v>2916450</v>
      </c>
      <c r="B825">
        <v>2022</v>
      </c>
      <c r="C825" t="s">
        <v>739</v>
      </c>
      <c r="D825" t="s">
        <v>740</v>
      </c>
      <c r="E825" t="s">
        <v>743</v>
      </c>
      <c r="F825" s="34">
        <v>151</v>
      </c>
      <c r="G825" s="34" t="s">
        <v>102</v>
      </c>
      <c r="H825" s="36">
        <v>383887</v>
      </c>
      <c r="I825" s="58">
        <v>2831072</v>
      </c>
      <c r="J825">
        <f>IFERROR(VLOOKUP(G825,'LEAID Match'!$A$2:$B$526,2,FALSE),"")</f>
        <v>2916450</v>
      </c>
      <c r="K825" s="68">
        <f t="shared" si="25"/>
        <v>8</v>
      </c>
    </row>
    <row r="826" spans="1:11" x14ac:dyDescent="0.2">
      <c r="A826">
        <f t="shared" si="24"/>
        <v>2928410</v>
      </c>
      <c r="B826">
        <v>2015</v>
      </c>
      <c r="C826" t="s">
        <v>739</v>
      </c>
      <c r="D826" t="s">
        <v>740</v>
      </c>
      <c r="E826" t="s">
        <v>743</v>
      </c>
      <c r="F826" s="37">
        <v>152</v>
      </c>
      <c r="G826" s="39" t="s">
        <v>103</v>
      </c>
      <c r="H826" s="40">
        <v>199483</v>
      </c>
      <c r="I826" s="58">
        <v>1678978</v>
      </c>
      <c r="J826">
        <f>IFERROR(VLOOKUP(G826,'LEAID Match'!$A$2:$B$526,2,FALSE),"")</f>
        <v>2928410</v>
      </c>
      <c r="K826" s="68">
        <f t="shared" si="25"/>
        <v>8</v>
      </c>
    </row>
    <row r="827" spans="1:11" x14ac:dyDescent="0.2">
      <c r="A827">
        <f t="shared" si="24"/>
        <v>2928410</v>
      </c>
      <c r="B827">
        <v>2016</v>
      </c>
      <c r="C827" t="s">
        <v>739</v>
      </c>
      <c r="D827" t="s">
        <v>740</v>
      </c>
      <c r="E827" t="s">
        <v>743</v>
      </c>
      <c r="F827" s="34">
        <v>152</v>
      </c>
      <c r="G827" s="34" t="s">
        <v>103</v>
      </c>
      <c r="H827" s="36">
        <v>218287</v>
      </c>
      <c r="I827" s="60">
        <v>1768415</v>
      </c>
      <c r="J827">
        <f>IFERROR(VLOOKUP(G827,'LEAID Match'!$A$2:$B$526,2,FALSE),"")</f>
        <v>2928410</v>
      </c>
      <c r="K827" s="68">
        <f t="shared" si="25"/>
        <v>8</v>
      </c>
    </row>
    <row r="828" spans="1:11" x14ac:dyDescent="0.2">
      <c r="A828">
        <f t="shared" si="24"/>
        <v>2928410</v>
      </c>
      <c r="B828">
        <v>2017</v>
      </c>
      <c r="C828" t="s">
        <v>739</v>
      </c>
      <c r="D828" t="s">
        <v>740</v>
      </c>
      <c r="E828" t="s">
        <v>743</v>
      </c>
      <c r="F828" s="34">
        <v>152</v>
      </c>
      <c r="G828" s="34" t="s">
        <v>103</v>
      </c>
      <c r="H828" s="36">
        <v>225707</v>
      </c>
      <c r="I828" s="58">
        <v>1817156</v>
      </c>
      <c r="J828">
        <f>IFERROR(VLOOKUP(G828,'LEAID Match'!$A$2:$B$526,2,FALSE),"")</f>
        <v>2928410</v>
      </c>
      <c r="K828" s="68">
        <f t="shared" si="25"/>
        <v>8</v>
      </c>
    </row>
    <row r="829" spans="1:11" x14ac:dyDescent="0.2">
      <c r="A829">
        <f t="shared" si="24"/>
        <v>2928410</v>
      </c>
      <c r="B829">
        <v>2018</v>
      </c>
      <c r="C829" t="s">
        <v>739</v>
      </c>
      <c r="D829" t="s">
        <v>740</v>
      </c>
      <c r="E829" t="s">
        <v>743</v>
      </c>
      <c r="F829" s="34">
        <v>152</v>
      </c>
      <c r="G829" s="34" t="s">
        <v>103</v>
      </c>
      <c r="H829" s="36">
        <v>247614</v>
      </c>
      <c r="I829" s="58">
        <v>1873954</v>
      </c>
      <c r="J829">
        <f>IFERROR(VLOOKUP(G829,'LEAID Match'!$A$2:$B$526,2,FALSE),"")</f>
        <v>2928410</v>
      </c>
      <c r="K829" s="68">
        <f t="shared" si="25"/>
        <v>8</v>
      </c>
    </row>
    <row r="830" spans="1:11" x14ac:dyDescent="0.2">
      <c r="A830">
        <f t="shared" si="24"/>
        <v>2928410</v>
      </c>
      <c r="B830">
        <v>2019</v>
      </c>
      <c r="C830" t="s">
        <v>739</v>
      </c>
      <c r="D830" t="s">
        <v>740</v>
      </c>
      <c r="E830" t="s">
        <v>743</v>
      </c>
      <c r="F830" s="34">
        <v>152</v>
      </c>
      <c r="G830" s="34" t="s">
        <v>103</v>
      </c>
      <c r="H830" s="36">
        <v>270823</v>
      </c>
      <c r="I830" s="58">
        <v>1997568</v>
      </c>
      <c r="J830">
        <f>IFERROR(VLOOKUP(G830,'LEAID Match'!$A$2:$B$526,2,FALSE),"")</f>
        <v>2928410</v>
      </c>
      <c r="K830" s="68">
        <f t="shared" si="25"/>
        <v>8</v>
      </c>
    </row>
    <row r="831" spans="1:11" x14ac:dyDescent="0.2">
      <c r="A831">
        <f t="shared" si="24"/>
        <v>2928410</v>
      </c>
      <c r="B831">
        <v>2020</v>
      </c>
      <c r="C831" t="s">
        <v>739</v>
      </c>
      <c r="D831" t="s">
        <v>740</v>
      </c>
      <c r="E831" t="s">
        <v>743</v>
      </c>
      <c r="F831" s="34">
        <v>152</v>
      </c>
      <c r="G831" s="34" t="s">
        <v>103</v>
      </c>
      <c r="H831" s="36">
        <v>269163</v>
      </c>
      <c r="I831" s="58">
        <v>1929395</v>
      </c>
      <c r="J831">
        <f>IFERROR(VLOOKUP(G831,'LEAID Match'!$A$2:$B$526,2,FALSE),"")</f>
        <v>2928410</v>
      </c>
      <c r="K831" s="68">
        <f t="shared" si="25"/>
        <v>8</v>
      </c>
    </row>
    <row r="832" spans="1:11" x14ac:dyDescent="0.2">
      <c r="A832">
        <f t="shared" si="24"/>
        <v>2928410</v>
      </c>
      <c r="B832">
        <v>2021</v>
      </c>
      <c r="C832" t="s">
        <v>739</v>
      </c>
      <c r="D832" t="s">
        <v>740</v>
      </c>
      <c r="E832" t="s">
        <v>743</v>
      </c>
      <c r="F832" s="34">
        <v>152</v>
      </c>
      <c r="G832" s="34" t="s">
        <v>103</v>
      </c>
      <c r="H832" s="36">
        <v>283386</v>
      </c>
      <c r="I832" s="58">
        <v>1978702</v>
      </c>
      <c r="J832">
        <f>IFERROR(VLOOKUP(G832,'LEAID Match'!$A$2:$B$526,2,FALSE),"")</f>
        <v>2928410</v>
      </c>
      <c r="K832" s="68">
        <f t="shared" si="25"/>
        <v>8</v>
      </c>
    </row>
    <row r="833" spans="1:11" x14ac:dyDescent="0.2">
      <c r="A833">
        <f t="shared" si="24"/>
        <v>2928410</v>
      </c>
      <c r="B833">
        <v>2022</v>
      </c>
      <c r="C833" t="s">
        <v>739</v>
      </c>
      <c r="D833" t="s">
        <v>740</v>
      </c>
      <c r="E833" t="s">
        <v>743</v>
      </c>
      <c r="F833" s="34">
        <v>152</v>
      </c>
      <c r="G833" s="34" t="s">
        <v>103</v>
      </c>
      <c r="H833" s="36">
        <v>292085</v>
      </c>
      <c r="I833" s="58">
        <v>1961928</v>
      </c>
      <c r="J833">
        <f>IFERROR(VLOOKUP(G833,'LEAID Match'!$A$2:$B$526,2,FALSE),"")</f>
        <v>2928410</v>
      </c>
      <c r="K833" s="68">
        <f t="shared" si="25"/>
        <v>8</v>
      </c>
    </row>
    <row r="834" spans="1:11" x14ac:dyDescent="0.2">
      <c r="A834">
        <f t="shared" si="24"/>
        <v>2911650</v>
      </c>
      <c r="B834">
        <v>2015</v>
      </c>
      <c r="C834" t="s">
        <v>739</v>
      </c>
      <c r="D834" t="s">
        <v>740</v>
      </c>
      <c r="E834" t="s">
        <v>743</v>
      </c>
      <c r="F834" s="37">
        <v>154</v>
      </c>
      <c r="G834" s="39" t="s">
        <v>104</v>
      </c>
      <c r="H834" s="40">
        <v>281484</v>
      </c>
      <c r="I834" s="58">
        <v>1907040</v>
      </c>
      <c r="J834">
        <f>IFERROR(VLOOKUP(G834,'LEAID Match'!$A$2:$B$526,2,FALSE),"")</f>
        <v>2911650</v>
      </c>
      <c r="K834" s="68">
        <f t="shared" si="25"/>
        <v>8</v>
      </c>
    </row>
    <row r="835" spans="1:11" x14ac:dyDescent="0.2">
      <c r="A835">
        <f t="shared" ref="A835:A898" si="26">J835</f>
        <v>2911650</v>
      </c>
      <c r="B835">
        <v>2016</v>
      </c>
      <c r="C835" t="s">
        <v>739</v>
      </c>
      <c r="D835" t="s">
        <v>740</v>
      </c>
      <c r="E835" t="s">
        <v>743</v>
      </c>
      <c r="F835" s="34">
        <v>154</v>
      </c>
      <c r="G835" s="34" t="s">
        <v>104</v>
      </c>
      <c r="H835" s="36">
        <v>288084</v>
      </c>
      <c r="I835" s="60">
        <v>1900812</v>
      </c>
      <c r="J835">
        <f>IFERROR(VLOOKUP(G835,'LEAID Match'!$A$2:$B$526,2,FALSE),"")</f>
        <v>2911650</v>
      </c>
      <c r="K835" s="68">
        <f t="shared" ref="K835:K898" si="27">COUNTIF($J$2:$J$4295,J835)</f>
        <v>8</v>
      </c>
    </row>
    <row r="836" spans="1:11" x14ac:dyDescent="0.2">
      <c r="A836">
        <f t="shared" si="26"/>
        <v>2911650</v>
      </c>
      <c r="B836">
        <v>2017</v>
      </c>
      <c r="C836" t="s">
        <v>739</v>
      </c>
      <c r="D836" t="s">
        <v>740</v>
      </c>
      <c r="E836" t="s">
        <v>743</v>
      </c>
      <c r="F836" s="34">
        <v>154</v>
      </c>
      <c r="G836" s="34" t="s">
        <v>104</v>
      </c>
      <c r="H836" s="36">
        <v>295949</v>
      </c>
      <c r="I836" s="58">
        <v>1954845</v>
      </c>
      <c r="J836">
        <f>IFERROR(VLOOKUP(G836,'LEAID Match'!$A$2:$B$526,2,FALSE),"")</f>
        <v>2911650</v>
      </c>
      <c r="K836" s="68">
        <f t="shared" si="27"/>
        <v>8</v>
      </c>
    </row>
    <row r="837" spans="1:11" x14ac:dyDescent="0.2">
      <c r="A837">
        <f t="shared" si="26"/>
        <v>2911650</v>
      </c>
      <c r="B837">
        <v>2018</v>
      </c>
      <c r="C837" t="s">
        <v>739</v>
      </c>
      <c r="D837" t="s">
        <v>740</v>
      </c>
      <c r="E837" t="s">
        <v>743</v>
      </c>
      <c r="F837" s="34">
        <v>154</v>
      </c>
      <c r="G837" s="34" t="s">
        <v>104</v>
      </c>
      <c r="H837" s="36">
        <v>297781</v>
      </c>
      <c r="I837" s="58">
        <v>1972563</v>
      </c>
      <c r="J837">
        <f>IFERROR(VLOOKUP(G837,'LEAID Match'!$A$2:$B$526,2,FALSE),"")</f>
        <v>2911650</v>
      </c>
      <c r="K837" s="68">
        <f t="shared" si="27"/>
        <v>8</v>
      </c>
    </row>
    <row r="838" spans="1:11" x14ac:dyDescent="0.2">
      <c r="A838">
        <f t="shared" si="26"/>
        <v>2911650</v>
      </c>
      <c r="B838">
        <v>2019</v>
      </c>
      <c r="C838" t="s">
        <v>739</v>
      </c>
      <c r="D838" t="s">
        <v>740</v>
      </c>
      <c r="E838" t="s">
        <v>743</v>
      </c>
      <c r="F838" s="34">
        <v>154</v>
      </c>
      <c r="G838" s="34" t="s">
        <v>104</v>
      </c>
      <c r="H838" s="36">
        <v>309680</v>
      </c>
      <c r="I838" s="58">
        <v>2018260</v>
      </c>
      <c r="J838">
        <f>IFERROR(VLOOKUP(G838,'LEAID Match'!$A$2:$B$526,2,FALSE),"")</f>
        <v>2911650</v>
      </c>
      <c r="K838" s="68">
        <f t="shared" si="27"/>
        <v>8</v>
      </c>
    </row>
    <row r="839" spans="1:11" x14ac:dyDescent="0.2">
      <c r="A839">
        <f t="shared" si="26"/>
        <v>2911650</v>
      </c>
      <c r="B839">
        <v>2020</v>
      </c>
      <c r="C839" t="s">
        <v>739</v>
      </c>
      <c r="D839" t="s">
        <v>740</v>
      </c>
      <c r="E839" t="s">
        <v>743</v>
      </c>
      <c r="F839" s="34">
        <v>154</v>
      </c>
      <c r="G839" s="34" t="s">
        <v>104</v>
      </c>
      <c r="H839" s="36">
        <v>336196</v>
      </c>
      <c r="I839" s="58">
        <v>2019235</v>
      </c>
      <c r="J839">
        <f>IFERROR(VLOOKUP(G839,'LEAID Match'!$A$2:$B$526,2,FALSE),"")</f>
        <v>2911650</v>
      </c>
      <c r="K839" s="68">
        <f t="shared" si="27"/>
        <v>8</v>
      </c>
    </row>
    <row r="840" spans="1:11" x14ac:dyDescent="0.2">
      <c r="A840">
        <f t="shared" si="26"/>
        <v>2911650</v>
      </c>
      <c r="B840">
        <v>2021</v>
      </c>
      <c r="C840" t="s">
        <v>739</v>
      </c>
      <c r="D840" t="s">
        <v>740</v>
      </c>
      <c r="E840" t="s">
        <v>743</v>
      </c>
      <c r="F840" s="34">
        <v>154</v>
      </c>
      <c r="G840" s="34" t="s">
        <v>104</v>
      </c>
      <c r="H840" s="36">
        <v>362139</v>
      </c>
      <c r="I840" s="58">
        <v>2088553</v>
      </c>
      <c r="J840">
        <f>IFERROR(VLOOKUP(G840,'LEAID Match'!$A$2:$B$526,2,FALSE),"")</f>
        <v>2911650</v>
      </c>
      <c r="K840" s="68">
        <f t="shared" si="27"/>
        <v>8</v>
      </c>
    </row>
    <row r="841" spans="1:11" x14ac:dyDescent="0.2">
      <c r="A841">
        <f t="shared" si="26"/>
        <v>2911650</v>
      </c>
      <c r="B841">
        <v>2022</v>
      </c>
      <c r="C841" t="s">
        <v>739</v>
      </c>
      <c r="D841" t="s">
        <v>740</v>
      </c>
      <c r="E841" t="s">
        <v>743</v>
      </c>
      <c r="F841" s="34">
        <v>154</v>
      </c>
      <c r="G841" s="34" t="s">
        <v>104</v>
      </c>
      <c r="H841" s="36">
        <v>369907</v>
      </c>
      <c r="I841" s="58">
        <v>2221287</v>
      </c>
      <c r="J841">
        <f>IFERROR(VLOOKUP(G841,'LEAID Match'!$A$2:$B$526,2,FALSE),"")</f>
        <v>2911650</v>
      </c>
      <c r="K841" s="68">
        <f t="shared" si="27"/>
        <v>8</v>
      </c>
    </row>
    <row r="842" spans="1:11" x14ac:dyDescent="0.2">
      <c r="A842">
        <f t="shared" si="26"/>
        <v>2918540</v>
      </c>
      <c r="B842">
        <v>2015</v>
      </c>
      <c r="C842" t="s">
        <v>739</v>
      </c>
      <c r="D842" t="s">
        <v>740</v>
      </c>
      <c r="E842" t="s">
        <v>743</v>
      </c>
      <c r="F842" s="37">
        <v>155</v>
      </c>
      <c r="G842" s="39" t="s">
        <v>105</v>
      </c>
      <c r="H842" s="40">
        <v>1538755</v>
      </c>
      <c r="I842" s="58">
        <v>8224845</v>
      </c>
      <c r="J842">
        <f>IFERROR(VLOOKUP(G842,'LEAID Match'!$A$2:$B$526,2,FALSE),"")</f>
        <v>2918540</v>
      </c>
      <c r="K842" s="68">
        <f t="shared" si="27"/>
        <v>8</v>
      </c>
    </row>
    <row r="843" spans="1:11" x14ac:dyDescent="0.2">
      <c r="A843">
        <f t="shared" si="26"/>
        <v>2918540</v>
      </c>
      <c r="B843">
        <v>2016</v>
      </c>
      <c r="C843" t="s">
        <v>739</v>
      </c>
      <c r="D843" t="s">
        <v>740</v>
      </c>
      <c r="E843" t="s">
        <v>743</v>
      </c>
      <c r="F843" s="34">
        <v>155</v>
      </c>
      <c r="G843" s="34" t="s">
        <v>105</v>
      </c>
      <c r="H843" s="36">
        <v>1598344</v>
      </c>
      <c r="I843" s="60">
        <v>8529254</v>
      </c>
      <c r="J843">
        <f>IFERROR(VLOOKUP(G843,'LEAID Match'!$A$2:$B$526,2,FALSE),"")</f>
        <v>2918540</v>
      </c>
      <c r="K843" s="68">
        <f t="shared" si="27"/>
        <v>8</v>
      </c>
    </row>
    <row r="844" spans="1:11" x14ac:dyDescent="0.2">
      <c r="A844">
        <f t="shared" si="26"/>
        <v>2918540</v>
      </c>
      <c r="B844">
        <v>2017</v>
      </c>
      <c r="C844" t="s">
        <v>739</v>
      </c>
      <c r="D844" t="s">
        <v>740</v>
      </c>
      <c r="E844" t="s">
        <v>743</v>
      </c>
      <c r="F844" s="34">
        <v>155</v>
      </c>
      <c r="G844" s="34" t="s">
        <v>105</v>
      </c>
      <c r="H844" s="36">
        <v>1713938</v>
      </c>
      <c r="I844" s="58">
        <v>8837739</v>
      </c>
      <c r="J844">
        <f>IFERROR(VLOOKUP(G844,'LEAID Match'!$A$2:$B$526,2,FALSE),"")</f>
        <v>2918540</v>
      </c>
      <c r="K844" s="68">
        <f t="shared" si="27"/>
        <v>8</v>
      </c>
    </row>
    <row r="845" spans="1:11" x14ac:dyDescent="0.2">
      <c r="A845">
        <f t="shared" si="26"/>
        <v>2918540</v>
      </c>
      <c r="B845">
        <v>2018</v>
      </c>
      <c r="C845" t="s">
        <v>739</v>
      </c>
      <c r="D845" t="s">
        <v>740</v>
      </c>
      <c r="E845" t="s">
        <v>743</v>
      </c>
      <c r="F845" s="34">
        <v>155</v>
      </c>
      <c r="G845" s="34" t="s">
        <v>105</v>
      </c>
      <c r="H845" s="36">
        <v>1779755</v>
      </c>
      <c r="I845" s="58">
        <v>9263860</v>
      </c>
      <c r="J845">
        <f>IFERROR(VLOOKUP(G845,'LEAID Match'!$A$2:$B$526,2,FALSE),"")</f>
        <v>2918540</v>
      </c>
      <c r="K845" s="68">
        <f t="shared" si="27"/>
        <v>8</v>
      </c>
    </row>
    <row r="846" spans="1:11" x14ac:dyDescent="0.2">
      <c r="A846">
        <f t="shared" si="26"/>
        <v>2918540</v>
      </c>
      <c r="B846">
        <v>2019</v>
      </c>
      <c r="C846" t="s">
        <v>739</v>
      </c>
      <c r="D846" t="s">
        <v>740</v>
      </c>
      <c r="E846" t="s">
        <v>743</v>
      </c>
      <c r="F846" s="34">
        <v>155</v>
      </c>
      <c r="G846" s="34" t="s">
        <v>105</v>
      </c>
      <c r="H846" s="36">
        <v>1853199</v>
      </c>
      <c r="I846" s="58">
        <v>9743579</v>
      </c>
      <c r="J846">
        <f>IFERROR(VLOOKUP(G846,'LEAID Match'!$A$2:$B$526,2,FALSE),"")</f>
        <v>2918540</v>
      </c>
      <c r="K846" s="68">
        <f t="shared" si="27"/>
        <v>8</v>
      </c>
    </row>
    <row r="847" spans="1:11" x14ac:dyDescent="0.2">
      <c r="A847">
        <f t="shared" si="26"/>
        <v>2918540</v>
      </c>
      <c r="B847">
        <v>2020</v>
      </c>
      <c r="C847" t="s">
        <v>739</v>
      </c>
      <c r="D847" t="s">
        <v>740</v>
      </c>
      <c r="E847" t="s">
        <v>743</v>
      </c>
      <c r="F847" s="34">
        <v>155</v>
      </c>
      <c r="G847" s="34" t="s">
        <v>105</v>
      </c>
      <c r="H847" s="36">
        <v>1968163</v>
      </c>
      <c r="I847" s="58">
        <v>10263578</v>
      </c>
      <c r="J847">
        <f>IFERROR(VLOOKUP(G847,'LEAID Match'!$A$2:$B$526,2,FALSE),"")</f>
        <v>2918540</v>
      </c>
      <c r="K847" s="68">
        <f t="shared" si="27"/>
        <v>8</v>
      </c>
    </row>
    <row r="848" spans="1:11" x14ac:dyDescent="0.2">
      <c r="A848">
        <f t="shared" si="26"/>
        <v>2918540</v>
      </c>
      <c r="B848">
        <v>2021</v>
      </c>
      <c r="C848" t="s">
        <v>739</v>
      </c>
      <c r="D848" t="s">
        <v>740</v>
      </c>
      <c r="E848" t="s">
        <v>743</v>
      </c>
      <c r="F848" s="34">
        <v>155</v>
      </c>
      <c r="G848" s="34" t="s">
        <v>105</v>
      </c>
      <c r="H848" s="36">
        <v>2045006</v>
      </c>
      <c r="I848" s="58">
        <v>10563679</v>
      </c>
      <c r="J848">
        <f>IFERROR(VLOOKUP(G848,'LEAID Match'!$A$2:$B$526,2,FALSE),"")</f>
        <v>2918540</v>
      </c>
      <c r="K848" s="68">
        <f t="shared" si="27"/>
        <v>8</v>
      </c>
    </row>
    <row r="849" spans="1:11" x14ac:dyDescent="0.2">
      <c r="A849">
        <f t="shared" si="26"/>
        <v>2918540</v>
      </c>
      <c r="B849">
        <v>2022</v>
      </c>
      <c r="C849" t="s">
        <v>739</v>
      </c>
      <c r="D849" t="s">
        <v>740</v>
      </c>
      <c r="E849" t="s">
        <v>743</v>
      </c>
      <c r="F849" s="34">
        <v>155</v>
      </c>
      <c r="G849" s="34" t="s">
        <v>105</v>
      </c>
      <c r="H849" s="36">
        <v>2141297</v>
      </c>
      <c r="I849" s="58">
        <v>10732066</v>
      </c>
      <c r="J849">
        <f>IFERROR(VLOOKUP(G849,'LEAID Match'!$A$2:$B$526,2,FALSE),"")</f>
        <v>2918540</v>
      </c>
      <c r="K849" s="68">
        <f t="shared" si="27"/>
        <v>8</v>
      </c>
    </row>
    <row r="850" spans="1:11" x14ac:dyDescent="0.2">
      <c r="A850">
        <f t="shared" si="26"/>
        <v>2922800</v>
      </c>
      <c r="B850">
        <v>2015</v>
      </c>
      <c r="C850" t="s">
        <v>739</v>
      </c>
      <c r="D850" t="s">
        <v>740</v>
      </c>
      <c r="E850" t="s">
        <v>743</v>
      </c>
      <c r="F850" s="37">
        <v>156</v>
      </c>
      <c r="G850" s="39" t="s">
        <v>106</v>
      </c>
      <c r="H850" s="40">
        <v>2858708</v>
      </c>
      <c r="I850" s="58">
        <v>14936534</v>
      </c>
      <c r="J850">
        <f>IFERROR(VLOOKUP(G850,'LEAID Match'!$A$2:$B$526,2,FALSE),"")</f>
        <v>2922800</v>
      </c>
      <c r="K850" s="68">
        <f t="shared" si="27"/>
        <v>8</v>
      </c>
    </row>
    <row r="851" spans="1:11" x14ac:dyDescent="0.2">
      <c r="A851">
        <f t="shared" si="26"/>
        <v>2922800</v>
      </c>
      <c r="B851">
        <v>2016</v>
      </c>
      <c r="C851" t="s">
        <v>739</v>
      </c>
      <c r="D851" t="s">
        <v>740</v>
      </c>
      <c r="E851" t="s">
        <v>743</v>
      </c>
      <c r="F851" s="34">
        <v>156</v>
      </c>
      <c r="G851" s="34" t="s">
        <v>106</v>
      </c>
      <c r="H851" s="36">
        <v>3009720</v>
      </c>
      <c r="I851" s="60">
        <v>15501055</v>
      </c>
      <c r="J851">
        <f>IFERROR(VLOOKUP(G851,'LEAID Match'!$A$2:$B$526,2,FALSE),"")</f>
        <v>2922800</v>
      </c>
      <c r="K851" s="68">
        <f t="shared" si="27"/>
        <v>8</v>
      </c>
    </row>
    <row r="852" spans="1:11" x14ac:dyDescent="0.2">
      <c r="A852">
        <f t="shared" si="26"/>
        <v>2922800</v>
      </c>
      <c r="B852">
        <v>2017</v>
      </c>
      <c r="C852" t="s">
        <v>739</v>
      </c>
      <c r="D852" t="s">
        <v>740</v>
      </c>
      <c r="E852" t="s">
        <v>743</v>
      </c>
      <c r="F852" s="34">
        <v>156</v>
      </c>
      <c r="G852" s="34" t="s">
        <v>106</v>
      </c>
      <c r="H852" s="36">
        <v>3138926</v>
      </c>
      <c r="I852" s="58">
        <v>15992950</v>
      </c>
      <c r="J852">
        <f>IFERROR(VLOOKUP(G852,'LEAID Match'!$A$2:$B$526,2,FALSE),"")</f>
        <v>2922800</v>
      </c>
      <c r="K852" s="68">
        <f t="shared" si="27"/>
        <v>8</v>
      </c>
    </row>
    <row r="853" spans="1:11" x14ac:dyDescent="0.2">
      <c r="A853">
        <f t="shared" si="26"/>
        <v>2922800</v>
      </c>
      <c r="B853">
        <v>2018</v>
      </c>
      <c r="C853" t="s">
        <v>739</v>
      </c>
      <c r="D853" t="s">
        <v>740</v>
      </c>
      <c r="E853" t="s">
        <v>743</v>
      </c>
      <c r="F853" s="34">
        <v>156</v>
      </c>
      <c r="G853" s="34" t="s">
        <v>106</v>
      </c>
      <c r="H853" s="36">
        <v>3225423</v>
      </c>
      <c r="I853" s="58">
        <v>16434928</v>
      </c>
      <c r="J853">
        <f>IFERROR(VLOOKUP(G853,'LEAID Match'!$A$2:$B$526,2,FALSE),"")</f>
        <v>2922800</v>
      </c>
      <c r="K853" s="68">
        <f t="shared" si="27"/>
        <v>8</v>
      </c>
    </row>
    <row r="854" spans="1:11" x14ac:dyDescent="0.2">
      <c r="A854">
        <f t="shared" si="26"/>
        <v>2922800</v>
      </c>
      <c r="B854">
        <v>2019</v>
      </c>
      <c r="C854" t="s">
        <v>739</v>
      </c>
      <c r="D854" t="s">
        <v>740</v>
      </c>
      <c r="E854" t="s">
        <v>743</v>
      </c>
      <c r="F854" s="34">
        <v>156</v>
      </c>
      <c r="G854" s="34" t="s">
        <v>106</v>
      </c>
      <c r="H854" s="36">
        <v>3441193</v>
      </c>
      <c r="I854" s="58">
        <v>16936255</v>
      </c>
      <c r="J854">
        <f>IFERROR(VLOOKUP(G854,'LEAID Match'!$A$2:$B$526,2,FALSE),"")</f>
        <v>2922800</v>
      </c>
      <c r="K854" s="68">
        <f t="shared" si="27"/>
        <v>8</v>
      </c>
    </row>
    <row r="855" spans="1:11" x14ac:dyDescent="0.2">
      <c r="A855">
        <f t="shared" si="26"/>
        <v>2922800</v>
      </c>
      <c r="B855">
        <v>2020</v>
      </c>
      <c r="C855" t="s">
        <v>739</v>
      </c>
      <c r="D855" t="s">
        <v>740</v>
      </c>
      <c r="E855" t="s">
        <v>743</v>
      </c>
      <c r="F855" s="34">
        <v>156</v>
      </c>
      <c r="G855" s="34" t="s">
        <v>106</v>
      </c>
      <c r="H855" s="36">
        <v>3482176</v>
      </c>
      <c r="I855" s="58">
        <v>17536934</v>
      </c>
      <c r="J855">
        <f>IFERROR(VLOOKUP(G855,'LEAID Match'!$A$2:$B$526,2,FALSE),"")</f>
        <v>2922800</v>
      </c>
      <c r="K855" s="68">
        <f t="shared" si="27"/>
        <v>8</v>
      </c>
    </row>
    <row r="856" spans="1:11" x14ac:dyDescent="0.2">
      <c r="A856">
        <f t="shared" si="26"/>
        <v>2922800</v>
      </c>
      <c r="B856">
        <v>2021</v>
      </c>
      <c r="C856" t="s">
        <v>739</v>
      </c>
      <c r="D856" t="s">
        <v>740</v>
      </c>
      <c r="E856" t="s">
        <v>743</v>
      </c>
      <c r="F856" s="34">
        <v>156</v>
      </c>
      <c r="G856" s="34" t="s">
        <v>106</v>
      </c>
      <c r="H856" s="36">
        <v>3533261</v>
      </c>
      <c r="I856" s="58">
        <v>17950552</v>
      </c>
      <c r="J856">
        <f>IFERROR(VLOOKUP(G856,'LEAID Match'!$A$2:$B$526,2,FALSE),"")</f>
        <v>2922800</v>
      </c>
      <c r="K856" s="68">
        <f t="shared" si="27"/>
        <v>8</v>
      </c>
    </row>
    <row r="857" spans="1:11" x14ac:dyDescent="0.2">
      <c r="A857">
        <f t="shared" si="26"/>
        <v>2922800</v>
      </c>
      <c r="B857">
        <v>2022</v>
      </c>
      <c r="C857" t="s">
        <v>739</v>
      </c>
      <c r="D857" t="s">
        <v>740</v>
      </c>
      <c r="E857" t="s">
        <v>743</v>
      </c>
      <c r="F857" s="34">
        <v>156</v>
      </c>
      <c r="G857" s="34" t="s">
        <v>106</v>
      </c>
      <c r="H857" s="36">
        <v>3946708</v>
      </c>
      <c r="I857" s="58">
        <v>19022640</v>
      </c>
      <c r="J857">
        <f>IFERROR(VLOOKUP(G857,'LEAID Match'!$A$2:$B$526,2,FALSE),"")</f>
        <v>2922800</v>
      </c>
      <c r="K857" s="68">
        <f t="shared" si="27"/>
        <v>8</v>
      </c>
    </row>
    <row r="858" spans="1:11" x14ac:dyDescent="0.2">
      <c r="A858">
        <f t="shared" si="26"/>
        <v>2921060</v>
      </c>
      <c r="B858">
        <v>2015</v>
      </c>
      <c r="C858" t="s">
        <v>739</v>
      </c>
      <c r="D858" t="s">
        <v>740</v>
      </c>
      <c r="E858" t="s">
        <v>743</v>
      </c>
      <c r="F858" s="37">
        <v>165</v>
      </c>
      <c r="G858" s="39" t="s">
        <v>107</v>
      </c>
      <c r="H858" s="40">
        <v>2375</v>
      </c>
      <c r="I858" s="58">
        <v>17665</v>
      </c>
      <c r="J858">
        <f>IFERROR(VLOOKUP(G858,'LEAID Match'!$A$2:$B$526,2,FALSE),"")</f>
        <v>2921060</v>
      </c>
      <c r="K858" s="68">
        <f t="shared" si="27"/>
        <v>8</v>
      </c>
    </row>
    <row r="859" spans="1:11" x14ac:dyDescent="0.2">
      <c r="A859">
        <f t="shared" si="26"/>
        <v>2921060</v>
      </c>
      <c r="B859">
        <v>2016</v>
      </c>
      <c r="C859" t="s">
        <v>739</v>
      </c>
      <c r="D859" t="s">
        <v>740</v>
      </c>
      <c r="E859" t="s">
        <v>743</v>
      </c>
      <c r="F859" s="34">
        <v>165</v>
      </c>
      <c r="G859" s="34" t="s">
        <v>107</v>
      </c>
      <c r="H859" s="36">
        <v>3359</v>
      </c>
      <c r="I859" s="60">
        <v>20305</v>
      </c>
      <c r="J859">
        <f>IFERROR(VLOOKUP(G859,'LEAID Match'!$A$2:$B$526,2,FALSE),"")</f>
        <v>2921060</v>
      </c>
      <c r="K859" s="68">
        <f t="shared" si="27"/>
        <v>8</v>
      </c>
    </row>
    <row r="860" spans="1:11" x14ac:dyDescent="0.2">
      <c r="A860">
        <f t="shared" si="26"/>
        <v>2921060</v>
      </c>
      <c r="B860">
        <v>2017</v>
      </c>
      <c r="C860" t="s">
        <v>739</v>
      </c>
      <c r="D860" t="s">
        <v>740</v>
      </c>
      <c r="E860" t="s">
        <v>743</v>
      </c>
      <c r="F860" s="34">
        <v>165</v>
      </c>
      <c r="G860" s="34" t="s">
        <v>107</v>
      </c>
      <c r="H860" s="36">
        <v>3776</v>
      </c>
      <c r="I860" s="58">
        <v>20988</v>
      </c>
      <c r="J860">
        <f>IFERROR(VLOOKUP(G860,'LEAID Match'!$A$2:$B$526,2,FALSE),"")</f>
        <v>2921060</v>
      </c>
      <c r="K860" s="68">
        <f t="shared" si="27"/>
        <v>8</v>
      </c>
    </row>
    <row r="861" spans="1:11" x14ac:dyDescent="0.2">
      <c r="A861">
        <f t="shared" si="26"/>
        <v>2921060</v>
      </c>
      <c r="B861">
        <v>2018</v>
      </c>
      <c r="C861" t="s">
        <v>739</v>
      </c>
      <c r="D861" t="s">
        <v>740</v>
      </c>
      <c r="E861" t="s">
        <v>743</v>
      </c>
      <c r="F861" s="34">
        <v>165</v>
      </c>
      <c r="G861" s="34" t="s">
        <v>107</v>
      </c>
      <c r="H861" s="36">
        <v>2985</v>
      </c>
      <c r="I861" s="58">
        <v>23925</v>
      </c>
      <c r="J861">
        <f>IFERROR(VLOOKUP(G861,'LEAID Match'!$A$2:$B$526,2,FALSE),"")</f>
        <v>2921060</v>
      </c>
      <c r="K861" s="68">
        <f t="shared" si="27"/>
        <v>8</v>
      </c>
    </row>
    <row r="862" spans="1:11" x14ac:dyDescent="0.2">
      <c r="A862">
        <f t="shared" si="26"/>
        <v>2921060</v>
      </c>
      <c r="B862">
        <v>2019</v>
      </c>
      <c r="C862" t="s">
        <v>739</v>
      </c>
      <c r="D862" t="s">
        <v>740</v>
      </c>
      <c r="E862" t="s">
        <v>743</v>
      </c>
      <c r="F862" s="34">
        <v>165</v>
      </c>
      <c r="G862" s="34" t="s">
        <v>107</v>
      </c>
      <c r="H862" s="36">
        <v>3884</v>
      </c>
      <c r="I862" s="58">
        <v>22281</v>
      </c>
      <c r="J862">
        <f>IFERROR(VLOOKUP(G862,'LEAID Match'!$A$2:$B$526,2,FALSE),"")</f>
        <v>2921060</v>
      </c>
      <c r="K862" s="68">
        <f t="shared" si="27"/>
        <v>8</v>
      </c>
    </row>
    <row r="863" spans="1:11" x14ac:dyDescent="0.2">
      <c r="A863">
        <f t="shared" si="26"/>
        <v>2921060</v>
      </c>
      <c r="B863">
        <v>2020</v>
      </c>
      <c r="C863" t="s">
        <v>739</v>
      </c>
      <c r="D863" t="s">
        <v>740</v>
      </c>
      <c r="E863" t="s">
        <v>743</v>
      </c>
      <c r="F863" s="34">
        <v>165</v>
      </c>
      <c r="G863" s="34" t="s">
        <v>107</v>
      </c>
      <c r="H863" s="36">
        <v>4393</v>
      </c>
      <c r="I863" s="58">
        <v>25144</v>
      </c>
      <c r="J863">
        <f>IFERROR(VLOOKUP(G863,'LEAID Match'!$A$2:$B$526,2,FALSE),"")</f>
        <v>2921060</v>
      </c>
      <c r="K863" s="68">
        <f t="shared" si="27"/>
        <v>8</v>
      </c>
    </row>
    <row r="864" spans="1:11" x14ac:dyDescent="0.2">
      <c r="A864">
        <f t="shared" si="26"/>
        <v>2921060</v>
      </c>
      <c r="B864">
        <v>2021</v>
      </c>
      <c r="C864" t="s">
        <v>739</v>
      </c>
      <c r="D864" t="s">
        <v>740</v>
      </c>
      <c r="E864" t="s">
        <v>743</v>
      </c>
      <c r="F864" s="34">
        <v>165</v>
      </c>
      <c r="G864" s="34" t="s">
        <v>107</v>
      </c>
      <c r="H864" s="36">
        <v>5088</v>
      </c>
      <c r="I864" s="58">
        <v>25916</v>
      </c>
      <c r="J864">
        <f>IFERROR(VLOOKUP(G864,'LEAID Match'!$A$2:$B$526,2,FALSE),"")</f>
        <v>2921060</v>
      </c>
      <c r="K864" s="68">
        <f t="shared" si="27"/>
        <v>8</v>
      </c>
    </row>
    <row r="865" spans="1:11" x14ac:dyDescent="0.2">
      <c r="A865">
        <f t="shared" si="26"/>
        <v>2921060</v>
      </c>
      <c r="B865">
        <v>2022</v>
      </c>
      <c r="C865" t="s">
        <v>739</v>
      </c>
      <c r="D865" t="s">
        <v>740</v>
      </c>
      <c r="E865" t="s">
        <v>743</v>
      </c>
      <c r="F865" s="34">
        <v>165</v>
      </c>
      <c r="G865" s="34" t="s">
        <v>107</v>
      </c>
      <c r="H865" s="36">
        <v>8498</v>
      </c>
      <c r="I865" s="58">
        <v>25110</v>
      </c>
      <c r="J865">
        <f>IFERROR(VLOOKUP(G865,'LEAID Match'!$A$2:$B$526,2,FALSE),"")</f>
        <v>2921060</v>
      </c>
      <c r="K865" s="68">
        <f t="shared" si="27"/>
        <v>8</v>
      </c>
    </row>
    <row r="866" spans="1:11" x14ac:dyDescent="0.2">
      <c r="A866">
        <f t="shared" si="26"/>
        <v>2907020</v>
      </c>
      <c r="B866">
        <v>2015</v>
      </c>
      <c r="C866" t="s">
        <v>739</v>
      </c>
      <c r="D866" t="s">
        <v>740</v>
      </c>
      <c r="E866" t="s">
        <v>743</v>
      </c>
      <c r="F866" s="37">
        <v>167</v>
      </c>
      <c r="G866" s="39" t="s">
        <v>108</v>
      </c>
      <c r="H866" s="40">
        <v>136064</v>
      </c>
      <c r="I866" s="58">
        <v>1149603</v>
      </c>
      <c r="J866">
        <f>IFERROR(VLOOKUP(G866,'LEAID Match'!$A$2:$B$526,2,FALSE),"")</f>
        <v>2907020</v>
      </c>
      <c r="K866" s="68">
        <f t="shared" si="27"/>
        <v>8</v>
      </c>
    </row>
    <row r="867" spans="1:11" x14ac:dyDescent="0.2">
      <c r="A867">
        <f t="shared" si="26"/>
        <v>2907020</v>
      </c>
      <c r="B867">
        <v>2016</v>
      </c>
      <c r="C867" t="s">
        <v>739</v>
      </c>
      <c r="D867" t="s">
        <v>740</v>
      </c>
      <c r="E867" t="s">
        <v>743</v>
      </c>
      <c r="F867" s="34">
        <v>167</v>
      </c>
      <c r="G867" s="34" t="s">
        <v>108</v>
      </c>
      <c r="H867" s="36">
        <v>132305</v>
      </c>
      <c r="I867" s="60">
        <v>1144623</v>
      </c>
      <c r="J867">
        <f>IFERROR(VLOOKUP(G867,'LEAID Match'!$A$2:$B$526,2,FALSE),"")</f>
        <v>2907020</v>
      </c>
      <c r="K867" s="68">
        <f t="shared" si="27"/>
        <v>8</v>
      </c>
    </row>
    <row r="868" spans="1:11" x14ac:dyDescent="0.2">
      <c r="A868">
        <f t="shared" si="26"/>
        <v>2907020</v>
      </c>
      <c r="B868">
        <v>2017</v>
      </c>
      <c r="C868" t="s">
        <v>739</v>
      </c>
      <c r="D868" t="s">
        <v>740</v>
      </c>
      <c r="E868" t="s">
        <v>743</v>
      </c>
      <c r="F868" s="34">
        <v>167</v>
      </c>
      <c r="G868" s="34" t="s">
        <v>108</v>
      </c>
      <c r="H868" s="36">
        <v>147264</v>
      </c>
      <c r="I868" s="58">
        <v>1115040</v>
      </c>
      <c r="J868">
        <f>IFERROR(VLOOKUP(G868,'LEAID Match'!$A$2:$B$526,2,FALSE),"")</f>
        <v>2907020</v>
      </c>
      <c r="K868" s="68">
        <f t="shared" si="27"/>
        <v>8</v>
      </c>
    </row>
    <row r="869" spans="1:11" x14ac:dyDescent="0.2">
      <c r="A869">
        <f t="shared" si="26"/>
        <v>2907020</v>
      </c>
      <c r="B869">
        <v>2018</v>
      </c>
      <c r="C869" t="s">
        <v>739</v>
      </c>
      <c r="D869" t="s">
        <v>740</v>
      </c>
      <c r="E869" t="s">
        <v>743</v>
      </c>
      <c r="F869" s="34">
        <v>167</v>
      </c>
      <c r="G869" s="34" t="s">
        <v>108</v>
      </c>
      <c r="H869" s="36">
        <v>149330</v>
      </c>
      <c r="I869" s="58">
        <v>1152808</v>
      </c>
      <c r="J869">
        <f>IFERROR(VLOOKUP(G869,'LEAID Match'!$A$2:$B$526,2,FALSE),"")</f>
        <v>2907020</v>
      </c>
      <c r="K869" s="68">
        <f t="shared" si="27"/>
        <v>8</v>
      </c>
    </row>
    <row r="870" spans="1:11" x14ac:dyDescent="0.2">
      <c r="A870">
        <f t="shared" si="26"/>
        <v>2907020</v>
      </c>
      <c r="B870">
        <v>2019</v>
      </c>
      <c r="C870" t="s">
        <v>739</v>
      </c>
      <c r="D870" t="s">
        <v>740</v>
      </c>
      <c r="E870" t="s">
        <v>743</v>
      </c>
      <c r="F870" s="34">
        <v>167</v>
      </c>
      <c r="G870" s="34" t="s">
        <v>108</v>
      </c>
      <c r="H870" s="36">
        <v>156066</v>
      </c>
      <c r="I870" s="58">
        <v>1199911</v>
      </c>
      <c r="J870">
        <f>IFERROR(VLOOKUP(G870,'LEAID Match'!$A$2:$B$526,2,FALSE),"")</f>
        <v>2907020</v>
      </c>
      <c r="K870" s="68">
        <f t="shared" si="27"/>
        <v>8</v>
      </c>
    </row>
    <row r="871" spans="1:11" x14ac:dyDescent="0.2">
      <c r="A871">
        <f t="shared" si="26"/>
        <v>2907020</v>
      </c>
      <c r="B871">
        <v>2020</v>
      </c>
      <c r="C871" t="s">
        <v>739</v>
      </c>
      <c r="D871" t="s">
        <v>740</v>
      </c>
      <c r="E871" t="s">
        <v>743</v>
      </c>
      <c r="F871" s="34">
        <v>167</v>
      </c>
      <c r="G871" s="34" t="s">
        <v>108</v>
      </c>
      <c r="H871" s="36">
        <v>157384</v>
      </c>
      <c r="I871" s="58">
        <v>1237291</v>
      </c>
      <c r="J871">
        <f>IFERROR(VLOOKUP(G871,'LEAID Match'!$A$2:$B$526,2,FALSE),"")</f>
        <v>2907020</v>
      </c>
      <c r="K871" s="68">
        <f t="shared" si="27"/>
        <v>8</v>
      </c>
    </row>
    <row r="872" spans="1:11" x14ac:dyDescent="0.2">
      <c r="A872">
        <f t="shared" si="26"/>
        <v>2907020</v>
      </c>
      <c r="B872">
        <v>2021</v>
      </c>
      <c r="C872" t="s">
        <v>739</v>
      </c>
      <c r="D872" t="s">
        <v>740</v>
      </c>
      <c r="E872" t="s">
        <v>743</v>
      </c>
      <c r="F872" s="34">
        <v>167</v>
      </c>
      <c r="G872" s="34" t="s">
        <v>108</v>
      </c>
      <c r="H872" s="36">
        <v>155082</v>
      </c>
      <c r="I872" s="58">
        <v>1269695</v>
      </c>
      <c r="J872">
        <f>IFERROR(VLOOKUP(G872,'LEAID Match'!$A$2:$B$526,2,FALSE),"")</f>
        <v>2907020</v>
      </c>
      <c r="K872" s="68">
        <f t="shared" si="27"/>
        <v>8</v>
      </c>
    </row>
    <row r="873" spans="1:11" x14ac:dyDescent="0.2">
      <c r="A873">
        <f t="shared" si="26"/>
        <v>2907020</v>
      </c>
      <c r="B873">
        <v>2022</v>
      </c>
      <c r="C873" t="s">
        <v>739</v>
      </c>
      <c r="D873" t="s">
        <v>740</v>
      </c>
      <c r="E873" t="s">
        <v>743</v>
      </c>
      <c r="F873" s="34">
        <v>167</v>
      </c>
      <c r="G873" s="34" t="s">
        <v>108</v>
      </c>
      <c r="H873" s="36">
        <v>187169</v>
      </c>
      <c r="I873" s="58">
        <v>1314449</v>
      </c>
      <c r="J873">
        <f>IFERROR(VLOOKUP(G873,'LEAID Match'!$A$2:$B$526,2,FALSE),"")</f>
        <v>2907020</v>
      </c>
      <c r="K873" s="68">
        <f t="shared" si="27"/>
        <v>8</v>
      </c>
    </row>
    <row r="874" spans="1:11" x14ac:dyDescent="0.2">
      <c r="A874">
        <f t="shared" si="26"/>
        <v>2917970</v>
      </c>
      <c r="B874">
        <v>2015</v>
      </c>
      <c r="C874" t="s">
        <v>739</v>
      </c>
      <c r="D874" t="s">
        <v>740</v>
      </c>
      <c r="E874" t="s">
        <v>743</v>
      </c>
      <c r="F874" s="37">
        <v>168</v>
      </c>
      <c r="G874" s="39" t="s">
        <v>109</v>
      </c>
      <c r="H874" s="40">
        <v>70203</v>
      </c>
      <c r="I874" s="58">
        <v>671462</v>
      </c>
      <c r="J874">
        <f>IFERROR(VLOOKUP(G874,'LEAID Match'!$A$2:$B$526,2,FALSE),"")</f>
        <v>2917970</v>
      </c>
      <c r="K874" s="68">
        <f t="shared" si="27"/>
        <v>8</v>
      </c>
    </row>
    <row r="875" spans="1:11" x14ac:dyDescent="0.2">
      <c r="A875">
        <f t="shared" si="26"/>
        <v>2917970</v>
      </c>
      <c r="B875">
        <v>2016</v>
      </c>
      <c r="C875" t="s">
        <v>739</v>
      </c>
      <c r="D875" t="s">
        <v>740</v>
      </c>
      <c r="E875" t="s">
        <v>743</v>
      </c>
      <c r="F875" s="34">
        <v>168</v>
      </c>
      <c r="G875" s="34" t="s">
        <v>109</v>
      </c>
      <c r="H875" s="36">
        <v>77832</v>
      </c>
      <c r="I875" s="60">
        <v>693918</v>
      </c>
      <c r="J875">
        <f>IFERROR(VLOOKUP(G875,'LEAID Match'!$A$2:$B$526,2,FALSE),"")</f>
        <v>2917970</v>
      </c>
      <c r="K875" s="68">
        <f t="shared" si="27"/>
        <v>8</v>
      </c>
    </row>
    <row r="876" spans="1:11" x14ac:dyDescent="0.2">
      <c r="A876">
        <f t="shared" si="26"/>
        <v>2917970</v>
      </c>
      <c r="B876">
        <v>2017</v>
      </c>
      <c r="C876" t="s">
        <v>739</v>
      </c>
      <c r="D876" t="s">
        <v>740</v>
      </c>
      <c r="E876" t="s">
        <v>743</v>
      </c>
      <c r="F876" s="34">
        <v>168</v>
      </c>
      <c r="G876" s="34" t="s">
        <v>109</v>
      </c>
      <c r="H876" s="36">
        <v>78928</v>
      </c>
      <c r="I876" s="58">
        <v>711392</v>
      </c>
      <c r="J876">
        <f>IFERROR(VLOOKUP(G876,'LEAID Match'!$A$2:$B$526,2,FALSE),"")</f>
        <v>2917970</v>
      </c>
      <c r="K876" s="68">
        <f t="shared" si="27"/>
        <v>8</v>
      </c>
    </row>
    <row r="877" spans="1:11" x14ac:dyDescent="0.2">
      <c r="A877">
        <f t="shared" si="26"/>
        <v>2917970</v>
      </c>
      <c r="B877">
        <v>2018</v>
      </c>
      <c r="C877" t="s">
        <v>739</v>
      </c>
      <c r="D877" t="s">
        <v>740</v>
      </c>
      <c r="E877" t="s">
        <v>743</v>
      </c>
      <c r="F877" s="34">
        <v>168</v>
      </c>
      <c r="G877" s="34" t="s">
        <v>109</v>
      </c>
      <c r="H877" s="36">
        <v>82871</v>
      </c>
      <c r="I877" s="58">
        <v>724795</v>
      </c>
      <c r="J877">
        <f>IFERROR(VLOOKUP(G877,'LEAID Match'!$A$2:$B$526,2,FALSE),"")</f>
        <v>2917970</v>
      </c>
      <c r="K877" s="68">
        <f t="shared" si="27"/>
        <v>8</v>
      </c>
    </row>
    <row r="878" spans="1:11" x14ac:dyDescent="0.2">
      <c r="A878">
        <f t="shared" si="26"/>
        <v>2917970</v>
      </c>
      <c r="B878">
        <v>2019</v>
      </c>
      <c r="C878" t="s">
        <v>739</v>
      </c>
      <c r="D878" t="s">
        <v>740</v>
      </c>
      <c r="E878" t="s">
        <v>743</v>
      </c>
      <c r="F878" s="34">
        <v>168</v>
      </c>
      <c r="G878" s="34" t="s">
        <v>109</v>
      </c>
      <c r="H878" s="36">
        <v>82229</v>
      </c>
      <c r="I878" s="58">
        <v>724724</v>
      </c>
      <c r="J878">
        <f>IFERROR(VLOOKUP(G878,'LEAID Match'!$A$2:$B$526,2,FALSE),"")</f>
        <v>2917970</v>
      </c>
      <c r="K878" s="68">
        <f t="shared" si="27"/>
        <v>8</v>
      </c>
    </row>
    <row r="879" spans="1:11" x14ac:dyDescent="0.2">
      <c r="A879">
        <f t="shared" si="26"/>
        <v>2917970</v>
      </c>
      <c r="B879">
        <v>2020</v>
      </c>
      <c r="C879" t="s">
        <v>739</v>
      </c>
      <c r="D879" t="s">
        <v>740</v>
      </c>
      <c r="E879" t="s">
        <v>743</v>
      </c>
      <c r="F879" s="34">
        <v>168</v>
      </c>
      <c r="G879" s="34" t="s">
        <v>109</v>
      </c>
      <c r="H879" s="36">
        <v>85387</v>
      </c>
      <c r="I879" s="58">
        <v>733600</v>
      </c>
      <c r="J879">
        <f>IFERROR(VLOOKUP(G879,'LEAID Match'!$A$2:$B$526,2,FALSE),"")</f>
        <v>2917970</v>
      </c>
      <c r="K879" s="68">
        <f t="shared" si="27"/>
        <v>8</v>
      </c>
    </row>
    <row r="880" spans="1:11" x14ac:dyDescent="0.2">
      <c r="A880">
        <f t="shared" si="26"/>
        <v>2917970</v>
      </c>
      <c r="B880">
        <v>2021</v>
      </c>
      <c r="C880" t="s">
        <v>739</v>
      </c>
      <c r="D880" t="s">
        <v>740</v>
      </c>
      <c r="E880" t="s">
        <v>743</v>
      </c>
      <c r="F880" s="34">
        <v>168</v>
      </c>
      <c r="G880" s="34" t="s">
        <v>109</v>
      </c>
      <c r="H880" s="36">
        <v>91069</v>
      </c>
      <c r="I880" s="58">
        <v>760105</v>
      </c>
      <c r="J880">
        <f>IFERROR(VLOOKUP(G880,'LEAID Match'!$A$2:$B$526,2,FALSE),"")</f>
        <v>2917970</v>
      </c>
      <c r="K880" s="68">
        <f t="shared" si="27"/>
        <v>8</v>
      </c>
    </row>
    <row r="881" spans="1:11" x14ac:dyDescent="0.2">
      <c r="A881">
        <f t="shared" si="26"/>
        <v>2917970</v>
      </c>
      <c r="B881">
        <v>2022</v>
      </c>
      <c r="C881" t="s">
        <v>739</v>
      </c>
      <c r="D881" t="s">
        <v>740</v>
      </c>
      <c r="E881" t="s">
        <v>743</v>
      </c>
      <c r="F881" s="34">
        <v>168</v>
      </c>
      <c r="G881" s="34" t="s">
        <v>109</v>
      </c>
      <c r="H881" s="36">
        <v>115722</v>
      </c>
      <c r="I881" s="58">
        <v>818490</v>
      </c>
      <c r="J881">
        <f>IFERROR(VLOOKUP(G881,'LEAID Match'!$A$2:$B$526,2,FALSE),"")</f>
        <v>2917970</v>
      </c>
      <c r="K881" s="68">
        <f t="shared" si="27"/>
        <v>8</v>
      </c>
    </row>
    <row r="882" spans="1:11" x14ac:dyDescent="0.2">
      <c r="A882">
        <f t="shared" si="26"/>
        <v>2925290</v>
      </c>
      <c r="B882">
        <v>2015</v>
      </c>
      <c r="C882" t="s">
        <v>739</v>
      </c>
      <c r="D882" t="s">
        <v>740</v>
      </c>
      <c r="E882" t="s">
        <v>743</v>
      </c>
      <c r="F882" s="37">
        <v>169</v>
      </c>
      <c r="G882" s="39" t="s">
        <v>110</v>
      </c>
      <c r="H882" s="40">
        <v>33980</v>
      </c>
      <c r="I882" s="58">
        <v>518450</v>
      </c>
      <c r="J882">
        <f>IFERROR(VLOOKUP(G882,'LEAID Match'!$A$2:$B$526,2,FALSE),"")</f>
        <v>2925290</v>
      </c>
      <c r="K882" s="68">
        <f t="shared" si="27"/>
        <v>8</v>
      </c>
    </row>
    <row r="883" spans="1:11" x14ac:dyDescent="0.2">
      <c r="A883">
        <f t="shared" si="26"/>
        <v>2925290</v>
      </c>
      <c r="B883">
        <v>2016</v>
      </c>
      <c r="C883" t="s">
        <v>739</v>
      </c>
      <c r="D883" t="s">
        <v>740</v>
      </c>
      <c r="E883" t="s">
        <v>743</v>
      </c>
      <c r="F883" s="34">
        <v>169</v>
      </c>
      <c r="G883" s="34" t="s">
        <v>110</v>
      </c>
      <c r="H883" s="36">
        <v>34495</v>
      </c>
      <c r="I883" s="60">
        <v>501722</v>
      </c>
      <c r="J883">
        <f>IFERROR(VLOOKUP(G883,'LEAID Match'!$A$2:$B$526,2,FALSE),"")</f>
        <v>2925290</v>
      </c>
      <c r="K883" s="68">
        <f t="shared" si="27"/>
        <v>8</v>
      </c>
    </row>
    <row r="884" spans="1:11" x14ac:dyDescent="0.2">
      <c r="A884">
        <f t="shared" si="26"/>
        <v>2925290</v>
      </c>
      <c r="B884">
        <v>2017</v>
      </c>
      <c r="C884" t="s">
        <v>739</v>
      </c>
      <c r="D884" t="s">
        <v>740</v>
      </c>
      <c r="E884" t="s">
        <v>743</v>
      </c>
      <c r="F884" s="34">
        <v>169</v>
      </c>
      <c r="G884" s="34" t="s">
        <v>110</v>
      </c>
      <c r="H884" s="36">
        <v>27229</v>
      </c>
      <c r="I884" s="58">
        <v>496130</v>
      </c>
      <c r="J884">
        <f>IFERROR(VLOOKUP(G884,'LEAID Match'!$A$2:$B$526,2,FALSE),"")</f>
        <v>2925290</v>
      </c>
      <c r="K884" s="68">
        <f t="shared" si="27"/>
        <v>8</v>
      </c>
    </row>
    <row r="885" spans="1:11" x14ac:dyDescent="0.2">
      <c r="A885">
        <f t="shared" si="26"/>
        <v>2925290</v>
      </c>
      <c r="B885">
        <v>2018</v>
      </c>
      <c r="C885" t="s">
        <v>739</v>
      </c>
      <c r="D885" t="s">
        <v>740</v>
      </c>
      <c r="E885" t="s">
        <v>743</v>
      </c>
      <c r="F885" s="34">
        <v>169</v>
      </c>
      <c r="G885" s="34" t="s">
        <v>110</v>
      </c>
      <c r="H885" s="36">
        <v>25680</v>
      </c>
      <c r="I885" s="58">
        <v>482144</v>
      </c>
      <c r="J885">
        <f>IFERROR(VLOOKUP(G885,'LEAID Match'!$A$2:$B$526,2,FALSE),"")</f>
        <v>2925290</v>
      </c>
      <c r="K885" s="68">
        <f t="shared" si="27"/>
        <v>8</v>
      </c>
    </row>
    <row r="886" spans="1:11" x14ac:dyDescent="0.2">
      <c r="A886">
        <f t="shared" si="26"/>
        <v>2925290</v>
      </c>
      <c r="B886">
        <v>2019</v>
      </c>
      <c r="C886" t="s">
        <v>739</v>
      </c>
      <c r="D886" t="s">
        <v>740</v>
      </c>
      <c r="E886" t="s">
        <v>743</v>
      </c>
      <c r="F886" s="34">
        <v>169</v>
      </c>
      <c r="G886" s="34" t="s">
        <v>110</v>
      </c>
      <c r="H886" s="36">
        <v>29774</v>
      </c>
      <c r="I886" s="58">
        <v>515998</v>
      </c>
      <c r="J886">
        <f>IFERROR(VLOOKUP(G886,'LEAID Match'!$A$2:$B$526,2,FALSE),"")</f>
        <v>2925290</v>
      </c>
      <c r="K886" s="68">
        <f t="shared" si="27"/>
        <v>8</v>
      </c>
    </row>
    <row r="887" spans="1:11" x14ac:dyDescent="0.2">
      <c r="A887">
        <f t="shared" si="26"/>
        <v>2925290</v>
      </c>
      <c r="B887">
        <v>2020</v>
      </c>
      <c r="C887" t="s">
        <v>739</v>
      </c>
      <c r="D887" t="s">
        <v>740</v>
      </c>
      <c r="E887" t="s">
        <v>743</v>
      </c>
      <c r="F887" s="34">
        <v>169</v>
      </c>
      <c r="G887" s="34" t="s">
        <v>110</v>
      </c>
      <c r="H887" s="36">
        <v>32144</v>
      </c>
      <c r="I887" s="58">
        <v>526865</v>
      </c>
      <c r="J887">
        <f>IFERROR(VLOOKUP(G887,'LEAID Match'!$A$2:$B$526,2,FALSE),"")</f>
        <v>2925290</v>
      </c>
      <c r="K887" s="68">
        <f t="shared" si="27"/>
        <v>8</v>
      </c>
    </row>
    <row r="888" spans="1:11" x14ac:dyDescent="0.2">
      <c r="A888">
        <f t="shared" si="26"/>
        <v>2925290</v>
      </c>
      <c r="B888">
        <v>2021</v>
      </c>
      <c r="C888" t="s">
        <v>739</v>
      </c>
      <c r="D888" t="s">
        <v>740</v>
      </c>
      <c r="E888" t="s">
        <v>743</v>
      </c>
      <c r="F888" s="34">
        <v>169</v>
      </c>
      <c r="G888" s="34" t="s">
        <v>110</v>
      </c>
      <c r="H888" s="36">
        <v>34462</v>
      </c>
      <c r="I888" s="58">
        <v>558139</v>
      </c>
      <c r="J888">
        <f>IFERROR(VLOOKUP(G888,'LEAID Match'!$A$2:$B$526,2,FALSE),"")</f>
        <v>2925290</v>
      </c>
      <c r="K888" s="68">
        <f t="shared" si="27"/>
        <v>8</v>
      </c>
    </row>
    <row r="889" spans="1:11" x14ac:dyDescent="0.2">
      <c r="A889">
        <f t="shared" si="26"/>
        <v>2925290</v>
      </c>
      <c r="B889">
        <v>2022</v>
      </c>
      <c r="C889" t="s">
        <v>739</v>
      </c>
      <c r="D889" t="s">
        <v>740</v>
      </c>
      <c r="E889" t="s">
        <v>743</v>
      </c>
      <c r="F889" s="34">
        <v>169</v>
      </c>
      <c r="G889" s="34" t="s">
        <v>110</v>
      </c>
      <c r="H889" s="36">
        <v>33020</v>
      </c>
      <c r="I889" s="58">
        <v>556090</v>
      </c>
      <c r="J889">
        <f>IFERROR(VLOOKUP(G889,'LEAID Match'!$A$2:$B$526,2,FALSE),"")</f>
        <v>2925290</v>
      </c>
      <c r="K889" s="68">
        <f t="shared" si="27"/>
        <v>8</v>
      </c>
    </row>
    <row r="890" spans="1:11" x14ac:dyDescent="0.2">
      <c r="A890">
        <f t="shared" si="26"/>
        <v>2926970</v>
      </c>
      <c r="B890">
        <v>2015</v>
      </c>
      <c r="C890" t="s">
        <v>739</v>
      </c>
      <c r="D890" t="s">
        <v>740</v>
      </c>
      <c r="E890" t="s">
        <v>743</v>
      </c>
      <c r="F890" s="37">
        <v>170</v>
      </c>
      <c r="G890" s="39" t="s">
        <v>111</v>
      </c>
      <c r="H890" s="40">
        <v>48521</v>
      </c>
      <c r="I890" s="58">
        <v>395688</v>
      </c>
      <c r="J890">
        <f>IFERROR(VLOOKUP(G890,'LEAID Match'!$A$2:$B$526,2,FALSE),"")</f>
        <v>2926970</v>
      </c>
      <c r="K890" s="68">
        <f t="shared" si="27"/>
        <v>8</v>
      </c>
    </row>
    <row r="891" spans="1:11" x14ac:dyDescent="0.2">
      <c r="A891">
        <f t="shared" si="26"/>
        <v>2926970</v>
      </c>
      <c r="B891">
        <v>2016</v>
      </c>
      <c r="C891" t="s">
        <v>739</v>
      </c>
      <c r="D891" t="s">
        <v>740</v>
      </c>
      <c r="E891" t="s">
        <v>743</v>
      </c>
      <c r="F891" s="34">
        <v>170</v>
      </c>
      <c r="G891" s="34" t="s">
        <v>111</v>
      </c>
      <c r="H891" s="36">
        <v>50562</v>
      </c>
      <c r="I891" s="60">
        <v>372585</v>
      </c>
      <c r="J891">
        <f>IFERROR(VLOOKUP(G891,'LEAID Match'!$A$2:$B$526,2,FALSE),"")</f>
        <v>2926970</v>
      </c>
      <c r="K891" s="68">
        <f t="shared" si="27"/>
        <v>8</v>
      </c>
    </row>
    <row r="892" spans="1:11" x14ac:dyDescent="0.2">
      <c r="A892">
        <f t="shared" si="26"/>
        <v>2926970</v>
      </c>
      <c r="B892">
        <v>2017</v>
      </c>
      <c r="C892" t="s">
        <v>739</v>
      </c>
      <c r="D892" t="s">
        <v>740</v>
      </c>
      <c r="E892" t="s">
        <v>743</v>
      </c>
      <c r="F892" s="34">
        <v>170</v>
      </c>
      <c r="G892" s="34" t="s">
        <v>111</v>
      </c>
      <c r="H892" s="36">
        <v>48091</v>
      </c>
      <c r="I892" s="58">
        <v>364926</v>
      </c>
      <c r="J892">
        <f>IFERROR(VLOOKUP(G892,'LEAID Match'!$A$2:$B$526,2,FALSE),"")</f>
        <v>2926970</v>
      </c>
      <c r="K892" s="68">
        <f t="shared" si="27"/>
        <v>8</v>
      </c>
    </row>
    <row r="893" spans="1:11" x14ac:dyDescent="0.2">
      <c r="A893">
        <f t="shared" si="26"/>
        <v>2926970</v>
      </c>
      <c r="B893">
        <v>2018</v>
      </c>
      <c r="C893" t="s">
        <v>739</v>
      </c>
      <c r="D893" t="s">
        <v>740</v>
      </c>
      <c r="E893" t="s">
        <v>743</v>
      </c>
      <c r="F893" s="34">
        <v>170</v>
      </c>
      <c r="G893" s="34" t="s">
        <v>111</v>
      </c>
      <c r="H893" s="36">
        <v>49527</v>
      </c>
      <c r="I893" s="58">
        <v>374041</v>
      </c>
      <c r="J893">
        <f>IFERROR(VLOOKUP(G893,'LEAID Match'!$A$2:$B$526,2,FALSE),"")</f>
        <v>2926970</v>
      </c>
      <c r="K893" s="68">
        <f t="shared" si="27"/>
        <v>8</v>
      </c>
    </row>
    <row r="894" spans="1:11" x14ac:dyDescent="0.2">
      <c r="A894">
        <f t="shared" si="26"/>
        <v>2926970</v>
      </c>
      <c r="B894">
        <v>2019</v>
      </c>
      <c r="C894" t="s">
        <v>739</v>
      </c>
      <c r="D894" t="s">
        <v>740</v>
      </c>
      <c r="E894" t="s">
        <v>743</v>
      </c>
      <c r="F894" s="34">
        <v>170</v>
      </c>
      <c r="G894" s="34" t="s">
        <v>111</v>
      </c>
      <c r="H894" s="36">
        <v>57992</v>
      </c>
      <c r="I894" s="58">
        <v>376630</v>
      </c>
      <c r="J894">
        <f>IFERROR(VLOOKUP(G894,'LEAID Match'!$A$2:$B$526,2,FALSE),"")</f>
        <v>2926970</v>
      </c>
      <c r="K894" s="68">
        <f t="shared" si="27"/>
        <v>8</v>
      </c>
    </row>
    <row r="895" spans="1:11" x14ac:dyDescent="0.2">
      <c r="A895">
        <f t="shared" si="26"/>
        <v>2926970</v>
      </c>
      <c r="B895">
        <v>2020</v>
      </c>
      <c r="C895" t="s">
        <v>739</v>
      </c>
      <c r="D895" t="s">
        <v>740</v>
      </c>
      <c r="E895" t="s">
        <v>743</v>
      </c>
      <c r="F895" s="34">
        <v>170</v>
      </c>
      <c r="G895" s="34" t="s">
        <v>111</v>
      </c>
      <c r="H895" s="36">
        <v>56633</v>
      </c>
      <c r="I895" s="58">
        <v>386832</v>
      </c>
      <c r="J895">
        <f>IFERROR(VLOOKUP(G895,'LEAID Match'!$A$2:$B$526,2,FALSE),"")</f>
        <v>2926970</v>
      </c>
      <c r="K895" s="68">
        <f t="shared" si="27"/>
        <v>8</v>
      </c>
    </row>
    <row r="896" spans="1:11" x14ac:dyDescent="0.2">
      <c r="A896">
        <f t="shared" si="26"/>
        <v>2926970</v>
      </c>
      <c r="B896">
        <v>2021</v>
      </c>
      <c r="C896" t="s">
        <v>739</v>
      </c>
      <c r="D896" t="s">
        <v>740</v>
      </c>
      <c r="E896" t="s">
        <v>743</v>
      </c>
      <c r="F896" s="34">
        <v>170</v>
      </c>
      <c r="G896" s="34" t="s">
        <v>111</v>
      </c>
      <c r="H896" s="36">
        <v>62455</v>
      </c>
      <c r="I896" s="58">
        <v>420381</v>
      </c>
      <c r="J896">
        <f>IFERROR(VLOOKUP(G896,'LEAID Match'!$A$2:$B$526,2,FALSE),"")</f>
        <v>2926970</v>
      </c>
      <c r="K896" s="68">
        <f t="shared" si="27"/>
        <v>8</v>
      </c>
    </row>
    <row r="897" spans="1:11" x14ac:dyDescent="0.2">
      <c r="A897">
        <f t="shared" si="26"/>
        <v>2926970</v>
      </c>
      <c r="B897">
        <v>2022</v>
      </c>
      <c r="C897" t="s">
        <v>739</v>
      </c>
      <c r="D897" t="s">
        <v>740</v>
      </c>
      <c r="E897" t="s">
        <v>743</v>
      </c>
      <c r="F897" s="34">
        <v>170</v>
      </c>
      <c r="G897" s="34" t="s">
        <v>111</v>
      </c>
      <c r="H897" s="36">
        <v>63187</v>
      </c>
      <c r="I897" s="58">
        <v>437206</v>
      </c>
      <c r="J897">
        <f>IFERROR(VLOOKUP(G897,'LEAID Match'!$A$2:$B$526,2,FALSE),"")</f>
        <v>2926970</v>
      </c>
      <c r="K897" s="68">
        <f t="shared" si="27"/>
        <v>8</v>
      </c>
    </row>
    <row r="898" spans="1:11" x14ac:dyDescent="0.2">
      <c r="A898" t="str">
        <f t="shared" si="26"/>
        <v/>
      </c>
      <c r="B898">
        <v>2015</v>
      </c>
      <c r="C898" t="s">
        <v>739</v>
      </c>
      <c r="D898" t="s">
        <v>740</v>
      </c>
      <c r="E898" t="s">
        <v>743</v>
      </c>
      <c r="F898" s="37">
        <v>171</v>
      </c>
      <c r="G898" s="39" t="s">
        <v>112</v>
      </c>
      <c r="H898" s="40">
        <v>78442</v>
      </c>
      <c r="I898" s="58">
        <v>646505</v>
      </c>
      <c r="J898" t="str">
        <f>IFERROR(VLOOKUP(G898,'LEAID Match'!$A$2:$B$526,2,FALSE),"")</f>
        <v/>
      </c>
      <c r="K898" s="68">
        <f t="shared" si="27"/>
        <v>216</v>
      </c>
    </row>
    <row r="899" spans="1:11" x14ac:dyDescent="0.2">
      <c r="A899" t="str">
        <f t="shared" ref="A899:A962" si="28">J899</f>
        <v/>
      </c>
      <c r="B899">
        <v>2016</v>
      </c>
      <c r="C899" t="s">
        <v>739</v>
      </c>
      <c r="D899" t="s">
        <v>740</v>
      </c>
      <c r="E899" t="s">
        <v>743</v>
      </c>
      <c r="F899" s="34">
        <v>171</v>
      </c>
      <c r="G899" s="34" t="s">
        <v>112</v>
      </c>
      <c r="H899" s="36">
        <v>76005</v>
      </c>
      <c r="I899" s="60">
        <v>649308</v>
      </c>
      <c r="J899" t="str">
        <f>IFERROR(VLOOKUP(G899,'LEAID Match'!$A$2:$B$526,2,FALSE),"")</f>
        <v/>
      </c>
      <c r="K899" s="68">
        <f t="shared" ref="K899:K962" si="29">COUNTIF($J$2:$J$4295,J899)</f>
        <v>216</v>
      </c>
    </row>
    <row r="900" spans="1:11" x14ac:dyDescent="0.2">
      <c r="A900" t="str">
        <f t="shared" si="28"/>
        <v/>
      </c>
      <c r="B900">
        <v>2017</v>
      </c>
      <c r="C900" t="s">
        <v>739</v>
      </c>
      <c r="D900" t="s">
        <v>740</v>
      </c>
      <c r="E900" t="s">
        <v>743</v>
      </c>
      <c r="F900" s="34">
        <v>171</v>
      </c>
      <c r="G900" s="34" t="s">
        <v>112</v>
      </c>
      <c r="H900" s="36">
        <v>80623</v>
      </c>
      <c r="I900" s="58">
        <v>698695</v>
      </c>
      <c r="J900" t="str">
        <f>IFERROR(VLOOKUP(G900,'LEAID Match'!$A$2:$B$526,2,FALSE),"")</f>
        <v/>
      </c>
      <c r="K900" s="68">
        <f t="shared" si="29"/>
        <v>216</v>
      </c>
    </row>
    <row r="901" spans="1:11" x14ac:dyDescent="0.2">
      <c r="A901" t="str">
        <f t="shared" si="28"/>
        <v/>
      </c>
      <c r="B901">
        <v>2018</v>
      </c>
      <c r="C901" t="s">
        <v>739</v>
      </c>
      <c r="D901" t="s">
        <v>740</v>
      </c>
      <c r="E901" t="s">
        <v>743</v>
      </c>
      <c r="F901" s="34">
        <v>171</v>
      </c>
      <c r="G901" s="34" t="s">
        <v>112</v>
      </c>
      <c r="H901" s="36">
        <v>83538</v>
      </c>
      <c r="I901" s="58">
        <v>707882</v>
      </c>
      <c r="J901" t="str">
        <f>IFERROR(VLOOKUP(G901,'LEAID Match'!$A$2:$B$526,2,FALSE),"")</f>
        <v/>
      </c>
      <c r="K901" s="68">
        <f t="shared" si="29"/>
        <v>216</v>
      </c>
    </row>
    <row r="902" spans="1:11" x14ac:dyDescent="0.2">
      <c r="A902" t="str">
        <f t="shared" si="28"/>
        <v/>
      </c>
      <c r="B902">
        <v>2019</v>
      </c>
      <c r="C902" t="s">
        <v>739</v>
      </c>
      <c r="D902" t="s">
        <v>740</v>
      </c>
      <c r="E902" t="s">
        <v>743</v>
      </c>
      <c r="F902" s="34">
        <v>171</v>
      </c>
      <c r="G902" s="34" t="s">
        <v>112</v>
      </c>
      <c r="H902" s="36">
        <v>85297</v>
      </c>
      <c r="I902" s="58">
        <v>730557</v>
      </c>
      <c r="J902" t="str">
        <f>IFERROR(VLOOKUP(G902,'LEAID Match'!$A$2:$B$526,2,FALSE),"")</f>
        <v/>
      </c>
      <c r="K902" s="68">
        <f t="shared" si="29"/>
        <v>216</v>
      </c>
    </row>
    <row r="903" spans="1:11" x14ac:dyDescent="0.2">
      <c r="A903" t="str">
        <f t="shared" si="28"/>
        <v/>
      </c>
      <c r="B903">
        <v>2020</v>
      </c>
      <c r="C903" t="s">
        <v>739</v>
      </c>
      <c r="D903" t="s">
        <v>740</v>
      </c>
      <c r="E903" t="s">
        <v>743</v>
      </c>
      <c r="F903" s="34">
        <v>171</v>
      </c>
      <c r="G903" s="34" t="s">
        <v>112</v>
      </c>
      <c r="H903" s="36">
        <v>90592</v>
      </c>
      <c r="I903" s="58">
        <v>737716</v>
      </c>
      <c r="J903" t="str">
        <f>IFERROR(VLOOKUP(G903,'LEAID Match'!$A$2:$B$526,2,FALSE),"")</f>
        <v/>
      </c>
      <c r="K903" s="68">
        <f t="shared" si="29"/>
        <v>216</v>
      </c>
    </row>
    <row r="904" spans="1:11" x14ac:dyDescent="0.2">
      <c r="A904" t="str">
        <f t="shared" si="28"/>
        <v/>
      </c>
      <c r="B904">
        <v>2021</v>
      </c>
      <c r="C904" t="s">
        <v>739</v>
      </c>
      <c r="D904" t="s">
        <v>740</v>
      </c>
      <c r="E904" t="s">
        <v>743</v>
      </c>
      <c r="F904" s="34">
        <v>171</v>
      </c>
      <c r="G904" s="34" t="s">
        <v>112</v>
      </c>
      <c r="H904" s="36">
        <v>94920</v>
      </c>
      <c r="I904" s="58">
        <v>799295</v>
      </c>
      <c r="J904" t="str">
        <f>IFERROR(VLOOKUP(G904,'LEAID Match'!$A$2:$B$526,2,FALSE),"")</f>
        <v/>
      </c>
      <c r="K904" s="68">
        <f t="shared" si="29"/>
        <v>216</v>
      </c>
    </row>
    <row r="905" spans="1:11" x14ac:dyDescent="0.2">
      <c r="A905" t="str">
        <f t="shared" si="28"/>
        <v/>
      </c>
      <c r="B905">
        <v>2022</v>
      </c>
      <c r="C905" t="s">
        <v>739</v>
      </c>
      <c r="D905" t="s">
        <v>740</v>
      </c>
      <c r="E905" t="s">
        <v>743</v>
      </c>
      <c r="F905" s="34">
        <v>171</v>
      </c>
      <c r="G905" s="34" t="s">
        <v>112</v>
      </c>
      <c r="H905" s="36">
        <v>111221</v>
      </c>
      <c r="I905" s="58">
        <v>811001</v>
      </c>
      <c r="J905" t="str">
        <f>IFERROR(VLOOKUP(G905,'LEAID Match'!$A$2:$B$526,2,FALSE),"")</f>
        <v/>
      </c>
      <c r="K905" s="68">
        <f t="shared" si="29"/>
        <v>216</v>
      </c>
    </row>
    <row r="906" spans="1:11" x14ac:dyDescent="0.2">
      <c r="A906">
        <f t="shared" si="28"/>
        <v>2911550</v>
      </c>
      <c r="B906">
        <v>2015</v>
      </c>
      <c r="C906" t="s">
        <v>739</v>
      </c>
      <c r="D906" t="s">
        <v>740</v>
      </c>
      <c r="E906" t="s">
        <v>743</v>
      </c>
      <c r="F906" s="37">
        <v>173</v>
      </c>
      <c r="G906" s="39" t="s">
        <v>524</v>
      </c>
      <c r="H906" s="40">
        <v>43647</v>
      </c>
      <c r="I906" s="58">
        <v>386571</v>
      </c>
      <c r="J906">
        <f>IFERROR(VLOOKUP(G906,'LEAID Match'!$A$2:$B$526,2,FALSE),"")</f>
        <v>2911550</v>
      </c>
      <c r="K906" s="68">
        <f t="shared" si="29"/>
        <v>8</v>
      </c>
    </row>
    <row r="907" spans="1:11" x14ac:dyDescent="0.2">
      <c r="A907">
        <f t="shared" si="28"/>
        <v>2911550</v>
      </c>
      <c r="B907">
        <v>2016</v>
      </c>
      <c r="C907" t="s">
        <v>739</v>
      </c>
      <c r="D907" t="s">
        <v>740</v>
      </c>
      <c r="E907" t="s">
        <v>743</v>
      </c>
      <c r="F907" s="34">
        <v>173</v>
      </c>
      <c r="G907" s="34" t="s">
        <v>552</v>
      </c>
      <c r="H907" s="36">
        <v>42082</v>
      </c>
      <c r="I907" s="60">
        <v>392257</v>
      </c>
      <c r="J907">
        <f>IFERROR(VLOOKUP(G907,'LEAID Match'!$A$2:$B$526,2,FALSE),"")</f>
        <v>2911550</v>
      </c>
      <c r="K907" s="68">
        <f t="shared" si="29"/>
        <v>8</v>
      </c>
    </row>
    <row r="908" spans="1:11" x14ac:dyDescent="0.2">
      <c r="A908">
        <f t="shared" si="28"/>
        <v>2911550</v>
      </c>
      <c r="B908">
        <v>2017</v>
      </c>
      <c r="C908" t="s">
        <v>739</v>
      </c>
      <c r="D908" t="s">
        <v>740</v>
      </c>
      <c r="E908" t="s">
        <v>743</v>
      </c>
      <c r="F908" s="34">
        <v>173</v>
      </c>
      <c r="G908" s="34" t="s">
        <v>552</v>
      </c>
      <c r="H908" s="36">
        <v>42268</v>
      </c>
      <c r="I908" s="58">
        <v>384035</v>
      </c>
      <c r="J908">
        <f>IFERROR(VLOOKUP(G908,'LEAID Match'!$A$2:$B$526,2,FALSE),"")</f>
        <v>2911550</v>
      </c>
      <c r="K908" s="68">
        <f t="shared" si="29"/>
        <v>8</v>
      </c>
    </row>
    <row r="909" spans="1:11" x14ac:dyDescent="0.2">
      <c r="A909">
        <f t="shared" si="28"/>
        <v>2911550</v>
      </c>
      <c r="B909">
        <v>2018</v>
      </c>
      <c r="C909" t="s">
        <v>739</v>
      </c>
      <c r="D909" t="s">
        <v>740</v>
      </c>
      <c r="E909" t="s">
        <v>743</v>
      </c>
      <c r="F909" s="34">
        <v>173</v>
      </c>
      <c r="G909" s="34" t="s">
        <v>552</v>
      </c>
      <c r="H909" s="36">
        <v>41497</v>
      </c>
      <c r="I909" s="58">
        <v>347951</v>
      </c>
      <c r="J909">
        <f>IFERROR(VLOOKUP(G909,'LEAID Match'!$A$2:$B$526,2,FALSE),"")</f>
        <v>2911550</v>
      </c>
      <c r="K909" s="68">
        <f t="shared" si="29"/>
        <v>8</v>
      </c>
    </row>
    <row r="910" spans="1:11" x14ac:dyDescent="0.2">
      <c r="A910">
        <f t="shared" si="28"/>
        <v>2911550</v>
      </c>
      <c r="B910">
        <v>2019</v>
      </c>
      <c r="C910" t="s">
        <v>739</v>
      </c>
      <c r="D910" t="s">
        <v>740</v>
      </c>
      <c r="E910" t="s">
        <v>743</v>
      </c>
      <c r="F910" s="34">
        <v>173</v>
      </c>
      <c r="G910" s="34" t="s">
        <v>552</v>
      </c>
      <c r="H910" s="36">
        <v>40553</v>
      </c>
      <c r="I910" s="58">
        <v>341959</v>
      </c>
      <c r="J910">
        <f>IFERROR(VLOOKUP(G910,'LEAID Match'!$A$2:$B$526,2,FALSE),"")</f>
        <v>2911550</v>
      </c>
      <c r="K910" s="68">
        <f t="shared" si="29"/>
        <v>8</v>
      </c>
    </row>
    <row r="911" spans="1:11" x14ac:dyDescent="0.2">
      <c r="A911">
        <f t="shared" si="28"/>
        <v>2911550</v>
      </c>
      <c r="B911">
        <v>2020</v>
      </c>
      <c r="C911" t="s">
        <v>739</v>
      </c>
      <c r="D911" t="s">
        <v>740</v>
      </c>
      <c r="E911" t="s">
        <v>743</v>
      </c>
      <c r="F911" s="34">
        <v>173</v>
      </c>
      <c r="G911" s="34" t="s">
        <v>552</v>
      </c>
      <c r="H911" s="36">
        <v>40867</v>
      </c>
      <c r="I911" s="58">
        <v>362781</v>
      </c>
      <c r="J911">
        <f>IFERROR(VLOOKUP(G911,'LEAID Match'!$A$2:$B$526,2,FALSE),"")</f>
        <v>2911550</v>
      </c>
      <c r="K911" s="68">
        <f t="shared" si="29"/>
        <v>8</v>
      </c>
    </row>
    <row r="912" spans="1:11" x14ac:dyDescent="0.2">
      <c r="A912">
        <f t="shared" si="28"/>
        <v>2911550</v>
      </c>
      <c r="B912">
        <v>2021</v>
      </c>
      <c r="C912" t="s">
        <v>739</v>
      </c>
      <c r="D912" t="s">
        <v>740</v>
      </c>
      <c r="E912" t="s">
        <v>743</v>
      </c>
      <c r="F912" s="34">
        <v>173</v>
      </c>
      <c r="G912" s="34" t="s">
        <v>552</v>
      </c>
      <c r="H912" s="36">
        <v>42854</v>
      </c>
      <c r="I912" s="58">
        <v>389653</v>
      </c>
      <c r="J912">
        <f>IFERROR(VLOOKUP(G912,'LEAID Match'!$A$2:$B$526,2,FALSE),"")</f>
        <v>2911550</v>
      </c>
      <c r="K912" s="68">
        <f t="shared" si="29"/>
        <v>8</v>
      </c>
    </row>
    <row r="913" spans="1:11" x14ac:dyDescent="0.2">
      <c r="A913">
        <f t="shared" si="28"/>
        <v>2911550</v>
      </c>
      <c r="B913">
        <v>2022</v>
      </c>
      <c r="C913" t="s">
        <v>739</v>
      </c>
      <c r="D913" t="s">
        <v>740</v>
      </c>
      <c r="E913" t="s">
        <v>743</v>
      </c>
      <c r="F913" s="34">
        <v>173</v>
      </c>
      <c r="G913" s="34" t="s">
        <v>552</v>
      </c>
      <c r="H913" s="36">
        <v>41915</v>
      </c>
      <c r="I913" s="58">
        <v>389118</v>
      </c>
      <c r="J913">
        <f>IFERROR(VLOOKUP(G913,'LEAID Match'!$A$2:$B$526,2,FALSE),"")</f>
        <v>2911550</v>
      </c>
      <c r="K913" s="68">
        <f t="shared" si="29"/>
        <v>8</v>
      </c>
    </row>
    <row r="914" spans="1:11" x14ac:dyDescent="0.2">
      <c r="A914">
        <f t="shared" si="28"/>
        <v>2916190</v>
      </c>
      <c r="B914">
        <v>2015</v>
      </c>
      <c r="C914" t="s">
        <v>739</v>
      </c>
      <c r="D914" t="s">
        <v>740</v>
      </c>
      <c r="E914" t="s">
        <v>743</v>
      </c>
      <c r="F914" s="37">
        <v>174</v>
      </c>
      <c r="G914" s="39" t="s">
        <v>113</v>
      </c>
      <c r="H914" s="40">
        <v>904764</v>
      </c>
      <c r="I914" s="58">
        <v>6233384</v>
      </c>
      <c r="J914">
        <f>IFERROR(VLOOKUP(G914,'LEAID Match'!$A$2:$B$526,2,FALSE),"")</f>
        <v>2916190</v>
      </c>
      <c r="K914" s="68">
        <f t="shared" si="29"/>
        <v>8</v>
      </c>
    </row>
    <row r="915" spans="1:11" x14ac:dyDescent="0.2">
      <c r="A915">
        <f t="shared" si="28"/>
        <v>2916190</v>
      </c>
      <c r="B915">
        <v>2016</v>
      </c>
      <c r="C915" t="s">
        <v>739</v>
      </c>
      <c r="D915" t="s">
        <v>740</v>
      </c>
      <c r="E915" t="s">
        <v>743</v>
      </c>
      <c r="F915" s="34">
        <v>174</v>
      </c>
      <c r="G915" s="34" t="s">
        <v>113</v>
      </c>
      <c r="H915" s="36">
        <v>964925</v>
      </c>
      <c r="I915" s="60">
        <v>6231315</v>
      </c>
      <c r="J915">
        <f>IFERROR(VLOOKUP(G915,'LEAID Match'!$A$2:$B$526,2,FALSE),"")</f>
        <v>2916190</v>
      </c>
      <c r="K915" s="68">
        <f t="shared" si="29"/>
        <v>8</v>
      </c>
    </row>
    <row r="916" spans="1:11" x14ac:dyDescent="0.2">
      <c r="A916">
        <f t="shared" si="28"/>
        <v>2916190</v>
      </c>
      <c r="B916">
        <v>2017</v>
      </c>
      <c r="C916" t="s">
        <v>739</v>
      </c>
      <c r="D916" t="s">
        <v>740</v>
      </c>
      <c r="E916" t="s">
        <v>743</v>
      </c>
      <c r="F916" s="34">
        <v>174</v>
      </c>
      <c r="G916" s="34" t="s">
        <v>113</v>
      </c>
      <c r="H916" s="36">
        <v>983278</v>
      </c>
      <c r="I916" s="58">
        <v>6359344</v>
      </c>
      <c r="J916">
        <f>IFERROR(VLOOKUP(G916,'LEAID Match'!$A$2:$B$526,2,FALSE),"")</f>
        <v>2916190</v>
      </c>
      <c r="K916" s="68">
        <f t="shared" si="29"/>
        <v>8</v>
      </c>
    </row>
    <row r="917" spans="1:11" x14ac:dyDescent="0.2">
      <c r="A917">
        <f t="shared" si="28"/>
        <v>2916190</v>
      </c>
      <c r="B917">
        <v>2018</v>
      </c>
      <c r="C917" t="s">
        <v>739</v>
      </c>
      <c r="D917" t="s">
        <v>740</v>
      </c>
      <c r="E917" t="s">
        <v>743</v>
      </c>
      <c r="F917" s="34">
        <v>174</v>
      </c>
      <c r="G917" s="34" t="s">
        <v>113</v>
      </c>
      <c r="H917" s="36">
        <v>1018258</v>
      </c>
      <c r="I917" s="58">
        <v>6562306</v>
      </c>
      <c r="J917">
        <f>IFERROR(VLOOKUP(G917,'LEAID Match'!$A$2:$B$526,2,FALSE),"")</f>
        <v>2916190</v>
      </c>
      <c r="K917" s="68">
        <f t="shared" si="29"/>
        <v>8</v>
      </c>
    </row>
    <row r="918" spans="1:11" x14ac:dyDescent="0.2">
      <c r="A918">
        <f t="shared" si="28"/>
        <v>2916190</v>
      </c>
      <c r="B918">
        <v>2019</v>
      </c>
      <c r="C918" t="s">
        <v>739</v>
      </c>
      <c r="D918" t="s">
        <v>740</v>
      </c>
      <c r="E918" t="s">
        <v>743</v>
      </c>
      <c r="F918" s="34">
        <v>174</v>
      </c>
      <c r="G918" s="34" t="s">
        <v>113</v>
      </c>
      <c r="H918" s="36">
        <v>1087921</v>
      </c>
      <c r="I918" s="58">
        <v>6783581</v>
      </c>
      <c r="J918">
        <f>IFERROR(VLOOKUP(G918,'LEAID Match'!$A$2:$B$526,2,FALSE),"")</f>
        <v>2916190</v>
      </c>
      <c r="K918" s="68">
        <f t="shared" si="29"/>
        <v>8</v>
      </c>
    </row>
    <row r="919" spans="1:11" x14ac:dyDescent="0.2">
      <c r="A919">
        <f t="shared" si="28"/>
        <v>2916190</v>
      </c>
      <c r="B919">
        <v>2020</v>
      </c>
      <c r="C919" t="s">
        <v>739</v>
      </c>
      <c r="D919" t="s">
        <v>740</v>
      </c>
      <c r="E919" t="s">
        <v>743</v>
      </c>
      <c r="F919" s="34">
        <v>174</v>
      </c>
      <c r="G919" s="34" t="s">
        <v>113</v>
      </c>
      <c r="H919" s="36">
        <v>1145192</v>
      </c>
      <c r="I919" s="58">
        <v>7069094</v>
      </c>
      <c r="J919">
        <f>IFERROR(VLOOKUP(G919,'LEAID Match'!$A$2:$B$526,2,FALSE),"")</f>
        <v>2916190</v>
      </c>
      <c r="K919" s="68">
        <f t="shared" si="29"/>
        <v>8</v>
      </c>
    </row>
    <row r="920" spans="1:11" x14ac:dyDescent="0.2">
      <c r="A920">
        <f t="shared" si="28"/>
        <v>2916190</v>
      </c>
      <c r="B920">
        <v>2021</v>
      </c>
      <c r="C920" t="s">
        <v>739</v>
      </c>
      <c r="D920" t="s">
        <v>740</v>
      </c>
      <c r="E920" t="s">
        <v>743</v>
      </c>
      <c r="F920" s="34">
        <v>174</v>
      </c>
      <c r="G920" s="34" t="s">
        <v>113</v>
      </c>
      <c r="H920" s="36">
        <v>1221290</v>
      </c>
      <c r="I920" s="58">
        <v>7328397</v>
      </c>
      <c r="J920">
        <f>IFERROR(VLOOKUP(G920,'LEAID Match'!$A$2:$B$526,2,FALSE),"")</f>
        <v>2916190</v>
      </c>
      <c r="K920" s="68">
        <f t="shared" si="29"/>
        <v>8</v>
      </c>
    </row>
    <row r="921" spans="1:11" x14ac:dyDescent="0.2">
      <c r="A921">
        <f t="shared" si="28"/>
        <v>2916190</v>
      </c>
      <c r="B921">
        <v>2022</v>
      </c>
      <c r="C921" t="s">
        <v>739</v>
      </c>
      <c r="D921" t="s">
        <v>740</v>
      </c>
      <c r="E921" t="s">
        <v>743</v>
      </c>
      <c r="F921" s="34">
        <v>174</v>
      </c>
      <c r="G921" s="34" t="s">
        <v>113</v>
      </c>
      <c r="H921" s="36">
        <v>1205121</v>
      </c>
      <c r="I921" s="58">
        <v>7391922</v>
      </c>
      <c r="J921">
        <f>IFERROR(VLOOKUP(G921,'LEAID Match'!$A$2:$B$526,2,FALSE),"")</f>
        <v>2916190</v>
      </c>
      <c r="K921" s="68">
        <f t="shared" si="29"/>
        <v>8</v>
      </c>
    </row>
    <row r="922" spans="1:11" x14ac:dyDescent="0.2">
      <c r="A922">
        <f t="shared" si="28"/>
        <v>2905580</v>
      </c>
      <c r="B922">
        <v>2015</v>
      </c>
      <c r="C922" t="s">
        <v>739</v>
      </c>
      <c r="D922" t="s">
        <v>740</v>
      </c>
      <c r="E922" t="s">
        <v>743</v>
      </c>
      <c r="F922" s="37">
        <v>175</v>
      </c>
      <c r="G922" s="39" t="s">
        <v>114</v>
      </c>
      <c r="H922" s="40">
        <v>112104</v>
      </c>
      <c r="I922" s="58">
        <v>1012870</v>
      </c>
      <c r="J922">
        <f>IFERROR(VLOOKUP(G922,'LEAID Match'!$A$2:$B$526,2,FALSE),"")</f>
        <v>2905580</v>
      </c>
      <c r="K922" s="68">
        <f t="shared" si="29"/>
        <v>8</v>
      </c>
    </row>
    <row r="923" spans="1:11" x14ac:dyDescent="0.2">
      <c r="A923">
        <f t="shared" si="28"/>
        <v>2905580</v>
      </c>
      <c r="B923">
        <v>2016</v>
      </c>
      <c r="C923" t="s">
        <v>739</v>
      </c>
      <c r="D923" t="s">
        <v>740</v>
      </c>
      <c r="E923" t="s">
        <v>743</v>
      </c>
      <c r="F923" s="34">
        <v>175</v>
      </c>
      <c r="G923" s="34" t="s">
        <v>114</v>
      </c>
      <c r="H923" s="36">
        <v>118044</v>
      </c>
      <c r="I923" s="60">
        <v>1052506</v>
      </c>
      <c r="J923">
        <f>IFERROR(VLOOKUP(G923,'LEAID Match'!$A$2:$B$526,2,FALSE),"")</f>
        <v>2905580</v>
      </c>
      <c r="K923" s="68">
        <f t="shared" si="29"/>
        <v>8</v>
      </c>
    </row>
    <row r="924" spans="1:11" x14ac:dyDescent="0.2">
      <c r="A924">
        <f t="shared" si="28"/>
        <v>2905580</v>
      </c>
      <c r="B924">
        <v>2017</v>
      </c>
      <c r="C924" t="s">
        <v>739</v>
      </c>
      <c r="D924" t="s">
        <v>740</v>
      </c>
      <c r="E924" t="s">
        <v>743</v>
      </c>
      <c r="F924" s="34">
        <v>175</v>
      </c>
      <c r="G924" s="34" t="s">
        <v>114</v>
      </c>
      <c r="H924" s="36">
        <v>121135</v>
      </c>
      <c r="I924" s="58">
        <v>1103441</v>
      </c>
      <c r="J924">
        <f>IFERROR(VLOOKUP(G924,'LEAID Match'!$A$2:$B$526,2,FALSE),"")</f>
        <v>2905580</v>
      </c>
      <c r="K924" s="68">
        <f t="shared" si="29"/>
        <v>8</v>
      </c>
    </row>
    <row r="925" spans="1:11" x14ac:dyDescent="0.2">
      <c r="A925">
        <f t="shared" si="28"/>
        <v>2905580</v>
      </c>
      <c r="B925">
        <v>2018</v>
      </c>
      <c r="C925" t="s">
        <v>739</v>
      </c>
      <c r="D925" t="s">
        <v>740</v>
      </c>
      <c r="E925" t="s">
        <v>743</v>
      </c>
      <c r="F925" s="34">
        <v>175</v>
      </c>
      <c r="G925" s="34" t="s">
        <v>114</v>
      </c>
      <c r="H925" s="36">
        <v>128075</v>
      </c>
      <c r="I925" s="58">
        <v>1129023</v>
      </c>
      <c r="J925">
        <f>IFERROR(VLOOKUP(G925,'LEAID Match'!$A$2:$B$526,2,FALSE),"")</f>
        <v>2905580</v>
      </c>
      <c r="K925" s="68">
        <f t="shared" si="29"/>
        <v>8</v>
      </c>
    </row>
    <row r="926" spans="1:11" x14ac:dyDescent="0.2">
      <c r="A926">
        <f t="shared" si="28"/>
        <v>2905580</v>
      </c>
      <c r="B926">
        <v>2019</v>
      </c>
      <c r="C926" t="s">
        <v>739</v>
      </c>
      <c r="D926" t="s">
        <v>740</v>
      </c>
      <c r="E926" t="s">
        <v>743</v>
      </c>
      <c r="F926" s="34">
        <v>175</v>
      </c>
      <c r="G926" s="34" t="s">
        <v>114</v>
      </c>
      <c r="H926" s="36">
        <v>132608</v>
      </c>
      <c r="I926" s="58">
        <v>1172729</v>
      </c>
      <c r="J926">
        <f>IFERROR(VLOOKUP(G926,'LEAID Match'!$A$2:$B$526,2,FALSE),"")</f>
        <v>2905580</v>
      </c>
      <c r="K926" s="68">
        <f t="shared" si="29"/>
        <v>8</v>
      </c>
    </row>
    <row r="927" spans="1:11" x14ac:dyDescent="0.2">
      <c r="A927">
        <f t="shared" si="28"/>
        <v>2905580</v>
      </c>
      <c r="B927">
        <v>2020</v>
      </c>
      <c r="C927" t="s">
        <v>739</v>
      </c>
      <c r="D927" t="s">
        <v>740</v>
      </c>
      <c r="E927" t="s">
        <v>743</v>
      </c>
      <c r="F927" s="34">
        <v>175</v>
      </c>
      <c r="G927" s="34" t="s">
        <v>114</v>
      </c>
      <c r="H927" s="36">
        <v>155763</v>
      </c>
      <c r="I927" s="58">
        <v>1182178</v>
      </c>
      <c r="J927">
        <f>IFERROR(VLOOKUP(G927,'LEAID Match'!$A$2:$B$526,2,FALSE),"")</f>
        <v>2905580</v>
      </c>
      <c r="K927" s="68">
        <f t="shared" si="29"/>
        <v>8</v>
      </c>
    </row>
    <row r="928" spans="1:11" x14ac:dyDescent="0.2">
      <c r="A928">
        <f t="shared" si="28"/>
        <v>2905580</v>
      </c>
      <c r="B928">
        <v>2021</v>
      </c>
      <c r="C928" t="s">
        <v>739</v>
      </c>
      <c r="D928" t="s">
        <v>740</v>
      </c>
      <c r="E928" t="s">
        <v>743</v>
      </c>
      <c r="F928" s="34">
        <v>175</v>
      </c>
      <c r="G928" s="34" t="s">
        <v>114</v>
      </c>
      <c r="H928" s="36">
        <v>162567</v>
      </c>
      <c r="I928" s="58">
        <v>1214461</v>
      </c>
      <c r="J928">
        <f>IFERROR(VLOOKUP(G928,'LEAID Match'!$A$2:$B$526,2,FALSE),"")</f>
        <v>2905580</v>
      </c>
      <c r="K928" s="68">
        <f t="shared" si="29"/>
        <v>8</v>
      </c>
    </row>
    <row r="929" spans="1:11" x14ac:dyDescent="0.2">
      <c r="A929">
        <f t="shared" si="28"/>
        <v>2905580</v>
      </c>
      <c r="B929">
        <v>2022</v>
      </c>
      <c r="C929" t="s">
        <v>739</v>
      </c>
      <c r="D929" t="s">
        <v>740</v>
      </c>
      <c r="E929" t="s">
        <v>743</v>
      </c>
      <c r="F929" s="34">
        <v>175</v>
      </c>
      <c r="G929" s="34" t="s">
        <v>114</v>
      </c>
      <c r="H929" s="36">
        <v>170975</v>
      </c>
      <c r="I929" s="58">
        <v>1172900</v>
      </c>
      <c r="J929">
        <f>IFERROR(VLOOKUP(G929,'LEAID Match'!$A$2:$B$526,2,FALSE),"")</f>
        <v>2905580</v>
      </c>
      <c r="K929" s="68">
        <f t="shared" si="29"/>
        <v>8</v>
      </c>
    </row>
    <row r="930" spans="1:11" x14ac:dyDescent="0.2">
      <c r="A930">
        <f t="shared" si="28"/>
        <v>2905190</v>
      </c>
      <c r="B930">
        <v>2015</v>
      </c>
      <c r="C930" t="s">
        <v>739</v>
      </c>
      <c r="D930" t="s">
        <v>740</v>
      </c>
      <c r="E930" t="s">
        <v>743</v>
      </c>
      <c r="F930" s="37">
        <v>176</v>
      </c>
      <c r="G930" s="39" t="s">
        <v>115</v>
      </c>
      <c r="H930" s="40">
        <v>10295</v>
      </c>
      <c r="I930" s="58">
        <v>77331</v>
      </c>
      <c r="J930">
        <f>IFERROR(VLOOKUP(G930,'LEAID Match'!$A$2:$B$526,2,FALSE),"")</f>
        <v>2905190</v>
      </c>
      <c r="K930" s="68">
        <f t="shared" si="29"/>
        <v>8</v>
      </c>
    </row>
    <row r="931" spans="1:11" x14ac:dyDescent="0.2">
      <c r="A931">
        <f t="shared" si="28"/>
        <v>2905190</v>
      </c>
      <c r="B931">
        <v>2016</v>
      </c>
      <c r="C931" t="s">
        <v>739</v>
      </c>
      <c r="D931" t="s">
        <v>740</v>
      </c>
      <c r="E931" t="s">
        <v>743</v>
      </c>
      <c r="F931" s="34">
        <v>176</v>
      </c>
      <c r="G931" s="34" t="s">
        <v>115</v>
      </c>
      <c r="H931" s="36">
        <v>8272</v>
      </c>
      <c r="I931" s="60">
        <v>76928</v>
      </c>
      <c r="J931">
        <f>IFERROR(VLOOKUP(G931,'LEAID Match'!$A$2:$B$526,2,FALSE),"")</f>
        <v>2905190</v>
      </c>
      <c r="K931" s="68">
        <f t="shared" si="29"/>
        <v>8</v>
      </c>
    </row>
    <row r="932" spans="1:11" x14ac:dyDescent="0.2">
      <c r="A932">
        <f t="shared" si="28"/>
        <v>2905190</v>
      </c>
      <c r="B932">
        <v>2017</v>
      </c>
      <c r="C932" t="s">
        <v>739</v>
      </c>
      <c r="D932" t="s">
        <v>740</v>
      </c>
      <c r="E932" t="s">
        <v>743</v>
      </c>
      <c r="F932" s="34">
        <v>176</v>
      </c>
      <c r="G932" s="34" t="s">
        <v>115</v>
      </c>
      <c r="H932" s="36">
        <v>7690</v>
      </c>
      <c r="I932" s="58">
        <v>84020</v>
      </c>
      <c r="J932">
        <f>IFERROR(VLOOKUP(G932,'LEAID Match'!$A$2:$B$526,2,FALSE),"")</f>
        <v>2905190</v>
      </c>
      <c r="K932" s="68">
        <f t="shared" si="29"/>
        <v>8</v>
      </c>
    </row>
    <row r="933" spans="1:11" x14ac:dyDescent="0.2">
      <c r="A933">
        <f t="shared" si="28"/>
        <v>2905190</v>
      </c>
      <c r="B933">
        <v>2018</v>
      </c>
      <c r="C933" t="s">
        <v>739</v>
      </c>
      <c r="D933" t="s">
        <v>740</v>
      </c>
      <c r="E933" t="s">
        <v>743</v>
      </c>
      <c r="F933" s="34">
        <v>176</v>
      </c>
      <c r="G933" s="34" t="s">
        <v>115</v>
      </c>
      <c r="H933" s="36">
        <v>8258</v>
      </c>
      <c r="I933" s="58">
        <v>88366</v>
      </c>
      <c r="J933">
        <f>IFERROR(VLOOKUP(G933,'LEAID Match'!$A$2:$B$526,2,FALSE),"")</f>
        <v>2905190</v>
      </c>
      <c r="K933" s="68">
        <f t="shared" si="29"/>
        <v>8</v>
      </c>
    </row>
    <row r="934" spans="1:11" x14ac:dyDescent="0.2">
      <c r="A934">
        <f t="shared" si="28"/>
        <v>2905190</v>
      </c>
      <c r="B934">
        <v>2019</v>
      </c>
      <c r="C934" t="s">
        <v>739</v>
      </c>
      <c r="D934" t="s">
        <v>740</v>
      </c>
      <c r="E934" t="s">
        <v>743</v>
      </c>
      <c r="F934" s="34">
        <v>176</v>
      </c>
      <c r="G934" s="34" t="s">
        <v>115</v>
      </c>
      <c r="H934" s="36">
        <v>10939</v>
      </c>
      <c r="I934" s="58">
        <v>87668</v>
      </c>
      <c r="J934">
        <f>IFERROR(VLOOKUP(G934,'LEAID Match'!$A$2:$B$526,2,FALSE),"")</f>
        <v>2905190</v>
      </c>
      <c r="K934" s="68">
        <f t="shared" si="29"/>
        <v>8</v>
      </c>
    </row>
    <row r="935" spans="1:11" x14ac:dyDescent="0.2">
      <c r="A935">
        <f t="shared" si="28"/>
        <v>2905190</v>
      </c>
      <c r="B935">
        <v>2020</v>
      </c>
      <c r="C935" t="s">
        <v>739</v>
      </c>
      <c r="D935" t="s">
        <v>740</v>
      </c>
      <c r="E935" t="s">
        <v>743</v>
      </c>
      <c r="F935" s="34">
        <v>176</v>
      </c>
      <c r="G935" s="34" t="s">
        <v>115</v>
      </c>
      <c r="H935" s="36">
        <v>10831</v>
      </c>
      <c r="I935" s="58">
        <v>91868</v>
      </c>
      <c r="J935">
        <f>IFERROR(VLOOKUP(G935,'LEAID Match'!$A$2:$B$526,2,FALSE),"")</f>
        <v>2905190</v>
      </c>
      <c r="K935" s="68">
        <f t="shared" si="29"/>
        <v>8</v>
      </c>
    </row>
    <row r="936" spans="1:11" x14ac:dyDescent="0.2">
      <c r="A936">
        <f t="shared" si="28"/>
        <v>2905190</v>
      </c>
      <c r="B936">
        <v>2021</v>
      </c>
      <c r="C936" t="s">
        <v>739</v>
      </c>
      <c r="D936" t="s">
        <v>740</v>
      </c>
      <c r="E936" t="s">
        <v>743</v>
      </c>
      <c r="F936" s="34">
        <v>176</v>
      </c>
      <c r="G936" s="34" t="s">
        <v>115</v>
      </c>
      <c r="H936" s="36">
        <v>9648</v>
      </c>
      <c r="I936" s="58">
        <v>92459</v>
      </c>
      <c r="J936">
        <f>IFERROR(VLOOKUP(G936,'LEAID Match'!$A$2:$B$526,2,FALSE),"")</f>
        <v>2905190</v>
      </c>
      <c r="K936" s="68">
        <f t="shared" si="29"/>
        <v>8</v>
      </c>
    </row>
    <row r="937" spans="1:11" x14ac:dyDescent="0.2">
      <c r="A937">
        <f t="shared" si="28"/>
        <v>2905190</v>
      </c>
      <c r="B937">
        <v>2022</v>
      </c>
      <c r="C937" t="s">
        <v>739</v>
      </c>
      <c r="D937" t="s">
        <v>740</v>
      </c>
      <c r="E937" t="s">
        <v>743</v>
      </c>
      <c r="F937" s="34">
        <v>176</v>
      </c>
      <c r="G937" s="34" t="s">
        <v>115</v>
      </c>
      <c r="H937" s="36">
        <v>10111</v>
      </c>
      <c r="I937" s="58">
        <v>86831</v>
      </c>
      <c r="J937">
        <f>IFERROR(VLOOKUP(G937,'LEAID Match'!$A$2:$B$526,2,FALSE),"")</f>
        <v>2905190</v>
      </c>
      <c r="K937" s="68">
        <f t="shared" si="29"/>
        <v>8</v>
      </c>
    </row>
    <row r="938" spans="1:11" x14ac:dyDescent="0.2">
      <c r="A938">
        <f t="shared" si="28"/>
        <v>2906150</v>
      </c>
      <c r="B938">
        <v>2015</v>
      </c>
      <c r="C938" t="s">
        <v>739</v>
      </c>
      <c r="D938" t="s">
        <v>740</v>
      </c>
      <c r="E938" t="s">
        <v>743</v>
      </c>
      <c r="F938" s="37">
        <v>177</v>
      </c>
      <c r="G938" s="39" t="s">
        <v>116</v>
      </c>
      <c r="H938" s="40">
        <v>17274</v>
      </c>
      <c r="I938" s="58">
        <v>118860</v>
      </c>
      <c r="J938">
        <f>IFERROR(VLOOKUP(G938,'LEAID Match'!$A$2:$B$526,2,FALSE),"")</f>
        <v>2906150</v>
      </c>
      <c r="K938" s="68">
        <f t="shared" si="29"/>
        <v>8</v>
      </c>
    </row>
    <row r="939" spans="1:11" x14ac:dyDescent="0.2">
      <c r="A939">
        <f t="shared" si="28"/>
        <v>2906150</v>
      </c>
      <c r="B939">
        <v>2016</v>
      </c>
      <c r="C939" t="s">
        <v>739</v>
      </c>
      <c r="D939" t="s">
        <v>740</v>
      </c>
      <c r="E939" t="s">
        <v>743</v>
      </c>
      <c r="F939" s="34">
        <v>177</v>
      </c>
      <c r="G939" s="34" t="s">
        <v>116</v>
      </c>
      <c r="H939" s="36">
        <v>20201</v>
      </c>
      <c r="I939" s="60">
        <v>117881</v>
      </c>
      <c r="J939">
        <f>IFERROR(VLOOKUP(G939,'LEAID Match'!$A$2:$B$526,2,FALSE),"")</f>
        <v>2906150</v>
      </c>
      <c r="K939" s="68">
        <f t="shared" si="29"/>
        <v>8</v>
      </c>
    </row>
    <row r="940" spans="1:11" x14ac:dyDescent="0.2">
      <c r="A940">
        <f t="shared" si="28"/>
        <v>2906150</v>
      </c>
      <c r="B940">
        <v>2017</v>
      </c>
      <c r="C940" t="s">
        <v>739</v>
      </c>
      <c r="D940" t="s">
        <v>740</v>
      </c>
      <c r="E940" t="s">
        <v>743</v>
      </c>
      <c r="F940" s="34">
        <v>177</v>
      </c>
      <c r="G940" s="34" t="s">
        <v>116</v>
      </c>
      <c r="H940" s="36">
        <v>17701</v>
      </c>
      <c r="I940" s="58">
        <v>114717</v>
      </c>
      <c r="J940">
        <f>IFERROR(VLOOKUP(G940,'LEAID Match'!$A$2:$B$526,2,FALSE),"")</f>
        <v>2906150</v>
      </c>
      <c r="K940" s="68">
        <f t="shared" si="29"/>
        <v>8</v>
      </c>
    </row>
    <row r="941" spans="1:11" x14ac:dyDescent="0.2">
      <c r="A941">
        <f t="shared" si="28"/>
        <v>2906150</v>
      </c>
      <c r="B941">
        <v>2018</v>
      </c>
      <c r="C941" t="s">
        <v>739</v>
      </c>
      <c r="D941" t="s">
        <v>740</v>
      </c>
      <c r="E941" t="s">
        <v>743</v>
      </c>
      <c r="F941" s="34">
        <v>177</v>
      </c>
      <c r="G941" s="34" t="s">
        <v>116</v>
      </c>
      <c r="H941" s="36">
        <v>16743</v>
      </c>
      <c r="I941" s="58">
        <v>127752</v>
      </c>
      <c r="J941">
        <f>IFERROR(VLOOKUP(G941,'LEAID Match'!$A$2:$B$526,2,FALSE),"")</f>
        <v>2906150</v>
      </c>
      <c r="K941" s="68">
        <f t="shared" si="29"/>
        <v>8</v>
      </c>
    </row>
    <row r="942" spans="1:11" x14ac:dyDescent="0.2">
      <c r="A942">
        <f t="shared" si="28"/>
        <v>2906150</v>
      </c>
      <c r="B942">
        <v>2019</v>
      </c>
      <c r="C942" t="s">
        <v>739</v>
      </c>
      <c r="D942" t="s">
        <v>740</v>
      </c>
      <c r="E942" t="s">
        <v>743</v>
      </c>
      <c r="F942" s="34">
        <v>177</v>
      </c>
      <c r="G942" s="34" t="s">
        <v>116</v>
      </c>
      <c r="H942" s="36">
        <v>21006</v>
      </c>
      <c r="I942" s="58">
        <v>134859</v>
      </c>
      <c r="J942">
        <f>IFERROR(VLOOKUP(G942,'LEAID Match'!$A$2:$B$526,2,FALSE),"")</f>
        <v>2906150</v>
      </c>
      <c r="K942" s="68">
        <f t="shared" si="29"/>
        <v>8</v>
      </c>
    </row>
    <row r="943" spans="1:11" x14ac:dyDescent="0.2">
      <c r="A943">
        <f t="shared" si="28"/>
        <v>2906150</v>
      </c>
      <c r="B943">
        <v>2020</v>
      </c>
      <c r="C943" t="s">
        <v>739</v>
      </c>
      <c r="D943" t="s">
        <v>740</v>
      </c>
      <c r="E943" t="s">
        <v>743</v>
      </c>
      <c r="F943" s="34">
        <v>177</v>
      </c>
      <c r="G943" s="34" t="s">
        <v>116</v>
      </c>
      <c r="H943" s="36">
        <v>20504</v>
      </c>
      <c r="I943" s="58">
        <v>138107</v>
      </c>
      <c r="J943">
        <f>IFERROR(VLOOKUP(G943,'LEAID Match'!$A$2:$B$526,2,FALSE),"")</f>
        <v>2906150</v>
      </c>
      <c r="K943" s="68">
        <f t="shared" si="29"/>
        <v>8</v>
      </c>
    </row>
    <row r="944" spans="1:11" x14ac:dyDescent="0.2">
      <c r="A944">
        <f t="shared" si="28"/>
        <v>2906150</v>
      </c>
      <c r="B944">
        <v>2021</v>
      </c>
      <c r="C944" t="s">
        <v>739</v>
      </c>
      <c r="D944" t="s">
        <v>740</v>
      </c>
      <c r="E944" t="s">
        <v>743</v>
      </c>
      <c r="F944" s="34">
        <v>177</v>
      </c>
      <c r="G944" s="34" t="s">
        <v>116</v>
      </c>
      <c r="H944" s="36">
        <v>18481</v>
      </c>
      <c r="I944" s="58">
        <v>135832</v>
      </c>
      <c r="J944">
        <f>IFERROR(VLOOKUP(G944,'LEAID Match'!$A$2:$B$526,2,FALSE),"")</f>
        <v>2906150</v>
      </c>
      <c r="K944" s="68">
        <f t="shared" si="29"/>
        <v>8</v>
      </c>
    </row>
    <row r="945" spans="1:11" x14ac:dyDescent="0.2">
      <c r="A945">
        <f t="shared" si="28"/>
        <v>2906150</v>
      </c>
      <c r="B945">
        <v>2022</v>
      </c>
      <c r="C945" t="s">
        <v>739</v>
      </c>
      <c r="D945" t="s">
        <v>740</v>
      </c>
      <c r="E945" t="s">
        <v>743</v>
      </c>
      <c r="F945" s="34">
        <v>177</v>
      </c>
      <c r="G945" s="34" t="s">
        <v>116</v>
      </c>
      <c r="H945" s="36">
        <v>26579</v>
      </c>
      <c r="I945" s="58">
        <v>138388</v>
      </c>
      <c r="J945">
        <f>IFERROR(VLOOKUP(G945,'LEAID Match'!$A$2:$B$526,2,FALSE),"")</f>
        <v>2906150</v>
      </c>
      <c r="K945" s="68">
        <f t="shared" si="29"/>
        <v>8</v>
      </c>
    </row>
    <row r="946" spans="1:11" x14ac:dyDescent="0.2">
      <c r="A946">
        <f t="shared" si="28"/>
        <v>2925530</v>
      </c>
      <c r="B946">
        <v>2015</v>
      </c>
      <c r="C946" t="s">
        <v>739</v>
      </c>
      <c r="D946" t="s">
        <v>740</v>
      </c>
      <c r="E946" t="s">
        <v>743</v>
      </c>
      <c r="F946" s="37">
        <v>178</v>
      </c>
      <c r="G946" s="39" t="s">
        <v>117</v>
      </c>
      <c r="H946" s="40">
        <v>13291</v>
      </c>
      <c r="I946" s="58">
        <v>127697</v>
      </c>
      <c r="J946">
        <f>IFERROR(VLOOKUP(G946,'LEAID Match'!$A$2:$B$526,2,FALSE),"")</f>
        <v>2925530</v>
      </c>
      <c r="K946" s="68">
        <f t="shared" si="29"/>
        <v>8</v>
      </c>
    </row>
    <row r="947" spans="1:11" x14ac:dyDescent="0.2">
      <c r="A947">
        <f t="shared" si="28"/>
        <v>2925530</v>
      </c>
      <c r="B947">
        <v>2016</v>
      </c>
      <c r="C947" t="s">
        <v>739</v>
      </c>
      <c r="D947" t="s">
        <v>740</v>
      </c>
      <c r="E947" t="s">
        <v>743</v>
      </c>
      <c r="F947" s="34">
        <v>178</v>
      </c>
      <c r="G947" s="34" t="s">
        <v>117</v>
      </c>
      <c r="H947" s="36">
        <v>14862</v>
      </c>
      <c r="I947" s="60">
        <v>130410</v>
      </c>
      <c r="J947">
        <f>IFERROR(VLOOKUP(G947,'LEAID Match'!$A$2:$B$526,2,FALSE),"")</f>
        <v>2925530</v>
      </c>
      <c r="K947" s="68">
        <f t="shared" si="29"/>
        <v>8</v>
      </c>
    </row>
    <row r="948" spans="1:11" x14ac:dyDescent="0.2">
      <c r="A948">
        <f t="shared" si="28"/>
        <v>2925530</v>
      </c>
      <c r="B948">
        <v>2017</v>
      </c>
      <c r="C948" t="s">
        <v>739</v>
      </c>
      <c r="D948" t="s">
        <v>740</v>
      </c>
      <c r="E948" t="s">
        <v>743</v>
      </c>
      <c r="F948" s="34">
        <v>178</v>
      </c>
      <c r="G948" s="34" t="s">
        <v>117</v>
      </c>
      <c r="H948" s="36">
        <v>14975</v>
      </c>
      <c r="I948" s="58">
        <v>135329</v>
      </c>
      <c r="J948">
        <f>IFERROR(VLOOKUP(G948,'LEAID Match'!$A$2:$B$526,2,FALSE),"")</f>
        <v>2925530</v>
      </c>
      <c r="K948" s="68">
        <f t="shared" si="29"/>
        <v>8</v>
      </c>
    </row>
    <row r="949" spans="1:11" x14ac:dyDescent="0.2">
      <c r="A949">
        <f t="shared" si="28"/>
        <v>2925530</v>
      </c>
      <c r="B949">
        <v>2018</v>
      </c>
      <c r="C949" t="s">
        <v>739</v>
      </c>
      <c r="D949" t="s">
        <v>740</v>
      </c>
      <c r="E949" t="s">
        <v>743</v>
      </c>
      <c r="F949" s="34">
        <v>178</v>
      </c>
      <c r="G949" s="34" t="s">
        <v>117</v>
      </c>
      <c r="H949" s="36">
        <v>15037</v>
      </c>
      <c r="I949" s="58">
        <v>131710</v>
      </c>
      <c r="J949">
        <f>IFERROR(VLOOKUP(G949,'LEAID Match'!$A$2:$B$526,2,FALSE),"")</f>
        <v>2925530</v>
      </c>
      <c r="K949" s="68">
        <f t="shared" si="29"/>
        <v>8</v>
      </c>
    </row>
    <row r="950" spans="1:11" x14ac:dyDescent="0.2">
      <c r="A950">
        <f t="shared" si="28"/>
        <v>2925530</v>
      </c>
      <c r="B950">
        <v>2019</v>
      </c>
      <c r="C950" t="s">
        <v>739</v>
      </c>
      <c r="D950" t="s">
        <v>740</v>
      </c>
      <c r="E950" t="s">
        <v>743</v>
      </c>
      <c r="F950" s="34">
        <v>178</v>
      </c>
      <c r="G950" s="34" t="s">
        <v>117</v>
      </c>
      <c r="H950" s="36">
        <v>15476</v>
      </c>
      <c r="I950" s="58">
        <v>127714</v>
      </c>
      <c r="J950">
        <f>IFERROR(VLOOKUP(G950,'LEAID Match'!$A$2:$B$526,2,FALSE),"")</f>
        <v>2925530</v>
      </c>
      <c r="K950" s="68">
        <f t="shared" si="29"/>
        <v>8</v>
      </c>
    </row>
    <row r="951" spans="1:11" x14ac:dyDescent="0.2">
      <c r="A951">
        <f t="shared" si="28"/>
        <v>2925530</v>
      </c>
      <c r="B951">
        <v>2020</v>
      </c>
      <c r="C951" t="s">
        <v>739</v>
      </c>
      <c r="D951" t="s">
        <v>740</v>
      </c>
      <c r="E951" t="s">
        <v>743</v>
      </c>
      <c r="F951" s="34">
        <v>178</v>
      </c>
      <c r="G951" s="34" t="s">
        <v>117</v>
      </c>
      <c r="H951" s="36">
        <v>15918</v>
      </c>
      <c r="I951" s="58">
        <v>121592</v>
      </c>
      <c r="J951">
        <f>IFERROR(VLOOKUP(G951,'LEAID Match'!$A$2:$B$526,2,FALSE),"")</f>
        <v>2925530</v>
      </c>
      <c r="K951" s="68">
        <f t="shared" si="29"/>
        <v>8</v>
      </c>
    </row>
    <row r="952" spans="1:11" x14ac:dyDescent="0.2">
      <c r="A952">
        <f t="shared" si="28"/>
        <v>2925530</v>
      </c>
      <c r="B952">
        <v>2021</v>
      </c>
      <c r="C952" t="s">
        <v>739</v>
      </c>
      <c r="D952" t="s">
        <v>740</v>
      </c>
      <c r="E952" t="s">
        <v>743</v>
      </c>
      <c r="F952" s="34">
        <v>178</v>
      </c>
      <c r="G952" s="34" t="s">
        <v>117</v>
      </c>
      <c r="H952" s="36">
        <v>17817</v>
      </c>
      <c r="I952" s="58">
        <v>135650</v>
      </c>
      <c r="J952">
        <f>IFERROR(VLOOKUP(G952,'LEAID Match'!$A$2:$B$526,2,FALSE),"")</f>
        <v>2925530</v>
      </c>
      <c r="K952" s="68">
        <f t="shared" si="29"/>
        <v>8</v>
      </c>
    </row>
    <row r="953" spans="1:11" x14ac:dyDescent="0.2">
      <c r="A953">
        <f t="shared" si="28"/>
        <v>2925530</v>
      </c>
      <c r="B953">
        <v>2022</v>
      </c>
      <c r="C953" t="s">
        <v>739</v>
      </c>
      <c r="D953" t="s">
        <v>740</v>
      </c>
      <c r="E953" t="s">
        <v>743</v>
      </c>
      <c r="F953" s="34">
        <v>178</v>
      </c>
      <c r="G953" s="34" t="s">
        <v>117</v>
      </c>
      <c r="H953" s="36">
        <v>22933</v>
      </c>
      <c r="I953" s="58">
        <v>131722</v>
      </c>
      <c r="J953">
        <f>IFERROR(VLOOKUP(G953,'LEAID Match'!$A$2:$B$526,2,FALSE),"")</f>
        <v>2925530</v>
      </c>
      <c r="K953" s="68">
        <f t="shared" si="29"/>
        <v>8</v>
      </c>
    </row>
    <row r="954" spans="1:11" x14ac:dyDescent="0.2">
      <c r="A954">
        <f t="shared" si="28"/>
        <v>2923310</v>
      </c>
      <c r="B954">
        <v>2015</v>
      </c>
      <c r="C954" t="s">
        <v>739</v>
      </c>
      <c r="D954" t="s">
        <v>740</v>
      </c>
      <c r="E954" t="s">
        <v>743</v>
      </c>
      <c r="F954" s="37">
        <v>179</v>
      </c>
      <c r="G954" s="39" t="s">
        <v>118</v>
      </c>
      <c r="H954" s="40">
        <v>30305</v>
      </c>
      <c r="I954" s="58">
        <v>154210</v>
      </c>
      <c r="J954">
        <f>IFERROR(VLOOKUP(G954,'LEAID Match'!$A$2:$B$526,2,FALSE),"")</f>
        <v>2923310</v>
      </c>
      <c r="K954" s="68">
        <f t="shared" si="29"/>
        <v>8</v>
      </c>
    </row>
    <row r="955" spans="1:11" x14ac:dyDescent="0.2">
      <c r="A955">
        <f t="shared" si="28"/>
        <v>2923310</v>
      </c>
      <c r="B955">
        <v>2016</v>
      </c>
      <c r="C955" t="s">
        <v>739</v>
      </c>
      <c r="D955" t="s">
        <v>740</v>
      </c>
      <c r="E955" t="s">
        <v>743</v>
      </c>
      <c r="F955" s="34">
        <v>179</v>
      </c>
      <c r="G955" s="34" t="s">
        <v>118</v>
      </c>
      <c r="H955" s="36">
        <v>31081</v>
      </c>
      <c r="I955" s="60">
        <v>151864</v>
      </c>
      <c r="J955">
        <f>IFERROR(VLOOKUP(G955,'LEAID Match'!$A$2:$B$526,2,FALSE),"")</f>
        <v>2923310</v>
      </c>
      <c r="K955" s="68">
        <f t="shared" si="29"/>
        <v>8</v>
      </c>
    </row>
    <row r="956" spans="1:11" x14ac:dyDescent="0.2">
      <c r="A956">
        <f t="shared" si="28"/>
        <v>2923310</v>
      </c>
      <c r="B956">
        <v>2017</v>
      </c>
      <c r="C956" t="s">
        <v>739</v>
      </c>
      <c r="D956" t="s">
        <v>740</v>
      </c>
      <c r="E956" t="s">
        <v>743</v>
      </c>
      <c r="F956" s="34">
        <v>179</v>
      </c>
      <c r="G956" s="34" t="s">
        <v>118</v>
      </c>
      <c r="H956" s="36">
        <v>31898</v>
      </c>
      <c r="I956" s="58">
        <v>154948</v>
      </c>
      <c r="J956">
        <f>IFERROR(VLOOKUP(G956,'LEAID Match'!$A$2:$B$526,2,FALSE),"")</f>
        <v>2923310</v>
      </c>
      <c r="K956" s="68">
        <f t="shared" si="29"/>
        <v>8</v>
      </c>
    </row>
    <row r="957" spans="1:11" x14ac:dyDescent="0.2">
      <c r="A957">
        <f t="shared" si="28"/>
        <v>2923310</v>
      </c>
      <c r="B957">
        <v>2018</v>
      </c>
      <c r="C957" t="s">
        <v>739</v>
      </c>
      <c r="D957" t="s">
        <v>740</v>
      </c>
      <c r="E957" t="s">
        <v>743</v>
      </c>
      <c r="F957" s="34">
        <v>179</v>
      </c>
      <c r="G957" s="34" t="s">
        <v>118</v>
      </c>
      <c r="H957" s="36">
        <v>28832</v>
      </c>
      <c r="I957" s="58">
        <v>162407</v>
      </c>
      <c r="J957">
        <f>IFERROR(VLOOKUP(G957,'LEAID Match'!$A$2:$B$526,2,FALSE),"")</f>
        <v>2923310</v>
      </c>
      <c r="K957" s="68">
        <f t="shared" si="29"/>
        <v>8</v>
      </c>
    </row>
    <row r="958" spans="1:11" x14ac:dyDescent="0.2">
      <c r="A958">
        <f t="shared" si="28"/>
        <v>2923310</v>
      </c>
      <c r="B958">
        <v>2019</v>
      </c>
      <c r="C958" t="s">
        <v>739</v>
      </c>
      <c r="D958" t="s">
        <v>740</v>
      </c>
      <c r="E958" t="s">
        <v>743</v>
      </c>
      <c r="F958" s="34">
        <v>179</v>
      </c>
      <c r="G958" s="34" t="s">
        <v>118</v>
      </c>
      <c r="H958" s="36">
        <v>35885</v>
      </c>
      <c r="I958" s="58">
        <v>160928</v>
      </c>
      <c r="J958">
        <f>IFERROR(VLOOKUP(G958,'LEAID Match'!$A$2:$B$526,2,FALSE),"")</f>
        <v>2923310</v>
      </c>
      <c r="K958" s="68">
        <f t="shared" si="29"/>
        <v>8</v>
      </c>
    </row>
    <row r="959" spans="1:11" x14ac:dyDescent="0.2">
      <c r="A959">
        <f t="shared" si="28"/>
        <v>2923310</v>
      </c>
      <c r="B959">
        <v>2020</v>
      </c>
      <c r="C959" t="s">
        <v>739</v>
      </c>
      <c r="D959" t="s">
        <v>740</v>
      </c>
      <c r="E959" t="s">
        <v>743</v>
      </c>
      <c r="F959" s="34">
        <v>179</v>
      </c>
      <c r="G959" s="34" t="s">
        <v>118</v>
      </c>
      <c r="H959" s="36">
        <v>48446</v>
      </c>
      <c r="I959" s="58">
        <v>147759</v>
      </c>
      <c r="J959">
        <f>IFERROR(VLOOKUP(G959,'LEAID Match'!$A$2:$B$526,2,FALSE),"")</f>
        <v>2923310</v>
      </c>
      <c r="K959" s="68">
        <f t="shared" si="29"/>
        <v>8</v>
      </c>
    </row>
    <row r="960" spans="1:11" x14ac:dyDescent="0.2">
      <c r="A960">
        <f t="shared" si="28"/>
        <v>2923310</v>
      </c>
      <c r="B960">
        <v>2021</v>
      </c>
      <c r="C960" t="s">
        <v>739</v>
      </c>
      <c r="D960" t="s">
        <v>740</v>
      </c>
      <c r="E960" t="s">
        <v>743</v>
      </c>
      <c r="F960" s="34">
        <v>179</v>
      </c>
      <c r="G960" s="34" t="s">
        <v>118</v>
      </c>
      <c r="H960" s="36">
        <v>41194</v>
      </c>
      <c r="I960" s="58">
        <v>173026</v>
      </c>
      <c r="J960">
        <f>IFERROR(VLOOKUP(G960,'LEAID Match'!$A$2:$B$526,2,FALSE),"")</f>
        <v>2923310</v>
      </c>
      <c r="K960" s="68">
        <f t="shared" si="29"/>
        <v>8</v>
      </c>
    </row>
    <row r="961" spans="1:11" x14ac:dyDescent="0.2">
      <c r="A961">
        <f t="shared" si="28"/>
        <v>2923310</v>
      </c>
      <c r="B961">
        <v>2022</v>
      </c>
      <c r="C961" t="s">
        <v>739</v>
      </c>
      <c r="D961" t="s">
        <v>740</v>
      </c>
      <c r="E961" t="s">
        <v>743</v>
      </c>
      <c r="F961" s="34">
        <v>179</v>
      </c>
      <c r="G961" s="34" t="s">
        <v>118</v>
      </c>
      <c r="H961" s="36">
        <v>44209</v>
      </c>
      <c r="I961" s="58">
        <v>183406</v>
      </c>
      <c r="J961">
        <f>IFERROR(VLOOKUP(G961,'LEAID Match'!$A$2:$B$526,2,FALSE),"")</f>
        <v>2923310</v>
      </c>
      <c r="K961" s="68">
        <f t="shared" si="29"/>
        <v>8</v>
      </c>
    </row>
    <row r="962" spans="1:11" x14ac:dyDescent="0.2">
      <c r="A962">
        <f t="shared" si="28"/>
        <v>2925170</v>
      </c>
      <c r="B962">
        <v>2015</v>
      </c>
      <c r="C962" t="s">
        <v>739</v>
      </c>
      <c r="D962" t="s">
        <v>740</v>
      </c>
      <c r="E962" t="s">
        <v>743</v>
      </c>
      <c r="F962" s="37">
        <v>180</v>
      </c>
      <c r="G962" s="39" t="s">
        <v>119</v>
      </c>
      <c r="H962" s="40">
        <v>29308</v>
      </c>
      <c r="I962" s="58">
        <v>193873</v>
      </c>
      <c r="J962">
        <f>IFERROR(VLOOKUP(G962,'LEAID Match'!$A$2:$B$526,2,FALSE),"")</f>
        <v>2925170</v>
      </c>
      <c r="K962" s="68">
        <f t="shared" si="29"/>
        <v>8</v>
      </c>
    </row>
    <row r="963" spans="1:11" x14ac:dyDescent="0.2">
      <c r="A963">
        <f t="shared" ref="A963:A1026" si="30">J963</f>
        <v>2925170</v>
      </c>
      <c r="B963">
        <v>2016</v>
      </c>
      <c r="C963" t="s">
        <v>739</v>
      </c>
      <c r="D963" t="s">
        <v>740</v>
      </c>
      <c r="E963" t="s">
        <v>743</v>
      </c>
      <c r="F963" s="34">
        <v>180</v>
      </c>
      <c r="G963" s="34" t="s">
        <v>119</v>
      </c>
      <c r="H963" s="36">
        <v>28276</v>
      </c>
      <c r="I963" s="60">
        <v>194132</v>
      </c>
      <c r="J963">
        <f>IFERROR(VLOOKUP(G963,'LEAID Match'!$A$2:$B$526,2,FALSE),"")</f>
        <v>2925170</v>
      </c>
      <c r="K963" s="68">
        <f t="shared" ref="K963:K1026" si="31">COUNTIF($J$2:$J$4295,J963)</f>
        <v>8</v>
      </c>
    </row>
    <row r="964" spans="1:11" x14ac:dyDescent="0.2">
      <c r="A964">
        <f t="shared" si="30"/>
        <v>2925170</v>
      </c>
      <c r="B964">
        <v>2017</v>
      </c>
      <c r="C964" t="s">
        <v>739</v>
      </c>
      <c r="D964" t="s">
        <v>740</v>
      </c>
      <c r="E964" t="s">
        <v>743</v>
      </c>
      <c r="F964" s="34">
        <v>180</v>
      </c>
      <c r="G964" s="34" t="s">
        <v>119</v>
      </c>
      <c r="H964" s="36">
        <v>30943</v>
      </c>
      <c r="I964" s="58">
        <v>193765</v>
      </c>
      <c r="J964">
        <f>IFERROR(VLOOKUP(G964,'LEAID Match'!$A$2:$B$526,2,FALSE),"")</f>
        <v>2925170</v>
      </c>
      <c r="K964" s="68">
        <f t="shared" si="31"/>
        <v>8</v>
      </c>
    </row>
    <row r="965" spans="1:11" x14ac:dyDescent="0.2">
      <c r="A965">
        <f t="shared" si="30"/>
        <v>2925170</v>
      </c>
      <c r="B965">
        <v>2018</v>
      </c>
      <c r="C965" t="s">
        <v>739</v>
      </c>
      <c r="D965" t="s">
        <v>740</v>
      </c>
      <c r="E965" t="s">
        <v>743</v>
      </c>
      <c r="F965" s="34">
        <v>180</v>
      </c>
      <c r="G965" s="34" t="s">
        <v>119</v>
      </c>
      <c r="H965" s="36">
        <v>27773</v>
      </c>
      <c r="I965" s="58">
        <v>207522</v>
      </c>
      <c r="J965">
        <f>IFERROR(VLOOKUP(G965,'LEAID Match'!$A$2:$B$526,2,FALSE),"")</f>
        <v>2925170</v>
      </c>
      <c r="K965" s="68">
        <f t="shared" si="31"/>
        <v>8</v>
      </c>
    </row>
    <row r="966" spans="1:11" x14ac:dyDescent="0.2">
      <c r="A966">
        <f t="shared" si="30"/>
        <v>2925170</v>
      </c>
      <c r="B966">
        <v>2019</v>
      </c>
      <c r="C966" t="s">
        <v>739</v>
      </c>
      <c r="D966" t="s">
        <v>740</v>
      </c>
      <c r="E966" t="s">
        <v>743</v>
      </c>
      <c r="F966" s="34">
        <v>180</v>
      </c>
      <c r="G966" s="34" t="s">
        <v>119</v>
      </c>
      <c r="H966" s="36">
        <v>28808</v>
      </c>
      <c r="I966" s="58">
        <v>210725</v>
      </c>
      <c r="J966">
        <f>IFERROR(VLOOKUP(G966,'LEAID Match'!$A$2:$B$526,2,FALSE),"")</f>
        <v>2925170</v>
      </c>
      <c r="K966" s="68">
        <f t="shared" si="31"/>
        <v>8</v>
      </c>
    </row>
    <row r="967" spans="1:11" x14ac:dyDescent="0.2">
      <c r="A967">
        <f t="shared" si="30"/>
        <v>2925170</v>
      </c>
      <c r="B967">
        <v>2020</v>
      </c>
      <c r="C967" t="s">
        <v>739</v>
      </c>
      <c r="D967" t="s">
        <v>740</v>
      </c>
      <c r="E967" t="s">
        <v>743</v>
      </c>
      <c r="F967" s="34">
        <v>180</v>
      </c>
      <c r="G967" s="34" t="s">
        <v>119</v>
      </c>
      <c r="H967" s="36">
        <v>28594</v>
      </c>
      <c r="I967" s="58">
        <v>217155</v>
      </c>
      <c r="J967">
        <f>IFERROR(VLOOKUP(G967,'LEAID Match'!$A$2:$B$526,2,FALSE),"")</f>
        <v>2925170</v>
      </c>
      <c r="K967" s="68">
        <f t="shared" si="31"/>
        <v>8</v>
      </c>
    </row>
    <row r="968" spans="1:11" x14ac:dyDescent="0.2">
      <c r="A968">
        <f t="shared" si="30"/>
        <v>2925170</v>
      </c>
      <c r="B968">
        <v>2021</v>
      </c>
      <c r="C968" t="s">
        <v>739</v>
      </c>
      <c r="D968" t="s">
        <v>740</v>
      </c>
      <c r="E968" t="s">
        <v>743</v>
      </c>
      <c r="F968" s="34">
        <v>180</v>
      </c>
      <c r="G968" s="34" t="s">
        <v>119</v>
      </c>
      <c r="H968" s="36">
        <v>27531</v>
      </c>
      <c r="I968" s="58">
        <v>226451</v>
      </c>
      <c r="J968">
        <f>IFERROR(VLOOKUP(G968,'LEAID Match'!$A$2:$B$526,2,FALSE),"")</f>
        <v>2925170</v>
      </c>
      <c r="K968" s="68">
        <f t="shared" si="31"/>
        <v>8</v>
      </c>
    </row>
    <row r="969" spans="1:11" x14ac:dyDescent="0.2">
      <c r="A969">
        <f t="shared" si="30"/>
        <v>2925170</v>
      </c>
      <c r="B969">
        <v>2022</v>
      </c>
      <c r="C969" t="s">
        <v>739</v>
      </c>
      <c r="D969" t="s">
        <v>740</v>
      </c>
      <c r="E969" t="s">
        <v>743</v>
      </c>
      <c r="F969" s="34">
        <v>180</v>
      </c>
      <c r="G969" s="34" t="s">
        <v>119</v>
      </c>
      <c r="H969" s="36">
        <v>35678</v>
      </c>
      <c r="I969" s="58">
        <v>220301</v>
      </c>
      <c r="J969">
        <f>IFERROR(VLOOKUP(G969,'LEAID Match'!$A$2:$B$526,2,FALSE),"")</f>
        <v>2925170</v>
      </c>
      <c r="K969" s="68">
        <f t="shared" si="31"/>
        <v>8</v>
      </c>
    </row>
    <row r="970" spans="1:11" x14ac:dyDescent="0.2">
      <c r="A970">
        <f t="shared" si="30"/>
        <v>2905640</v>
      </c>
      <c r="B970">
        <v>2015</v>
      </c>
      <c r="C970" t="s">
        <v>739</v>
      </c>
      <c r="D970" t="s">
        <v>740</v>
      </c>
      <c r="E970" t="s">
        <v>743</v>
      </c>
      <c r="F970" s="37">
        <v>181</v>
      </c>
      <c r="G970" s="39" t="s">
        <v>120</v>
      </c>
      <c r="H970" s="40">
        <v>64703</v>
      </c>
      <c r="I970" s="58">
        <v>600658</v>
      </c>
      <c r="J970">
        <f>IFERROR(VLOOKUP(G970,'LEAID Match'!$A$2:$B$526,2,FALSE),"")</f>
        <v>2905640</v>
      </c>
      <c r="K970" s="68">
        <f t="shared" si="31"/>
        <v>8</v>
      </c>
    </row>
    <row r="971" spans="1:11" x14ac:dyDescent="0.2">
      <c r="A971">
        <f t="shared" si="30"/>
        <v>2905640</v>
      </c>
      <c r="B971">
        <v>2016</v>
      </c>
      <c r="C971" t="s">
        <v>739</v>
      </c>
      <c r="D971" t="s">
        <v>740</v>
      </c>
      <c r="E971" t="s">
        <v>743</v>
      </c>
      <c r="F971" s="34">
        <v>181</v>
      </c>
      <c r="G971" s="34" t="s">
        <v>120</v>
      </c>
      <c r="H971" s="36">
        <v>70988</v>
      </c>
      <c r="I971" s="60">
        <v>577977</v>
      </c>
      <c r="J971">
        <f>IFERROR(VLOOKUP(G971,'LEAID Match'!$A$2:$B$526,2,FALSE),"")</f>
        <v>2905640</v>
      </c>
      <c r="K971" s="68">
        <f t="shared" si="31"/>
        <v>8</v>
      </c>
    </row>
    <row r="972" spans="1:11" x14ac:dyDescent="0.2">
      <c r="A972">
        <f t="shared" si="30"/>
        <v>2905640</v>
      </c>
      <c r="B972">
        <v>2017</v>
      </c>
      <c r="C972" t="s">
        <v>739</v>
      </c>
      <c r="D972" t="s">
        <v>740</v>
      </c>
      <c r="E972" t="s">
        <v>743</v>
      </c>
      <c r="F972" s="34">
        <v>181</v>
      </c>
      <c r="G972" s="34" t="s">
        <v>120</v>
      </c>
      <c r="H972" s="36">
        <v>67333</v>
      </c>
      <c r="I972" s="58">
        <v>578902</v>
      </c>
      <c r="J972">
        <f>IFERROR(VLOOKUP(G972,'LEAID Match'!$A$2:$B$526,2,FALSE),"")</f>
        <v>2905640</v>
      </c>
      <c r="K972" s="68">
        <f t="shared" si="31"/>
        <v>8</v>
      </c>
    </row>
    <row r="973" spans="1:11" x14ac:dyDescent="0.2">
      <c r="A973">
        <f t="shared" si="30"/>
        <v>2905640</v>
      </c>
      <c r="B973">
        <v>2018</v>
      </c>
      <c r="C973" t="s">
        <v>739</v>
      </c>
      <c r="D973" t="s">
        <v>740</v>
      </c>
      <c r="E973" t="s">
        <v>743</v>
      </c>
      <c r="F973" s="34">
        <v>181</v>
      </c>
      <c r="G973" s="34" t="s">
        <v>120</v>
      </c>
      <c r="H973" s="36">
        <v>73074</v>
      </c>
      <c r="I973" s="58">
        <v>590741</v>
      </c>
      <c r="J973">
        <f>IFERROR(VLOOKUP(G973,'LEAID Match'!$A$2:$B$526,2,FALSE),"")</f>
        <v>2905640</v>
      </c>
      <c r="K973" s="68">
        <f t="shared" si="31"/>
        <v>8</v>
      </c>
    </row>
    <row r="974" spans="1:11" x14ac:dyDescent="0.2">
      <c r="A974">
        <f t="shared" si="30"/>
        <v>2905640</v>
      </c>
      <c r="B974">
        <v>2019</v>
      </c>
      <c r="C974" t="s">
        <v>739</v>
      </c>
      <c r="D974" t="s">
        <v>740</v>
      </c>
      <c r="E974" t="s">
        <v>743</v>
      </c>
      <c r="F974" s="34">
        <v>181</v>
      </c>
      <c r="G974" s="34" t="s">
        <v>120</v>
      </c>
      <c r="H974" s="36">
        <v>76182</v>
      </c>
      <c r="I974" s="58">
        <v>600905</v>
      </c>
      <c r="J974">
        <f>IFERROR(VLOOKUP(G974,'LEAID Match'!$A$2:$B$526,2,FALSE),"")</f>
        <v>2905640</v>
      </c>
      <c r="K974" s="68">
        <f t="shared" si="31"/>
        <v>8</v>
      </c>
    </row>
    <row r="975" spans="1:11" x14ac:dyDescent="0.2">
      <c r="A975">
        <f t="shared" si="30"/>
        <v>2905640</v>
      </c>
      <c r="B975">
        <v>2020</v>
      </c>
      <c r="C975" t="s">
        <v>739</v>
      </c>
      <c r="D975" t="s">
        <v>740</v>
      </c>
      <c r="E975" t="s">
        <v>743</v>
      </c>
      <c r="F975" s="34">
        <v>181</v>
      </c>
      <c r="G975" s="34" t="s">
        <v>120</v>
      </c>
      <c r="H975" s="36">
        <v>82330</v>
      </c>
      <c r="I975" s="58">
        <v>598687</v>
      </c>
      <c r="J975">
        <f>IFERROR(VLOOKUP(G975,'LEAID Match'!$A$2:$B$526,2,FALSE),"")</f>
        <v>2905640</v>
      </c>
      <c r="K975" s="68">
        <f t="shared" si="31"/>
        <v>8</v>
      </c>
    </row>
    <row r="976" spans="1:11" x14ac:dyDescent="0.2">
      <c r="A976">
        <f t="shared" si="30"/>
        <v>2905640</v>
      </c>
      <c r="B976">
        <v>2021</v>
      </c>
      <c r="C976" t="s">
        <v>739</v>
      </c>
      <c r="D976" t="s">
        <v>740</v>
      </c>
      <c r="E976" t="s">
        <v>743</v>
      </c>
      <c r="F976" s="34">
        <v>181</v>
      </c>
      <c r="G976" s="34" t="s">
        <v>120</v>
      </c>
      <c r="H976" s="36">
        <v>88100</v>
      </c>
      <c r="I976" s="58">
        <v>625645</v>
      </c>
      <c r="J976">
        <f>IFERROR(VLOOKUP(G976,'LEAID Match'!$A$2:$B$526,2,FALSE),"")</f>
        <v>2905640</v>
      </c>
      <c r="K976" s="68">
        <f t="shared" si="31"/>
        <v>8</v>
      </c>
    </row>
    <row r="977" spans="1:11" x14ac:dyDescent="0.2">
      <c r="A977">
        <f t="shared" si="30"/>
        <v>2905640</v>
      </c>
      <c r="B977">
        <v>2022</v>
      </c>
      <c r="C977" t="s">
        <v>739</v>
      </c>
      <c r="D977" t="s">
        <v>740</v>
      </c>
      <c r="E977" t="s">
        <v>743</v>
      </c>
      <c r="F977" s="34">
        <v>181</v>
      </c>
      <c r="G977" s="34" t="s">
        <v>120</v>
      </c>
      <c r="H977" s="36">
        <v>109265</v>
      </c>
      <c r="I977" s="58">
        <v>638072</v>
      </c>
      <c r="J977">
        <f>IFERROR(VLOOKUP(G977,'LEAID Match'!$A$2:$B$526,2,FALSE),"")</f>
        <v>2905640</v>
      </c>
      <c r="K977" s="68">
        <f t="shared" si="31"/>
        <v>8</v>
      </c>
    </row>
    <row r="978" spans="1:11" x14ac:dyDescent="0.2">
      <c r="A978">
        <f t="shared" si="30"/>
        <v>2910410</v>
      </c>
      <c r="B978">
        <v>2015</v>
      </c>
      <c r="C978" t="s">
        <v>739</v>
      </c>
      <c r="D978" t="s">
        <v>740</v>
      </c>
      <c r="E978" t="s">
        <v>743</v>
      </c>
      <c r="F978" s="37">
        <v>182</v>
      </c>
      <c r="G978" s="39" t="s">
        <v>121</v>
      </c>
      <c r="H978" s="40">
        <v>118021</v>
      </c>
      <c r="I978" s="58">
        <v>902822</v>
      </c>
      <c r="J978">
        <f>IFERROR(VLOOKUP(G978,'LEAID Match'!$A$2:$B$526,2,FALSE),"")</f>
        <v>2910410</v>
      </c>
      <c r="K978" s="68">
        <f t="shared" si="31"/>
        <v>8</v>
      </c>
    </row>
    <row r="979" spans="1:11" x14ac:dyDescent="0.2">
      <c r="A979">
        <f t="shared" si="30"/>
        <v>2910410</v>
      </c>
      <c r="B979">
        <v>2016</v>
      </c>
      <c r="C979" t="s">
        <v>739</v>
      </c>
      <c r="D979" t="s">
        <v>740</v>
      </c>
      <c r="E979" t="s">
        <v>743</v>
      </c>
      <c r="F979" s="34">
        <v>182</v>
      </c>
      <c r="G979" s="34" t="s">
        <v>121</v>
      </c>
      <c r="H979" s="36">
        <v>134062</v>
      </c>
      <c r="I979" s="60">
        <v>930120</v>
      </c>
      <c r="J979">
        <f>IFERROR(VLOOKUP(G979,'LEAID Match'!$A$2:$B$526,2,FALSE),"")</f>
        <v>2910410</v>
      </c>
      <c r="K979" s="68">
        <f t="shared" si="31"/>
        <v>8</v>
      </c>
    </row>
    <row r="980" spans="1:11" x14ac:dyDescent="0.2">
      <c r="A980">
        <f t="shared" si="30"/>
        <v>2910410</v>
      </c>
      <c r="B980">
        <v>2017</v>
      </c>
      <c r="C980" t="s">
        <v>739</v>
      </c>
      <c r="D980" t="s">
        <v>740</v>
      </c>
      <c r="E980" t="s">
        <v>743</v>
      </c>
      <c r="F980" s="34">
        <v>182</v>
      </c>
      <c r="G980" s="34" t="s">
        <v>121</v>
      </c>
      <c r="H980" s="36">
        <v>149069</v>
      </c>
      <c r="I980" s="58">
        <v>970734</v>
      </c>
      <c r="J980">
        <f>IFERROR(VLOOKUP(G980,'LEAID Match'!$A$2:$B$526,2,FALSE),"")</f>
        <v>2910410</v>
      </c>
      <c r="K980" s="68">
        <f t="shared" si="31"/>
        <v>8</v>
      </c>
    </row>
    <row r="981" spans="1:11" x14ac:dyDescent="0.2">
      <c r="A981">
        <f t="shared" si="30"/>
        <v>2910410</v>
      </c>
      <c r="B981">
        <v>2018</v>
      </c>
      <c r="C981" t="s">
        <v>739</v>
      </c>
      <c r="D981" t="s">
        <v>740</v>
      </c>
      <c r="E981" t="s">
        <v>743</v>
      </c>
      <c r="F981" s="34">
        <v>182</v>
      </c>
      <c r="G981" s="34" t="s">
        <v>121</v>
      </c>
      <c r="H981" s="36">
        <v>152136</v>
      </c>
      <c r="I981" s="58">
        <v>959024</v>
      </c>
      <c r="J981">
        <f>IFERROR(VLOOKUP(G981,'LEAID Match'!$A$2:$B$526,2,FALSE),"")</f>
        <v>2910410</v>
      </c>
      <c r="K981" s="68">
        <f t="shared" si="31"/>
        <v>8</v>
      </c>
    </row>
    <row r="982" spans="1:11" x14ac:dyDescent="0.2">
      <c r="A982">
        <f t="shared" si="30"/>
        <v>2910410</v>
      </c>
      <c r="B982">
        <v>2019</v>
      </c>
      <c r="C982" t="s">
        <v>739</v>
      </c>
      <c r="D982" t="s">
        <v>740</v>
      </c>
      <c r="E982" t="s">
        <v>743</v>
      </c>
      <c r="F982" s="34">
        <v>182</v>
      </c>
      <c r="G982" s="34" t="s">
        <v>121</v>
      </c>
      <c r="H982" s="36">
        <v>151083</v>
      </c>
      <c r="I982" s="58">
        <v>952394</v>
      </c>
      <c r="J982">
        <f>IFERROR(VLOOKUP(G982,'LEAID Match'!$A$2:$B$526,2,FALSE),"")</f>
        <v>2910410</v>
      </c>
      <c r="K982" s="68">
        <f t="shared" si="31"/>
        <v>8</v>
      </c>
    </row>
    <row r="983" spans="1:11" x14ac:dyDescent="0.2">
      <c r="A983">
        <f t="shared" si="30"/>
        <v>2910410</v>
      </c>
      <c r="B983">
        <v>2020</v>
      </c>
      <c r="C983" t="s">
        <v>739</v>
      </c>
      <c r="D983" t="s">
        <v>740</v>
      </c>
      <c r="E983" t="s">
        <v>743</v>
      </c>
      <c r="F983" s="34">
        <v>182</v>
      </c>
      <c r="G983" s="34" t="s">
        <v>121</v>
      </c>
      <c r="H983" s="36">
        <v>155419</v>
      </c>
      <c r="I983" s="58">
        <v>908875</v>
      </c>
      <c r="J983">
        <f>IFERROR(VLOOKUP(G983,'LEAID Match'!$A$2:$B$526,2,FALSE),"")</f>
        <v>2910410</v>
      </c>
      <c r="K983" s="68">
        <f t="shared" si="31"/>
        <v>8</v>
      </c>
    </row>
    <row r="984" spans="1:11" x14ac:dyDescent="0.2">
      <c r="A984">
        <f t="shared" si="30"/>
        <v>2910410</v>
      </c>
      <c r="B984">
        <v>2021</v>
      </c>
      <c r="C984" t="s">
        <v>739</v>
      </c>
      <c r="D984" t="s">
        <v>740</v>
      </c>
      <c r="E984" t="s">
        <v>743</v>
      </c>
      <c r="F984" s="34">
        <v>182</v>
      </c>
      <c r="G984" s="34" t="s">
        <v>121</v>
      </c>
      <c r="H984" s="36">
        <v>144881</v>
      </c>
      <c r="I984" s="58">
        <v>922900</v>
      </c>
      <c r="J984">
        <f>IFERROR(VLOOKUP(G984,'LEAID Match'!$A$2:$B$526,2,FALSE),"")</f>
        <v>2910410</v>
      </c>
      <c r="K984" s="68">
        <f t="shared" si="31"/>
        <v>8</v>
      </c>
    </row>
    <row r="985" spans="1:11" x14ac:dyDescent="0.2">
      <c r="A985">
        <f t="shared" si="30"/>
        <v>2910410</v>
      </c>
      <c r="B985">
        <v>2022</v>
      </c>
      <c r="C985" t="s">
        <v>739</v>
      </c>
      <c r="D985" t="s">
        <v>740</v>
      </c>
      <c r="E985" t="s">
        <v>743</v>
      </c>
      <c r="F985" s="34">
        <v>182</v>
      </c>
      <c r="G985" s="34" t="s">
        <v>121</v>
      </c>
      <c r="H985" s="36">
        <v>147322</v>
      </c>
      <c r="I985" s="58">
        <v>897185</v>
      </c>
      <c r="J985">
        <f>IFERROR(VLOOKUP(G985,'LEAID Match'!$A$2:$B$526,2,FALSE),"")</f>
        <v>2910410</v>
      </c>
      <c r="K985" s="68">
        <f t="shared" si="31"/>
        <v>8</v>
      </c>
    </row>
    <row r="986" spans="1:11" x14ac:dyDescent="0.2">
      <c r="A986">
        <f t="shared" si="30"/>
        <v>2929430</v>
      </c>
      <c r="B986">
        <v>2015</v>
      </c>
      <c r="C986" t="s">
        <v>739</v>
      </c>
      <c r="D986" t="s">
        <v>740</v>
      </c>
      <c r="E986" t="s">
        <v>743</v>
      </c>
      <c r="F986" s="37">
        <v>183</v>
      </c>
      <c r="G986" s="39" t="s">
        <v>122</v>
      </c>
      <c r="H986" s="40">
        <v>77953</v>
      </c>
      <c r="I986" s="58">
        <v>537967</v>
      </c>
      <c r="J986">
        <f>IFERROR(VLOOKUP(G986,'LEAID Match'!$A$2:$B$526,2,FALSE),"")</f>
        <v>2929430</v>
      </c>
      <c r="K986" s="68">
        <f t="shared" si="31"/>
        <v>8</v>
      </c>
    </row>
    <row r="987" spans="1:11" x14ac:dyDescent="0.2">
      <c r="A987">
        <f t="shared" si="30"/>
        <v>2929430</v>
      </c>
      <c r="B987">
        <v>2016</v>
      </c>
      <c r="C987" t="s">
        <v>739</v>
      </c>
      <c r="D987" t="s">
        <v>740</v>
      </c>
      <c r="E987" t="s">
        <v>743</v>
      </c>
      <c r="F987" s="34">
        <v>183</v>
      </c>
      <c r="G987" s="34" t="s">
        <v>122</v>
      </c>
      <c r="H987" s="36">
        <v>79894</v>
      </c>
      <c r="I987" s="60">
        <v>542982</v>
      </c>
      <c r="J987">
        <f>IFERROR(VLOOKUP(G987,'LEAID Match'!$A$2:$B$526,2,FALSE),"")</f>
        <v>2929430</v>
      </c>
      <c r="K987" s="68">
        <f t="shared" si="31"/>
        <v>8</v>
      </c>
    </row>
    <row r="988" spans="1:11" x14ac:dyDescent="0.2">
      <c r="A988">
        <f t="shared" si="30"/>
        <v>2929430</v>
      </c>
      <c r="B988">
        <v>2017</v>
      </c>
      <c r="C988" t="s">
        <v>739</v>
      </c>
      <c r="D988" t="s">
        <v>740</v>
      </c>
      <c r="E988" t="s">
        <v>743</v>
      </c>
      <c r="F988" s="34">
        <v>183</v>
      </c>
      <c r="G988" s="34" t="s">
        <v>122</v>
      </c>
      <c r="H988" s="36">
        <v>83245</v>
      </c>
      <c r="I988" s="58">
        <v>529363</v>
      </c>
      <c r="J988">
        <f>IFERROR(VLOOKUP(G988,'LEAID Match'!$A$2:$B$526,2,FALSE),"")</f>
        <v>2929430</v>
      </c>
      <c r="K988" s="68">
        <f t="shared" si="31"/>
        <v>8</v>
      </c>
    </row>
    <row r="989" spans="1:11" x14ac:dyDescent="0.2">
      <c r="A989">
        <f t="shared" si="30"/>
        <v>2929430</v>
      </c>
      <c r="B989">
        <v>2018</v>
      </c>
      <c r="C989" t="s">
        <v>739</v>
      </c>
      <c r="D989" t="s">
        <v>740</v>
      </c>
      <c r="E989" t="s">
        <v>743</v>
      </c>
      <c r="F989" s="34">
        <v>183</v>
      </c>
      <c r="G989" s="34" t="s">
        <v>122</v>
      </c>
      <c r="H989" s="36">
        <v>90214</v>
      </c>
      <c r="I989" s="58">
        <v>578723</v>
      </c>
      <c r="J989">
        <f>IFERROR(VLOOKUP(G989,'LEAID Match'!$A$2:$B$526,2,FALSE),"")</f>
        <v>2929430</v>
      </c>
      <c r="K989" s="68">
        <f t="shared" si="31"/>
        <v>8</v>
      </c>
    </row>
    <row r="990" spans="1:11" x14ac:dyDescent="0.2">
      <c r="A990">
        <f t="shared" si="30"/>
        <v>2929430</v>
      </c>
      <c r="B990">
        <v>2019</v>
      </c>
      <c r="C990" t="s">
        <v>739</v>
      </c>
      <c r="D990" t="s">
        <v>740</v>
      </c>
      <c r="E990" t="s">
        <v>743</v>
      </c>
      <c r="F990" s="34">
        <v>183</v>
      </c>
      <c r="G990" s="34" t="s">
        <v>122</v>
      </c>
      <c r="H990" s="36">
        <v>92928</v>
      </c>
      <c r="I990" s="58">
        <v>581115</v>
      </c>
      <c r="J990">
        <f>IFERROR(VLOOKUP(G990,'LEAID Match'!$A$2:$B$526,2,FALSE),"")</f>
        <v>2929430</v>
      </c>
      <c r="K990" s="68">
        <f t="shared" si="31"/>
        <v>8</v>
      </c>
    </row>
    <row r="991" spans="1:11" x14ac:dyDescent="0.2">
      <c r="A991">
        <f t="shared" si="30"/>
        <v>2929430</v>
      </c>
      <c r="B991">
        <v>2020</v>
      </c>
      <c r="C991" t="s">
        <v>739</v>
      </c>
      <c r="D991" t="s">
        <v>740</v>
      </c>
      <c r="E991" t="s">
        <v>743</v>
      </c>
      <c r="F991" s="34">
        <v>183</v>
      </c>
      <c r="G991" s="34" t="s">
        <v>122</v>
      </c>
      <c r="H991" s="36">
        <v>91062</v>
      </c>
      <c r="I991" s="58">
        <v>588065</v>
      </c>
      <c r="J991">
        <f>IFERROR(VLOOKUP(G991,'LEAID Match'!$A$2:$B$526,2,FALSE),"")</f>
        <v>2929430</v>
      </c>
      <c r="K991" s="68">
        <f t="shared" si="31"/>
        <v>8</v>
      </c>
    </row>
    <row r="992" spans="1:11" x14ac:dyDescent="0.2">
      <c r="A992">
        <f t="shared" si="30"/>
        <v>2929430</v>
      </c>
      <c r="B992">
        <v>2021</v>
      </c>
      <c r="C992" t="s">
        <v>739</v>
      </c>
      <c r="D992" t="s">
        <v>740</v>
      </c>
      <c r="E992" t="s">
        <v>743</v>
      </c>
      <c r="F992" s="34">
        <v>183</v>
      </c>
      <c r="G992" s="34" t="s">
        <v>122</v>
      </c>
      <c r="H992" s="36">
        <v>95556</v>
      </c>
      <c r="I992" s="58">
        <v>599930</v>
      </c>
      <c r="J992">
        <f>IFERROR(VLOOKUP(G992,'LEAID Match'!$A$2:$B$526,2,FALSE),"")</f>
        <v>2929430</v>
      </c>
      <c r="K992" s="68">
        <f t="shared" si="31"/>
        <v>8</v>
      </c>
    </row>
    <row r="993" spans="1:11" x14ac:dyDescent="0.2">
      <c r="A993">
        <f t="shared" si="30"/>
        <v>2929430</v>
      </c>
      <c r="B993">
        <v>2022</v>
      </c>
      <c r="C993" t="s">
        <v>739</v>
      </c>
      <c r="D993" t="s">
        <v>740</v>
      </c>
      <c r="E993" t="s">
        <v>743</v>
      </c>
      <c r="F993" s="34">
        <v>183</v>
      </c>
      <c r="G993" s="34" t="s">
        <v>122</v>
      </c>
      <c r="H993" s="36">
        <v>107850</v>
      </c>
      <c r="I993" s="58">
        <v>616767</v>
      </c>
      <c r="J993">
        <f>IFERROR(VLOOKUP(G993,'LEAID Match'!$A$2:$B$526,2,FALSE),"")</f>
        <v>2929430</v>
      </c>
      <c r="K993" s="68">
        <f t="shared" si="31"/>
        <v>8</v>
      </c>
    </row>
    <row r="994" spans="1:11" x14ac:dyDescent="0.2">
      <c r="A994">
        <f t="shared" si="30"/>
        <v>2919140</v>
      </c>
      <c r="B994">
        <v>2015</v>
      </c>
      <c r="C994" t="s">
        <v>739</v>
      </c>
      <c r="D994" t="s">
        <v>740</v>
      </c>
      <c r="E994" t="s">
        <v>743</v>
      </c>
      <c r="F994" s="37">
        <v>184</v>
      </c>
      <c r="G994" s="39" t="s">
        <v>123</v>
      </c>
      <c r="H994" s="40">
        <v>31609</v>
      </c>
      <c r="I994" s="58">
        <v>243501</v>
      </c>
      <c r="J994">
        <f>IFERROR(VLOOKUP(G994,'LEAID Match'!$A$2:$B$526,2,FALSE),"")</f>
        <v>2919140</v>
      </c>
      <c r="K994" s="68">
        <f t="shared" si="31"/>
        <v>8</v>
      </c>
    </row>
    <row r="995" spans="1:11" x14ac:dyDescent="0.2">
      <c r="A995">
        <f t="shared" si="30"/>
        <v>2919140</v>
      </c>
      <c r="B995">
        <v>2016</v>
      </c>
      <c r="C995" t="s">
        <v>739</v>
      </c>
      <c r="D995" t="s">
        <v>740</v>
      </c>
      <c r="E995" t="s">
        <v>743</v>
      </c>
      <c r="F995" s="34">
        <v>184</v>
      </c>
      <c r="G995" s="34" t="s">
        <v>123</v>
      </c>
      <c r="H995" s="36">
        <v>28716</v>
      </c>
      <c r="I995" s="60">
        <v>239157</v>
      </c>
      <c r="J995">
        <f>IFERROR(VLOOKUP(G995,'LEAID Match'!$A$2:$B$526,2,FALSE),"")</f>
        <v>2919140</v>
      </c>
      <c r="K995" s="68">
        <f t="shared" si="31"/>
        <v>8</v>
      </c>
    </row>
    <row r="996" spans="1:11" x14ac:dyDescent="0.2">
      <c r="A996">
        <f t="shared" si="30"/>
        <v>2919140</v>
      </c>
      <c r="B996">
        <v>2017</v>
      </c>
      <c r="C996" t="s">
        <v>739</v>
      </c>
      <c r="D996" t="s">
        <v>740</v>
      </c>
      <c r="E996" t="s">
        <v>743</v>
      </c>
      <c r="F996" s="34">
        <v>184</v>
      </c>
      <c r="G996" s="34" t="s">
        <v>123</v>
      </c>
      <c r="H996" s="36">
        <v>30447</v>
      </c>
      <c r="I996" s="58">
        <v>243641</v>
      </c>
      <c r="J996">
        <f>IFERROR(VLOOKUP(G996,'LEAID Match'!$A$2:$B$526,2,FALSE),"")</f>
        <v>2919140</v>
      </c>
      <c r="K996" s="68">
        <f t="shared" si="31"/>
        <v>8</v>
      </c>
    </row>
    <row r="997" spans="1:11" x14ac:dyDescent="0.2">
      <c r="A997">
        <f t="shared" si="30"/>
        <v>2919140</v>
      </c>
      <c r="B997">
        <v>2018</v>
      </c>
      <c r="C997" t="s">
        <v>739</v>
      </c>
      <c r="D997" t="s">
        <v>740</v>
      </c>
      <c r="E997" t="s">
        <v>743</v>
      </c>
      <c r="F997" s="34">
        <v>184</v>
      </c>
      <c r="G997" s="34" t="s">
        <v>123</v>
      </c>
      <c r="H997" s="36">
        <v>29923</v>
      </c>
      <c r="I997" s="58">
        <v>234283</v>
      </c>
      <c r="J997">
        <f>IFERROR(VLOOKUP(G997,'LEAID Match'!$A$2:$B$526,2,FALSE),"")</f>
        <v>2919140</v>
      </c>
      <c r="K997" s="68">
        <f t="shared" si="31"/>
        <v>8</v>
      </c>
    </row>
    <row r="998" spans="1:11" x14ac:dyDescent="0.2">
      <c r="A998">
        <f t="shared" si="30"/>
        <v>2919140</v>
      </c>
      <c r="B998">
        <v>2019</v>
      </c>
      <c r="C998" t="s">
        <v>739</v>
      </c>
      <c r="D998" t="s">
        <v>740</v>
      </c>
      <c r="E998" t="s">
        <v>743</v>
      </c>
      <c r="F998" s="34">
        <v>184</v>
      </c>
      <c r="G998" s="34" t="s">
        <v>123</v>
      </c>
      <c r="H998" s="36">
        <v>34477</v>
      </c>
      <c r="I998" s="58">
        <v>232675</v>
      </c>
      <c r="J998">
        <f>IFERROR(VLOOKUP(G998,'LEAID Match'!$A$2:$B$526,2,FALSE),"")</f>
        <v>2919140</v>
      </c>
      <c r="K998" s="68">
        <f t="shared" si="31"/>
        <v>8</v>
      </c>
    </row>
    <row r="999" spans="1:11" x14ac:dyDescent="0.2">
      <c r="A999">
        <f t="shared" si="30"/>
        <v>2919140</v>
      </c>
      <c r="B999">
        <v>2020</v>
      </c>
      <c r="C999" t="s">
        <v>739</v>
      </c>
      <c r="D999" t="s">
        <v>740</v>
      </c>
      <c r="E999" t="s">
        <v>743</v>
      </c>
      <c r="F999" s="34">
        <v>184</v>
      </c>
      <c r="G999" s="34" t="s">
        <v>123</v>
      </c>
      <c r="H999" s="36">
        <v>32906</v>
      </c>
      <c r="I999" s="58">
        <v>243790</v>
      </c>
      <c r="J999">
        <f>IFERROR(VLOOKUP(G999,'LEAID Match'!$A$2:$B$526,2,FALSE),"")</f>
        <v>2919140</v>
      </c>
      <c r="K999" s="68">
        <f t="shared" si="31"/>
        <v>8</v>
      </c>
    </row>
    <row r="1000" spans="1:11" x14ac:dyDescent="0.2">
      <c r="A1000">
        <f t="shared" si="30"/>
        <v>2919140</v>
      </c>
      <c r="B1000">
        <v>2021</v>
      </c>
      <c r="C1000" t="s">
        <v>739</v>
      </c>
      <c r="D1000" t="s">
        <v>740</v>
      </c>
      <c r="E1000" t="s">
        <v>743</v>
      </c>
      <c r="F1000" s="34">
        <v>184</v>
      </c>
      <c r="G1000" s="34" t="s">
        <v>123</v>
      </c>
      <c r="H1000" s="36">
        <v>34432</v>
      </c>
      <c r="I1000" s="58">
        <v>233551</v>
      </c>
      <c r="J1000">
        <f>IFERROR(VLOOKUP(G1000,'LEAID Match'!$A$2:$B$526,2,FALSE),"")</f>
        <v>2919140</v>
      </c>
      <c r="K1000" s="68">
        <f t="shared" si="31"/>
        <v>8</v>
      </c>
    </row>
    <row r="1001" spans="1:11" x14ac:dyDescent="0.2">
      <c r="A1001">
        <f t="shared" si="30"/>
        <v>2919140</v>
      </c>
      <c r="B1001">
        <v>2022</v>
      </c>
      <c r="C1001" t="s">
        <v>739</v>
      </c>
      <c r="D1001" t="s">
        <v>740</v>
      </c>
      <c r="E1001" t="s">
        <v>743</v>
      </c>
      <c r="F1001" s="34">
        <v>184</v>
      </c>
      <c r="G1001" s="34" t="s">
        <v>123</v>
      </c>
      <c r="H1001" s="36">
        <v>36972</v>
      </c>
      <c r="I1001" s="58">
        <v>230725</v>
      </c>
      <c r="J1001">
        <f>IFERROR(VLOOKUP(G1001,'LEAID Match'!$A$2:$B$526,2,FALSE),"")</f>
        <v>2919140</v>
      </c>
      <c r="K1001" s="68">
        <f t="shared" si="31"/>
        <v>8</v>
      </c>
    </row>
    <row r="1002" spans="1:11" x14ac:dyDescent="0.2">
      <c r="A1002">
        <f t="shared" si="30"/>
        <v>2910440</v>
      </c>
      <c r="B1002">
        <v>2015</v>
      </c>
      <c r="C1002" t="s">
        <v>739</v>
      </c>
      <c r="D1002" t="s">
        <v>740</v>
      </c>
      <c r="E1002" t="s">
        <v>743</v>
      </c>
      <c r="F1002" s="37">
        <v>185</v>
      </c>
      <c r="G1002" s="39" t="s">
        <v>124</v>
      </c>
      <c r="H1002" s="40">
        <v>7843</v>
      </c>
      <c r="I1002" s="58">
        <v>114282</v>
      </c>
      <c r="J1002">
        <f>IFERROR(VLOOKUP(G1002,'LEAID Match'!$A$2:$B$526,2,FALSE),"")</f>
        <v>2910440</v>
      </c>
      <c r="K1002" s="68">
        <f t="shared" si="31"/>
        <v>8</v>
      </c>
    </row>
    <row r="1003" spans="1:11" x14ac:dyDescent="0.2">
      <c r="A1003">
        <f t="shared" si="30"/>
        <v>2910440</v>
      </c>
      <c r="B1003">
        <v>2016</v>
      </c>
      <c r="C1003" t="s">
        <v>739</v>
      </c>
      <c r="D1003" t="s">
        <v>740</v>
      </c>
      <c r="E1003" t="s">
        <v>743</v>
      </c>
      <c r="F1003" s="34">
        <v>185</v>
      </c>
      <c r="G1003" s="34" t="s">
        <v>124</v>
      </c>
      <c r="H1003" s="36">
        <v>7484</v>
      </c>
      <c r="I1003" s="60">
        <v>119619</v>
      </c>
      <c r="J1003">
        <f>IFERROR(VLOOKUP(G1003,'LEAID Match'!$A$2:$B$526,2,FALSE),"")</f>
        <v>2910440</v>
      </c>
      <c r="K1003" s="68">
        <f t="shared" si="31"/>
        <v>8</v>
      </c>
    </row>
    <row r="1004" spans="1:11" x14ac:dyDescent="0.2">
      <c r="A1004">
        <f t="shared" si="30"/>
        <v>2910440</v>
      </c>
      <c r="B1004">
        <v>2017</v>
      </c>
      <c r="C1004" t="s">
        <v>739</v>
      </c>
      <c r="D1004" t="s">
        <v>740</v>
      </c>
      <c r="E1004" t="s">
        <v>743</v>
      </c>
      <c r="F1004" s="34">
        <v>185</v>
      </c>
      <c r="G1004" s="34" t="s">
        <v>124</v>
      </c>
      <c r="H1004" s="36">
        <v>8312</v>
      </c>
      <c r="I1004" s="58">
        <v>122388</v>
      </c>
      <c r="J1004">
        <f>IFERROR(VLOOKUP(G1004,'LEAID Match'!$A$2:$B$526,2,FALSE),"")</f>
        <v>2910440</v>
      </c>
      <c r="K1004" s="68">
        <f t="shared" si="31"/>
        <v>8</v>
      </c>
    </row>
    <row r="1005" spans="1:11" x14ac:dyDescent="0.2">
      <c r="A1005">
        <f t="shared" si="30"/>
        <v>2910440</v>
      </c>
      <c r="B1005">
        <v>2018</v>
      </c>
      <c r="C1005" t="s">
        <v>739</v>
      </c>
      <c r="D1005" t="s">
        <v>740</v>
      </c>
      <c r="E1005" t="s">
        <v>743</v>
      </c>
      <c r="F1005" s="34">
        <v>185</v>
      </c>
      <c r="G1005" s="34" t="s">
        <v>124</v>
      </c>
      <c r="H1005" s="36">
        <v>8751</v>
      </c>
      <c r="I1005" s="58">
        <v>123805</v>
      </c>
      <c r="J1005">
        <f>IFERROR(VLOOKUP(G1005,'LEAID Match'!$A$2:$B$526,2,FALSE),"")</f>
        <v>2910440</v>
      </c>
      <c r="K1005" s="68">
        <f t="shared" si="31"/>
        <v>8</v>
      </c>
    </row>
    <row r="1006" spans="1:11" x14ac:dyDescent="0.2">
      <c r="A1006">
        <f t="shared" si="30"/>
        <v>2910440</v>
      </c>
      <c r="B1006">
        <v>2019</v>
      </c>
      <c r="C1006" t="s">
        <v>739</v>
      </c>
      <c r="D1006" t="s">
        <v>740</v>
      </c>
      <c r="E1006" t="s">
        <v>743</v>
      </c>
      <c r="F1006" s="34">
        <v>185</v>
      </c>
      <c r="G1006" s="34" t="s">
        <v>124</v>
      </c>
      <c r="H1006" s="36">
        <v>8335</v>
      </c>
      <c r="I1006" s="58">
        <v>127822</v>
      </c>
      <c r="J1006">
        <f>IFERROR(VLOOKUP(G1006,'LEAID Match'!$A$2:$B$526,2,FALSE),"")</f>
        <v>2910440</v>
      </c>
      <c r="K1006" s="68">
        <f t="shared" si="31"/>
        <v>8</v>
      </c>
    </row>
    <row r="1007" spans="1:11" x14ac:dyDescent="0.2">
      <c r="A1007">
        <f t="shared" si="30"/>
        <v>2910440</v>
      </c>
      <c r="B1007">
        <v>2020</v>
      </c>
      <c r="C1007" t="s">
        <v>739</v>
      </c>
      <c r="D1007" t="s">
        <v>740</v>
      </c>
      <c r="E1007" t="s">
        <v>743</v>
      </c>
      <c r="F1007" s="34">
        <v>185</v>
      </c>
      <c r="G1007" s="34" t="s">
        <v>124</v>
      </c>
      <c r="H1007" s="36">
        <v>8639</v>
      </c>
      <c r="I1007" s="58">
        <v>130671</v>
      </c>
      <c r="J1007">
        <f>IFERROR(VLOOKUP(G1007,'LEAID Match'!$A$2:$B$526,2,FALSE),"")</f>
        <v>2910440</v>
      </c>
      <c r="K1007" s="68">
        <f t="shared" si="31"/>
        <v>8</v>
      </c>
    </row>
    <row r="1008" spans="1:11" x14ac:dyDescent="0.2">
      <c r="A1008">
        <f t="shared" si="30"/>
        <v>2910440</v>
      </c>
      <c r="B1008">
        <v>2021</v>
      </c>
      <c r="C1008" t="s">
        <v>739</v>
      </c>
      <c r="D1008" t="s">
        <v>740</v>
      </c>
      <c r="E1008" t="s">
        <v>743</v>
      </c>
      <c r="F1008" s="34">
        <v>185</v>
      </c>
      <c r="G1008" s="34" t="s">
        <v>124</v>
      </c>
      <c r="H1008" s="36">
        <v>10111</v>
      </c>
      <c r="I1008" s="58">
        <v>134867</v>
      </c>
      <c r="J1008">
        <f>IFERROR(VLOOKUP(G1008,'LEAID Match'!$A$2:$B$526,2,FALSE),"")</f>
        <v>2910440</v>
      </c>
      <c r="K1008" s="68">
        <f t="shared" si="31"/>
        <v>8</v>
      </c>
    </row>
    <row r="1009" spans="1:11" x14ac:dyDescent="0.2">
      <c r="A1009">
        <f t="shared" si="30"/>
        <v>2910440</v>
      </c>
      <c r="B1009">
        <v>2022</v>
      </c>
      <c r="C1009" t="s">
        <v>739</v>
      </c>
      <c r="D1009" t="s">
        <v>740</v>
      </c>
      <c r="E1009" t="s">
        <v>743</v>
      </c>
      <c r="F1009" s="34">
        <v>185</v>
      </c>
      <c r="G1009" s="34" t="s">
        <v>124</v>
      </c>
      <c r="H1009" s="36">
        <v>10118</v>
      </c>
      <c r="I1009" s="58">
        <v>137750</v>
      </c>
      <c r="J1009">
        <f>IFERROR(VLOOKUP(G1009,'LEAID Match'!$A$2:$B$526,2,FALSE),"")</f>
        <v>2910440</v>
      </c>
      <c r="K1009" s="68">
        <f t="shared" si="31"/>
        <v>8</v>
      </c>
    </row>
    <row r="1010" spans="1:11" x14ac:dyDescent="0.2">
      <c r="A1010">
        <f t="shared" si="30"/>
        <v>2911580</v>
      </c>
      <c r="B1010">
        <v>2015</v>
      </c>
      <c r="C1010" t="s">
        <v>739</v>
      </c>
      <c r="D1010" t="s">
        <v>740</v>
      </c>
      <c r="E1010" t="s">
        <v>743</v>
      </c>
      <c r="F1010" s="37">
        <v>186</v>
      </c>
      <c r="G1010" s="39" t="s">
        <v>125</v>
      </c>
      <c r="H1010" s="40">
        <v>15710</v>
      </c>
      <c r="I1010" s="58">
        <v>129859</v>
      </c>
      <c r="J1010">
        <f>IFERROR(VLOOKUP(G1010,'LEAID Match'!$A$2:$B$526,2,FALSE),"")</f>
        <v>2911580</v>
      </c>
      <c r="K1010" s="68">
        <f t="shared" si="31"/>
        <v>8</v>
      </c>
    </row>
    <row r="1011" spans="1:11" x14ac:dyDescent="0.2">
      <c r="A1011">
        <f t="shared" si="30"/>
        <v>2911580</v>
      </c>
      <c r="B1011">
        <v>2016</v>
      </c>
      <c r="C1011" t="s">
        <v>739</v>
      </c>
      <c r="D1011" t="s">
        <v>740</v>
      </c>
      <c r="E1011" t="s">
        <v>743</v>
      </c>
      <c r="F1011" s="34">
        <v>186</v>
      </c>
      <c r="G1011" s="34" t="s">
        <v>125</v>
      </c>
      <c r="H1011" s="36">
        <v>15040</v>
      </c>
      <c r="I1011" s="60">
        <v>129834</v>
      </c>
      <c r="J1011">
        <f>IFERROR(VLOOKUP(G1011,'LEAID Match'!$A$2:$B$526,2,FALSE),"")</f>
        <v>2911580</v>
      </c>
      <c r="K1011" s="68">
        <f t="shared" si="31"/>
        <v>8</v>
      </c>
    </row>
    <row r="1012" spans="1:11" x14ac:dyDescent="0.2">
      <c r="A1012">
        <f t="shared" si="30"/>
        <v>2911580</v>
      </c>
      <c r="B1012">
        <v>2017</v>
      </c>
      <c r="C1012" t="s">
        <v>739</v>
      </c>
      <c r="D1012" t="s">
        <v>740</v>
      </c>
      <c r="E1012" t="s">
        <v>743</v>
      </c>
      <c r="F1012" s="34">
        <v>186</v>
      </c>
      <c r="G1012" s="34" t="s">
        <v>125</v>
      </c>
      <c r="H1012" s="36">
        <v>15342</v>
      </c>
      <c r="I1012" s="58">
        <v>134363</v>
      </c>
      <c r="J1012">
        <f>IFERROR(VLOOKUP(G1012,'LEAID Match'!$A$2:$B$526,2,FALSE),"")</f>
        <v>2911580</v>
      </c>
      <c r="K1012" s="68">
        <f t="shared" si="31"/>
        <v>8</v>
      </c>
    </row>
    <row r="1013" spans="1:11" x14ac:dyDescent="0.2">
      <c r="A1013">
        <f t="shared" si="30"/>
        <v>2911580</v>
      </c>
      <c r="B1013">
        <v>2018</v>
      </c>
      <c r="C1013" t="s">
        <v>739</v>
      </c>
      <c r="D1013" t="s">
        <v>740</v>
      </c>
      <c r="E1013" t="s">
        <v>743</v>
      </c>
      <c r="F1013" s="34">
        <v>186</v>
      </c>
      <c r="G1013" s="34" t="s">
        <v>125</v>
      </c>
      <c r="H1013" s="36">
        <v>17637</v>
      </c>
      <c r="I1013" s="58">
        <v>135984</v>
      </c>
      <c r="J1013">
        <f>IFERROR(VLOOKUP(G1013,'LEAID Match'!$A$2:$B$526,2,FALSE),"")</f>
        <v>2911580</v>
      </c>
      <c r="K1013" s="68">
        <f t="shared" si="31"/>
        <v>8</v>
      </c>
    </row>
    <row r="1014" spans="1:11" x14ac:dyDescent="0.2">
      <c r="A1014">
        <f t="shared" si="30"/>
        <v>2911580</v>
      </c>
      <c r="B1014">
        <v>2019</v>
      </c>
      <c r="C1014" t="s">
        <v>739</v>
      </c>
      <c r="D1014" t="s">
        <v>740</v>
      </c>
      <c r="E1014" t="s">
        <v>743</v>
      </c>
      <c r="F1014" s="34">
        <v>186</v>
      </c>
      <c r="G1014" s="34" t="s">
        <v>125</v>
      </c>
      <c r="H1014" s="36">
        <v>15901</v>
      </c>
      <c r="I1014" s="58">
        <v>133157</v>
      </c>
      <c r="J1014">
        <f>IFERROR(VLOOKUP(G1014,'LEAID Match'!$A$2:$B$526,2,FALSE),"")</f>
        <v>2911580</v>
      </c>
      <c r="K1014" s="68">
        <f t="shared" si="31"/>
        <v>8</v>
      </c>
    </row>
    <row r="1015" spans="1:11" x14ac:dyDescent="0.2">
      <c r="A1015">
        <f t="shared" si="30"/>
        <v>2911580</v>
      </c>
      <c r="B1015">
        <v>2020</v>
      </c>
      <c r="C1015" t="s">
        <v>739</v>
      </c>
      <c r="D1015" t="s">
        <v>740</v>
      </c>
      <c r="E1015" t="s">
        <v>743</v>
      </c>
      <c r="F1015" s="34">
        <v>186</v>
      </c>
      <c r="G1015" s="34" t="s">
        <v>125</v>
      </c>
      <c r="H1015" s="36">
        <v>14150</v>
      </c>
      <c r="I1015" s="58">
        <v>126201</v>
      </c>
      <c r="J1015">
        <f>IFERROR(VLOOKUP(G1015,'LEAID Match'!$A$2:$B$526,2,FALSE),"")</f>
        <v>2911580</v>
      </c>
      <c r="K1015" s="68">
        <f t="shared" si="31"/>
        <v>8</v>
      </c>
    </row>
    <row r="1016" spans="1:11" x14ac:dyDescent="0.2">
      <c r="A1016">
        <f t="shared" si="30"/>
        <v>2911580</v>
      </c>
      <c r="B1016">
        <v>2021</v>
      </c>
      <c r="C1016" t="s">
        <v>739</v>
      </c>
      <c r="D1016" t="s">
        <v>740</v>
      </c>
      <c r="E1016" t="s">
        <v>743</v>
      </c>
      <c r="F1016" s="34">
        <v>186</v>
      </c>
      <c r="G1016" s="34" t="s">
        <v>125</v>
      </c>
      <c r="H1016" s="36">
        <v>11916</v>
      </c>
      <c r="I1016" s="58">
        <v>124298</v>
      </c>
      <c r="J1016">
        <f>IFERROR(VLOOKUP(G1016,'LEAID Match'!$A$2:$B$526,2,FALSE),"")</f>
        <v>2911580</v>
      </c>
      <c r="K1016" s="68">
        <f t="shared" si="31"/>
        <v>8</v>
      </c>
    </row>
    <row r="1017" spans="1:11" x14ac:dyDescent="0.2">
      <c r="A1017">
        <f t="shared" si="30"/>
        <v>2911580</v>
      </c>
      <c r="B1017">
        <v>2022</v>
      </c>
      <c r="C1017" t="s">
        <v>739</v>
      </c>
      <c r="D1017" t="s">
        <v>740</v>
      </c>
      <c r="E1017" t="s">
        <v>743</v>
      </c>
      <c r="F1017" s="34">
        <v>186</v>
      </c>
      <c r="G1017" s="34" t="s">
        <v>125</v>
      </c>
      <c r="H1017" s="36">
        <v>13760</v>
      </c>
      <c r="I1017" s="58">
        <v>129378</v>
      </c>
      <c r="J1017">
        <f>IFERROR(VLOOKUP(G1017,'LEAID Match'!$A$2:$B$526,2,FALSE),"")</f>
        <v>2911580</v>
      </c>
      <c r="K1017" s="68">
        <f t="shared" si="31"/>
        <v>8</v>
      </c>
    </row>
    <row r="1018" spans="1:11" x14ac:dyDescent="0.2">
      <c r="A1018">
        <f t="shared" si="30"/>
        <v>2913320</v>
      </c>
      <c r="B1018">
        <v>2015</v>
      </c>
      <c r="C1018" t="s">
        <v>739</v>
      </c>
      <c r="D1018" t="s">
        <v>740</v>
      </c>
      <c r="E1018" t="s">
        <v>743</v>
      </c>
      <c r="F1018" s="37">
        <v>187</v>
      </c>
      <c r="G1018" s="39" t="s">
        <v>126</v>
      </c>
      <c r="H1018" s="40">
        <v>33543</v>
      </c>
      <c r="I1018" s="58">
        <v>301637</v>
      </c>
      <c r="J1018">
        <f>IFERROR(VLOOKUP(G1018,'LEAID Match'!$A$2:$B$526,2,FALSE),"")</f>
        <v>2913320</v>
      </c>
      <c r="K1018" s="68">
        <f t="shared" si="31"/>
        <v>8</v>
      </c>
    </row>
    <row r="1019" spans="1:11" x14ac:dyDescent="0.2">
      <c r="A1019">
        <f t="shared" si="30"/>
        <v>2913320</v>
      </c>
      <c r="B1019">
        <v>2016</v>
      </c>
      <c r="C1019" t="s">
        <v>739</v>
      </c>
      <c r="D1019" t="s">
        <v>740</v>
      </c>
      <c r="E1019" t="s">
        <v>743</v>
      </c>
      <c r="F1019" s="34">
        <v>187</v>
      </c>
      <c r="G1019" s="34" t="s">
        <v>126</v>
      </c>
      <c r="H1019" s="36">
        <v>43276</v>
      </c>
      <c r="I1019" s="60">
        <v>308747</v>
      </c>
      <c r="J1019">
        <f>IFERROR(VLOOKUP(G1019,'LEAID Match'!$A$2:$B$526,2,FALSE),"")</f>
        <v>2913320</v>
      </c>
      <c r="K1019" s="68">
        <f t="shared" si="31"/>
        <v>8</v>
      </c>
    </row>
    <row r="1020" spans="1:11" x14ac:dyDescent="0.2">
      <c r="A1020">
        <f t="shared" si="30"/>
        <v>2913320</v>
      </c>
      <c r="B1020">
        <v>2017</v>
      </c>
      <c r="C1020" t="s">
        <v>739</v>
      </c>
      <c r="D1020" t="s">
        <v>740</v>
      </c>
      <c r="E1020" t="s">
        <v>743</v>
      </c>
      <c r="F1020" s="34">
        <v>187</v>
      </c>
      <c r="G1020" s="34" t="s">
        <v>126</v>
      </c>
      <c r="H1020" s="36">
        <v>49005</v>
      </c>
      <c r="I1020" s="58">
        <v>299257</v>
      </c>
      <c r="J1020">
        <f>IFERROR(VLOOKUP(G1020,'LEAID Match'!$A$2:$B$526,2,FALSE),"")</f>
        <v>2913320</v>
      </c>
      <c r="K1020" s="68">
        <f t="shared" si="31"/>
        <v>8</v>
      </c>
    </row>
    <row r="1021" spans="1:11" x14ac:dyDescent="0.2">
      <c r="A1021">
        <f t="shared" si="30"/>
        <v>2913320</v>
      </c>
      <c r="B1021">
        <v>2018</v>
      </c>
      <c r="C1021" t="s">
        <v>739</v>
      </c>
      <c r="D1021" t="s">
        <v>740</v>
      </c>
      <c r="E1021" t="s">
        <v>743</v>
      </c>
      <c r="F1021" s="34">
        <v>187</v>
      </c>
      <c r="G1021" s="34" t="s">
        <v>126</v>
      </c>
      <c r="H1021" s="36">
        <v>46622</v>
      </c>
      <c r="I1021" s="58">
        <v>286968</v>
      </c>
      <c r="J1021">
        <f>IFERROR(VLOOKUP(G1021,'LEAID Match'!$A$2:$B$526,2,FALSE),"")</f>
        <v>2913320</v>
      </c>
      <c r="K1021" s="68">
        <f t="shared" si="31"/>
        <v>8</v>
      </c>
    </row>
    <row r="1022" spans="1:11" x14ac:dyDescent="0.2">
      <c r="A1022">
        <f t="shared" si="30"/>
        <v>2913320</v>
      </c>
      <c r="B1022">
        <v>2019</v>
      </c>
      <c r="C1022" t="s">
        <v>739</v>
      </c>
      <c r="D1022" t="s">
        <v>740</v>
      </c>
      <c r="E1022" t="s">
        <v>743</v>
      </c>
      <c r="F1022" s="34">
        <v>187</v>
      </c>
      <c r="G1022" s="34" t="s">
        <v>126</v>
      </c>
      <c r="H1022" s="36">
        <v>46817</v>
      </c>
      <c r="I1022" s="58">
        <v>261245</v>
      </c>
      <c r="J1022">
        <f>IFERROR(VLOOKUP(G1022,'LEAID Match'!$A$2:$B$526,2,FALSE),"")</f>
        <v>2913320</v>
      </c>
      <c r="K1022" s="68">
        <f t="shared" si="31"/>
        <v>8</v>
      </c>
    </row>
    <row r="1023" spans="1:11" x14ac:dyDescent="0.2">
      <c r="A1023">
        <f t="shared" si="30"/>
        <v>2913320</v>
      </c>
      <c r="B1023">
        <v>2020</v>
      </c>
      <c r="C1023" t="s">
        <v>739</v>
      </c>
      <c r="D1023" t="s">
        <v>740</v>
      </c>
      <c r="E1023" t="s">
        <v>743</v>
      </c>
      <c r="F1023" s="34">
        <v>187</v>
      </c>
      <c r="G1023" s="34" t="s">
        <v>126</v>
      </c>
      <c r="H1023" s="36">
        <v>48002</v>
      </c>
      <c r="I1023" s="58">
        <v>266212</v>
      </c>
      <c r="J1023">
        <f>IFERROR(VLOOKUP(G1023,'LEAID Match'!$A$2:$B$526,2,FALSE),"")</f>
        <v>2913320</v>
      </c>
      <c r="K1023" s="68">
        <f t="shared" si="31"/>
        <v>8</v>
      </c>
    </row>
    <row r="1024" spans="1:11" x14ac:dyDescent="0.2">
      <c r="A1024">
        <f t="shared" si="30"/>
        <v>2913320</v>
      </c>
      <c r="B1024">
        <v>2021</v>
      </c>
      <c r="C1024" t="s">
        <v>739</v>
      </c>
      <c r="D1024" t="s">
        <v>740</v>
      </c>
      <c r="E1024" t="s">
        <v>743</v>
      </c>
      <c r="F1024" s="34">
        <v>187</v>
      </c>
      <c r="G1024" s="34" t="s">
        <v>126</v>
      </c>
      <c r="H1024" s="36">
        <v>49199</v>
      </c>
      <c r="I1024" s="58">
        <v>265363</v>
      </c>
      <c r="J1024">
        <f>IFERROR(VLOOKUP(G1024,'LEAID Match'!$A$2:$B$526,2,FALSE),"")</f>
        <v>2913320</v>
      </c>
      <c r="K1024" s="68">
        <f t="shared" si="31"/>
        <v>8</v>
      </c>
    </row>
    <row r="1025" spans="1:11" x14ac:dyDescent="0.2">
      <c r="A1025">
        <f t="shared" si="30"/>
        <v>2913320</v>
      </c>
      <c r="B1025">
        <v>2022</v>
      </c>
      <c r="C1025" t="s">
        <v>739</v>
      </c>
      <c r="D1025" t="s">
        <v>740</v>
      </c>
      <c r="E1025" t="s">
        <v>743</v>
      </c>
      <c r="F1025" s="34">
        <v>187</v>
      </c>
      <c r="G1025" s="34" t="s">
        <v>126</v>
      </c>
      <c r="H1025" s="36">
        <v>50580</v>
      </c>
      <c r="I1025" s="58">
        <v>287282</v>
      </c>
      <c r="J1025">
        <f>IFERROR(VLOOKUP(G1025,'LEAID Match'!$A$2:$B$526,2,FALSE),"")</f>
        <v>2913320</v>
      </c>
      <c r="K1025" s="68">
        <f t="shared" si="31"/>
        <v>8</v>
      </c>
    </row>
    <row r="1026" spans="1:11" x14ac:dyDescent="0.2">
      <c r="A1026">
        <f t="shared" si="30"/>
        <v>2906120</v>
      </c>
      <c r="B1026">
        <v>2015</v>
      </c>
      <c r="C1026" t="s">
        <v>739</v>
      </c>
      <c r="D1026" t="s">
        <v>740</v>
      </c>
      <c r="E1026" t="s">
        <v>743</v>
      </c>
      <c r="F1026" s="37">
        <v>188</v>
      </c>
      <c r="G1026" s="39" t="s">
        <v>127</v>
      </c>
      <c r="H1026" s="40">
        <v>169908</v>
      </c>
      <c r="I1026" s="58">
        <v>1037062</v>
      </c>
      <c r="J1026">
        <f>IFERROR(VLOOKUP(G1026,'LEAID Match'!$A$2:$B$526,2,FALSE),"")</f>
        <v>2906120</v>
      </c>
      <c r="K1026" s="68">
        <f t="shared" si="31"/>
        <v>8</v>
      </c>
    </row>
    <row r="1027" spans="1:11" x14ac:dyDescent="0.2">
      <c r="A1027">
        <f t="shared" ref="A1027:A1090" si="32">J1027</f>
        <v>2906120</v>
      </c>
      <c r="B1027">
        <v>2016</v>
      </c>
      <c r="C1027" t="s">
        <v>739</v>
      </c>
      <c r="D1027" t="s">
        <v>740</v>
      </c>
      <c r="E1027" t="s">
        <v>743</v>
      </c>
      <c r="F1027" s="34">
        <v>188</v>
      </c>
      <c r="G1027" s="34" t="s">
        <v>127</v>
      </c>
      <c r="H1027" s="36">
        <v>168163</v>
      </c>
      <c r="I1027" s="60">
        <v>963511</v>
      </c>
      <c r="J1027">
        <f>IFERROR(VLOOKUP(G1027,'LEAID Match'!$A$2:$B$526,2,FALSE),"")</f>
        <v>2906120</v>
      </c>
      <c r="K1027" s="68">
        <f t="shared" ref="K1027:K1090" si="33">COUNTIF($J$2:$J$4295,J1027)</f>
        <v>8</v>
      </c>
    </row>
    <row r="1028" spans="1:11" x14ac:dyDescent="0.2">
      <c r="A1028">
        <f t="shared" si="32"/>
        <v>2906120</v>
      </c>
      <c r="B1028">
        <v>2017</v>
      </c>
      <c r="C1028" t="s">
        <v>739</v>
      </c>
      <c r="D1028" t="s">
        <v>740</v>
      </c>
      <c r="E1028" t="s">
        <v>743</v>
      </c>
      <c r="F1028" s="34">
        <v>188</v>
      </c>
      <c r="G1028" s="34" t="s">
        <v>127</v>
      </c>
      <c r="H1028" s="36">
        <v>175089</v>
      </c>
      <c r="I1028" s="58">
        <v>1040085</v>
      </c>
      <c r="J1028">
        <f>IFERROR(VLOOKUP(G1028,'LEAID Match'!$A$2:$B$526,2,FALSE),"")</f>
        <v>2906120</v>
      </c>
      <c r="K1028" s="68">
        <f t="shared" si="33"/>
        <v>8</v>
      </c>
    </row>
    <row r="1029" spans="1:11" x14ac:dyDescent="0.2">
      <c r="A1029">
        <f t="shared" si="32"/>
        <v>2906120</v>
      </c>
      <c r="B1029">
        <v>2018</v>
      </c>
      <c r="C1029" t="s">
        <v>739</v>
      </c>
      <c r="D1029" t="s">
        <v>740</v>
      </c>
      <c r="E1029" t="s">
        <v>743</v>
      </c>
      <c r="F1029" s="34">
        <v>188</v>
      </c>
      <c r="G1029" s="34" t="s">
        <v>127</v>
      </c>
      <c r="H1029" s="36">
        <v>196354</v>
      </c>
      <c r="I1029" s="58">
        <v>1058224</v>
      </c>
      <c r="J1029">
        <f>IFERROR(VLOOKUP(G1029,'LEAID Match'!$A$2:$B$526,2,FALSE),"")</f>
        <v>2906120</v>
      </c>
      <c r="K1029" s="68">
        <f t="shared" si="33"/>
        <v>8</v>
      </c>
    </row>
    <row r="1030" spans="1:11" x14ac:dyDescent="0.2">
      <c r="A1030">
        <f t="shared" si="32"/>
        <v>2906120</v>
      </c>
      <c r="B1030">
        <v>2019</v>
      </c>
      <c r="C1030" t="s">
        <v>739</v>
      </c>
      <c r="D1030" t="s">
        <v>740</v>
      </c>
      <c r="E1030" t="s">
        <v>743</v>
      </c>
      <c r="F1030" s="34">
        <v>188</v>
      </c>
      <c r="G1030" s="34" t="s">
        <v>127</v>
      </c>
      <c r="H1030" s="36">
        <v>216008</v>
      </c>
      <c r="I1030" s="58">
        <v>1126801</v>
      </c>
      <c r="J1030">
        <f>IFERROR(VLOOKUP(G1030,'LEAID Match'!$A$2:$B$526,2,FALSE),"")</f>
        <v>2906120</v>
      </c>
      <c r="K1030" s="68">
        <f t="shared" si="33"/>
        <v>8</v>
      </c>
    </row>
    <row r="1031" spans="1:11" x14ac:dyDescent="0.2">
      <c r="A1031">
        <f t="shared" si="32"/>
        <v>2906120</v>
      </c>
      <c r="B1031">
        <v>2020</v>
      </c>
      <c r="C1031" t="s">
        <v>739</v>
      </c>
      <c r="D1031" t="s">
        <v>740</v>
      </c>
      <c r="E1031" t="s">
        <v>743</v>
      </c>
      <c r="F1031" s="34">
        <v>188</v>
      </c>
      <c r="G1031" s="34" t="s">
        <v>127</v>
      </c>
      <c r="H1031" s="36">
        <v>222706</v>
      </c>
      <c r="I1031" s="58">
        <v>1199479</v>
      </c>
      <c r="J1031">
        <f>IFERROR(VLOOKUP(G1031,'LEAID Match'!$A$2:$B$526,2,FALSE),"")</f>
        <v>2906120</v>
      </c>
      <c r="K1031" s="68">
        <f t="shared" si="33"/>
        <v>8</v>
      </c>
    </row>
    <row r="1032" spans="1:11" x14ac:dyDescent="0.2">
      <c r="A1032">
        <f t="shared" si="32"/>
        <v>2906120</v>
      </c>
      <c r="B1032">
        <v>2021</v>
      </c>
      <c r="C1032" t="s">
        <v>739</v>
      </c>
      <c r="D1032" t="s">
        <v>740</v>
      </c>
      <c r="E1032" t="s">
        <v>743</v>
      </c>
      <c r="F1032" s="34">
        <v>188</v>
      </c>
      <c r="G1032" s="34" t="s">
        <v>127</v>
      </c>
      <c r="H1032" s="36">
        <v>225440</v>
      </c>
      <c r="I1032" s="58">
        <v>1204933</v>
      </c>
      <c r="J1032">
        <f>IFERROR(VLOOKUP(G1032,'LEAID Match'!$A$2:$B$526,2,FALSE),"")</f>
        <v>2906120</v>
      </c>
      <c r="K1032" s="68">
        <f t="shared" si="33"/>
        <v>8</v>
      </c>
    </row>
    <row r="1033" spans="1:11" x14ac:dyDescent="0.2">
      <c r="A1033">
        <f t="shared" si="32"/>
        <v>2906120</v>
      </c>
      <c r="B1033">
        <v>2022</v>
      </c>
      <c r="C1033" t="s">
        <v>739</v>
      </c>
      <c r="D1033" t="s">
        <v>740</v>
      </c>
      <c r="E1033" t="s">
        <v>743</v>
      </c>
      <c r="F1033" s="34">
        <v>188</v>
      </c>
      <c r="G1033" s="34" t="s">
        <v>127</v>
      </c>
      <c r="H1033" s="36">
        <v>247422</v>
      </c>
      <c r="I1033" s="58">
        <v>1247532</v>
      </c>
      <c r="J1033">
        <f>IFERROR(VLOOKUP(G1033,'LEAID Match'!$A$2:$B$526,2,FALSE),"")</f>
        <v>2906120</v>
      </c>
      <c r="K1033" s="68">
        <f t="shared" si="33"/>
        <v>8</v>
      </c>
    </row>
    <row r="1034" spans="1:11" x14ac:dyDescent="0.2">
      <c r="A1034">
        <f t="shared" si="32"/>
        <v>2923670</v>
      </c>
      <c r="B1034">
        <v>2015</v>
      </c>
      <c r="C1034" t="s">
        <v>739</v>
      </c>
      <c r="D1034" t="s">
        <v>740</v>
      </c>
      <c r="E1034" t="s">
        <v>743</v>
      </c>
      <c r="F1034" s="37">
        <v>191</v>
      </c>
      <c r="G1034" s="39" t="s">
        <v>128</v>
      </c>
      <c r="H1034" s="40">
        <v>14426</v>
      </c>
      <c r="I1034" s="58">
        <v>153551</v>
      </c>
      <c r="J1034">
        <f>IFERROR(VLOOKUP(G1034,'LEAID Match'!$A$2:$B$526,2,FALSE),"")</f>
        <v>2923670</v>
      </c>
      <c r="K1034" s="68">
        <f t="shared" si="33"/>
        <v>8</v>
      </c>
    </row>
    <row r="1035" spans="1:11" x14ac:dyDescent="0.2">
      <c r="A1035">
        <f t="shared" si="32"/>
        <v>2923670</v>
      </c>
      <c r="B1035">
        <v>2016</v>
      </c>
      <c r="C1035" t="s">
        <v>739</v>
      </c>
      <c r="D1035" t="s">
        <v>740</v>
      </c>
      <c r="E1035" t="s">
        <v>743</v>
      </c>
      <c r="F1035" s="34">
        <v>191</v>
      </c>
      <c r="G1035" s="34" t="s">
        <v>128</v>
      </c>
      <c r="H1035" s="36">
        <v>16280</v>
      </c>
      <c r="I1035" s="60">
        <v>160781</v>
      </c>
      <c r="J1035">
        <f>IFERROR(VLOOKUP(G1035,'LEAID Match'!$A$2:$B$526,2,FALSE),"")</f>
        <v>2923670</v>
      </c>
      <c r="K1035" s="68">
        <f t="shared" si="33"/>
        <v>8</v>
      </c>
    </row>
    <row r="1036" spans="1:11" x14ac:dyDescent="0.2">
      <c r="A1036">
        <f t="shared" si="32"/>
        <v>2923670</v>
      </c>
      <c r="B1036">
        <v>2017</v>
      </c>
      <c r="C1036" t="s">
        <v>739</v>
      </c>
      <c r="D1036" t="s">
        <v>740</v>
      </c>
      <c r="E1036" t="s">
        <v>743</v>
      </c>
      <c r="F1036" s="34">
        <v>191</v>
      </c>
      <c r="G1036" s="34" t="s">
        <v>128</v>
      </c>
      <c r="H1036" s="36">
        <v>17687</v>
      </c>
      <c r="I1036" s="58">
        <v>166786</v>
      </c>
      <c r="J1036">
        <f>IFERROR(VLOOKUP(G1036,'LEAID Match'!$A$2:$B$526,2,FALSE),"")</f>
        <v>2923670</v>
      </c>
      <c r="K1036" s="68">
        <f t="shared" si="33"/>
        <v>8</v>
      </c>
    </row>
    <row r="1037" spans="1:11" x14ac:dyDescent="0.2">
      <c r="A1037">
        <f t="shared" si="32"/>
        <v>2923670</v>
      </c>
      <c r="B1037">
        <v>2018</v>
      </c>
      <c r="C1037" t="s">
        <v>739</v>
      </c>
      <c r="D1037" t="s">
        <v>740</v>
      </c>
      <c r="E1037" t="s">
        <v>743</v>
      </c>
      <c r="F1037" s="34">
        <v>191</v>
      </c>
      <c r="G1037" s="34" t="s">
        <v>128</v>
      </c>
      <c r="H1037" s="36">
        <v>17727</v>
      </c>
      <c r="I1037" s="58">
        <v>162108</v>
      </c>
      <c r="J1037">
        <f>IFERROR(VLOOKUP(G1037,'LEAID Match'!$A$2:$B$526,2,FALSE),"")</f>
        <v>2923670</v>
      </c>
      <c r="K1037" s="68">
        <f t="shared" si="33"/>
        <v>8</v>
      </c>
    </row>
    <row r="1038" spans="1:11" x14ac:dyDescent="0.2">
      <c r="A1038">
        <f t="shared" si="32"/>
        <v>2923670</v>
      </c>
      <c r="B1038">
        <v>2019</v>
      </c>
      <c r="C1038" t="s">
        <v>739</v>
      </c>
      <c r="D1038" t="s">
        <v>740</v>
      </c>
      <c r="E1038" t="s">
        <v>743</v>
      </c>
      <c r="F1038" s="34">
        <v>191</v>
      </c>
      <c r="G1038" s="34" t="s">
        <v>128</v>
      </c>
      <c r="H1038" s="36">
        <v>17743</v>
      </c>
      <c r="I1038" s="58">
        <v>167246</v>
      </c>
      <c r="J1038">
        <f>IFERROR(VLOOKUP(G1038,'LEAID Match'!$A$2:$B$526,2,FALSE),"")</f>
        <v>2923670</v>
      </c>
      <c r="K1038" s="68">
        <f t="shared" si="33"/>
        <v>8</v>
      </c>
    </row>
    <row r="1039" spans="1:11" x14ac:dyDescent="0.2">
      <c r="A1039">
        <f t="shared" si="32"/>
        <v>2923670</v>
      </c>
      <c r="B1039">
        <v>2020</v>
      </c>
      <c r="C1039" t="s">
        <v>739</v>
      </c>
      <c r="D1039" t="s">
        <v>740</v>
      </c>
      <c r="E1039" t="s">
        <v>743</v>
      </c>
      <c r="F1039" s="34">
        <v>191</v>
      </c>
      <c r="G1039" s="34" t="s">
        <v>128</v>
      </c>
      <c r="H1039" s="36">
        <v>17856</v>
      </c>
      <c r="I1039" s="58">
        <v>157587</v>
      </c>
      <c r="J1039">
        <f>IFERROR(VLOOKUP(G1039,'LEAID Match'!$A$2:$B$526,2,FALSE),"")</f>
        <v>2923670</v>
      </c>
      <c r="K1039" s="68">
        <f t="shared" si="33"/>
        <v>8</v>
      </c>
    </row>
    <row r="1040" spans="1:11" x14ac:dyDescent="0.2">
      <c r="A1040">
        <f t="shared" si="32"/>
        <v>2923670</v>
      </c>
      <c r="B1040">
        <v>2021</v>
      </c>
      <c r="C1040" t="s">
        <v>739</v>
      </c>
      <c r="D1040" t="s">
        <v>740</v>
      </c>
      <c r="E1040" t="s">
        <v>743</v>
      </c>
      <c r="F1040" s="34">
        <v>191</v>
      </c>
      <c r="G1040" s="34" t="s">
        <v>128</v>
      </c>
      <c r="H1040" s="36">
        <v>17890</v>
      </c>
      <c r="I1040" s="58">
        <v>163026</v>
      </c>
      <c r="J1040">
        <f>IFERROR(VLOOKUP(G1040,'LEAID Match'!$A$2:$B$526,2,FALSE),"")</f>
        <v>2923670</v>
      </c>
      <c r="K1040" s="68">
        <f t="shared" si="33"/>
        <v>8</v>
      </c>
    </row>
    <row r="1041" spans="1:11" x14ac:dyDescent="0.2">
      <c r="A1041">
        <f t="shared" si="32"/>
        <v>2923670</v>
      </c>
      <c r="B1041">
        <v>2022</v>
      </c>
      <c r="C1041" t="s">
        <v>739</v>
      </c>
      <c r="D1041" t="s">
        <v>740</v>
      </c>
      <c r="E1041" t="s">
        <v>743</v>
      </c>
      <c r="F1041" s="34">
        <v>191</v>
      </c>
      <c r="G1041" s="34" t="s">
        <v>128</v>
      </c>
      <c r="H1041" s="36">
        <v>19511</v>
      </c>
      <c r="I1041" s="58">
        <v>132847</v>
      </c>
      <c r="J1041">
        <f>IFERROR(VLOOKUP(G1041,'LEAID Match'!$A$2:$B$526,2,FALSE),"")</f>
        <v>2923670</v>
      </c>
      <c r="K1041" s="68">
        <f t="shared" si="33"/>
        <v>8</v>
      </c>
    </row>
    <row r="1042" spans="1:11" x14ac:dyDescent="0.2">
      <c r="A1042">
        <f t="shared" si="32"/>
        <v>2915630</v>
      </c>
      <c r="B1042">
        <v>2015</v>
      </c>
      <c r="C1042" t="s">
        <v>739</v>
      </c>
      <c r="D1042" t="s">
        <v>740</v>
      </c>
      <c r="E1042" t="s">
        <v>743</v>
      </c>
      <c r="F1042" s="37">
        <v>192</v>
      </c>
      <c r="G1042" s="39" t="s">
        <v>130</v>
      </c>
      <c r="H1042" s="40">
        <v>10380</v>
      </c>
      <c r="I1042" s="58">
        <v>88877</v>
      </c>
      <c r="J1042">
        <f>IFERROR(VLOOKUP(G1042,'LEAID Match'!$A$2:$B$526,2,FALSE),"")</f>
        <v>2915630</v>
      </c>
      <c r="K1042" s="68">
        <f t="shared" si="33"/>
        <v>8</v>
      </c>
    </row>
    <row r="1043" spans="1:11" x14ac:dyDescent="0.2">
      <c r="A1043">
        <f t="shared" si="32"/>
        <v>2915630</v>
      </c>
      <c r="B1043">
        <v>2016</v>
      </c>
      <c r="C1043" t="s">
        <v>739</v>
      </c>
      <c r="D1043" t="s">
        <v>740</v>
      </c>
      <c r="E1043" t="s">
        <v>743</v>
      </c>
      <c r="F1043" s="34">
        <v>192</v>
      </c>
      <c r="G1043" s="34" t="s">
        <v>130</v>
      </c>
      <c r="H1043" s="36">
        <v>11401</v>
      </c>
      <c r="I1043" s="60">
        <v>94236</v>
      </c>
      <c r="J1043">
        <f>IFERROR(VLOOKUP(G1043,'LEAID Match'!$A$2:$B$526,2,FALSE),"")</f>
        <v>2915630</v>
      </c>
      <c r="K1043" s="68">
        <f t="shared" si="33"/>
        <v>8</v>
      </c>
    </row>
    <row r="1044" spans="1:11" x14ac:dyDescent="0.2">
      <c r="A1044">
        <f t="shared" si="32"/>
        <v>2915630</v>
      </c>
      <c r="B1044">
        <v>2017</v>
      </c>
      <c r="C1044" t="s">
        <v>739</v>
      </c>
      <c r="D1044" t="s">
        <v>740</v>
      </c>
      <c r="E1044" t="s">
        <v>743</v>
      </c>
      <c r="F1044" s="34">
        <v>192</v>
      </c>
      <c r="G1044" s="34" t="s">
        <v>130</v>
      </c>
      <c r="H1044" s="36">
        <v>11863</v>
      </c>
      <c r="I1044" s="58">
        <v>91955</v>
      </c>
      <c r="J1044">
        <f>IFERROR(VLOOKUP(G1044,'LEAID Match'!$A$2:$B$526,2,FALSE),"")</f>
        <v>2915630</v>
      </c>
      <c r="K1044" s="68">
        <f t="shared" si="33"/>
        <v>8</v>
      </c>
    </row>
    <row r="1045" spans="1:11" x14ac:dyDescent="0.2">
      <c r="A1045">
        <f t="shared" si="32"/>
        <v>2915630</v>
      </c>
      <c r="B1045">
        <v>2018</v>
      </c>
      <c r="C1045" t="s">
        <v>739</v>
      </c>
      <c r="D1045" t="s">
        <v>740</v>
      </c>
      <c r="E1045" t="s">
        <v>743</v>
      </c>
      <c r="F1045" s="34">
        <v>192</v>
      </c>
      <c r="G1045" s="34" t="s">
        <v>130</v>
      </c>
      <c r="H1045" s="36">
        <v>12713</v>
      </c>
      <c r="I1045" s="58">
        <v>88161</v>
      </c>
      <c r="J1045">
        <f>IFERROR(VLOOKUP(G1045,'LEAID Match'!$A$2:$B$526,2,FALSE),"")</f>
        <v>2915630</v>
      </c>
      <c r="K1045" s="68">
        <f t="shared" si="33"/>
        <v>8</v>
      </c>
    </row>
    <row r="1046" spans="1:11" x14ac:dyDescent="0.2">
      <c r="A1046">
        <f t="shared" si="32"/>
        <v>2915630</v>
      </c>
      <c r="B1046">
        <v>2019</v>
      </c>
      <c r="C1046" t="s">
        <v>739</v>
      </c>
      <c r="D1046" t="s">
        <v>740</v>
      </c>
      <c r="E1046" t="s">
        <v>743</v>
      </c>
      <c r="F1046" s="34">
        <v>192</v>
      </c>
      <c r="G1046" s="34" t="s">
        <v>130</v>
      </c>
      <c r="H1046" s="36">
        <v>16395</v>
      </c>
      <c r="I1046" s="58">
        <v>88380</v>
      </c>
      <c r="J1046">
        <f>IFERROR(VLOOKUP(G1046,'LEAID Match'!$A$2:$B$526,2,FALSE),"")</f>
        <v>2915630</v>
      </c>
      <c r="K1046" s="68">
        <f t="shared" si="33"/>
        <v>8</v>
      </c>
    </row>
    <row r="1047" spans="1:11" x14ac:dyDescent="0.2">
      <c r="A1047">
        <f t="shared" si="32"/>
        <v>2915630</v>
      </c>
      <c r="B1047">
        <v>2020</v>
      </c>
      <c r="C1047" t="s">
        <v>739</v>
      </c>
      <c r="D1047" t="s">
        <v>740</v>
      </c>
      <c r="E1047" t="s">
        <v>743</v>
      </c>
      <c r="F1047" s="34">
        <v>192</v>
      </c>
      <c r="G1047" s="34" t="s">
        <v>130</v>
      </c>
      <c r="H1047" s="36">
        <v>15677</v>
      </c>
      <c r="I1047" s="58">
        <v>93571</v>
      </c>
      <c r="J1047">
        <f>IFERROR(VLOOKUP(G1047,'LEAID Match'!$A$2:$B$526,2,FALSE),"")</f>
        <v>2915630</v>
      </c>
      <c r="K1047" s="68">
        <f t="shared" si="33"/>
        <v>8</v>
      </c>
    </row>
    <row r="1048" spans="1:11" x14ac:dyDescent="0.2">
      <c r="A1048">
        <f t="shared" si="32"/>
        <v>2915630</v>
      </c>
      <c r="B1048">
        <v>2021</v>
      </c>
      <c r="C1048" t="s">
        <v>739</v>
      </c>
      <c r="D1048" t="s">
        <v>740</v>
      </c>
      <c r="E1048" t="s">
        <v>743</v>
      </c>
      <c r="F1048" s="34">
        <v>192</v>
      </c>
      <c r="G1048" s="34" t="s">
        <v>130</v>
      </c>
      <c r="H1048" s="36">
        <v>16259</v>
      </c>
      <c r="I1048" s="58">
        <v>103479</v>
      </c>
      <c r="J1048">
        <f>IFERROR(VLOOKUP(G1048,'LEAID Match'!$A$2:$B$526,2,FALSE),"")</f>
        <v>2915630</v>
      </c>
      <c r="K1048" s="68">
        <f t="shared" si="33"/>
        <v>8</v>
      </c>
    </row>
    <row r="1049" spans="1:11" x14ac:dyDescent="0.2">
      <c r="A1049">
        <f t="shared" si="32"/>
        <v>2915630</v>
      </c>
      <c r="B1049">
        <v>2022</v>
      </c>
      <c r="C1049" t="s">
        <v>739</v>
      </c>
      <c r="D1049" t="s">
        <v>740</v>
      </c>
      <c r="E1049" t="s">
        <v>743</v>
      </c>
      <c r="F1049" s="34">
        <v>192</v>
      </c>
      <c r="G1049" s="34" t="s">
        <v>130</v>
      </c>
      <c r="H1049" s="36">
        <v>16401</v>
      </c>
      <c r="I1049" s="58">
        <v>104198</v>
      </c>
      <c r="J1049">
        <f>IFERROR(VLOOKUP(G1049,'LEAID Match'!$A$2:$B$526,2,FALSE),"")</f>
        <v>2915630</v>
      </c>
      <c r="K1049" s="68">
        <f t="shared" si="33"/>
        <v>8</v>
      </c>
    </row>
    <row r="1050" spans="1:11" x14ac:dyDescent="0.2">
      <c r="A1050">
        <f t="shared" si="32"/>
        <v>2912660</v>
      </c>
      <c r="B1050">
        <v>2015</v>
      </c>
      <c r="C1050" t="s">
        <v>739</v>
      </c>
      <c r="D1050" t="s">
        <v>740</v>
      </c>
      <c r="E1050" t="s">
        <v>743</v>
      </c>
      <c r="F1050" s="37">
        <v>193</v>
      </c>
      <c r="G1050" s="39" t="s">
        <v>131</v>
      </c>
      <c r="H1050" s="40">
        <v>50951</v>
      </c>
      <c r="I1050" s="58">
        <v>414007</v>
      </c>
      <c r="J1050">
        <f>IFERROR(VLOOKUP(G1050,'LEAID Match'!$A$2:$B$526,2,FALSE),"")</f>
        <v>2912660</v>
      </c>
      <c r="K1050" s="68">
        <f t="shared" si="33"/>
        <v>8</v>
      </c>
    </row>
    <row r="1051" spans="1:11" x14ac:dyDescent="0.2">
      <c r="A1051">
        <f t="shared" si="32"/>
        <v>2912660</v>
      </c>
      <c r="B1051">
        <v>2016</v>
      </c>
      <c r="C1051" t="s">
        <v>739</v>
      </c>
      <c r="D1051" t="s">
        <v>740</v>
      </c>
      <c r="E1051" t="s">
        <v>743</v>
      </c>
      <c r="F1051" s="34">
        <v>193</v>
      </c>
      <c r="G1051" s="34" t="s">
        <v>131</v>
      </c>
      <c r="H1051" s="36">
        <v>54794</v>
      </c>
      <c r="I1051" s="60">
        <v>427302</v>
      </c>
      <c r="J1051">
        <f>IFERROR(VLOOKUP(G1051,'LEAID Match'!$A$2:$B$526,2,FALSE),"")</f>
        <v>2912660</v>
      </c>
      <c r="K1051" s="68">
        <f t="shared" si="33"/>
        <v>8</v>
      </c>
    </row>
    <row r="1052" spans="1:11" x14ac:dyDescent="0.2">
      <c r="A1052">
        <f t="shared" si="32"/>
        <v>2912660</v>
      </c>
      <c r="B1052">
        <v>2017</v>
      </c>
      <c r="C1052" t="s">
        <v>739</v>
      </c>
      <c r="D1052" t="s">
        <v>740</v>
      </c>
      <c r="E1052" t="s">
        <v>743</v>
      </c>
      <c r="F1052" s="34">
        <v>193</v>
      </c>
      <c r="G1052" s="34" t="s">
        <v>131</v>
      </c>
      <c r="H1052" s="36">
        <v>58682</v>
      </c>
      <c r="I1052" s="58">
        <v>416417</v>
      </c>
      <c r="J1052">
        <f>IFERROR(VLOOKUP(G1052,'LEAID Match'!$A$2:$B$526,2,FALSE),"")</f>
        <v>2912660</v>
      </c>
      <c r="K1052" s="68">
        <f t="shared" si="33"/>
        <v>8</v>
      </c>
    </row>
    <row r="1053" spans="1:11" x14ac:dyDescent="0.2">
      <c r="A1053">
        <f t="shared" si="32"/>
        <v>2912660</v>
      </c>
      <c r="B1053">
        <v>2018</v>
      </c>
      <c r="C1053" t="s">
        <v>739</v>
      </c>
      <c r="D1053" t="s">
        <v>740</v>
      </c>
      <c r="E1053" t="s">
        <v>743</v>
      </c>
      <c r="F1053" s="34">
        <v>193</v>
      </c>
      <c r="G1053" s="34" t="s">
        <v>131</v>
      </c>
      <c r="H1053" s="36">
        <v>69557</v>
      </c>
      <c r="I1053" s="58">
        <v>413552</v>
      </c>
      <c r="J1053">
        <f>IFERROR(VLOOKUP(G1053,'LEAID Match'!$A$2:$B$526,2,FALSE),"")</f>
        <v>2912660</v>
      </c>
      <c r="K1053" s="68">
        <f t="shared" si="33"/>
        <v>8</v>
      </c>
    </row>
    <row r="1054" spans="1:11" x14ac:dyDescent="0.2">
      <c r="A1054">
        <f t="shared" si="32"/>
        <v>2912660</v>
      </c>
      <c r="B1054">
        <v>2019</v>
      </c>
      <c r="C1054" t="s">
        <v>739</v>
      </c>
      <c r="D1054" t="s">
        <v>740</v>
      </c>
      <c r="E1054" t="s">
        <v>743</v>
      </c>
      <c r="F1054" s="34">
        <v>193</v>
      </c>
      <c r="G1054" s="34" t="s">
        <v>131</v>
      </c>
      <c r="H1054" s="36">
        <v>69180</v>
      </c>
      <c r="I1054" s="58">
        <v>417486</v>
      </c>
      <c r="J1054">
        <f>IFERROR(VLOOKUP(G1054,'LEAID Match'!$A$2:$B$526,2,FALSE),"")</f>
        <v>2912660</v>
      </c>
      <c r="K1054" s="68">
        <f t="shared" si="33"/>
        <v>8</v>
      </c>
    </row>
    <row r="1055" spans="1:11" x14ac:dyDescent="0.2">
      <c r="A1055">
        <f t="shared" si="32"/>
        <v>2912660</v>
      </c>
      <c r="B1055">
        <v>2020</v>
      </c>
      <c r="C1055" t="s">
        <v>739</v>
      </c>
      <c r="D1055" t="s">
        <v>740</v>
      </c>
      <c r="E1055" t="s">
        <v>743</v>
      </c>
      <c r="F1055" s="34">
        <v>193</v>
      </c>
      <c r="G1055" s="34" t="s">
        <v>131</v>
      </c>
      <c r="H1055" s="36">
        <v>73385</v>
      </c>
      <c r="I1055" s="58">
        <v>401059</v>
      </c>
      <c r="J1055">
        <f>IFERROR(VLOOKUP(G1055,'LEAID Match'!$A$2:$B$526,2,FALSE),"")</f>
        <v>2912660</v>
      </c>
      <c r="K1055" s="68">
        <f t="shared" si="33"/>
        <v>8</v>
      </c>
    </row>
    <row r="1056" spans="1:11" x14ac:dyDescent="0.2">
      <c r="A1056">
        <f t="shared" si="32"/>
        <v>2912660</v>
      </c>
      <c r="B1056">
        <v>2021</v>
      </c>
      <c r="C1056" t="s">
        <v>739</v>
      </c>
      <c r="D1056" t="s">
        <v>740</v>
      </c>
      <c r="E1056" t="s">
        <v>743</v>
      </c>
      <c r="F1056" s="34">
        <v>193</v>
      </c>
      <c r="G1056" s="34" t="s">
        <v>131</v>
      </c>
      <c r="H1056" s="36">
        <v>70459</v>
      </c>
      <c r="I1056" s="58">
        <v>413684</v>
      </c>
      <c r="J1056">
        <f>IFERROR(VLOOKUP(G1056,'LEAID Match'!$A$2:$B$526,2,FALSE),"")</f>
        <v>2912660</v>
      </c>
      <c r="K1056" s="68">
        <f t="shared" si="33"/>
        <v>8</v>
      </c>
    </row>
    <row r="1057" spans="1:11" x14ac:dyDescent="0.2">
      <c r="A1057">
        <f t="shared" si="32"/>
        <v>2912660</v>
      </c>
      <c r="B1057">
        <v>2022</v>
      </c>
      <c r="C1057" t="s">
        <v>739</v>
      </c>
      <c r="D1057" t="s">
        <v>740</v>
      </c>
      <c r="E1057" t="s">
        <v>743</v>
      </c>
      <c r="F1057" s="34">
        <v>193</v>
      </c>
      <c r="G1057" s="34" t="s">
        <v>131</v>
      </c>
      <c r="H1057" s="36">
        <v>82322</v>
      </c>
      <c r="I1057" s="58">
        <v>408431</v>
      </c>
      <c r="J1057">
        <f>IFERROR(VLOOKUP(G1057,'LEAID Match'!$A$2:$B$526,2,FALSE),"")</f>
        <v>2912660</v>
      </c>
      <c r="K1057" s="68">
        <f t="shared" si="33"/>
        <v>8</v>
      </c>
    </row>
    <row r="1058" spans="1:11" x14ac:dyDescent="0.2">
      <c r="A1058">
        <f t="shared" si="32"/>
        <v>2932250</v>
      </c>
      <c r="B1058">
        <v>2015</v>
      </c>
      <c r="C1058" t="s">
        <v>739</v>
      </c>
      <c r="D1058" t="s">
        <v>740</v>
      </c>
      <c r="E1058" t="s">
        <v>743</v>
      </c>
      <c r="F1058" s="37">
        <v>194</v>
      </c>
      <c r="G1058" s="39" t="s">
        <v>132</v>
      </c>
      <c r="H1058" s="40">
        <v>13579</v>
      </c>
      <c r="I1058" s="58">
        <v>166385</v>
      </c>
      <c r="J1058">
        <f>IFERROR(VLOOKUP(G1058,'LEAID Match'!$A$2:$B$526,2,FALSE),"")</f>
        <v>2932250</v>
      </c>
      <c r="K1058" s="68">
        <f t="shared" si="33"/>
        <v>8</v>
      </c>
    </row>
    <row r="1059" spans="1:11" x14ac:dyDescent="0.2">
      <c r="A1059">
        <f t="shared" si="32"/>
        <v>2932250</v>
      </c>
      <c r="B1059">
        <v>2016</v>
      </c>
      <c r="C1059" t="s">
        <v>739</v>
      </c>
      <c r="D1059" t="s">
        <v>740</v>
      </c>
      <c r="E1059" t="s">
        <v>743</v>
      </c>
      <c r="F1059" s="34">
        <v>194</v>
      </c>
      <c r="G1059" s="34" t="s">
        <v>132</v>
      </c>
      <c r="H1059" s="36">
        <v>12277</v>
      </c>
      <c r="I1059" s="60">
        <v>172146</v>
      </c>
      <c r="J1059">
        <f>IFERROR(VLOOKUP(G1059,'LEAID Match'!$A$2:$B$526,2,FALSE),"")</f>
        <v>2932250</v>
      </c>
      <c r="K1059" s="68">
        <f t="shared" si="33"/>
        <v>8</v>
      </c>
    </row>
    <row r="1060" spans="1:11" x14ac:dyDescent="0.2">
      <c r="A1060">
        <f t="shared" si="32"/>
        <v>2932250</v>
      </c>
      <c r="B1060">
        <v>2017</v>
      </c>
      <c r="C1060" t="s">
        <v>739</v>
      </c>
      <c r="D1060" t="s">
        <v>740</v>
      </c>
      <c r="E1060" t="s">
        <v>743</v>
      </c>
      <c r="F1060" s="34">
        <v>194</v>
      </c>
      <c r="G1060" s="34" t="s">
        <v>132</v>
      </c>
      <c r="H1060" s="36">
        <v>12687</v>
      </c>
      <c r="I1060" s="58">
        <v>171420</v>
      </c>
      <c r="J1060">
        <f>IFERROR(VLOOKUP(G1060,'LEAID Match'!$A$2:$B$526,2,FALSE),"")</f>
        <v>2932250</v>
      </c>
      <c r="K1060" s="68">
        <f t="shared" si="33"/>
        <v>8</v>
      </c>
    </row>
    <row r="1061" spans="1:11" x14ac:dyDescent="0.2">
      <c r="A1061">
        <f t="shared" si="32"/>
        <v>2932250</v>
      </c>
      <c r="B1061">
        <v>2018</v>
      </c>
      <c r="C1061" t="s">
        <v>739</v>
      </c>
      <c r="D1061" t="s">
        <v>740</v>
      </c>
      <c r="E1061" t="s">
        <v>743</v>
      </c>
      <c r="F1061" s="34">
        <v>194</v>
      </c>
      <c r="G1061" s="34" t="s">
        <v>132</v>
      </c>
      <c r="H1061" s="36">
        <v>15628</v>
      </c>
      <c r="I1061" s="58">
        <v>162159</v>
      </c>
      <c r="J1061">
        <f>IFERROR(VLOOKUP(G1061,'LEAID Match'!$A$2:$B$526,2,FALSE),"")</f>
        <v>2932250</v>
      </c>
      <c r="K1061" s="68">
        <f t="shared" si="33"/>
        <v>8</v>
      </c>
    </row>
    <row r="1062" spans="1:11" x14ac:dyDescent="0.2">
      <c r="A1062">
        <f t="shared" si="32"/>
        <v>2932250</v>
      </c>
      <c r="B1062">
        <v>2019</v>
      </c>
      <c r="C1062" t="s">
        <v>739</v>
      </c>
      <c r="D1062" t="s">
        <v>740</v>
      </c>
      <c r="E1062" t="s">
        <v>743</v>
      </c>
      <c r="F1062" s="34">
        <v>194</v>
      </c>
      <c r="G1062" s="34" t="s">
        <v>132</v>
      </c>
      <c r="H1062" s="36">
        <v>14768</v>
      </c>
      <c r="I1062" s="58">
        <v>173159</v>
      </c>
      <c r="J1062">
        <f>IFERROR(VLOOKUP(G1062,'LEAID Match'!$A$2:$B$526,2,FALSE),"")</f>
        <v>2932250</v>
      </c>
      <c r="K1062" s="68">
        <f t="shared" si="33"/>
        <v>8</v>
      </c>
    </row>
    <row r="1063" spans="1:11" x14ac:dyDescent="0.2">
      <c r="A1063">
        <f t="shared" si="32"/>
        <v>2932250</v>
      </c>
      <c r="B1063">
        <v>2020</v>
      </c>
      <c r="C1063" t="s">
        <v>739</v>
      </c>
      <c r="D1063" t="s">
        <v>740</v>
      </c>
      <c r="E1063" t="s">
        <v>743</v>
      </c>
      <c r="F1063" s="34">
        <v>194</v>
      </c>
      <c r="G1063" s="34" t="s">
        <v>132</v>
      </c>
      <c r="H1063" s="36">
        <v>16791</v>
      </c>
      <c r="I1063" s="58">
        <v>173940</v>
      </c>
      <c r="J1063">
        <f>IFERROR(VLOOKUP(G1063,'LEAID Match'!$A$2:$B$526,2,FALSE),"")</f>
        <v>2932250</v>
      </c>
      <c r="K1063" s="68">
        <f t="shared" si="33"/>
        <v>8</v>
      </c>
    </row>
    <row r="1064" spans="1:11" x14ac:dyDescent="0.2">
      <c r="A1064">
        <f t="shared" si="32"/>
        <v>2932250</v>
      </c>
      <c r="B1064">
        <v>2021</v>
      </c>
      <c r="C1064" t="s">
        <v>739</v>
      </c>
      <c r="D1064" t="s">
        <v>740</v>
      </c>
      <c r="E1064" t="s">
        <v>743</v>
      </c>
      <c r="F1064" s="34">
        <v>194</v>
      </c>
      <c r="G1064" s="34" t="s">
        <v>132</v>
      </c>
      <c r="H1064" s="36">
        <v>16393</v>
      </c>
      <c r="I1064" s="58">
        <v>171139</v>
      </c>
      <c r="J1064">
        <f>IFERROR(VLOOKUP(G1064,'LEAID Match'!$A$2:$B$526,2,FALSE),"")</f>
        <v>2932250</v>
      </c>
      <c r="K1064" s="68">
        <f t="shared" si="33"/>
        <v>8</v>
      </c>
    </row>
    <row r="1065" spans="1:11" x14ac:dyDescent="0.2">
      <c r="A1065">
        <f t="shared" si="32"/>
        <v>2932250</v>
      </c>
      <c r="B1065">
        <v>2022</v>
      </c>
      <c r="C1065" t="s">
        <v>739</v>
      </c>
      <c r="D1065" t="s">
        <v>740</v>
      </c>
      <c r="E1065" t="s">
        <v>743</v>
      </c>
      <c r="F1065" s="34">
        <v>194</v>
      </c>
      <c r="G1065" s="34" t="s">
        <v>132</v>
      </c>
      <c r="H1065" s="36">
        <v>18074</v>
      </c>
      <c r="I1065" s="58">
        <v>168661</v>
      </c>
      <c r="J1065">
        <f>IFERROR(VLOOKUP(G1065,'LEAID Match'!$A$2:$B$526,2,FALSE),"")</f>
        <v>2932250</v>
      </c>
      <c r="K1065" s="68">
        <f t="shared" si="33"/>
        <v>8</v>
      </c>
    </row>
    <row r="1066" spans="1:11" x14ac:dyDescent="0.2">
      <c r="A1066">
        <f t="shared" si="32"/>
        <v>2930390</v>
      </c>
      <c r="B1066">
        <v>2015</v>
      </c>
      <c r="C1066" t="s">
        <v>739</v>
      </c>
      <c r="D1066" t="s">
        <v>740</v>
      </c>
      <c r="E1066" t="s">
        <v>743</v>
      </c>
      <c r="F1066" s="37">
        <v>195</v>
      </c>
      <c r="G1066" s="39" t="s">
        <v>133</v>
      </c>
      <c r="H1066" s="40">
        <v>22461</v>
      </c>
      <c r="I1066" s="58">
        <v>134901</v>
      </c>
      <c r="J1066">
        <f>IFERROR(VLOOKUP(G1066,'LEAID Match'!$A$2:$B$526,2,FALSE),"")</f>
        <v>2930390</v>
      </c>
      <c r="K1066" s="68">
        <f t="shared" si="33"/>
        <v>8</v>
      </c>
    </row>
    <row r="1067" spans="1:11" x14ac:dyDescent="0.2">
      <c r="A1067">
        <f t="shared" si="32"/>
        <v>2930390</v>
      </c>
      <c r="B1067">
        <v>2016</v>
      </c>
      <c r="C1067" t="s">
        <v>739</v>
      </c>
      <c r="D1067" t="s">
        <v>740</v>
      </c>
      <c r="E1067" t="s">
        <v>743</v>
      </c>
      <c r="F1067" s="34">
        <v>195</v>
      </c>
      <c r="G1067" s="34" t="s">
        <v>133</v>
      </c>
      <c r="H1067" s="36">
        <v>20951</v>
      </c>
      <c r="I1067" s="60">
        <v>149299</v>
      </c>
      <c r="J1067">
        <f>IFERROR(VLOOKUP(G1067,'LEAID Match'!$A$2:$B$526,2,FALSE),"")</f>
        <v>2930390</v>
      </c>
      <c r="K1067" s="68">
        <f t="shared" si="33"/>
        <v>8</v>
      </c>
    </row>
    <row r="1068" spans="1:11" x14ac:dyDescent="0.2">
      <c r="A1068">
        <f t="shared" si="32"/>
        <v>2930390</v>
      </c>
      <c r="B1068">
        <v>2017</v>
      </c>
      <c r="C1068" t="s">
        <v>739</v>
      </c>
      <c r="D1068" t="s">
        <v>740</v>
      </c>
      <c r="E1068" t="s">
        <v>743</v>
      </c>
      <c r="F1068" s="34">
        <v>195</v>
      </c>
      <c r="G1068" s="34" t="s">
        <v>133</v>
      </c>
      <c r="H1068" s="36">
        <v>26355</v>
      </c>
      <c r="I1068" s="58">
        <v>165793</v>
      </c>
      <c r="J1068">
        <f>IFERROR(VLOOKUP(G1068,'LEAID Match'!$A$2:$B$526,2,FALSE),"")</f>
        <v>2930390</v>
      </c>
      <c r="K1068" s="68">
        <f t="shared" si="33"/>
        <v>8</v>
      </c>
    </row>
    <row r="1069" spans="1:11" x14ac:dyDescent="0.2">
      <c r="A1069">
        <f t="shared" si="32"/>
        <v>2930390</v>
      </c>
      <c r="B1069">
        <v>2018</v>
      </c>
      <c r="C1069" t="s">
        <v>739</v>
      </c>
      <c r="D1069" t="s">
        <v>740</v>
      </c>
      <c r="E1069" t="s">
        <v>743</v>
      </c>
      <c r="F1069" s="34">
        <v>195</v>
      </c>
      <c r="G1069" s="34" t="s">
        <v>133</v>
      </c>
      <c r="H1069" s="36">
        <v>27006</v>
      </c>
      <c r="I1069" s="58">
        <v>162726</v>
      </c>
      <c r="J1069">
        <f>IFERROR(VLOOKUP(G1069,'LEAID Match'!$A$2:$B$526,2,FALSE),"")</f>
        <v>2930390</v>
      </c>
      <c r="K1069" s="68">
        <f t="shared" si="33"/>
        <v>8</v>
      </c>
    </row>
    <row r="1070" spans="1:11" x14ac:dyDescent="0.2">
      <c r="A1070">
        <f t="shared" si="32"/>
        <v>2930390</v>
      </c>
      <c r="B1070">
        <v>2019</v>
      </c>
      <c r="C1070" t="s">
        <v>739</v>
      </c>
      <c r="D1070" t="s">
        <v>740</v>
      </c>
      <c r="E1070" t="s">
        <v>743</v>
      </c>
      <c r="F1070" s="34">
        <v>195</v>
      </c>
      <c r="G1070" s="34" t="s">
        <v>133</v>
      </c>
      <c r="H1070" s="36">
        <v>32799</v>
      </c>
      <c r="I1070" s="58">
        <v>165535</v>
      </c>
      <c r="J1070">
        <f>IFERROR(VLOOKUP(G1070,'LEAID Match'!$A$2:$B$526,2,FALSE),"")</f>
        <v>2930390</v>
      </c>
      <c r="K1070" s="68">
        <f t="shared" si="33"/>
        <v>8</v>
      </c>
    </row>
    <row r="1071" spans="1:11" x14ac:dyDescent="0.2">
      <c r="A1071">
        <f t="shared" si="32"/>
        <v>2930390</v>
      </c>
      <c r="B1071">
        <v>2020</v>
      </c>
      <c r="C1071" t="s">
        <v>739</v>
      </c>
      <c r="D1071" t="s">
        <v>740</v>
      </c>
      <c r="E1071" t="s">
        <v>743</v>
      </c>
      <c r="F1071" s="34">
        <v>195</v>
      </c>
      <c r="G1071" s="34" t="s">
        <v>133</v>
      </c>
      <c r="H1071" s="36">
        <v>38468</v>
      </c>
      <c r="I1071" s="58">
        <v>169375</v>
      </c>
      <c r="J1071">
        <f>IFERROR(VLOOKUP(G1071,'LEAID Match'!$A$2:$B$526,2,FALSE),"")</f>
        <v>2930390</v>
      </c>
      <c r="K1071" s="68">
        <f t="shared" si="33"/>
        <v>8</v>
      </c>
    </row>
    <row r="1072" spans="1:11" x14ac:dyDescent="0.2">
      <c r="A1072">
        <f t="shared" si="32"/>
        <v>2930390</v>
      </c>
      <c r="B1072">
        <v>2021</v>
      </c>
      <c r="C1072" t="s">
        <v>739</v>
      </c>
      <c r="D1072" t="s">
        <v>740</v>
      </c>
      <c r="E1072" t="s">
        <v>743</v>
      </c>
      <c r="F1072" s="34">
        <v>195</v>
      </c>
      <c r="G1072" s="34" t="s">
        <v>133</v>
      </c>
      <c r="H1072" s="36">
        <v>42283</v>
      </c>
      <c r="I1072" s="58">
        <v>174962</v>
      </c>
      <c r="J1072">
        <f>IFERROR(VLOOKUP(G1072,'LEAID Match'!$A$2:$B$526,2,FALSE),"")</f>
        <v>2930390</v>
      </c>
      <c r="K1072" s="68">
        <f t="shared" si="33"/>
        <v>8</v>
      </c>
    </row>
    <row r="1073" spans="1:11" x14ac:dyDescent="0.2">
      <c r="A1073">
        <f t="shared" si="32"/>
        <v>2930390</v>
      </c>
      <c r="B1073">
        <v>2022</v>
      </c>
      <c r="C1073" t="s">
        <v>739</v>
      </c>
      <c r="D1073" t="s">
        <v>740</v>
      </c>
      <c r="E1073" t="s">
        <v>743</v>
      </c>
      <c r="F1073" s="34">
        <v>195</v>
      </c>
      <c r="G1073" s="34" t="s">
        <v>133</v>
      </c>
      <c r="H1073" s="36">
        <v>56605</v>
      </c>
      <c r="I1073" s="58">
        <v>165107</v>
      </c>
      <c r="J1073">
        <f>IFERROR(VLOOKUP(G1073,'LEAID Match'!$A$2:$B$526,2,FALSE),"")</f>
        <v>2930390</v>
      </c>
      <c r="K1073" s="68">
        <f t="shared" si="33"/>
        <v>8</v>
      </c>
    </row>
    <row r="1074" spans="1:11" x14ac:dyDescent="0.2">
      <c r="A1074">
        <f t="shared" si="32"/>
        <v>2923250</v>
      </c>
      <c r="B1074">
        <v>2015</v>
      </c>
      <c r="C1074" t="s">
        <v>739</v>
      </c>
      <c r="D1074" t="s">
        <v>740</v>
      </c>
      <c r="E1074" t="s">
        <v>743</v>
      </c>
      <c r="F1074" s="37">
        <v>196</v>
      </c>
      <c r="G1074" s="39" t="s">
        <v>134</v>
      </c>
      <c r="H1074" s="40">
        <v>7446</v>
      </c>
      <c r="I1074" s="58">
        <v>128242</v>
      </c>
      <c r="J1074">
        <f>IFERROR(VLOOKUP(G1074,'LEAID Match'!$A$2:$B$526,2,FALSE),"")</f>
        <v>2923250</v>
      </c>
      <c r="K1074" s="68">
        <f t="shared" si="33"/>
        <v>8</v>
      </c>
    </row>
    <row r="1075" spans="1:11" x14ac:dyDescent="0.2">
      <c r="A1075">
        <f t="shared" si="32"/>
        <v>2923250</v>
      </c>
      <c r="B1075">
        <v>2016</v>
      </c>
      <c r="C1075" t="s">
        <v>739</v>
      </c>
      <c r="D1075" t="s">
        <v>740</v>
      </c>
      <c r="E1075" t="s">
        <v>743</v>
      </c>
      <c r="F1075" s="34">
        <v>196</v>
      </c>
      <c r="G1075" s="34" t="s">
        <v>134</v>
      </c>
      <c r="H1075" s="36">
        <v>7797</v>
      </c>
      <c r="I1075" s="60">
        <v>131046</v>
      </c>
      <c r="J1075">
        <f>IFERROR(VLOOKUP(G1075,'LEAID Match'!$A$2:$B$526,2,FALSE),"")</f>
        <v>2923250</v>
      </c>
      <c r="K1075" s="68">
        <f t="shared" si="33"/>
        <v>8</v>
      </c>
    </row>
    <row r="1076" spans="1:11" x14ac:dyDescent="0.2">
      <c r="A1076">
        <f t="shared" si="32"/>
        <v>2923250</v>
      </c>
      <c r="B1076">
        <v>2017</v>
      </c>
      <c r="C1076" t="s">
        <v>739</v>
      </c>
      <c r="D1076" t="s">
        <v>740</v>
      </c>
      <c r="E1076" t="s">
        <v>743</v>
      </c>
      <c r="F1076" s="34">
        <v>196</v>
      </c>
      <c r="G1076" s="34" t="s">
        <v>134</v>
      </c>
      <c r="H1076" s="36">
        <v>7714</v>
      </c>
      <c r="I1076" s="58">
        <v>132602</v>
      </c>
      <c r="J1076">
        <f>IFERROR(VLOOKUP(G1076,'LEAID Match'!$A$2:$B$526,2,FALSE),"")</f>
        <v>2923250</v>
      </c>
      <c r="K1076" s="68">
        <f t="shared" si="33"/>
        <v>8</v>
      </c>
    </row>
    <row r="1077" spans="1:11" x14ac:dyDescent="0.2">
      <c r="A1077">
        <f t="shared" si="32"/>
        <v>2923250</v>
      </c>
      <c r="B1077">
        <v>2018</v>
      </c>
      <c r="C1077" t="s">
        <v>739</v>
      </c>
      <c r="D1077" t="s">
        <v>740</v>
      </c>
      <c r="E1077" t="s">
        <v>743</v>
      </c>
      <c r="F1077" s="34">
        <v>196</v>
      </c>
      <c r="G1077" s="34" t="s">
        <v>134</v>
      </c>
      <c r="H1077" s="36">
        <v>7946</v>
      </c>
      <c r="I1077" s="58">
        <v>139333</v>
      </c>
      <c r="J1077">
        <f>IFERROR(VLOOKUP(G1077,'LEAID Match'!$A$2:$B$526,2,FALSE),"")</f>
        <v>2923250</v>
      </c>
      <c r="K1077" s="68">
        <f t="shared" si="33"/>
        <v>8</v>
      </c>
    </row>
    <row r="1078" spans="1:11" x14ac:dyDescent="0.2">
      <c r="A1078">
        <f t="shared" si="32"/>
        <v>2923250</v>
      </c>
      <c r="B1078">
        <v>2019</v>
      </c>
      <c r="C1078" t="s">
        <v>739</v>
      </c>
      <c r="D1078" t="s">
        <v>740</v>
      </c>
      <c r="E1078" t="s">
        <v>743</v>
      </c>
      <c r="F1078" s="34">
        <v>196</v>
      </c>
      <c r="G1078" s="34" t="s">
        <v>134</v>
      </c>
      <c r="H1078" s="36">
        <v>13975</v>
      </c>
      <c r="I1078" s="58">
        <v>145192</v>
      </c>
      <c r="J1078">
        <f>IFERROR(VLOOKUP(G1078,'LEAID Match'!$A$2:$B$526,2,FALSE),"")</f>
        <v>2923250</v>
      </c>
      <c r="K1078" s="68">
        <f t="shared" si="33"/>
        <v>8</v>
      </c>
    </row>
    <row r="1079" spans="1:11" x14ac:dyDescent="0.2">
      <c r="A1079">
        <f t="shared" si="32"/>
        <v>2923250</v>
      </c>
      <c r="B1079">
        <v>2020</v>
      </c>
      <c r="C1079" t="s">
        <v>739</v>
      </c>
      <c r="D1079" t="s">
        <v>740</v>
      </c>
      <c r="E1079" t="s">
        <v>743</v>
      </c>
      <c r="F1079" s="34">
        <v>196</v>
      </c>
      <c r="G1079" s="34" t="s">
        <v>134</v>
      </c>
      <c r="H1079" s="36">
        <v>12948</v>
      </c>
      <c r="I1079" s="58">
        <v>145621</v>
      </c>
      <c r="J1079">
        <f>IFERROR(VLOOKUP(G1079,'LEAID Match'!$A$2:$B$526,2,FALSE),"")</f>
        <v>2923250</v>
      </c>
      <c r="K1079" s="68">
        <f t="shared" si="33"/>
        <v>8</v>
      </c>
    </row>
    <row r="1080" spans="1:11" x14ac:dyDescent="0.2">
      <c r="A1080">
        <f t="shared" si="32"/>
        <v>2923250</v>
      </c>
      <c r="B1080">
        <v>2021</v>
      </c>
      <c r="C1080" t="s">
        <v>739</v>
      </c>
      <c r="D1080" t="s">
        <v>740</v>
      </c>
      <c r="E1080" t="s">
        <v>743</v>
      </c>
      <c r="F1080" s="34">
        <v>196</v>
      </c>
      <c r="G1080" s="34" t="s">
        <v>134</v>
      </c>
      <c r="H1080" s="36">
        <v>15036</v>
      </c>
      <c r="I1080" s="58">
        <v>146590</v>
      </c>
      <c r="J1080">
        <f>IFERROR(VLOOKUP(G1080,'LEAID Match'!$A$2:$B$526,2,FALSE),"")</f>
        <v>2923250</v>
      </c>
      <c r="K1080" s="68">
        <f t="shared" si="33"/>
        <v>8</v>
      </c>
    </row>
    <row r="1081" spans="1:11" x14ac:dyDescent="0.2">
      <c r="A1081">
        <f t="shared" si="32"/>
        <v>2923250</v>
      </c>
      <c r="B1081">
        <v>2022</v>
      </c>
      <c r="C1081" t="s">
        <v>739</v>
      </c>
      <c r="D1081" t="s">
        <v>740</v>
      </c>
      <c r="E1081" t="s">
        <v>743</v>
      </c>
      <c r="F1081" s="34">
        <v>196</v>
      </c>
      <c r="G1081" s="34" t="s">
        <v>134</v>
      </c>
      <c r="H1081" s="36">
        <v>19588</v>
      </c>
      <c r="I1081" s="58">
        <v>133470</v>
      </c>
      <c r="J1081">
        <f>IFERROR(VLOOKUP(G1081,'LEAID Match'!$A$2:$B$526,2,FALSE),"")</f>
        <v>2923250</v>
      </c>
      <c r="K1081" s="68">
        <f t="shared" si="33"/>
        <v>8</v>
      </c>
    </row>
    <row r="1082" spans="1:11" x14ac:dyDescent="0.2">
      <c r="A1082">
        <f t="shared" si="32"/>
        <v>2920550</v>
      </c>
      <c r="B1082">
        <v>2015</v>
      </c>
      <c r="C1082" t="s">
        <v>739</v>
      </c>
      <c r="D1082" t="s">
        <v>740</v>
      </c>
      <c r="E1082" t="s">
        <v>743</v>
      </c>
      <c r="F1082" s="37">
        <v>197</v>
      </c>
      <c r="G1082" s="39" t="s">
        <v>135</v>
      </c>
      <c r="H1082" s="40">
        <v>34419</v>
      </c>
      <c r="I1082" s="58">
        <v>368497</v>
      </c>
      <c r="J1082">
        <f>IFERROR(VLOOKUP(G1082,'LEAID Match'!$A$2:$B$526,2,FALSE),"")</f>
        <v>2920550</v>
      </c>
      <c r="K1082" s="68">
        <f t="shared" si="33"/>
        <v>8</v>
      </c>
    </row>
    <row r="1083" spans="1:11" x14ac:dyDescent="0.2">
      <c r="A1083">
        <f t="shared" si="32"/>
        <v>2920550</v>
      </c>
      <c r="B1083">
        <v>2016</v>
      </c>
      <c r="C1083" t="s">
        <v>739</v>
      </c>
      <c r="D1083" t="s">
        <v>740</v>
      </c>
      <c r="E1083" t="s">
        <v>743</v>
      </c>
      <c r="F1083" s="34">
        <v>197</v>
      </c>
      <c r="G1083" s="34" t="s">
        <v>135</v>
      </c>
      <c r="H1083" s="36">
        <v>36757</v>
      </c>
      <c r="I1083" s="60">
        <v>387222</v>
      </c>
      <c r="J1083">
        <f>IFERROR(VLOOKUP(G1083,'LEAID Match'!$A$2:$B$526,2,FALSE),"")</f>
        <v>2920550</v>
      </c>
      <c r="K1083" s="68">
        <f t="shared" si="33"/>
        <v>8</v>
      </c>
    </row>
    <row r="1084" spans="1:11" x14ac:dyDescent="0.2">
      <c r="A1084">
        <f t="shared" si="32"/>
        <v>2920550</v>
      </c>
      <c r="B1084">
        <v>2017</v>
      </c>
      <c r="C1084" t="s">
        <v>739</v>
      </c>
      <c r="D1084" t="s">
        <v>740</v>
      </c>
      <c r="E1084" t="s">
        <v>743</v>
      </c>
      <c r="F1084" s="34">
        <v>197</v>
      </c>
      <c r="G1084" s="34" t="s">
        <v>135</v>
      </c>
      <c r="H1084" s="36">
        <v>34873</v>
      </c>
      <c r="I1084" s="58">
        <v>388244</v>
      </c>
      <c r="J1084">
        <f>IFERROR(VLOOKUP(G1084,'LEAID Match'!$A$2:$B$526,2,FALSE),"")</f>
        <v>2920550</v>
      </c>
      <c r="K1084" s="68">
        <f t="shared" si="33"/>
        <v>8</v>
      </c>
    </row>
    <row r="1085" spans="1:11" x14ac:dyDescent="0.2">
      <c r="A1085">
        <f t="shared" si="32"/>
        <v>2920550</v>
      </c>
      <c r="B1085">
        <v>2018</v>
      </c>
      <c r="C1085" t="s">
        <v>739</v>
      </c>
      <c r="D1085" t="s">
        <v>740</v>
      </c>
      <c r="E1085" t="s">
        <v>743</v>
      </c>
      <c r="F1085" s="34">
        <v>197</v>
      </c>
      <c r="G1085" s="34" t="s">
        <v>135</v>
      </c>
      <c r="H1085" s="36">
        <v>36220</v>
      </c>
      <c r="I1085" s="58">
        <v>396894</v>
      </c>
      <c r="J1085">
        <f>IFERROR(VLOOKUP(G1085,'LEAID Match'!$A$2:$B$526,2,FALSE),"")</f>
        <v>2920550</v>
      </c>
      <c r="K1085" s="68">
        <f t="shared" si="33"/>
        <v>8</v>
      </c>
    </row>
    <row r="1086" spans="1:11" x14ac:dyDescent="0.2">
      <c r="A1086">
        <f t="shared" si="32"/>
        <v>2920550</v>
      </c>
      <c r="B1086">
        <v>2019</v>
      </c>
      <c r="C1086" t="s">
        <v>739</v>
      </c>
      <c r="D1086" t="s">
        <v>740</v>
      </c>
      <c r="E1086" t="s">
        <v>743</v>
      </c>
      <c r="F1086" s="34">
        <v>197</v>
      </c>
      <c r="G1086" s="34" t="s">
        <v>135</v>
      </c>
      <c r="H1086" s="36">
        <v>37432</v>
      </c>
      <c r="I1086" s="58">
        <v>415650</v>
      </c>
      <c r="J1086">
        <f>IFERROR(VLOOKUP(G1086,'LEAID Match'!$A$2:$B$526,2,FALSE),"")</f>
        <v>2920550</v>
      </c>
      <c r="K1086" s="68">
        <f t="shared" si="33"/>
        <v>8</v>
      </c>
    </row>
    <row r="1087" spans="1:11" x14ac:dyDescent="0.2">
      <c r="A1087">
        <f t="shared" si="32"/>
        <v>2920550</v>
      </c>
      <c r="B1087">
        <v>2020</v>
      </c>
      <c r="C1087" t="s">
        <v>739</v>
      </c>
      <c r="D1087" t="s">
        <v>740</v>
      </c>
      <c r="E1087" t="s">
        <v>743</v>
      </c>
      <c r="F1087" s="34">
        <v>197</v>
      </c>
      <c r="G1087" s="34" t="s">
        <v>135</v>
      </c>
      <c r="H1087" s="36">
        <v>38408</v>
      </c>
      <c r="I1087" s="58">
        <v>417767</v>
      </c>
      <c r="J1087">
        <f>IFERROR(VLOOKUP(G1087,'LEAID Match'!$A$2:$B$526,2,FALSE),"")</f>
        <v>2920550</v>
      </c>
      <c r="K1087" s="68">
        <f t="shared" si="33"/>
        <v>8</v>
      </c>
    </row>
    <row r="1088" spans="1:11" x14ac:dyDescent="0.2">
      <c r="A1088">
        <f t="shared" si="32"/>
        <v>2920550</v>
      </c>
      <c r="B1088">
        <v>2021</v>
      </c>
      <c r="C1088" t="s">
        <v>739</v>
      </c>
      <c r="D1088" t="s">
        <v>740</v>
      </c>
      <c r="E1088" t="s">
        <v>743</v>
      </c>
      <c r="F1088" s="34">
        <v>197</v>
      </c>
      <c r="G1088" s="34" t="s">
        <v>135</v>
      </c>
      <c r="H1088" s="36">
        <v>40375</v>
      </c>
      <c r="I1088" s="58">
        <v>405860</v>
      </c>
      <c r="J1088">
        <f>IFERROR(VLOOKUP(G1088,'LEAID Match'!$A$2:$B$526,2,FALSE),"")</f>
        <v>2920550</v>
      </c>
      <c r="K1088" s="68">
        <f t="shared" si="33"/>
        <v>8</v>
      </c>
    </row>
    <row r="1089" spans="1:11" x14ac:dyDescent="0.2">
      <c r="A1089">
        <f t="shared" si="32"/>
        <v>2920550</v>
      </c>
      <c r="B1089">
        <v>2022</v>
      </c>
      <c r="C1089" t="s">
        <v>739</v>
      </c>
      <c r="D1089" t="s">
        <v>740</v>
      </c>
      <c r="E1089" t="s">
        <v>743</v>
      </c>
      <c r="F1089" s="34">
        <v>197</v>
      </c>
      <c r="G1089" s="34" t="s">
        <v>135</v>
      </c>
      <c r="H1089" s="36">
        <v>41524</v>
      </c>
      <c r="I1089" s="58">
        <v>411696</v>
      </c>
      <c r="J1089">
        <f>IFERROR(VLOOKUP(G1089,'LEAID Match'!$A$2:$B$526,2,FALSE),"")</f>
        <v>2920550</v>
      </c>
      <c r="K1089" s="68">
        <f t="shared" si="33"/>
        <v>8</v>
      </c>
    </row>
    <row r="1090" spans="1:11" x14ac:dyDescent="0.2">
      <c r="A1090">
        <f t="shared" si="32"/>
        <v>2930600</v>
      </c>
      <c r="B1090">
        <v>2015</v>
      </c>
      <c r="C1090" t="s">
        <v>739</v>
      </c>
      <c r="D1090" t="s">
        <v>740</v>
      </c>
      <c r="E1090" t="s">
        <v>743</v>
      </c>
      <c r="F1090" s="37">
        <v>198</v>
      </c>
      <c r="G1090" s="39" t="s">
        <v>136</v>
      </c>
      <c r="H1090" s="40">
        <v>14681</v>
      </c>
      <c r="I1090" s="58">
        <v>132634</v>
      </c>
      <c r="J1090">
        <f>IFERROR(VLOOKUP(G1090,'LEAID Match'!$A$2:$B$526,2,FALSE),"")</f>
        <v>2930600</v>
      </c>
      <c r="K1090" s="68">
        <f t="shared" si="33"/>
        <v>8</v>
      </c>
    </row>
    <row r="1091" spans="1:11" x14ac:dyDescent="0.2">
      <c r="A1091">
        <f t="shared" ref="A1091:A1154" si="34">J1091</f>
        <v>2930600</v>
      </c>
      <c r="B1091">
        <v>2016</v>
      </c>
      <c r="C1091" t="s">
        <v>739</v>
      </c>
      <c r="D1091" t="s">
        <v>740</v>
      </c>
      <c r="E1091" t="s">
        <v>743</v>
      </c>
      <c r="F1091" s="34">
        <v>198</v>
      </c>
      <c r="G1091" s="34" t="s">
        <v>136</v>
      </c>
      <c r="H1091" s="36">
        <v>17559</v>
      </c>
      <c r="I1091" s="60">
        <v>135855</v>
      </c>
      <c r="J1091">
        <f>IFERROR(VLOOKUP(G1091,'LEAID Match'!$A$2:$B$526,2,FALSE),"")</f>
        <v>2930600</v>
      </c>
      <c r="K1091" s="68">
        <f t="shared" ref="K1091:K1154" si="35">COUNTIF($J$2:$J$4295,J1091)</f>
        <v>8</v>
      </c>
    </row>
    <row r="1092" spans="1:11" x14ac:dyDescent="0.2">
      <c r="A1092">
        <f t="shared" si="34"/>
        <v>2930600</v>
      </c>
      <c r="B1092">
        <v>2017</v>
      </c>
      <c r="C1092" t="s">
        <v>739</v>
      </c>
      <c r="D1092" t="s">
        <v>740</v>
      </c>
      <c r="E1092" t="s">
        <v>743</v>
      </c>
      <c r="F1092" s="34">
        <v>198</v>
      </c>
      <c r="G1092" s="34" t="s">
        <v>136</v>
      </c>
      <c r="H1092" s="36">
        <v>16594</v>
      </c>
      <c r="I1092" s="58">
        <v>140541</v>
      </c>
      <c r="J1092">
        <f>IFERROR(VLOOKUP(G1092,'LEAID Match'!$A$2:$B$526,2,FALSE),"")</f>
        <v>2930600</v>
      </c>
      <c r="K1092" s="68">
        <f t="shared" si="35"/>
        <v>8</v>
      </c>
    </row>
    <row r="1093" spans="1:11" x14ac:dyDescent="0.2">
      <c r="A1093">
        <f t="shared" si="34"/>
        <v>2930600</v>
      </c>
      <c r="B1093">
        <v>2018</v>
      </c>
      <c r="C1093" t="s">
        <v>739</v>
      </c>
      <c r="D1093" t="s">
        <v>740</v>
      </c>
      <c r="E1093" t="s">
        <v>743</v>
      </c>
      <c r="F1093" s="34">
        <v>198</v>
      </c>
      <c r="G1093" s="34" t="s">
        <v>136</v>
      </c>
      <c r="H1093" s="36">
        <v>19798</v>
      </c>
      <c r="I1093" s="58">
        <v>144960</v>
      </c>
      <c r="J1093">
        <f>IFERROR(VLOOKUP(G1093,'LEAID Match'!$A$2:$B$526,2,FALSE),"")</f>
        <v>2930600</v>
      </c>
      <c r="K1093" s="68">
        <f t="shared" si="35"/>
        <v>8</v>
      </c>
    </row>
    <row r="1094" spans="1:11" x14ac:dyDescent="0.2">
      <c r="A1094">
        <f t="shared" si="34"/>
        <v>2930600</v>
      </c>
      <c r="B1094">
        <v>2019</v>
      </c>
      <c r="C1094" t="s">
        <v>739</v>
      </c>
      <c r="D1094" t="s">
        <v>740</v>
      </c>
      <c r="E1094" t="s">
        <v>743</v>
      </c>
      <c r="F1094" s="34">
        <v>198</v>
      </c>
      <c r="G1094" s="34" t="s">
        <v>136</v>
      </c>
      <c r="H1094" s="36">
        <v>19852</v>
      </c>
      <c r="I1094" s="58">
        <v>145099</v>
      </c>
      <c r="J1094">
        <f>IFERROR(VLOOKUP(G1094,'LEAID Match'!$A$2:$B$526,2,FALSE),"")</f>
        <v>2930600</v>
      </c>
      <c r="K1094" s="68">
        <f t="shared" si="35"/>
        <v>8</v>
      </c>
    </row>
    <row r="1095" spans="1:11" x14ac:dyDescent="0.2">
      <c r="A1095">
        <f t="shared" si="34"/>
        <v>2930600</v>
      </c>
      <c r="B1095">
        <v>2020</v>
      </c>
      <c r="C1095" t="s">
        <v>739</v>
      </c>
      <c r="D1095" t="s">
        <v>740</v>
      </c>
      <c r="E1095" t="s">
        <v>743</v>
      </c>
      <c r="F1095" s="34">
        <v>198</v>
      </c>
      <c r="G1095" s="34" t="s">
        <v>136</v>
      </c>
      <c r="H1095" s="36">
        <v>20356</v>
      </c>
      <c r="I1095" s="58">
        <v>157152</v>
      </c>
      <c r="J1095">
        <f>IFERROR(VLOOKUP(G1095,'LEAID Match'!$A$2:$B$526,2,FALSE),"")</f>
        <v>2930600</v>
      </c>
      <c r="K1095" s="68">
        <f t="shared" si="35"/>
        <v>8</v>
      </c>
    </row>
    <row r="1096" spans="1:11" x14ac:dyDescent="0.2">
      <c r="A1096">
        <f t="shared" si="34"/>
        <v>2930600</v>
      </c>
      <c r="B1096">
        <v>2021</v>
      </c>
      <c r="C1096" t="s">
        <v>739</v>
      </c>
      <c r="D1096" t="s">
        <v>740</v>
      </c>
      <c r="E1096" t="s">
        <v>743</v>
      </c>
      <c r="F1096" s="34">
        <v>198</v>
      </c>
      <c r="G1096" s="34" t="s">
        <v>136</v>
      </c>
      <c r="H1096" s="36">
        <v>22354</v>
      </c>
      <c r="I1096" s="58">
        <v>162335</v>
      </c>
      <c r="J1096">
        <f>IFERROR(VLOOKUP(G1096,'LEAID Match'!$A$2:$B$526,2,FALSE),"")</f>
        <v>2930600</v>
      </c>
      <c r="K1096" s="68">
        <f t="shared" si="35"/>
        <v>8</v>
      </c>
    </row>
    <row r="1097" spans="1:11" x14ac:dyDescent="0.2">
      <c r="A1097">
        <f t="shared" si="34"/>
        <v>2930600</v>
      </c>
      <c r="B1097">
        <v>2022</v>
      </c>
      <c r="C1097" t="s">
        <v>739</v>
      </c>
      <c r="D1097" t="s">
        <v>740</v>
      </c>
      <c r="E1097" t="s">
        <v>743</v>
      </c>
      <c r="F1097" s="34">
        <v>198</v>
      </c>
      <c r="G1097" s="34" t="s">
        <v>136</v>
      </c>
      <c r="H1097" s="36">
        <v>23544</v>
      </c>
      <c r="I1097" s="58">
        <v>173566</v>
      </c>
      <c r="J1097">
        <f>IFERROR(VLOOKUP(G1097,'LEAID Match'!$A$2:$B$526,2,FALSE),"")</f>
        <v>2930600</v>
      </c>
      <c r="K1097" s="68">
        <f t="shared" si="35"/>
        <v>8</v>
      </c>
    </row>
    <row r="1098" spans="1:11" x14ac:dyDescent="0.2">
      <c r="A1098">
        <f t="shared" si="34"/>
        <v>2929490</v>
      </c>
      <c r="B1098">
        <v>2015</v>
      </c>
      <c r="C1098" t="s">
        <v>739</v>
      </c>
      <c r="D1098" t="s">
        <v>740</v>
      </c>
      <c r="E1098" t="s">
        <v>743</v>
      </c>
      <c r="F1098" s="37">
        <v>200</v>
      </c>
      <c r="G1098" s="39" t="s">
        <v>137</v>
      </c>
      <c r="H1098" s="40">
        <v>14600</v>
      </c>
      <c r="I1098" s="58">
        <v>156003</v>
      </c>
      <c r="J1098">
        <f>IFERROR(VLOOKUP(G1098,'LEAID Match'!$A$2:$B$526,2,FALSE),"")</f>
        <v>2929490</v>
      </c>
      <c r="K1098" s="68">
        <f t="shared" si="35"/>
        <v>8</v>
      </c>
    </row>
    <row r="1099" spans="1:11" x14ac:dyDescent="0.2">
      <c r="A1099">
        <f t="shared" si="34"/>
        <v>2929490</v>
      </c>
      <c r="B1099">
        <v>2016</v>
      </c>
      <c r="C1099" t="s">
        <v>739</v>
      </c>
      <c r="D1099" t="s">
        <v>740</v>
      </c>
      <c r="E1099" t="s">
        <v>743</v>
      </c>
      <c r="F1099" s="34">
        <v>200</v>
      </c>
      <c r="G1099" s="34" t="s">
        <v>137</v>
      </c>
      <c r="H1099" s="36">
        <v>14459</v>
      </c>
      <c r="I1099" s="60">
        <v>159918</v>
      </c>
      <c r="J1099">
        <f>IFERROR(VLOOKUP(G1099,'LEAID Match'!$A$2:$B$526,2,FALSE),"")</f>
        <v>2929490</v>
      </c>
      <c r="K1099" s="68">
        <f t="shared" si="35"/>
        <v>8</v>
      </c>
    </row>
    <row r="1100" spans="1:11" x14ac:dyDescent="0.2">
      <c r="A1100">
        <f t="shared" si="34"/>
        <v>2929490</v>
      </c>
      <c r="B1100">
        <v>2017</v>
      </c>
      <c r="C1100" t="s">
        <v>739</v>
      </c>
      <c r="D1100" t="s">
        <v>740</v>
      </c>
      <c r="E1100" t="s">
        <v>743</v>
      </c>
      <c r="F1100" s="34">
        <v>200</v>
      </c>
      <c r="G1100" s="34" t="s">
        <v>137</v>
      </c>
      <c r="H1100" s="36">
        <v>17608</v>
      </c>
      <c r="I1100" s="58">
        <v>163289</v>
      </c>
      <c r="J1100">
        <f>IFERROR(VLOOKUP(G1100,'LEAID Match'!$A$2:$B$526,2,FALSE),"")</f>
        <v>2929490</v>
      </c>
      <c r="K1100" s="68">
        <f t="shared" si="35"/>
        <v>8</v>
      </c>
    </row>
    <row r="1101" spans="1:11" x14ac:dyDescent="0.2">
      <c r="A1101">
        <f t="shared" si="34"/>
        <v>2929490</v>
      </c>
      <c r="B1101">
        <v>2018</v>
      </c>
      <c r="C1101" t="s">
        <v>739</v>
      </c>
      <c r="D1101" t="s">
        <v>740</v>
      </c>
      <c r="E1101" t="s">
        <v>743</v>
      </c>
      <c r="F1101" s="34">
        <v>200</v>
      </c>
      <c r="G1101" s="34" t="s">
        <v>137</v>
      </c>
      <c r="H1101" s="36">
        <v>17780</v>
      </c>
      <c r="I1101" s="58">
        <v>157042</v>
      </c>
      <c r="J1101">
        <f>IFERROR(VLOOKUP(G1101,'LEAID Match'!$A$2:$B$526,2,FALSE),"")</f>
        <v>2929490</v>
      </c>
      <c r="K1101" s="68">
        <f t="shared" si="35"/>
        <v>8</v>
      </c>
    </row>
    <row r="1102" spans="1:11" x14ac:dyDescent="0.2">
      <c r="A1102">
        <f t="shared" si="34"/>
        <v>2929490</v>
      </c>
      <c r="B1102">
        <v>2019</v>
      </c>
      <c r="C1102" t="s">
        <v>739</v>
      </c>
      <c r="D1102" t="s">
        <v>740</v>
      </c>
      <c r="E1102" t="s">
        <v>743</v>
      </c>
      <c r="F1102" s="34">
        <v>200</v>
      </c>
      <c r="G1102" s="34" t="s">
        <v>137</v>
      </c>
      <c r="H1102" s="36">
        <v>20373</v>
      </c>
      <c r="I1102" s="58">
        <v>165206</v>
      </c>
      <c r="J1102">
        <f>IFERROR(VLOOKUP(G1102,'LEAID Match'!$A$2:$B$526,2,FALSE),"")</f>
        <v>2929490</v>
      </c>
      <c r="K1102" s="68">
        <f t="shared" si="35"/>
        <v>8</v>
      </c>
    </row>
    <row r="1103" spans="1:11" x14ac:dyDescent="0.2">
      <c r="A1103">
        <f t="shared" si="34"/>
        <v>2929490</v>
      </c>
      <c r="B1103">
        <v>2020</v>
      </c>
      <c r="C1103" t="s">
        <v>739</v>
      </c>
      <c r="D1103" t="s">
        <v>740</v>
      </c>
      <c r="E1103" t="s">
        <v>743</v>
      </c>
      <c r="F1103" s="34">
        <v>200</v>
      </c>
      <c r="G1103" s="34" t="s">
        <v>137</v>
      </c>
      <c r="H1103" s="36">
        <v>20902</v>
      </c>
      <c r="I1103" s="58">
        <v>178710</v>
      </c>
      <c r="J1103">
        <f>IFERROR(VLOOKUP(G1103,'LEAID Match'!$A$2:$B$526,2,FALSE),"")</f>
        <v>2929490</v>
      </c>
      <c r="K1103" s="68">
        <f t="shared" si="35"/>
        <v>8</v>
      </c>
    </row>
    <row r="1104" spans="1:11" x14ac:dyDescent="0.2">
      <c r="A1104">
        <f t="shared" si="34"/>
        <v>2929490</v>
      </c>
      <c r="B1104">
        <v>2021</v>
      </c>
      <c r="C1104" t="s">
        <v>739</v>
      </c>
      <c r="D1104" t="s">
        <v>740</v>
      </c>
      <c r="E1104" t="s">
        <v>743</v>
      </c>
      <c r="F1104" s="34">
        <v>200</v>
      </c>
      <c r="G1104" s="34" t="s">
        <v>137</v>
      </c>
      <c r="H1104" s="36">
        <v>19344</v>
      </c>
      <c r="I1104" s="58">
        <v>175566</v>
      </c>
      <c r="J1104">
        <f>IFERROR(VLOOKUP(G1104,'LEAID Match'!$A$2:$B$526,2,FALSE),"")</f>
        <v>2929490</v>
      </c>
      <c r="K1104" s="68">
        <f t="shared" si="35"/>
        <v>8</v>
      </c>
    </row>
    <row r="1105" spans="1:11" x14ac:dyDescent="0.2">
      <c r="A1105">
        <f t="shared" si="34"/>
        <v>2929490</v>
      </c>
      <c r="B1105">
        <v>2022</v>
      </c>
      <c r="C1105" t="s">
        <v>739</v>
      </c>
      <c r="D1105" t="s">
        <v>740</v>
      </c>
      <c r="E1105" t="s">
        <v>743</v>
      </c>
      <c r="F1105" s="34">
        <v>200</v>
      </c>
      <c r="G1105" s="34" t="s">
        <v>137</v>
      </c>
      <c r="H1105" s="36">
        <v>22392</v>
      </c>
      <c r="I1105" s="58">
        <v>179550</v>
      </c>
      <c r="J1105">
        <f>IFERROR(VLOOKUP(G1105,'LEAID Match'!$A$2:$B$526,2,FALSE),"")</f>
        <v>2929490</v>
      </c>
      <c r="K1105" s="68">
        <f t="shared" si="35"/>
        <v>8</v>
      </c>
    </row>
    <row r="1106" spans="1:11" x14ac:dyDescent="0.2">
      <c r="A1106">
        <f t="shared" si="34"/>
        <v>2923040</v>
      </c>
      <c r="B1106">
        <v>2015</v>
      </c>
      <c r="C1106" t="s">
        <v>739</v>
      </c>
      <c r="D1106" t="s">
        <v>740</v>
      </c>
      <c r="E1106" t="s">
        <v>743</v>
      </c>
      <c r="F1106" s="37">
        <v>201</v>
      </c>
      <c r="G1106" s="39" t="s">
        <v>138</v>
      </c>
      <c r="H1106" s="40">
        <v>10908</v>
      </c>
      <c r="I1106" s="58">
        <v>81684</v>
      </c>
      <c r="J1106">
        <f>IFERROR(VLOOKUP(G1106,'LEAID Match'!$A$2:$B$526,2,FALSE),"")</f>
        <v>2923040</v>
      </c>
      <c r="K1106" s="68">
        <f t="shared" si="35"/>
        <v>8</v>
      </c>
    </row>
    <row r="1107" spans="1:11" x14ac:dyDescent="0.2">
      <c r="A1107">
        <f t="shared" si="34"/>
        <v>2923040</v>
      </c>
      <c r="B1107">
        <v>2016</v>
      </c>
      <c r="C1107" t="s">
        <v>739</v>
      </c>
      <c r="D1107" t="s">
        <v>740</v>
      </c>
      <c r="E1107" t="s">
        <v>743</v>
      </c>
      <c r="F1107" s="34">
        <v>201</v>
      </c>
      <c r="G1107" s="34" t="s">
        <v>138</v>
      </c>
      <c r="H1107" s="36">
        <v>11084</v>
      </c>
      <c r="I1107" s="60">
        <v>81961</v>
      </c>
      <c r="J1107">
        <f>IFERROR(VLOOKUP(G1107,'LEAID Match'!$A$2:$B$526,2,FALSE),"")</f>
        <v>2923040</v>
      </c>
      <c r="K1107" s="68">
        <f t="shared" si="35"/>
        <v>8</v>
      </c>
    </row>
    <row r="1108" spans="1:11" x14ac:dyDescent="0.2">
      <c r="A1108">
        <f t="shared" si="34"/>
        <v>2923040</v>
      </c>
      <c r="B1108">
        <v>2017</v>
      </c>
      <c r="C1108" t="s">
        <v>739</v>
      </c>
      <c r="D1108" t="s">
        <v>740</v>
      </c>
      <c r="E1108" t="s">
        <v>743</v>
      </c>
      <c r="F1108" s="34">
        <v>201</v>
      </c>
      <c r="G1108" s="34" t="s">
        <v>138</v>
      </c>
      <c r="H1108" s="36">
        <v>13046</v>
      </c>
      <c r="I1108" s="58">
        <v>88103</v>
      </c>
      <c r="J1108">
        <f>IFERROR(VLOOKUP(G1108,'LEAID Match'!$A$2:$B$526,2,FALSE),"")</f>
        <v>2923040</v>
      </c>
      <c r="K1108" s="68">
        <f t="shared" si="35"/>
        <v>8</v>
      </c>
    </row>
    <row r="1109" spans="1:11" x14ac:dyDescent="0.2">
      <c r="A1109">
        <f t="shared" si="34"/>
        <v>2923040</v>
      </c>
      <c r="B1109">
        <v>2018</v>
      </c>
      <c r="C1109" t="s">
        <v>739</v>
      </c>
      <c r="D1109" t="s">
        <v>740</v>
      </c>
      <c r="E1109" t="s">
        <v>743</v>
      </c>
      <c r="F1109" s="34">
        <v>201</v>
      </c>
      <c r="G1109" s="34" t="s">
        <v>138</v>
      </c>
      <c r="H1109" s="36">
        <v>14282</v>
      </c>
      <c r="I1109" s="58">
        <v>88803</v>
      </c>
      <c r="J1109">
        <f>IFERROR(VLOOKUP(G1109,'LEAID Match'!$A$2:$B$526,2,FALSE),"")</f>
        <v>2923040</v>
      </c>
      <c r="K1109" s="68">
        <f t="shared" si="35"/>
        <v>8</v>
      </c>
    </row>
    <row r="1110" spans="1:11" x14ac:dyDescent="0.2">
      <c r="A1110">
        <f t="shared" si="34"/>
        <v>2923040</v>
      </c>
      <c r="B1110">
        <v>2019</v>
      </c>
      <c r="C1110" t="s">
        <v>739</v>
      </c>
      <c r="D1110" t="s">
        <v>740</v>
      </c>
      <c r="E1110" t="s">
        <v>743</v>
      </c>
      <c r="F1110" s="34">
        <v>201</v>
      </c>
      <c r="G1110" s="34" t="s">
        <v>138</v>
      </c>
      <c r="H1110" s="36">
        <v>15026</v>
      </c>
      <c r="I1110" s="58">
        <v>93323</v>
      </c>
      <c r="J1110">
        <f>IFERROR(VLOOKUP(G1110,'LEAID Match'!$A$2:$B$526,2,FALSE),"")</f>
        <v>2923040</v>
      </c>
      <c r="K1110" s="68">
        <f t="shared" si="35"/>
        <v>8</v>
      </c>
    </row>
    <row r="1111" spans="1:11" x14ac:dyDescent="0.2">
      <c r="A1111">
        <f t="shared" si="34"/>
        <v>2923040</v>
      </c>
      <c r="B1111">
        <v>2020</v>
      </c>
      <c r="C1111" t="s">
        <v>739</v>
      </c>
      <c r="D1111" t="s">
        <v>740</v>
      </c>
      <c r="E1111" t="s">
        <v>743</v>
      </c>
      <c r="F1111" s="34">
        <v>201</v>
      </c>
      <c r="G1111" s="34" t="s">
        <v>138</v>
      </c>
      <c r="H1111" s="36">
        <v>16703</v>
      </c>
      <c r="I1111" s="58">
        <v>98388</v>
      </c>
      <c r="J1111">
        <f>IFERROR(VLOOKUP(G1111,'LEAID Match'!$A$2:$B$526,2,FALSE),"")</f>
        <v>2923040</v>
      </c>
      <c r="K1111" s="68">
        <f t="shared" si="35"/>
        <v>8</v>
      </c>
    </row>
    <row r="1112" spans="1:11" x14ac:dyDescent="0.2">
      <c r="A1112">
        <f t="shared" si="34"/>
        <v>2923040</v>
      </c>
      <c r="B1112">
        <v>2021</v>
      </c>
      <c r="C1112" t="s">
        <v>739</v>
      </c>
      <c r="D1112" t="s">
        <v>740</v>
      </c>
      <c r="E1112" t="s">
        <v>743</v>
      </c>
      <c r="F1112" s="34">
        <v>201</v>
      </c>
      <c r="G1112" s="34" t="s">
        <v>138</v>
      </c>
      <c r="H1112" s="36">
        <v>20278</v>
      </c>
      <c r="I1112" s="58">
        <v>100446</v>
      </c>
      <c r="J1112">
        <f>IFERROR(VLOOKUP(G1112,'LEAID Match'!$A$2:$B$526,2,FALSE),"")</f>
        <v>2923040</v>
      </c>
      <c r="K1112" s="68">
        <f t="shared" si="35"/>
        <v>8</v>
      </c>
    </row>
    <row r="1113" spans="1:11" x14ac:dyDescent="0.2">
      <c r="A1113">
        <f t="shared" si="34"/>
        <v>2923040</v>
      </c>
      <c r="B1113">
        <v>2022</v>
      </c>
      <c r="C1113" t="s">
        <v>739</v>
      </c>
      <c r="D1113" t="s">
        <v>740</v>
      </c>
      <c r="E1113" t="s">
        <v>743</v>
      </c>
      <c r="F1113" s="34">
        <v>201</v>
      </c>
      <c r="G1113" s="34" t="s">
        <v>138</v>
      </c>
      <c r="H1113" s="36">
        <v>22147</v>
      </c>
      <c r="I1113" s="58">
        <v>102006</v>
      </c>
      <c r="J1113">
        <f>IFERROR(VLOOKUP(G1113,'LEAID Match'!$A$2:$B$526,2,FALSE),"")</f>
        <v>2923040</v>
      </c>
      <c r="K1113" s="68">
        <f t="shared" si="35"/>
        <v>8</v>
      </c>
    </row>
    <row r="1114" spans="1:11" x14ac:dyDescent="0.2">
      <c r="A1114">
        <f t="shared" si="34"/>
        <v>2913260</v>
      </c>
      <c r="B1114">
        <v>2015</v>
      </c>
      <c r="C1114" t="s">
        <v>739</v>
      </c>
      <c r="D1114" t="s">
        <v>740</v>
      </c>
      <c r="E1114" t="s">
        <v>743</v>
      </c>
      <c r="F1114" s="37">
        <v>202</v>
      </c>
      <c r="G1114" s="39" t="s">
        <v>139</v>
      </c>
      <c r="H1114" s="40">
        <v>17025</v>
      </c>
      <c r="I1114" s="58">
        <v>101069</v>
      </c>
      <c r="J1114">
        <f>IFERROR(VLOOKUP(G1114,'LEAID Match'!$A$2:$B$526,2,FALSE),"")</f>
        <v>2913260</v>
      </c>
      <c r="K1114" s="68">
        <f t="shared" si="35"/>
        <v>8</v>
      </c>
    </row>
    <row r="1115" spans="1:11" x14ac:dyDescent="0.2">
      <c r="A1115">
        <f t="shared" si="34"/>
        <v>2913260</v>
      </c>
      <c r="B1115">
        <v>2016</v>
      </c>
      <c r="C1115" t="s">
        <v>739</v>
      </c>
      <c r="D1115" t="s">
        <v>740</v>
      </c>
      <c r="E1115" t="s">
        <v>743</v>
      </c>
      <c r="F1115" s="34">
        <v>202</v>
      </c>
      <c r="G1115" s="34" t="s">
        <v>139</v>
      </c>
      <c r="H1115" s="36">
        <v>19099</v>
      </c>
      <c r="I1115" s="60">
        <v>103961</v>
      </c>
      <c r="J1115">
        <f>IFERROR(VLOOKUP(G1115,'LEAID Match'!$A$2:$B$526,2,FALSE),"")</f>
        <v>2913260</v>
      </c>
      <c r="K1115" s="68">
        <f t="shared" si="35"/>
        <v>8</v>
      </c>
    </row>
    <row r="1116" spans="1:11" x14ac:dyDescent="0.2">
      <c r="A1116">
        <f t="shared" si="34"/>
        <v>2913260</v>
      </c>
      <c r="B1116">
        <v>2017</v>
      </c>
      <c r="C1116" t="s">
        <v>739</v>
      </c>
      <c r="D1116" t="s">
        <v>740</v>
      </c>
      <c r="E1116" t="s">
        <v>743</v>
      </c>
      <c r="F1116" s="34">
        <v>202</v>
      </c>
      <c r="G1116" s="34" t="s">
        <v>139</v>
      </c>
      <c r="H1116" s="36">
        <v>20667</v>
      </c>
      <c r="I1116" s="58">
        <v>97869</v>
      </c>
      <c r="J1116">
        <f>IFERROR(VLOOKUP(G1116,'LEAID Match'!$A$2:$B$526,2,FALSE),"")</f>
        <v>2913260</v>
      </c>
      <c r="K1116" s="68">
        <f t="shared" si="35"/>
        <v>8</v>
      </c>
    </row>
    <row r="1117" spans="1:11" x14ac:dyDescent="0.2">
      <c r="A1117">
        <f t="shared" si="34"/>
        <v>2913260</v>
      </c>
      <c r="B1117">
        <v>2018</v>
      </c>
      <c r="C1117" t="s">
        <v>739</v>
      </c>
      <c r="D1117" t="s">
        <v>740</v>
      </c>
      <c r="E1117" t="s">
        <v>743</v>
      </c>
      <c r="F1117" s="34">
        <v>202</v>
      </c>
      <c r="G1117" s="34" t="s">
        <v>139</v>
      </c>
      <c r="H1117" s="36">
        <v>24451</v>
      </c>
      <c r="I1117" s="58">
        <v>95515</v>
      </c>
      <c r="J1117">
        <f>IFERROR(VLOOKUP(G1117,'LEAID Match'!$A$2:$B$526,2,FALSE),"")</f>
        <v>2913260</v>
      </c>
      <c r="K1117" s="68">
        <f t="shared" si="35"/>
        <v>8</v>
      </c>
    </row>
    <row r="1118" spans="1:11" x14ac:dyDescent="0.2">
      <c r="A1118">
        <f t="shared" si="34"/>
        <v>2913260</v>
      </c>
      <c r="B1118">
        <v>2019</v>
      </c>
      <c r="C1118" t="s">
        <v>739</v>
      </c>
      <c r="D1118" t="s">
        <v>740</v>
      </c>
      <c r="E1118" t="s">
        <v>743</v>
      </c>
      <c r="F1118" s="34">
        <v>202</v>
      </c>
      <c r="G1118" s="34" t="s">
        <v>139</v>
      </c>
      <c r="H1118" s="36">
        <v>24953</v>
      </c>
      <c r="I1118" s="58">
        <v>99788</v>
      </c>
      <c r="J1118">
        <f>IFERROR(VLOOKUP(G1118,'LEAID Match'!$A$2:$B$526,2,FALSE),"")</f>
        <v>2913260</v>
      </c>
      <c r="K1118" s="68">
        <f t="shared" si="35"/>
        <v>8</v>
      </c>
    </row>
    <row r="1119" spans="1:11" x14ac:dyDescent="0.2">
      <c r="A1119">
        <f t="shared" si="34"/>
        <v>2913260</v>
      </c>
      <c r="B1119">
        <v>2020</v>
      </c>
      <c r="C1119" t="s">
        <v>739</v>
      </c>
      <c r="D1119" t="s">
        <v>740</v>
      </c>
      <c r="E1119" t="s">
        <v>743</v>
      </c>
      <c r="F1119" s="34">
        <v>202</v>
      </c>
      <c r="G1119" s="34" t="s">
        <v>139</v>
      </c>
      <c r="H1119" s="36">
        <v>28375</v>
      </c>
      <c r="I1119" s="58">
        <v>101962</v>
      </c>
      <c r="J1119">
        <f>IFERROR(VLOOKUP(G1119,'LEAID Match'!$A$2:$B$526,2,FALSE),"")</f>
        <v>2913260</v>
      </c>
      <c r="K1119" s="68">
        <f t="shared" si="35"/>
        <v>8</v>
      </c>
    </row>
    <row r="1120" spans="1:11" x14ac:dyDescent="0.2">
      <c r="A1120">
        <f t="shared" si="34"/>
        <v>2913260</v>
      </c>
      <c r="B1120">
        <v>2021</v>
      </c>
      <c r="C1120" t="s">
        <v>739</v>
      </c>
      <c r="D1120" t="s">
        <v>740</v>
      </c>
      <c r="E1120" t="s">
        <v>743</v>
      </c>
      <c r="F1120" s="34">
        <v>202</v>
      </c>
      <c r="G1120" s="34" t="s">
        <v>139</v>
      </c>
      <c r="H1120" s="36">
        <v>27246</v>
      </c>
      <c r="I1120" s="58">
        <v>109477</v>
      </c>
      <c r="J1120">
        <f>IFERROR(VLOOKUP(G1120,'LEAID Match'!$A$2:$B$526,2,FALSE),"")</f>
        <v>2913260</v>
      </c>
      <c r="K1120" s="68">
        <f t="shared" si="35"/>
        <v>8</v>
      </c>
    </row>
    <row r="1121" spans="1:11" x14ac:dyDescent="0.2">
      <c r="A1121">
        <f t="shared" si="34"/>
        <v>2913260</v>
      </c>
      <c r="B1121">
        <v>2022</v>
      </c>
      <c r="C1121" t="s">
        <v>739</v>
      </c>
      <c r="D1121" t="s">
        <v>740</v>
      </c>
      <c r="E1121" t="s">
        <v>743</v>
      </c>
      <c r="F1121" s="34">
        <v>202</v>
      </c>
      <c r="G1121" s="34" t="s">
        <v>139</v>
      </c>
      <c r="H1121" s="36">
        <v>26585</v>
      </c>
      <c r="I1121" s="58">
        <v>128804</v>
      </c>
      <c r="J1121">
        <f>IFERROR(VLOOKUP(G1121,'LEAID Match'!$A$2:$B$526,2,FALSE),"")</f>
        <v>2913260</v>
      </c>
      <c r="K1121" s="68">
        <f t="shared" si="35"/>
        <v>8</v>
      </c>
    </row>
    <row r="1122" spans="1:11" x14ac:dyDescent="0.2">
      <c r="A1122">
        <f t="shared" si="34"/>
        <v>2910710</v>
      </c>
      <c r="B1122">
        <v>2015</v>
      </c>
      <c r="C1122" t="s">
        <v>739</v>
      </c>
      <c r="D1122" t="s">
        <v>740</v>
      </c>
      <c r="E1122" t="s">
        <v>743</v>
      </c>
      <c r="F1122" s="37">
        <v>203</v>
      </c>
      <c r="G1122" s="39" t="s">
        <v>140</v>
      </c>
      <c r="H1122" s="40">
        <v>22109</v>
      </c>
      <c r="I1122" s="58">
        <v>162316</v>
      </c>
      <c r="J1122">
        <f>IFERROR(VLOOKUP(G1122,'LEAID Match'!$A$2:$B$526,2,FALSE),"")</f>
        <v>2910710</v>
      </c>
      <c r="K1122" s="68">
        <f t="shared" si="35"/>
        <v>8</v>
      </c>
    </row>
    <row r="1123" spans="1:11" x14ac:dyDescent="0.2">
      <c r="A1123">
        <f t="shared" si="34"/>
        <v>2910710</v>
      </c>
      <c r="B1123">
        <v>2016</v>
      </c>
      <c r="C1123" t="s">
        <v>739</v>
      </c>
      <c r="D1123" t="s">
        <v>740</v>
      </c>
      <c r="E1123" t="s">
        <v>743</v>
      </c>
      <c r="F1123" s="34">
        <v>203</v>
      </c>
      <c r="G1123" s="34" t="s">
        <v>140</v>
      </c>
      <c r="H1123" s="36">
        <v>25687</v>
      </c>
      <c r="I1123" s="60">
        <v>169788</v>
      </c>
      <c r="J1123">
        <f>IFERROR(VLOOKUP(G1123,'LEAID Match'!$A$2:$B$526,2,FALSE),"")</f>
        <v>2910710</v>
      </c>
      <c r="K1123" s="68">
        <f t="shared" si="35"/>
        <v>8</v>
      </c>
    </row>
    <row r="1124" spans="1:11" x14ac:dyDescent="0.2">
      <c r="A1124">
        <f t="shared" si="34"/>
        <v>2910710</v>
      </c>
      <c r="B1124">
        <v>2017</v>
      </c>
      <c r="C1124" t="s">
        <v>739</v>
      </c>
      <c r="D1124" t="s">
        <v>740</v>
      </c>
      <c r="E1124" t="s">
        <v>743</v>
      </c>
      <c r="F1124" s="34">
        <v>203</v>
      </c>
      <c r="G1124" s="34" t="s">
        <v>140</v>
      </c>
      <c r="H1124" s="36">
        <v>22931</v>
      </c>
      <c r="I1124" s="58">
        <v>176065</v>
      </c>
      <c r="J1124">
        <f>IFERROR(VLOOKUP(G1124,'LEAID Match'!$A$2:$B$526,2,FALSE),"")</f>
        <v>2910710</v>
      </c>
      <c r="K1124" s="68">
        <f t="shared" si="35"/>
        <v>8</v>
      </c>
    </row>
    <row r="1125" spans="1:11" x14ac:dyDescent="0.2">
      <c r="A1125">
        <f t="shared" si="34"/>
        <v>2910710</v>
      </c>
      <c r="B1125">
        <v>2018</v>
      </c>
      <c r="C1125" t="s">
        <v>739</v>
      </c>
      <c r="D1125" t="s">
        <v>740</v>
      </c>
      <c r="E1125" t="s">
        <v>743</v>
      </c>
      <c r="F1125" s="34">
        <v>203</v>
      </c>
      <c r="G1125" s="34" t="s">
        <v>140</v>
      </c>
      <c r="H1125" s="36">
        <v>25826</v>
      </c>
      <c r="I1125" s="58">
        <v>181737</v>
      </c>
      <c r="J1125">
        <f>IFERROR(VLOOKUP(G1125,'LEAID Match'!$A$2:$B$526,2,FALSE),"")</f>
        <v>2910710</v>
      </c>
      <c r="K1125" s="68">
        <f t="shared" si="35"/>
        <v>8</v>
      </c>
    </row>
    <row r="1126" spans="1:11" x14ac:dyDescent="0.2">
      <c r="A1126">
        <f t="shared" si="34"/>
        <v>2910710</v>
      </c>
      <c r="B1126">
        <v>2019</v>
      </c>
      <c r="C1126" t="s">
        <v>739</v>
      </c>
      <c r="D1126" t="s">
        <v>740</v>
      </c>
      <c r="E1126" t="s">
        <v>743</v>
      </c>
      <c r="F1126" s="34">
        <v>203</v>
      </c>
      <c r="G1126" s="34" t="s">
        <v>140</v>
      </c>
      <c r="H1126" s="36">
        <v>25296</v>
      </c>
      <c r="I1126" s="58">
        <v>187684</v>
      </c>
      <c r="J1126">
        <f>IFERROR(VLOOKUP(G1126,'LEAID Match'!$A$2:$B$526,2,FALSE),"")</f>
        <v>2910710</v>
      </c>
      <c r="K1126" s="68">
        <f t="shared" si="35"/>
        <v>8</v>
      </c>
    </row>
    <row r="1127" spans="1:11" x14ac:dyDescent="0.2">
      <c r="A1127">
        <f t="shared" si="34"/>
        <v>2910710</v>
      </c>
      <c r="B1127">
        <v>2020</v>
      </c>
      <c r="C1127" t="s">
        <v>739</v>
      </c>
      <c r="D1127" t="s">
        <v>740</v>
      </c>
      <c r="E1127" t="s">
        <v>743</v>
      </c>
      <c r="F1127" s="34">
        <v>203</v>
      </c>
      <c r="G1127" s="34" t="s">
        <v>140</v>
      </c>
      <c r="H1127" s="36">
        <v>22932</v>
      </c>
      <c r="I1127" s="58">
        <v>189811</v>
      </c>
      <c r="J1127">
        <f>IFERROR(VLOOKUP(G1127,'LEAID Match'!$A$2:$B$526,2,FALSE),"")</f>
        <v>2910710</v>
      </c>
      <c r="K1127" s="68">
        <f t="shared" si="35"/>
        <v>8</v>
      </c>
    </row>
    <row r="1128" spans="1:11" x14ac:dyDescent="0.2">
      <c r="A1128">
        <f t="shared" si="34"/>
        <v>2910710</v>
      </c>
      <c r="B1128">
        <v>2021</v>
      </c>
      <c r="C1128" t="s">
        <v>739</v>
      </c>
      <c r="D1128" t="s">
        <v>740</v>
      </c>
      <c r="E1128" t="s">
        <v>743</v>
      </c>
      <c r="F1128" s="34">
        <v>203</v>
      </c>
      <c r="G1128" s="34" t="s">
        <v>140</v>
      </c>
      <c r="H1128" s="36">
        <v>28827</v>
      </c>
      <c r="I1128" s="58">
        <v>199486</v>
      </c>
      <c r="J1128">
        <f>IFERROR(VLOOKUP(G1128,'LEAID Match'!$A$2:$B$526,2,FALSE),"")</f>
        <v>2910710</v>
      </c>
      <c r="K1128" s="68">
        <f t="shared" si="35"/>
        <v>8</v>
      </c>
    </row>
    <row r="1129" spans="1:11" x14ac:dyDescent="0.2">
      <c r="A1129">
        <f t="shared" si="34"/>
        <v>2910710</v>
      </c>
      <c r="B1129">
        <v>2022</v>
      </c>
      <c r="C1129" t="s">
        <v>739</v>
      </c>
      <c r="D1129" t="s">
        <v>740</v>
      </c>
      <c r="E1129" t="s">
        <v>743</v>
      </c>
      <c r="F1129" s="34">
        <v>203</v>
      </c>
      <c r="G1129" s="34" t="s">
        <v>140</v>
      </c>
      <c r="H1129" s="36">
        <v>38085</v>
      </c>
      <c r="I1129" s="58">
        <v>214074</v>
      </c>
      <c r="J1129">
        <f>IFERROR(VLOOKUP(G1129,'LEAID Match'!$A$2:$B$526,2,FALSE),"")</f>
        <v>2910710</v>
      </c>
      <c r="K1129" s="68">
        <f t="shared" si="35"/>
        <v>8</v>
      </c>
    </row>
    <row r="1130" spans="1:11" x14ac:dyDescent="0.2">
      <c r="A1130">
        <f t="shared" si="34"/>
        <v>2910650</v>
      </c>
      <c r="B1130">
        <v>2015</v>
      </c>
      <c r="C1130" t="s">
        <v>739</v>
      </c>
      <c r="D1130" t="s">
        <v>740</v>
      </c>
      <c r="E1130" t="s">
        <v>743</v>
      </c>
      <c r="F1130" s="37">
        <v>204</v>
      </c>
      <c r="G1130" s="39" t="s">
        <v>141</v>
      </c>
      <c r="H1130" s="40">
        <v>17820</v>
      </c>
      <c r="I1130" s="58">
        <v>135474</v>
      </c>
      <c r="J1130">
        <f>IFERROR(VLOOKUP(G1130,'LEAID Match'!$A$2:$B$526,2,FALSE),"")</f>
        <v>2910650</v>
      </c>
      <c r="K1130" s="68">
        <f t="shared" si="35"/>
        <v>8</v>
      </c>
    </row>
    <row r="1131" spans="1:11" x14ac:dyDescent="0.2">
      <c r="A1131">
        <f t="shared" si="34"/>
        <v>2910650</v>
      </c>
      <c r="B1131">
        <v>2016</v>
      </c>
      <c r="C1131" t="s">
        <v>739</v>
      </c>
      <c r="D1131" t="s">
        <v>740</v>
      </c>
      <c r="E1131" t="s">
        <v>743</v>
      </c>
      <c r="F1131" s="34">
        <v>204</v>
      </c>
      <c r="G1131" s="34" t="s">
        <v>141</v>
      </c>
      <c r="H1131" s="36">
        <v>17065</v>
      </c>
      <c r="I1131" s="60">
        <v>135097</v>
      </c>
      <c r="J1131">
        <f>IFERROR(VLOOKUP(G1131,'LEAID Match'!$A$2:$B$526,2,FALSE),"")</f>
        <v>2910650</v>
      </c>
      <c r="K1131" s="68">
        <f t="shared" si="35"/>
        <v>8</v>
      </c>
    </row>
    <row r="1132" spans="1:11" x14ac:dyDescent="0.2">
      <c r="A1132">
        <f t="shared" si="34"/>
        <v>2910650</v>
      </c>
      <c r="B1132">
        <v>2017</v>
      </c>
      <c r="C1132" t="s">
        <v>739</v>
      </c>
      <c r="D1132" t="s">
        <v>740</v>
      </c>
      <c r="E1132" t="s">
        <v>743</v>
      </c>
      <c r="F1132" s="34">
        <v>204</v>
      </c>
      <c r="G1132" s="34" t="s">
        <v>141</v>
      </c>
      <c r="H1132" s="36">
        <v>18672</v>
      </c>
      <c r="I1132" s="58">
        <v>131934</v>
      </c>
      <c r="J1132">
        <f>IFERROR(VLOOKUP(G1132,'LEAID Match'!$A$2:$B$526,2,FALSE),"")</f>
        <v>2910650</v>
      </c>
      <c r="K1132" s="68">
        <f t="shared" si="35"/>
        <v>8</v>
      </c>
    </row>
    <row r="1133" spans="1:11" x14ac:dyDescent="0.2">
      <c r="A1133">
        <f t="shared" si="34"/>
        <v>2910650</v>
      </c>
      <c r="B1133">
        <v>2018</v>
      </c>
      <c r="C1133" t="s">
        <v>739</v>
      </c>
      <c r="D1133" t="s">
        <v>740</v>
      </c>
      <c r="E1133" t="s">
        <v>743</v>
      </c>
      <c r="F1133" s="34">
        <v>204</v>
      </c>
      <c r="G1133" s="34" t="s">
        <v>141</v>
      </c>
      <c r="H1133" s="36">
        <v>18862</v>
      </c>
      <c r="I1133" s="58">
        <v>126684</v>
      </c>
      <c r="J1133">
        <f>IFERROR(VLOOKUP(G1133,'LEAID Match'!$A$2:$B$526,2,FALSE),"")</f>
        <v>2910650</v>
      </c>
      <c r="K1133" s="68">
        <f t="shared" si="35"/>
        <v>8</v>
      </c>
    </row>
    <row r="1134" spans="1:11" x14ac:dyDescent="0.2">
      <c r="A1134">
        <f t="shared" si="34"/>
        <v>2910650</v>
      </c>
      <c r="B1134">
        <v>2019</v>
      </c>
      <c r="C1134" t="s">
        <v>739</v>
      </c>
      <c r="D1134" t="s">
        <v>740</v>
      </c>
      <c r="E1134" t="s">
        <v>743</v>
      </c>
      <c r="F1134" s="34">
        <v>204</v>
      </c>
      <c r="G1134" s="34" t="s">
        <v>141</v>
      </c>
      <c r="H1134" s="36">
        <v>24685</v>
      </c>
      <c r="I1134" s="58">
        <v>133254</v>
      </c>
      <c r="J1134">
        <f>IFERROR(VLOOKUP(G1134,'LEAID Match'!$A$2:$B$526,2,FALSE),"")</f>
        <v>2910650</v>
      </c>
      <c r="K1134" s="68">
        <f t="shared" si="35"/>
        <v>8</v>
      </c>
    </row>
    <row r="1135" spans="1:11" x14ac:dyDescent="0.2">
      <c r="A1135">
        <f t="shared" si="34"/>
        <v>2910650</v>
      </c>
      <c r="B1135">
        <v>2020</v>
      </c>
      <c r="C1135" t="s">
        <v>739</v>
      </c>
      <c r="D1135" t="s">
        <v>740</v>
      </c>
      <c r="E1135" t="s">
        <v>743</v>
      </c>
      <c r="F1135" s="34">
        <v>204</v>
      </c>
      <c r="G1135" s="34" t="s">
        <v>141</v>
      </c>
      <c r="H1135" s="36">
        <v>22841</v>
      </c>
      <c r="I1135" s="58">
        <v>135785</v>
      </c>
      <c r="J1135">
        <f>IFERROR(VLOOKUP(G1135,'LEAID Match'!$A$2:$B$526,2,FALSE),"")</f>
        <v>2910650</v>
      </c>
      <c r="K1135" s="68">
        <f t="shared" si="35"/>
        <v>8</v>
      </c>
    </row>
    <row r="1136" spans="1:11" x14ac:dyDescent="0.2">
      <c r="A1136">
        <f t="shared" si="34"/>
        <v>2910650</v>
      </c>
      <c r="B1136">
        <v>2021</v>
      </c>
      <c r="C1136" t="s">
        <v>739</v>
      </c>
      <c r="D1136" t="s">
        <v>740</v>
      </c>
      <c r="E1136" t="s">
        <v>743</v>
      </c>
      <c r="F1136" s="34">
        <v>204</v>
      </c>
      <c r="G1136" s="34" t="s">
        <v>141</v>
      </c>
      <c r="H1136" s="36">
        <v>22878</v>
      </c>
      <c r="I1136" s="58">
        <v>132656</v>
      </c>
      <c r="J1136">
        <f>IFERROR(VLOOKUP(G1136,'LEAID Match'!$A$2:$B$526,2,FALSE),"")</f>
        <v>2910650</v>
      </c>
      <c r="K1136" s="68">
        <f t="shared" si="35"/>
        <v>8</v>
      </c>
    </row>
    <row r="1137" spans="1:11" x14ac:dyDescent="0.2">
      <c r="A1137">
        <f t="shared" si="34"/>
        <v>2910650</v>
      </c>
      <c r="B1137">
        <v>2022</v>
      </c>
      <c r="C1137" t="s">
        <v>739</v>
      </c>
      <c r="D1137" t="s">
        <v>740</v>
      </c>
      <c r="E1137" t="s">
        <v>743</v>
      </c>
      <c r="F1137" s="34">
        <v>204</v>
      </c>
      <c r="G1137" s="34" t="s">
        <v>141</v>
      </c>
      <c r="H1137" s="36">
        <v>28297</v>
      </c>
      <c r="I1137" s="58">
        <v>113645</v>
      </c>
      <c r="J1137">
        <f>IFERROR(VLOOKUP(G1137,'LEAID Match'!$A$2:$B$526,2,FALSE),"")</f>
        <v>2910650</v>
      </c>
      <c r="K1137" s="68">
        <f t="shared" si="35"/>
        <v>8</v>
      </c>
    </row>
    <row r="1138" spans="1:11" x14ac:dyDescent="0.2">
      <c r="A1138">
        <f t="shared" si="34"/>
        <v>2927090</v>
      </c>
      <c r="B1138">
        <v>2015</v>
      </c>
      <c r="C1138" t="s">
        <v>739</v>
      </c>
      <c r="D1138" t="s">
        <v>740</v>
      </c>
      <c r="E1138" t="s">
        <v>743</v>
      </c>
      <c r="F1138" s="37">
        <v>205</v>
      </c>
      <c r="G1138" s="39" t="s">
        <v>142</v>
      </c>
      <c r="H1138" s="40">
        <v>129615</v>
      </c>
      <c r="I1138" s="58">
        <v>821546</v>
      </c>
      <c r="J1138">
        <f>IFERROR(VLOOKUP(G1138,'LEAID Match'!$A$2:$B$526,2,FALSE),"")</f>
        <v>2927090</v>
      </c>
      <c r="K1138" s="68">
        <f t="shared" si="35"/>
        <v>8</v>
      </c>
    </row>
    <row r="1139" spans="1:11" x14ac:dyDescent="0.2">
      <c r="A1139">
        <f t="shared" si="34"/>
        <v>2927090</v>
      </c>
      <c r="B1139">
        <v>2016</v>
      </c>
      <c r="C1139" t="s">
        <v>739</v>
      </c>
      <c r="D1139" t="s">
        <v>740</v>
      </c>
      <c r="E1139" t="s">
        <v>743</v>
      </c>
      <c r="F1139" s="34">
        <v>205</v>
      </c>
      <c r="G1139" s="34" t="s">
        <v>142</v>
      </c>
      <c r="H1139" s="36">
        <v>131204</v>
      </c>
      <c r="I1139" s="60">
        <v>829979</v>
      </c>
      <c r="J1139">
        <f>IFERROR(VLOOKUP(G1139,'LEAID Match'!$A$2:$B$526,2,FALSE),"")</f>
        <v>2927090</v>
      </c>
      <c r="K1139" s="68">
        <f t="shared" si="35"/>
        <v>8</v>
      </c>
    </row>
    <row r="1140" spans="1:11" x14ac:dyDescent="0.2">
      <c r="A1140">
        <f t="shared" si="34"/>
        <v>2927090</v>
      </c>
      <c r="B1140">
        <v>2017</v>
      </c>
      <c r="C1140" t="s">
        <v>739</v>
      </c>
      <c r="D1140" t="s">
        <v>740</v>
      </c>
      <c r="E1140" t="s">
        <v>743</v>
      </c>
      <c r="F1140" s="34">
        <v>205</v>
      </c>
      <c r="G1140" s="34" t="s">
        <v>142</v>
      </c>
      <c r="H1140" s="36">
        <v>132683</v>
      </c>
      <c r="I1140" s="58">
        <v>846525</v>
      </c>
      <c r="J1140">
        <f>IFERROR(VLOOKUP(G1140,'LEAID Match'!$A$2:$B$526,2,FALSE),"")</f>
        <v>2927090</v>
      </c>
      <c r="K1140" s="68">
        <f t="shared" si="35"/>
        <v>8</v>
      </c>
    </row>
    <row r="1141" spans="1:11" x14ac:dyDescent="0.2">
      <c r="A1141">
        <f t="shared" si="34"/>
        <v>2927090</v>
      </c>
      <c r="B1141">
        <v>2018</v>
      </c>
      <c r="C1141" t="s">
        <v>739</v>
      </c>
      <c r="D1141" t="s">
        <v>740</v>
      </c>
      <c r="E1141" t="s">
        <v>743</v>
      </c>
      <c r="F1141" s="34">
        <v>205</v>
      </c>
      <c r="G1141" s="34" t="s">
        <v>142</v>
      </c>
      <c r="H1141" s="36">
        <v>143601</v>
      </c>
      <c r="I1141" s="58">
        <v>864898</v>
      </c>
      <c r="J1141">
        <f>IFERROR(VLOOKUP(G1141,'LEAID Match'!$A$2:$B$526,2,FALSE),"")</f>
        <v>2927090</v>
      </c>
      <c r="K1141" s="68">
        <f t="shared" si="35"/>
        <v>8</v>
      </c>
    </row>
    <row r="1142" spans="1:11" x14ac:dyDescent="0.2">
      <c r="A1142">
        <f t="shared" si="34"/>
        <v>2927090</v>
      </c>
      <c r="B1142">
        <v>2019</v>
      </c>
      <c r="C1142" t="s">
        <v>739</v>
      </c>
      <c r="D1142" t="s">
        <v>740</v>
      </c>
      <c r="E1142" t="s">
        <v>743</v>
      </c>
      <c r="F1142" s="34">
        <v>205</v>
      </c>
      <c r="G1142" s="34" t="s">
        <v>142</v>
      </c>
      <c r="H1142" s="36">
        <v>142368</v>
      </c>
      <c r="I1142" s="58">
        <v>899781</v>
      </c>
      <c r="J1142">
        <f>IFERROR(VLOOKUP(G1142,'LEAID Match'!$A$2:$B$526,2,FALSE),"")</f>
        <v>2927090</v>
      </c>
      <c r="K1142" s="68">
        <f t="shared" si="35"/>
        <v>8</v>
      </c>
    </row>
    <row r="1143" spans="1:11" x14ac:dyDescent="0.2">
      <c r="A1143">
        <f t="shared" si="34"/>
        <v>2927090</v>
      </c>
      <c r="B1143">
        <v>2020</v>
      </c>
      <c r="C1143" t="s">
        <v>739</v>
      </c>
      <c r="D1143" t="s">
        <v>740</v>
      </c>
      <c r="E1143" t="s">
        <v>743</v>
      </c>
      <c r="F1143" s="34">
        <v>205</v>
      </c>
      <c r="G1143" s="34" t="s">
        <v>142</v>
      </c>
      <c r="H1143" s="36">
        <v>132454</v>
      </c>
      <c r="I1143" s="58">
        <v>935047</v>
      </c>
      <c r="J1143">
        <f>IFERROR(VLOOKUP(G1143,'LEAID Match'!$A$2:$B$526,2,FALSE),"")</f>
        <v>2927090</v>
      </c>
      <c r="K1143" s="68">
        <f t="shared" si="35"/>
        <v>8</v>
      </c>
    </row>
    <row r="1144" spans="1:11" x14ac:dyDescent="0.2">
      <c r="A1144">
        <f t="shared" si="34"/>
        <v>2927090</v>
      </c>
      <c r="B1144">
        <v>2021</v>
      </c>
      <c r="C1144" t="s">
        <v>739</v>
      </c>
      <c r="D1144" t="s">
        <v>740</v>
      </c>
      <c r="E1144" t="s">
        <v>743</v>
      </c>
      <c r="F1144" s="34">
        <v>205</v>
      </c>
      <c r="G1144" s="34" t="s">
        <v>142</v>
      </c>
      <c r="H1144" s="36">
        <v>136911</v>
      </c>
      <c r="I1144" s="58">
        <v>912138</v>
      </c>
      <c r="J1144">
        <f>IFERROR(VLOOKUP(G1144,'LEAID Match'!$A$2:$B$526,2,FALSE),"")</f>
        <v>2927090</v>
      </c>
      <c r="K1144" s="68">
        <f t="shared" si="35"/>
        <v>8</v>
      </c>
    </row>
    <row r="1145" spans="1:11" x14ac:dyDescent="0.2">
      <c r="A1145">
        <f t="shared" si="34"/>
        <v>2927090</v>
      </c>
      <c r="B1145">
        <v>2022</v>
      </c>
      <c r="C1145" t="s">
        <v>739</v>
      </c>
      <c r="D1145" t="s">
        <v>740</v>
      </c>
      <c r="E1145" t="s">
        <v>743</v>
      </c>
      <c r="F1145" s="34">
        <v>205</v>
      </c>
      <c r="G1145" s="34" t="s">
        <v>142</v>
      </c>
      <c r="H1145" s="36">
        <v>148167</v>
      </c>
      <c r="I1145" s="58">
        <v>912370</v>
      </c>
      <c r="J1145">
        <f>IFERROR(VLOOKUP(G1145,'LEAID Match'!$A$2:$B$526,2,FALSE),"")</f>
        <v>2927090</v>
      </c>
      <c r="K1145" s="68">
        <f t="shared" si="35"/>
        <v>8</v>
      </c>
    </row>
    <row r="1146" spans="1:11" x14ac:dyDescent="0.2">
      <c r="A1146">
        <f t="shared" si="34"/>
        <v>2904050</v>
      </c>
      <c r="B1146">
        <v>2015</v>
      </c>
      <c r="C1146" t="s">
        <v>739</v>
      </c>
      <c r="D1146" t="s">
        <v>740</v>
      </c>
      <c r="E1146" t="s">
        <v>743</v>
      </c>
      <c r="F1146" s="37">
        <v>206</v>
      </c>
      <c r="G1146" s="34" t="s">
        <v>553</v>
      </c>
      <c r="H1146" s="40">
        <v>125065</v>
      </c>
      <c r="I1146" s="58">
        <v>814556</v>
      </c>
      <c r="J1146">
        <f>IFERROR(VLOOKUP(G1146,'LEAID Match'!$A$2:$B$526,2,FALSE),"")</f>
        <v>2904050</v>
      </c>
      <c r="K1146" s="68">
        <f t="shared" si="35"/>
        <v>8</v>
      </c>
    </row>
    <row r="1147" spans="1:11" x14ac:dyDescent="0.2">
      <c r="A1147">
        <f t="shared" si="34"/>
        <v>2904050</v>
      </c>
      <c r="B1147">
        <v>2016</v>
      </c>
      <c r="C1147" t="s">
        <v>739</v>
      </c>
      <c r="D1147" t="s">
        <v>740</v>
      </c>
      <c r="E1147" t="s">
        <v>743</v>
      </c>
      <c r="F1147" s="34">
        <v>206</v>
      </c>
      <c r="G1147" s="34" t="s">
        <v>553</v>
      </c>
      <c r="H1147" s="36">
        <v>123569</v>
      </c>
      <c r="I1147" s="60">
        <v>805250</v>
      </c>
      <c r="J1147">
        <f>IFERROR(VLOOKUP(G1147,'LEAID Match'!$A$2:$B$526,2,FALSE),"")</f>
        <v>2904050</v>
      </c>
      <c r="K1147" s="68">
        <f t="shared" si="35"/>
        <v>8</v>
      </c>
    </row>
    <row r="1148" spans="1:11" x14ac:dyDescent="0.2">
      <c r="A1148">
        <f t="shared" si="34"/>
        <v>2904050</v>
      </c>
      <c r="B1148">
        <v>2017</v>
      </c>
      <c r="C1148" t="s">
        <v>739</v>
      </c>
      <c r="D1148" t="s">
        <v>740</v>
      </c>
      <c r="E1148" t="s">
        <v>743</v>
      </c>
      <c r="F1148" s="34">
        <v>206</v>
      </c>
      <c r="G1148" s="34" t="s">
        <v>553</v>
      </c>
      <c r="H1148" s="36">
        <v>123924</v>
      </c>
      <c r="I1148" s="58">
        <v>788248</v>
      </c>
      <c r="J1148">
        <f>IFERROR(VLOOKUP(G1148,'LEAID Match'!$A$2:$B$526,2,FALSE),"")</f>
        <v>2904050</v>
      </c>
      <c r="K1148" s="68">
        <f t="shared" si="35"/>
        <v>8</v>
      </c>
    </row>
    <row r="1149" spans="1:11" x14ac:dyDescent="0.2">
      <c r="A1149">
        <f t="shared" si="34"/>
        <v>2904050</v>
      </c>
      <c r="B1149">
        <v>2018</v>
      </c>
      <c r="C1149" t="s">
        <v>739</v>
      </c>
      <c r="D1149" t="s">
        <v>740</v>
      </c>
      <c r="E1149" t="s">
        <v>743</v>
      </c>
      <c r="F1149" s="34">
        <v>206</v>
      </c>
      <c r="G1149" s="34" t="s">
        <v>553</v>
      </c>
      <c r="H1149" s="36">
        <v>118958</v>
      </c>
      <c r="I1149" s="58">
        <v>779912</v>
      </c>
      <c r="J1149">
        <f>IFERROR(VLOOKUP(G1149,'LEAID Match'!$A$2:$B$526,2,FALSE),"")</f>
        <v>2904050</v>
      </c>
      <c r="K1149" s="68">
        <f t="shared" si="35"/>
        <v>8</v>
      </c>
    </row>
    <row r="1150" spans="1:11" x14ac:dyDescent="0.2">
      <c r="A1150">
        <f t="shared" si="34"/>
        <v>2904050</v>
      </c>
      <c r="B1150">
        <v>2019</v>
      </c>
      <c r="C1150" t="s">
        <v>739</v>
      </c>
      <c r="D1150" t="s">
        <v>740</v>
      </c>
      <c r="E1150" t="s">
        <v>743</v>
      </c>
      <c r="F1150" s="34">
        <v>206</v>
      </c>
      <c r="G1150" s="34" t="s">
        <v>553</v>
      </c>
      <c r="H1150" s="36">
        <v>127190</v>
      </c>
      <c r="I1150" s="58">
        <v>825912</v>
      </c>
      <c r="J1150">
        <f>IFERROR(VLOOKUP(G1150,'LEAID Match'!$A$2:$B$526,2,FALSE),"")</f>
        <v>2904050</v>
      </c>
      <c r="K1150" s="68">
        <f t="shared" si="35"/>
        <v>8</v>
      </c>
    </row>
    <row r="1151" spans="1:11" x14ac:dyDescent="0.2">
      <c r="A1151">
        <f t="shared" si="34"/>
        <v>2904050</v>
      </c>
      <c r="B1151">
        <v>2020</v>
      </c>
      <c r="C1151" t="s">
        <v>739</v>
      </c>
      <c r="D1151" t="s">
        <v>740</v>
      </c>
      <c r="E1151" t="s">
        <v>743</v>
      </c>
      <c r="F1151" s="34">
        <v>206</v>
      </c>
      <c r="G1151" s="34" t="s">
        <v>553</v>
      </c>
      <c r="H1151" s="36">
        <v>126861</v>
      </c>
      <c r="I1151" s="58">
        <v>827502</v>
      </c>
      <c r="J1151">
        <f>IFERROR(VLOOKUP(G1151,'LEAID Match'!$A$2:$B$526,2,FALSE),"")</f>
        <v>2904050</v>
      </c>
      <c r="K1151" s="68">
        <f t="shared" si="35"/>
        <v>8</v>
      </c>
    </row>
    <row r="1152" spans="1:11" x14ac:dyDescent="0.2">
      <c r="A1152">
        <f t="shared" si="34"/>
        <v>2904050</v>
      </c>
      <c r="B1152">
        <v>2021</v>
      </c>
      <c r="C1152" t="s">
        <v>739</v>
      </c>
      <c r="D1152" t="s">
        <v>740</v>
      </c>
      <c r="E1152" t="s">
        <v>743</v>
      </c>
      <c r="F1152" s="34">
        <v>206</v>
      </c>
      <c r="G1152" s="34" t="s">
        <v>553</v>
      </c>
      <c r="H1152" s="36">
        <v>132036</v>
      </c>
      <c r="I1152" s="58">
        <v>856789</v>
      </c>
      <c r="J1152">
        <f>IFERROR(VLOOKUP(G1152,'LEAID Match'!$A$2:$B$526,2,FALSE),"")</f>
        <v>2904050</v>
      </c>
      <c r="K1152" s="68">
        <f t="shared" si="35"/>
        <v>8</v>
      </c>
    </row>
    <row r="1153" spans="1:11" x14ac:dyDescent="0.2">
      <c r="A1153">
        <f t="shared" si="34"/>
        <v>2904050</v>
      </c>
      <c r="B1153">
        <v>2022</v>
      </c>
      <c r="C1153" t="s">
        <v>739</v>
      </c>
      <c r="D1153" t="s">
        <v>740</v>
      </c>
      <c r="E1153" t="s">
        <v>743</v>
      </c>
      <c r="F1153" s="34">
        <v>206</v>
      </c>
      <c r="G1153" s="34" t="s">
        <v>553</v>
      </c>
      <c r="H1153" s="36">
        <v>148323</v>
      </c>
      <c r="I1153" s="58">
        <v>890974</v>
      </c>
      <c r="J1153">
        <f>IFERROR(VLOOKUP(G1153,'LEAID Match'!$A$2:$B$526,2,FALSE),"")</f>
        <v>2904050</v>
      </c>
      <c r="K1153" s="68">
        <f t="shared" si="35"/>
        <v>8</v>
      </c>
    </row>
    <row r="1154" spans="1:11" x14ac:dyDescent="0.2">
      <c r="A1154">
        <f t="shared" si="34"/>
        <v>2911010</v>
      </c>
      <c r="B1154">
        <v>2015</v>
      </c>
      <c r="C1154" t="s">
        <v>739</v>
      </c>
      <c r="D1154" t="s">
        <v>740</v>
      </c>
      <c r="E1154" t="s">
        <v>743</v>
      </c>
      <c r="F1154" s="37">
        <v>207</v>
      </c>
      <c r="G1154" s="39" t="s">
        <v>144</v>
      </c>
      <c r="H1154" s="40">
        <v>14362</v>
      </c>
      <c r="I1154" s="58">
        <v>68288</v>
      </c>
      <c r="J1154">
        <f>IFERROR(VLOOKUP(G1154,'LEAID Match'!$A$2:$B$526,2,FALSE),"")</f>
        <v>2911010</v>
      </c>
      <c r="K1154" s="68">
        <f t="shared" si="35"/>
        <v>8</v>
      </c>
    </row>
    <row r="1155" spans="1:11" x14ac:dyDescent="0.2">
      <c r="A1155">
        <f t="shared" ref="A1155:A1218" si="36">J1155</f>
        <v>2911010</v>
      </c>
      <c r="B1155">
        <v>2016</v>
      </c>
      <c r="C1155" t="s">
        <v>739</v>
      </c>
      <c r="D1155" t="s">
        <v>740</v>
      </c>
      <c r="E1155" t="s">
        <v>743</v>
      </c>
      <c r="F1155" s="34">
        <v>207</v>
      </c>
      <c r="G1155" s="34" t="s">
        <v>144</v>
      </c>
      <c r="H1155" s="36">
        <v>13890</v>
      </c>
      <c r="I1155" s="60">
        <v>70819</v>
      </c>
      <c r="J1155">
        <f>IFERROR(VLOOKUP(G1155,'LEAID Match'!$A$2:$B$526,2,FALSE),"")</f>
        <v>2911010</v>
      </c>
      <c r="K1155" s="68">
        <f t="shared" ref="K1155:K1218" si="37">COUNTIF($J$2:$J$4295,J1155)</f>
        <v>8</v>
      </c>
    </row>
    <row r="1156" spans="1:11" x14ac:dyDescent="0.2">
      <c r="A1156">
        <f t="shared" si="36"/>
        <v>2911010</v>
      </c>
      <c r="B1156">
        <v>2017</v>
      </c>
      <c r="C1156" t="s">
        <v>739</v>
      </c>
      <c r="D1156" t="s">
        <v>740</v>
      </c>
      <c r="E1156" t="s">
        <v>743</v>
      </c>
      <c r="F1156" s="34">
        <v>207</v>
      </c>
      <c r="G1156" s="34" t="s">
        <v>144</v>
      </c>
      <c r="H1156" s="36">
        <v>14349</v>
      </c>
      <c r="I1156" s="58">
        <v>71515</v>
      </c>
      <c r="J1156">
        <f>IFERROR(VLOOKUP(G1156,'LEAID Match'!$A$2:$B$526,2,FALSE),"")</f>
        <v>2911010</v>
      </c>
      <c r="K1156" s="68">
        <f t="shared" si="37"/>
        <v>8</v>
      </c>
    </row>
    <row r="1157" spans="1:11" x14ac:dyDescent="0.2">
      <c r="A1157">
        <f t="shared" si="36"/>
        <v>2911010</v>
      </c>
      <c r="B1157">
        <v>2018</v>
      </c>
      <c r="C1157" t="s">
        <v>739</v>
      </c>
      <c r="D1157" t="s">
        <v>740</v>
      </c>
      <c r="E1157" t="s">
        <v>743</v>
      </c>
      <c r="F1157" s="34">
        <v>207</v>
      </c>
      <c r="G1157" s="34" t="s">
        <v>144</v>
      </c>
      <c r="H1157" s="36">
        <v>13720</v>
      </c>
      <c r="I1157" s="58">
        <v>67936</v>
      </c>
      <c r="J1157">
        <f>IFERROR(VLOOKUP(G1157,'LEAID Match'!$A$2:$B$526,2,FALSE),"")</f>
        <v>2911010</v>
      </c>
      <c r="K1157" s="68">
        <f t="shared" si="37"/>
        <v>8</v>
      </c>
    </row>
    <row r="1158" spans="1:11" x14ac:dyDescent="0.2">
      <c r="A1158">
        <f t="shared" si="36"/>
        <v>2911010</v>
      </c>
      <c r="B1158">
        <v>2019</v>
      </c>
      <c r="C1158" t="s">
        <v>739</v>
      </c>
      <c r="D1158" t="s">
        <v>740</v>
      </c>
      <c r="E1158" t="s">
        <v>743</v>
      </c>
      <c r="F1158" s="34">
        <v>207</v>
      </c>
      <c r="G1158" s="34" t="s">
        <v>144</v>
      </c>
      <c r="H1158" s="36">
        <v>12889</v>
      </c>
      <c r="I1158" s="58">
        <v>70714</v>
      </c>
      <c r="J1158">
        <f>IFERROR(VLOOKUP(G1158,'LEAID Match'!$A$2:$B$526,2,FALSE),"")</f>
        <v>2911010</v>
      </c>
      <c r="K1158" s="68">
        <f t="shared" si="37"/>
        <v>8</v>
      </c>
    </row>
    <row r="1159" spans="1:11" x14ac:dyDescent="0.2">
      <c r="A1159">
        <f t="shared" si="36"/>
        <v>2911010</v>
      </c>
      <c r="B1159">
        <v>2020</v>
      </c>
      <c r="C1159" t="s">
        <v>739</v>
      </c>
      <c r="D1159" t="s">
        <v>740</v>
      </c>
      <c r="E1159" t="s">
        <v>743</v>
      </c>
      <c r="F1159" s="34">
        <v>207</v>
      </c>
      <c r="G1159" s="34" t="s">
        <v>144</v>
      </c>
      <c r="H1159" s="36">
        <v>11731</v>
      </c>
      <c r="I1159" s="58">
        <v>68554</v>
      </c>
      <c r="J1159">
        <f>IFERROR(VLOOKUP(G1159,'LEAID Match'!$A$2:$B$526,2,FALSE),"")</f>
        <v>2911010</v>
      </c>
      <c r="K1159" s="68">
        <f t="shared" si="37"/>
        <v>8</v>
      </c>
    </row>
    <row r="1160" spans="1:11" x14ac:dyDescent="0.2">
      <c r="A1160">
        <f t="shared" si="36"/>
        <v>2911010</v>
      </c>
      <c r="B1160">
        <v>2021</v>
      </c>
      <c r="C1160" t="s">
        <v>739</v>
      </c>
      <c r="D1160" t="s">
        <v>740</v>
      </c>
      <c r="E1160" t="s">
        <v>743</v>
      </c>
      <c r="F1160" s="34">
        <v>207</v>
      </c>
      <c r="G1160" s="34" t="s">
        <v>144</v>
      </c>
      <c r="H1160" s="36">
        <v>12135</v>
      </c>
      <c r="I1160" s="58">
        <v>64560</v>
      </c>
      <c r="J1160">
        <f>IFERROR(VLOOKUP(G1160,'LEAID Match'!$A$2:$B$526,2,FALSE),"")</f>
        <v>2911010</v>
      </c>
      <c r="K1160" s="68">
        <f t="shared" si="37"/>
        <v>8</v>
      </c>
    </row>
    <row r="1161" spans="1:11" x14ac:dyDescent="0.2">
      <c r="A1161">
        <f t="shared" si="36"/>
        <v>2911010</v>
      </c>
      <c r="B1161">
        <v>2022</v>
      </c>
      <c r="C1161" t="s">
        <v>739</v>
      </c>
      <c r="D1161" t="s">
        <v>740</v>
      </c>
      <c r="E1161" t="s">
        <v>743</v>
      </c>
      <c r="F1161" s="34">
        <v>207</v>
      </c>
      <c r="G1161" s="34" t="s">
        <v>144</v>
      </c>
      <c r="H1161" s="36">
        <v>16356</v>
      </c>
      <c r="I1161" s="58">
        <v>80367</v>
      </c>
      <c r="J1161">
        <f>IFERROR(VLOOKUP(G1161,'LEAID Match'!$A$2:$B$526,2,FALSE),"")</f>
        <v>2911010</v>
      </c>
      <c r="K1161" s="68">
        <f t="shared" si="37"/>
        <v>8</v>
      </c>
    </row>
    <row r="1162" spans="1:11" x14ac:dyDescent="0.2">
      <c r="A1162">
        <f t="shared" si="36"/>
        <v>2911040</v>
      </c>
      <c r="B1162">
        <v>2015</v>
      </c>
      <c r="C1162" t="s">
        <v>739</v>
      </c>
      <c r="D1162" t="s">
        <v>740</v>
      </c>
      <c r="E1162" t="s">
        <v>743</v>
      </c>
      <c r="F1162" s="37">
        <v>208</v>
      </c>
      <c r="G1162" s="39" t="s">
        <v>145</v>
      </c>
      <c r="H1162" s="40">
        <v>11616</v>
      </c>
      <c r="I1162" s="58">
        <v>66742</v>
      </c>
      <c r="J1162">
        <f>IFERROR(VLOOKUP(G1162,'LEAID Match'!$A$2:$B$526,2,FALSE),"")</f>
        <v>2911040</v>
      </c>
      <c r="K1162" s="68">
        <f t="shared" si="37"/>
        <v>8</v>
      </c>
    </row>
    <row r="1163" spans="1:11" x14ac:dyDescent="0.2">
      <c r="A1163">
        <f t="shared" si="36"/>
        <v>2911040</v>
      </c>
      <c r="B1163">
        <v>2016</v>
      </c>
      <c r="C1163" t="s">
        <v>739</v>
      </c>
      <c r="D1163" t="s">
        <v>740</v>
      </c>
      <c r="E1163" t="s">
        <v>743</v>
      </c>
      <c r="F1163" s="34">
        <v>208</v>
      </c>
      <c r="G1163" s="34" t="s">
        <v>145</v>
      </c>
      <c r="H1163" s="36">
        <v>13380</v>
      </c>
      <c r="I1163" s="60">
        <v>67468</v>
      </c>
      <c r="J1163">
        <f>IFERROR(VLOOKUP(G1163,'LEAID Match'!$A$2:$B$526,2,FALSE),"")</f>
        <v>2911040</v>
      </c>
      <c r="K1163" s="68">
        <f t="shared" si="37"/>
        <v>8</v>
      </c>
    </row>
    <row r="1164" spans="1:11" x14ac:dyDescent="0.2">
      <c r="A1164">
        <f t="shared" si="36"/>
        <v>2911040</v>
      </c>
      <c r="B1164">
        <v>2017</v>
      </c>
      <c r="C1164" t="s">
        <v>739</v>
      </c>
      <c r="D1164" t="s">
        <v>740</v>
      </c>
      <c r="E1164" t="s">
        <v>743</v>
      </c>
      <c r="F1164" s="34">
        <v>208</v>
      </c>
      <c r="G1164" s="34" t="s">
        <v>145</v>
      </c>
      <c r="H1164" s="36">
        <v>14002</v>
      </c>
      <c r="I1164" s="58">
        <v>67313</v>
      </c>
      <c r="J1164">
        <f>IFERROR(VLOOKUP(G1164,'LEAID Match'!$A$2:$B$526,2,FALSE),"")</f>
        <v>2911040</v>
      </c>
      <c r="K1164" s="68">
        <f t="shared" si="37"/>
        <v>8</v>
      </c>
    </row>
    <row r="1165" spans="1:11" x14ac:dyDescent="0.2">
      <c r="A1165">
        <f t="shared" si="36"/>
        <v>2911040</v>
      </c>
      <c r="B1165">
        <v>2018</v>
      </c>
      <c r="C1165" t="s">
        <v>739</v>
      </c>
      <c r="D1165" t="s">
        <v>740</v>
      </c>
      <c r="E1165" t="s">
        <v>743</v>
      </c>
      <c r="F1165" s="34">
        <v>208</v>
      </c>
      <c r="G1165" s="34" t="s">
        <v>145</v>
      </c>
      <c r="H1165" s="36">
        <v>14577</v>
      </c>
      <c r="I1165" s="58">
        <v>64775</v>
      </c>
      <c r="J1165">
        <f>IFERROR(VLOOKUP(G1165,'LEAID Match'!$A$2:$B$526,2,FALSE),"")</f>
        <v>2911040</v>
      </c>
      <c r="K1165" s="68">
        <f t="shared" si="37"/>
        <v>8</v>
      </c>
    </row>
    <row r="1166" spans="1:11" x14ac:dyDescent="0.2">
      <c r="A1166">
        <f t="shared" si="36"/>
        <v>2911040</v>
      </c>
      <c r="B1166">
        <v>2019</v>
      </c>
      <c r="C1166" t="s">
        <v>739</v>
      </c>
      <c r="D1166" t="s">
        <v>740</v>
      </c>
      <c r="E1166" t="s">
        <v>743</v>
      </c>
      <c r="F1166" s="34">
        <v>208</v>
      </c>
      <c r="G1166" s="34" t="s">
        <v>145</v>
      </c>
      <c r="H1166" s="36">
        <v>14022</v>
      </c>
      <c r="I1166" s="58">
        <v>62841</v>
      </c>
      <c r="J1166">
        <f>IFERROR(VLOOKUP(G1166,'LEAID Match'!$A$2:$B$526,2,FALSE),"")</f>
        <v>2911040</v>
      </c>
      <c r="K1166" s="68">
        <f t="shared" si="37"/>
        <v>8</v>
      </c>
    </row>
    <row r="1167" spans="1:11" x14ac:dyDescent="0.2">
      <c r="A1167">
        <f t="shared" si="36"/>
        <v>2911040</v>
      </c>
      <c r="B1167">
        <v>2020</v>
      </c>
      <c r="C1167" t="s">
        <v>739</v>
      </c>
      <c r="D1167" t="s">
        <v>740</v>
      </c>
      <c r="E1167" t="s">
        <v>743</v>
      </c>
      <c r="F1167" s="34">
        <v>208</v>
      </c>
      <c r="G1167" s="34" t="s">
        <v>145</v>
      </c>
      <c r="H1167" s="36">
        <v>14438</v>
      </c>
      <c r="I1167" s="58">
        <v>60216</v>
      </c>
      <c r="J1167">
        <f>IFERROR(VLOOKUP(G1167,'LEAID Match'!$A$2:$B$526,2,FALSE),"")</f>
        <v>2911040</v>
      </c>
      <c r="K1167" s="68">
        <f t="shared" si="37"/>
        <v>8</v>
      </c>
    </row>
    <row r="1168" spans="1:11" x14ac:dyDescent="0.2">
      <c r="A1168">
        <f t="shared" si="36"/>
        <v>2911040</v>
      </c>
      <c r="B1168">
        <v>2021</v>
      </c>
      <c r="C1168" t="s">
        <v>739</v>
      </c>
      <c r="D1168" t="s">
        <v>740</v>
      </c>
      <c r="E1168" t="s">
        <v>743</v>
      </c>
      <c r="F1168" s="34">
        <v>208</v>
      </c>
      <c r="G1168" s="34" t="s">
        <v>145</v>
      </c>
      <c r="H1168" s="36">
        <v>15558</v>
      </c>
      <c r="I1168" s="58">
        <v>61224</v>
      </c>
      <c r="J1168">
        <f>IFERROR(VLOOKUP(G1168,'LEAID Match'!$A$2:$B$526,2,FALSE),"")</f>
        <v>2911040</v>
      </c>
      <c r="K1168" s="68">
        <f t="shared" si="37"/>
        <v>8</v>
      </c>
    </row>
    <row r="1169" spans="1:11" x14ac:dyDescent="0.2">
      <c r="A1169">
        <f t="shared" si="36"/>
        <v>2911040</v>
      </c>
      <c r="B1169">
        <v>2022</v>
      </c>
      <c r="C1169" t="s">
        <v>739</v>
      </c>
      <c r="D1169" t="s">
        <v>740</v>
      </c>
      <c r="E1169" t="s">
        <v>743</v>
      </c>
      <c r="F1169" s="34">
        <v>208</v>
      </c>
      <c r="G1169" s="34" t="s">
        <v>145</v>
      </c>
      <c r="H1169" s="36">
        <v>16085</v>
      </c>
      <c r="I1169" s="58">
        <v>54012</v>
      </c>
      <c r="J1169">
        <f>IFERROR(VLOOKUP(G1169,'LEAID Match'!$A$2:$B$526,2,FALSE),"")</f>
        <v>2911040</v>
      </c>
      <c r="K1169" s="68">
        <f t="shared" si="37"/>
        <v>8</v>
      </c>
    </row>
    <row r="1170" spans="1:11" x14ac:dyDescent="0.2">
      <c r="A1170">
        <f t="shared" si="36"/>
        <v>2919890</v>
      </c>
      <c r="B1170">
        <v>2015</v>
      </c>
      <c r="C1170" t="s">
        <v>739</v>
      </c>
      <c r="D1170" t="s">
        <v>740</v>
      </c>
      <c r="E1170" t="s">
        <v>743</v>
      </c>
      <c r="F1170" s="37">
        <v>209</v>
      </c>
      <c r="G1170" s="39" t="s">
        <v>146</v>
      </c>
      <c r="H1170" s="40">
        <v>114008</v>
      </c>
      <c r="I1170" s="58">
        <v>695445</v>
      </c>
      <c r="J1170">
        <f>IFERROR(VLOOKUP(G1170,'LEAID Match'!$A$2:$B$526,2,FALSE),"")</f>
        <v>2919890</v>
      </c>
      <c r="K1170" s="68">
        <f t="shared" si="37"/>
        <v>8</v>
      </c>
    </row>
    <row r="1171" spans="1:11" x14ac:dyDescent="0.2">
      <c r="A1171">
        <f t="shared" si="36"/>
        <v>2919890</v>
      </c>
      <c r="B1171">
        <v>2016</v>
      </c>
      <c r="C1171" t="s">
        <v>739</v>
      </c>
      <c r="D1171" t="s">
        <v>740</v>
      </c>
      <c r="E1171" t="s">
        <v>743</v>
      </c>
      <c r="F1171" s="34">
        <v>209</v>
      </c>
      <c r="G1171" s="34" t="s">
        <v>146</v>
      </c>
      <c r="H1171" s="36">
        <v>117205</v>
      </c>
      <c r="I1171" s="60">
        <v>693380</v>
      </c>
      <c r="J1171">
        <f>IFERROR(VLOOKUP(G1171,'LEAID Match'!$A$2:$B$526,2,FALSE),"")</f>
        <v>2919890</v>
      </c>
      <c r="K1171" s="68">
        <f t="shared" si="37"/>
        <v>8</v>
      </c>
    </row>
    <row r="1172" spans="1:11" x14ac:dyDescent="0.2">
      <c r="A1172">
        <f t="shared" si="36"/>
        <v>2919890</v>
      </c>
      <c r="B1172">
        <v>2017</v>
      </c>
      <c r="C1172" t="s">
        <v>739</v>
      </c>
      <c r="D1172" t="s">
        <v>740</v>
      </c>
      <c r="E1172" t="s">
        <v>743</v>
      </c>
      <c r="F1172" s="34">
        <v>209</v>
      </c>
      <c r="G1172" s="34" t="s">
        <v>146</v>
      </c>
      <c r="H1172" s="36">
        <v>117597</v>
      </c>
      <c r="I1172" s="58">
        <v>662861</v>
      </c>
      <c r="J1172">
        <f>IFERROR(VLOOKUP(G1172,'LEAID Match'!$A$2:$B$526,2,FALSE),"")</f>
        <v>2919890</v>
      </c>
      <c r="K1172" s="68">
        <f t="shared" si="37"/>
        <v>8</v>
      </c>
    </row>
    <row r="1173" spans="1:11" x14ac:dyDescent="0.2">
      <c r="A1173">
        <f t="shared" si="36"/>
        <v>2919890</v>
      </c>
      <c r="B1173">
        <v>2018</v>
      </c>
      <c r="C1173" t="s">
        <v>739</v>
      </c>
      <c r="D1173" t="s">
        <v>740</v>
      </c>
      <c r="E1173" t="s">
        <v>743</v>
      </c>
      <c r="F1173" s="34">
        <v>209</v>
      </c>
      <c r="G1173" s="34" t="s">
        <v>146</v>
      </c>
      <c r="H1173" s="36">
        <v>125465</v>
      </c>
      <c r="I1173" s="58">
        <v>678088</v>
      </c>
      <c r="J1173">
        <f>IFERROR(VLOOKUP(G1173,'LEAID Match'!$A$2:$B$526,2,FALSE),"")</f>
        <v>2919890</v>
      </c>
      <c r="K1173" s="68">
        <f t="shared" si="37"/>
        <v>8</v>
      </c>
    </row>
    <row r="1174" spans="1:11" x14ac:dyDescent="0.2">
      <c r="A1174">
        <f t="shared" si="36"/>
        <v>2919890</v>
      </c>
      <c r="B1174">
        <v>2019</v>
      </c>
      <c r="C1174" t="s">
        <v>739</v>
      </c>
      <c r="D1174" t="s">
        <v>740</v>
      </c>
      <c r="E1174" t="s">
        <v>743</v>
      </c>
      <c r="F1174" s="34">
        <v>209</v>
      </c>
      <c r="G1174" s="34" t="s">
        <v>146</v>
      </c>
      <c r="H1174" s="36">
        <v>119350</v>
      </c>
      <c r="I1174" s="58">
        <v>681654</v>
      </c>
      <c r="J1174">
        <f>IFERROR(VLOOKUP(G1174,'LEAID Match'!$A$2:$B$526,2,FALSE),"")</f>
        <v>2919890</v>
      </c>
      <c r="K1174" s="68">
        <f t="shared" si="37"/>
        <v>8</v>
      </c>
    </row>
    <row r="1175" spans="1:11" x14ac:dyDescent="0.2">
      <c r="A1175">
        <f t="shared" si="36"/>
        <v>2919890</v>
      </c>
      <c r="B1175">
        <v>2020</v>
      </c>
      <c r="C1175" t="s">
        <v>739</v>
      </c>
      <c r="D1175" t="s">
        <v>740</v>
      </c>
      <c r="E1175" t="s">
        <v>743</v>
      </c>
      <c r="F1175" s="34">
        <v>209</v>
      </c>
      <c r="G1175" s="34" t="s">
        <v>146</v>
      </c>
      <c r="H1175" s="36">
        <v>100667</v>
      </c>
      <c r="I1175" s="58">
        <v>593602</v>
      </c>
      <c r="J1175">
        <f>IFERROR(VLOOKUP(G1175,'LEAID Match'!$A$2:$B$526,2,FALSE),"")</f>
        <v>2919890</v>
      </c>
      <c r="K1175" s="68">
        <f t="shared" si="37"/>
        <v>8</v>
      </c>
    </row>
    <row r="1176" spans="1:11" x14ac:dyDescent="0.2">
      <c r="A1176">
        <f t="shared" si="36"/>
        <v>2919890</v>
      </c>
      <c r="B1176">
        <v>2021</v>
      </c>
      <c r="C1176" t="s">
        <v>739</v>
      </c>
      <c r="D1176" t="s">
        <v>740</v>
      </c>
      <c r="E1176" t="s">
        <v>743</v>
      </c>
      <c r="F1176" s="34">
        <v>209</v>
      </c>
      <c r="G1176" s="34" t="s">
        <v>146</v>
      </c>
      <c r="H1176" s="36">
        <v>117543</v>
      </c>
      <c r="I1176" s="58">
        <v>642681</v>
      </c>
      <c r="J1176">
        <f>IFERROR(VLOOKUP(G1176,'LEAID Match'!$A$2:$B$526,2,FALSE),"")</f>
        <v>2919890</v>
      </c>
      <c r="K1176" s="68">
        <f t="shared" si="37"/>
        <v>8</v>
      </c>
    </row>
    <row r="1177" spans="1:11" x14ac:dyDescent="0.2">
      <c r="A1177">
        <f t="shared" si="36"/>
        <v>2919890</v>
      </c>
      <c r="B1177">
        <v>2022</v>
      </c>
      <c r="C1177" t="s">
        <v>739</v>
      </c>
      <c r="D1177" t="s">
        <v>740</v>
      </c>
      <c r="E1177" t="s">
        <v>743</v>
      </c>
      <c r="F1177" s="34">
        <v>209</v>
      </c>
      <c r="G1177" s="34" t="s">
        <v>146</v>
      </c>
      <c r="H1177" s="36">
        <v>117685</v>
      </c>
      <c r="I1177" s="58">
        <v>656575</v>
      </c>
      <c r="J1177">
        <f>IFERROR(VLOOKUP(G1177,'LEAID Match'!$A$2:$B$526,2,FALSE),"")</f>
        <v>2919890</v>
      </c>
      <c r="K1177" s="68">
        <f t="shared" si="37"/>
        <v>8</v>
      </c>
    </row>
    <row r="1178" spans="1:11" x14ac:dyDescent="0.2">
      <c r="A1178">
        <f t="shared" si="36"/>
        <v>2907050</v>
      </c>
      <c r="B1178">
        <v>2015</v>
      </c>
      <c r="C1178" t="s">
        <v>739</v>
      </c>
      <c r="D1178" t="s">
        <v>740</v>
      </c>
      <c r="E1178" t="s">
        <v>743</v>
      </c>
      <c r="F1178" s="37">
        <v>210</v>
      </c>
      <c r="G1178" s="39" t="s">
        <v>147</v>
      </c>
      <c r="H1178" s="40">
        <v>46505</v>
      </c>
      <c r="I1178" s="58">
        <v>370190</v>
      </c>
      <c r="J1178">
        <f>IFERROR(VLOOKUP(G1178,'LEAID Match'!$A$2:$B$526,2,FALSE),"")</f>
        <v>2907050</v>
      </c>
      <c r="K1178" s="68">
        <f t="shared" si="37"/>
        <v>8</v>
      </c>
    </row>
    <row r="1179" spans="1:11" x14ac:dyDescent="0.2">
      <c r="A1179">
        <f t="shared" si="36"/>
        <v>2907050</v>
      </c>
      <c r="B1179">
        <v>2016</v>
      </c>
      <c r="C1179" t="s">
        <v>739</v>
      </c>
      <c r="D1179" t="s">
        <v>740</v>
      </c>
      <c r="E1179" t="s">
        <v>743</v>
      </c>
      <c r="F1179" s="34">
        <v>210</v>
      </c>
      <c r="G1179" s="34" t="s">
        <v>147</v>
      </c>
      <c r="H1179" s="36">
        <v>55620</v>
      </c>
      <c r="I1179" s="60">
        <v>373350</v>
      </c>
      <c r="J1179">
        <f>IFERROR(VLOOKUP(G1179,'LEAID Match'!$A$2:$B$526,2,FALSE),"")</f>
        <v>2907050</v>
      </c>
      <c r="K1179" s="68">
        <f t="shared" si="37"/>
        <v>8</v>
      </c>
    </row>
    <row r="1180" spans="1:11" x14ac:dyDescent="0.2">
      <c r="A1180">
        <f t="shared" si="36"/>
        <v>2907050</v>
      </c>
      <c r="B1180">
        <v>2017</v>
      </c>
      <c r="C1180" t="s">
        <v>739</v>
      </c>
      <c r="D1180" t="s">
        <v>740</v>
      </c>
      <c r="E1180" t="s">
        <v>743</v>
      </c>
      <c r="F1180" s="34">
        <v>210</v>
      </c>
      <c r="G1180" s="34" t="s">
        <v>147</v>
      </c>
      <c r="H1180" s="36">
        <v>56325</v>
      </c>
      <c r="I1180" s="58">
        <v>374970</v>
      </c>
      <c r="J1180">
        <f>IFERROR(VLOOKUP(G1180,'LEAID Match'!$A$2:$B$526,2,FALSE),"")</f>
        <v>2907050</v>
      </c>
      <c r="K1180" s="68">
        <f t="shared" si="37"/>
        <v>8</v>
      </c>
    </row>
    <row r="1181" spans="1:11" x14ac:dyDescent="0.2">
      <c r="A1181">
        <f t="shared" si="36"/>
        <v>2907050</v>
      </c>
      <c r="B1181">
        <v>2018</v>
      </c>
      <c r="C1181" t="s">
        <v>739</v>
      </c>
      <c r="D1181" t="s">
        <v>740</v>
      </c>
      <c r="E1181" t="s">
        <v>743</v>
      </c>
      <c r="F1181" s="34">
        <v>210</v>
      </c>
      <c r="G1181" s="34" t="s">
        <v>147</v>
      </c>
      <c r="H1181" s="36">
        <v>58991</v>
      </c>
      <c r="I1181" s="58">
        <v>365411</v>
      </c>
      <c r="J1181">
        <f>IFERROR(VLOOKUP(G1181,'LEAID Match'!$A$2:$B$526,2,FALSE),"")</f>
        <v>2907050</v>
      </c>
      <c r="K1181" s="68">
        <f t="shared" si="37"/>
        <v>8</v>
      </c>
    </row>
    <row r="1182" spans="1:11" x14ac:dyDescent="0.2">
      <c r="A1182">
        <f t="shared" si="36"/>
        <v>2907050</v>
      </c>
      <c r="B1182">
        <v>2019</v>
      </c>
      <c r="C1182" t="s">
        <v>739</v>
      </c>
      <c r="D1182" t="s">
        <v>740</v>
      </c>
      <c r="E1182" t="s">
        <v>743</v>
      </c>
      <c r="F1182" s="34">
        <v>210</v>
      </c>
      <c r="G1182" s="34" t="s">
        <v>147</v>
      </c>
      <c r="H1182" s="36">
        <v>58582</v>
      </c>
      <c r="I1182" s="58">
        <v>372630</v>
      </c>
      <c r="J1182">
        <f>IFERROR(VLOOKUP(G1182,'LEAID Match'!$A$2:$B$526,2,FALSE),"")</f>
        <v>2907050</v>
      </c>
      <c r="K1182" s="68">
        <f t="shared" si="37"/>
        <v>8</v>
      </c>
    </row>
    <row r="1183" spans="1:11" x14ac:dyDescent="0.2">
      <c r="A1183">
        <f t="shared" si="36"/>
        <v>2907050</v>
      </c>
      <c r="B1183">
        <v>2020</v>
      </c>
      <c r="C1183" t="s">
        <v>739</v>
      </c>
      <c r="D1183" t="s">
        <v>740</v>
      </c>
      <c r="E1183" t="s">
        <v>743</v>
      </c>
      <c r="F1183" s="34">
        <v>210</v>
      </c>
      <c r="G1183" s="34" t="s">
        <v>147</v>
      </c>
      <c r="H1183" s="36">
        <v>53612</v>
      </c>
      <c r="I1183" s="58">
        <v>368335</v>
      </c>
      <c r="J1183">
        <f>IFERROR(VLOOKUP(G1183,'LEAID Match'!$A$2:$B$526,2,FALSE),"")</f>
        <v>2907050</v>
      </c>
      <c r="K1183" s="68">
        <f t="shared" si="37"/>
        <v>8</v>
      </c>
    </row>
    <row r="1184" spans="1:11" x14ac:dyDescent="0.2">
      <c r="A1184">
        <f t="shared" si="36"/>
        <v>2907050</v>
      </c>
      <c r="B1184">
        <v>2021</v>
      </c>
      <c r="C1184" t="s">
        <v>739</v>
      </c>
      <c r="D1184" t="s">
        <v>740</v>
      </c>
      <c r="E1184" t="s">
        <v>743</v>
      </c>
      <c r="F1184" s="34">
        <v>210</v>
      </c>
      <c r="G1184" s="34" t="s">
        <v>147</v>
      </c>
      <c r="H1184" s="36">
        <v>54370</v>
      </c>
      <c r="I1184" s="58">
        <v>353585</v>
      </c>
      <c r="J1184">
        <f>IFERROR(VLOOKUP(G1184,'LEAID Match'!$A$2:$B$526,2,FALSE),"")</f>
        <v>2907050</v>
      </c>
      <c r="K1184" s="68">
        <f t="shared" si="37"/>
        <v>8</v>
      </c>
    </row>
    <row r="1185" spans="1:11" x14ac:dyDescent="0.2">
      <c r="A1185">
        <f t="shared" si="36"/>
        <v>2907050</v>
      </c>
      <c r="B1185">
        <v>2022</v>
      </c>
      <c r="C1185" t="s">
        <v>739</v>
      </c>
      <c r="D1185" t="s">
        <v>740</v>
      </c>
      <c r="E1185" t="s">
        <v>743</v>
      </c>
      <c r="F1185" s="34">
        <v>210</v>
      </c>
      <c r="G1185" s="34" t="s">
        <v>147</v>
      </c>
      <c r="H1185" s="36">
        <v>50937</v>
      </c>
      <c r="I1185" s="58">
        <v>358034</v>
      </c>
      <c r="J1185">
        <f>IFERROR(VLOOKUP(G1185,'LEAID Match'!$A$2:$B$526,2,FALSE),"")</f>
        <v>2907050</v>
      </c>
      <c r="K1185" s="68">
        <f t="shared" si="37"/>
        <v>8</v>
      </c>
    </row>
    <row r="1186" spans="1:11" x14ac:dyDescent="0.2">
      <c r="A1186">
        <f t="shared" si="36"/>
        <v>2914460</v>
      </c>
      <c r="B1186">
        <v>2015</v>
      </c>
      <c r="C1186" t="s">
        <v>739</v>
      </c>
      <c r="D1186" t="s">
        <v>740</v>
      </c>
      <c r="E1186" t="s">
        <v>743</v>
      </c>
      <c r="F1186" s="37">
        <v>211</v>
      </c>
      <c r="G1186" s="39" t="s">
        <v>148</v>
      </c>
      <c r="H1186" s="40">
        <v>46536</v>
      </c>
      <c r="I1186" s="58">
        <v>353007</v>
      </c>
      <c r="J1186">
        <f>IFERROR(VLOOKUP(G1186,'LEAID Match'!$A$2:$B$526,2,FALSE),"")</f>
        <v>2914460</v>
      </c>
      <c r="K1186" s="68">
        <f t="shared" si="37"/>
        <v>8</v>
      </c>
    </row>
    <row r="1187" spans="1:11" x14ac:dyDescent="0.2">
      <c r="A1187">
        <f t="shared" si="36"/>
        <v>2914460</v>
      </c>
      <c r="B1187">
        <v>2016</v>
      </c>
      <c r="C1187" t="s">
        <v>739</v>
      </c>
      <c r="D1187" t="s">
        <v>740</v>
      </c>
      <c r="E1187" t="s">
        <v>743</v>
      </c>
      <c r="F1187" s="34">
        <v>211</v>
      </c>
      <c r="G1187" s="34" t="s">
        <v>148</v>
      </c>
      <c r="H1187" s="36">
        <v>46064</v>
      </c>
      <c r="I1187" s="60">
        <v>360328</v>
      </c>
      <c r="J1187">
        <f>IFERROR(VLOOKUP(G1187,'LEAID Match'!$A$2:$B$526,2,FALSE),"")</f>
        <v>2914460</v>
      </c>
      <c r="K1187" s="68">
        <f t="shared" si="37"/>
        <v>8</v>
      </c>
    </row>
    <row r="1188" spans="1:11" x14ac:dyDescent="0.2">
      <c r="A1188">
        <f t="shared" si="36"/>
        <v>2914460</v>
      </c>
      <c r="B1188">
        <v>2017</v>
      </c>
      <c r="C1188" t="s">
        <v>739</v>
      </c>
      <c r="D1188" t="s">
        <v>740</v>
      </c>
      <c r="E1188" t="s">
        <v>743</v>
      </c>
      <c r="F1188" s="34">
        <v>211</v>
      </c>
      <c r="G1188" s="34" t="s">
        <v>148</v>
      </c>
      <c r="H1188" s="36">
        <v>44972</v>
      </c>
      <c r="I1188" s="58">
        <v>336129</v>
      </c>
      <c r="J1188">
        <f>IFERROR(VLOOKUP(G1188,'LEAID Match'!$A$2:$B$526,2,FALSE),"")</f>
        <v>2914460</v>
      </c>
      <c r="K1188" s="68">
        <f t="shared" si="37"/>
        <v>8</v>
      </c>
    </row>
    <row r="1189" spans="1:11" x14ac:dyDescent="0.2">
      <c r="A1189">
        <f t="shared" si="36"/>
        <v>2914460</v>
      </c>
      <c r="B1189">
        <v>2018</v>
      </c>
      <c r="C1189" t="s">
        <v>739</v>
      </c>
      <c r="D1189" t="s">
        <v>740</v>
      </c>
      <c r="E1189" t="s">
        <v>743</v>
      </c>
      <c r="F1189" s="34">
        <v>211</v>
      </c>
      <c r="G1189" s="34" t="s">
        <v>148</v>
      </c>
      <c r="H1189" s="36">
        <v>45375</v>
      </c>
      <c r="I1189" s="58">
        <v>339016</v>
      </c>
      <c r="J1189">
        <f>IFERROR(VLOOKUP(G1189,'LEAID Match'!$A$2:$B$526,2,FALSE),"")</f>
        <v>2914460</v>
      </c>
      <c r="K1189" s="68">
        <f t="shared" si="37"/>
        <v>8</v>
      </c>
    </row>
    <row r="1190" spans="1:11" x14ac:dyDescent="0.2">
      <c r="A1190">
        <f t="shared" si="36"/>
        <v>2914460</v>
      </c>
      <c r="B1190">
        <v>2019</v>
      </c>
      <c r="C1190" t="s">
        <v>739</v>
      </c>
      <c r="D1190" t="s">
        <v>740</v>
      </c>
      <c r="E1190" t="s">
        <v>743</v>
      </c>
      <c r="F1190" s="34">
        <v>211</v>
      </c>
      <c r="G1190" s="34" t="s">
        <v>148</v>
      </c>
      <c r="H1190" s="36">
        <v>48906</v>
      </c>
      <c r="I1190" s="58">
        <v>347509</v>
      </c>
      <c r="J1190">
        <f>IFERROR(VLOOKUP(G1190,'LEAID Match'!$A$2:$B$526,2,FALSE),"")</f>
        <v>2914460</v>
      </c>
      <c r="K1190" s="68">
        <f t="shared" si="37"/>
        <v>8</v>
      </c>
    </row>
    <row r="1191" spans="1:11" x14ac:dyDescent="0.2">
      <c r="A1191">
        <f t="shared" si="36"/>
        <v>2914460</v>
      </c>
      <c r="B1191">
        <v>2020</v>
      </c>
      <c r="C1191" t="s">
        <v>739</v>
      </c>
      <c r="D1191" t="s">
        <v>740</v>
      </c>
      <c r="E1191" t="s">
        <v>743</v>
      </c>
      <c r="F1191" s="34">
        <v>211</v>
      </c>
      <c r="G1191" s="34" t="s">
        <v>148</v>
      </c>
      <c r="H1191" s="36">
        <v>53892</v>
      </c>
      <c r="I1191" s="58">
        <v>332288</v>
      </c>
      <c r="J1191">
        <f>IFERROR(VLOOKUP(G1191,'LEAID Match'!$A$2:$B$526,2,FALSE),"")</f>
        <v>2914460</v>
      </c>
      <c r="K1191" s="68">
        <f t="shared" si="37"/>
        <v>8</v>
      </c>
    </row>
    <row r="1192" spans="1:11" x14ac:dyDescent="0.2">
      <c r="A1192">
        <f t="shared" si="36"/>
        <v>2914460</v>
      </c>
      <c r="B1192">
        <v>2021</v>
      </c>
      <c r="C1192" t="s">
        <v>739</v>
      </c>
      <c r="D1192" t="s">
        <v>740</v>
      </c>
      <c r="E1192" t="s">
        <v>743</v>
      </c>
      <c r="F1192" s="34">
        <v>211</v>
      </c>
      <c r="G1192" s="34" t="s">
        <v>148</v>
      </c>
      <c r="H1192" s="36">
        <v>56699</v>
      </c>
      <c r="I1192" s="58">
        <v>360496</v>
      </c>
      <c r="J1192">
        <f>IFERROR(VLOOKUP(G1192,'LEAID Match'!$A$2:$B$526,2,FALSE),"")</f>
        <v>2914460</v>
      </c>
      <c r="K1192" s="68">
        <f t="shared" si="37"/>
        <v>8</v>
      </c>
    </row>
    <row r="1193" spans="1:11" x14ac:dyDescent="0.2">
      <c r="A1193">
        <f t="shared" si="36"/>
        <v>2914460</v>
      </c>
      <c r="B1193">
        <v>2022</v>
      </c>
      <c r="C1193" t="s">
        <v>739</v>
      </c>
      <c r="D1193" t="s">
        <v>740</v>
      </c>
      <c r="E1193" t="s">
        <v>743</v>
      </c>
      <c r="F1193" s="34">
        <v>211</v>
      </c>
      <c r="G1193" s="34" t="s">
        <v>148</v>
      </c>
      <c r="H1193" s="36">
        <v>50859</v>
      </c>
      <c r="I1193" s="58">
        <v>342537</v>
      </c>
      <c r="J1193">
        <f>IFERROR(VLOOKUP(G1193,'LEAID Match'!$A$2:$B$526,2,FALSE),"")</f>
        <v>2914460</v>
      </c>
      <c r="K1193" s="68">
        <f t="shared" si="37"/>
        <v>8</v>
      </c>
    </row>
    <row r="1194" spans="1:11" x14ac:dyDescent="0.2">
      <c r="A1194">
        <f t="shared" si="36"/>
        <v>2909120</v>
      </c>
      <c r="B1194">
        <v>2015</v>
      </c>
      <c r="C1194" t="s">
        <v>739</v>
      </c>
      <c r="D1194" t="s">
        <v>740</v>
      </c>
      <c r="E1194" t="s">
        <v>743</v>
      </c>
      <c r="F1194" s="37">
        <v>212</v>
      </c>
      <c r="G1194" s="39" t="s">
        <v>149</v>
      </c>
      <c r="H1194" s="40">
        <v>27913</v>
      </c>
      <c r="I1194" s="58">
        <v>189745</v>
      </c>
      <c r="J1194">
        <f>IFERROR(VLOOKUP(G1194,'LEAID Match'!$A$2:$B$526,2,FALSE),"")</f>
        <v>2909120</v>
      </c>
      <c r="K1194" s="68">
        <f t="shared" si="37"/>
        <v>8</v>
      </c>
    </row>
    <row r="1195" spans="1:11" x14ac:dyDescent="0.2">
      <c r="A1195">
        <f t="shared" si="36"/>
        <v>2909120</v>
      </c>
      <c r="B1195">
        <v>2016</v>
      </c>
      <c r="C1195" t="s">
        <v>739</v>
      </c>
      <c r="D1195" t="s">
        <v>740</v>
      </c>
      <c r="E1195" t="s">
        <v>743</v>
      </c>
      <c r="F1195" s="34">
        <v>212</v>
      </c>
      <c r="G1195" s="34" t="s">
        <v>149</v>
      </c>
      <c r="H1195" s="36">
        <v>24632</v>
      </c>
      <c r="I1195" s="60">
        <v>189206</v>
      </c>
      <c r="J1195">
        <f>IFERROR(VLOOKUP(G1195,'LEAID Match'!$A$2:$B$526,2,FALSE),"")</f>
        <v>2909120</v>
      </c>
      <c r="K1195" s="68">
        <f t="shared" si="37"/>
        <v>8</v>
      </c>
    </row>
    <row r="1196" spans="1:11" x14ac:dyDescent="0.2">
      <c r="A1196">
        <f t="shared" si="36"/>
        <v>2909120</v>
      </c>
      <c r="B1196">
        <v>2017</v>
      </c>
      <c r="C1196" t="s">
        <v>739</v>
      </c>
      <c r="D1196" t="s">
        <v>740</v>
      </c>
      <c r="E1196" t="s">
        <v>743</v>
      </c>
      <c r="F1196" s="34">
        <v>212</v>
      </c>
      <c r="G1196" s="34" t="s">
        <v>149</v>
      </c>
      <c r="H1196" s="36">
        <v>29781</v>
      </c>
      <c r="I1196" s="58">
        <v>203232</v>
      </c>
      <c r="J1196">
        <f>IFERROR(VLOOKUP(G1196,'LEAID Match'!$A$2:$B$526,2,FALSE),"")</f>
        <v>2909120</v>
      </c>
      <c r="K1196" s="68">
        <f t="shared" si="37"/>
        <v>8</v>
      </c>
    </row>
    <row r="1197" spans="1:11" x14ac:dyDescent="0.2">
      <c r="A1197">
        <f t="shared" si="36"/>
        <v>2909120</v>
      </c>
      <c r="B1197">
        <v>2018</v>
      </c>
      <c r="C1197" t="s">
        <v>739</v>
      </c>
      <c r="D1197" t="s">
        <v>740</v>
      </c>
      <c r="E1197" t="s">
        <v>743</v>
      </c>
      <c r="F1197" s="34">
        <v>212</v>
      </c>
      <c r="G1197" s="34" t="s">
        <v>149</v>
      </c>
      <c r="H1197" s="36">
        <v>35872</v>
      </c>
      <c r="I1197" s="58">
        <v>210831</v>
      </c>
      <c r="J1197">
        <f>IFERROR(VLOOKUP(G1197,'LEAID Match'!$A$2:$B$526,2,FALSE),"")</f>
        <v>2909120</v>
      </c>
      <c r="K1197" s="68">
        <f t="shared" si="37"/>
        <v>8</v>
      </c>
    </row>
    <row r="1198" spans="1:11" x14ac:dyDescent="0.2">
      <c r="A1198">
        <f t="shared" si="36"/>
        <v>2909120</v>
      </c>
      <c r="B1198">
        <v>2019</v>
      </c>
      <c r="C1198" t="s">
        <v>739</v>
      </c>
      <c r="D1198" t="s">
        <v>740</v>
      </c>
      <c r="E1198" t="s">
        <v>743</v>
      </c>
      <c r="F1198" s="34">
        <v>212</v>
      </c>
      <c r="G1198" s="34" t="s">
        <v>149</v>
      </c>
      <c r="H1198" s="36">
        <v>34595</v>
      </c>
      <c r="I1198" s="58">
        <v>226654</v>
      </c>
      <c r="J1198">
        <f>IFERROR(VLOOKUP(G1198,'LEAID Match'!$A$2:$B$526,2,FALSE),"")</f>
        <v>2909120</v>
      </c>
      <c r="K1198" s="68">
        <f t="shared" si="37"/>
        <v>8</v>
      </c>
    </row>
    <row r="1199" spans="1:11" x14ac:dyDescent="0.2">
      <c r="A1199">
        <f t="shared" si="36"/>
        <v>2909120</v>
      </c>
      <c r="B1199">
        <v>2020</v>
      </c>
      <c r="C1199" t="s">
        <v>739</v>
      </c>
      <c r="D1199" t="s">
        <v>740</v>
      </c>
      <c r="E1199" t="s">
        <v>743</v>
      </c>
      <c r="F1199" s="34">
        <v>212</v>
      </c>
      <c r="G1199" s="34" t="s">
        <v>149</v>
      </c>
      <c r="H1199" s="36">
        <v>51892</v>
      </c>
      <c r="I1199" s="58">
        <v>210371</v>
      </c>
      <c r="J1199">
        <f>IFERROR(VLOOKUP(G1199,'LEAID Match'!$A$2:$B$526,2,FALSE),"")</f>
        <v>2909120</v>
      </c>
      <c r="K1199" s="68">
        <f t="shared" si="37"/>
        <v>8</v>
      </c>
    </row>
    <row r="1200" spans="1:11" x14ac:dyDescent="0.2">
      <c r="A1200">
        <f t="shared" si="36"/>
        <v>2909120</v>
      </c>
      <c r="B1200">
        <v>2021</v>
      </c>
      <c r="C1200" t="s">
        <v>739</v>
      </c>
      <c r="D1200" t="s">
        <v>740</v>
      </c>
      <c r="E1200" t="s">
        <v>743</v>
      </c>
      <c r="F1200" s="34">
        <v>212</v>
      </c>
      <c r="G1200" s="34" t="s">
        <v>149</v>
      </c>
      <c r="H1200" s="36">
        <v>51323</v>
      </c>
      <c r="I1200" s="58">
        <v>223953</v>
      </c>
      <c r="J1200">
        <f>IFERROR(VLOOKUP(G1200,'LEAID Match'!$A$2:$B$526,2,FALSE),"")</f>
        <v>2909120</v>
      </c>
      <c r="K1200" s="68">
        <f t="shared" si="37"/>
        <v>8</v>
      </c>
    </row>
    <row r="1201" spans="1:11" x14ac:dyDescent="0.2">
      <c r="A1201">
        <f t="shared" si="36"/>
        <v>2909120</v>
      </c>
      <c r="B1201">
        <v>2022</v>
      </c>
      <c r="C1201" t="s">
        <v>739</v>
      </c>
      <c r="D1201" t="s">
        <v>740</v>
      </c>
      <c r="E1201" t="s">
        <v>743</v>
      </c>
      <c r="F1201" s="34">
        <v>212</v>
      </c>
      <c r="G1201" s="34" t="s">
        <v>149</v>
      </c>
      <c r="H1201" s="36">
        <v>56221</v>
      </c>
      <c r="I1201" s="58">
        <v>237193</v>
      </c>
      <c r="J1201">
        <f>IFERROR(VLOOKUP(G1201,'LEAID Match'!$A$2:$B$526,2,FALSE),"")</f>
        <v>2909120</v>
      </c>
      <c r="K1201" s="68">
        <f t="shared" si="37"/>
        <v>8</v>
      </c>
    </row>
    <row r="1202" spans="1:11" x14ac:dyDescent="0.2">
      <c r="A1202">
        <f t="shared" si="36"/>
        <v>2927870</v>
      </c>
      <c r="B1202">
        <v>2015</v>
      </c>
      <c r="C1202" t="s">
        <v>739</v>
      </c>
      <c r="D1202" t="s">
        <v>740</v>
      </c>
      <c r="E1202" t="s">
        <v>743</v>
      </c>
      <c r="F1202" s="37">
        <v>213</v>
      </c>
      <c r="G1202" s="39" t="s">
        <v>150</v>
      </c>
      <c r="H1202" s="40">
        <v>73601</v>
      </c>
      <c r="I1202" s="58">
        <v>494939</v>
      </c>
      <c r="J1202">
        <f>IFERROR(VLOOKUP(G1202,'LEAID Match'!$A$2:$B$526,2,FALSE),"")</f>
        <v>2927870</v>
      </c>
      <c r="K1202" s="68">
        <f t="shared" si="37"/>
        <v>8</v>
      </c>
    </row>
    <row r="1203" spans="1:11" x14ac:dyDescent="0.2">
      <c r="A1203">
        <f t="shared" si="36"/>
        <v>2927870</v>
      </c>
      <c r="B1203">
        <v>2016</v>
      </c>
      <c r="C1203" t="s">
        <v>739</v>
      </c>
      <c r="D1203" t="s">
        <v>740</v>
      </c>
      <c r="E1203" t="s">
        <v>743</v>
      </c>
      <c r="F1203" s="34">
        <v>213</v>
      </c>
      <c r="G1203" s="34" t="s">
        <v>150</v>
      </c>
      <c r="H1203" s="36">
        <v>73726</v>
      </c>
      <c r="I1203" s="60">
        <v>487069</v>
      </c>
      <c r="J1203">
        <f>IFERROR(VLOOKUP(G1203,'LEAID Match'!$A$2:$B$526,2,FALSE),"")</f>
        <v>2927870</v>
      </c>
      <c r="K1203" s="68">
        <f t="shared" si="37"/>
        <v>8</v>
      </c>
    </row>
    <row r="1204" spans="1:11" x14ac:dyDescent="0.2">
      <c r="A1204">
        <f t="shared" si="36"/>
        <v>2927870</v>
      </c>
      <c r="B1204">
        <v>2017</v>
      </c>
      <c r="C1204" t="s">
        <v>739</v>
      </c>
      <c r="D1204" t="s">
        <v>740</v>
      </c>
      <c r="E1204" t="s">
        <v>743</v>
      </c>
      <c r="F1204" s="34">
        <v>213</v>
      </c>
      <c r="G1204" s="34" t="s">
        <v>150</v>
      </c>
      <c r="H1204" s="36">
        <v>70844</v>
      </c>
      <c r="I1204" s="58">
        <v>495693</v>
      </c>
      <c r="J1204">
        <f>IFERROR(VLOOKUP(G1204,'LEAID Match'!$A$2:$B$526,2,FALSE),"")</f>
        <v>2927870</v>
      </c>
      <c r="K1204" s="68">
        <f t="shared" si="37"/>
        <v>8</v>
      </c>
    </row>
    <row r="1205" spans="1:11" x14ac:dyDescent="0.2">
      <c r="A1205">
        <f t="shared" si="36"/>
        <v>2927870</v>
      </c>
      <c r="B1205">
        <v>2018</v>
      </c>
      <c r="C1205" t="s">
        <v>739</v>
      </c>
      <c r="D1205" t="s">
        <v>740</v>
      </c>
      <c r="E1205" t="s">
        <v>743</v>
      </c>
      <c r="F1205" s="34">
        <v>213</v>
      </c>
      <c r="G1205" s="34" t="s">
        <v>150</v>
      </c>
      <c r="H1205" s="36">
        <v>72595</v>
      </c>
      <c r="I1205" s="58">
        <v>482799</v>
      </c>
      <c r="J1205">
        <f>IFERROR(VLOOKUP(G1205,'LEAID Match'!$A$2:$B$526,2,FALSE),"")</f>
        <v>2927870</v>
      </c>
      <c r="K1205" s="68">
        <f t="shared" si="37"/>
        <v>8</v>
      </c>
    </row>
    <row r="1206" spans="1:11" x14ac:dyDescent="0.2">
      <c r="A1206">
        <f t="shared" si="36"/>
        <v>2927870</v>
      </c>
      <c r="B1206">
        <v>2019</v>
      </c>
      <c r="C1206" t="s">
        <v>739</v>
      </c>
      <c r="D1206" t="s">
        <v>740</v>
      </c>
      <c r="E1206" t="s">
        <v>743</v>
      </c>
      <c r="F1206" s="34">
        <v>213</v>
      </c>
      <c r="G1206" s="34" t="s">
        <v>150</v>
      </c>
      <c r="H1206" s="36">
        <v>72003</v>
      </c>
      <c r="I1206" s="58">
        <v>490187</v>
      </c>
      <c r="J1206">
        <f>IFERROR(VLOOKUP(G1206,'LEAID Match'!$A$2:$B$526,2,FALSE),"")</f>
        <v>2927870</v>
      </c>
      <c r="K1206" s="68">
        <f t="shared" si="37"/>
        <v>8</v>
      </c>
    </row>
    <row r="1207" spans="1:11" x14ac:dyDescent="0.2">
      <c r="A1207">
        <f t="shared" si="36"/>
        <v>2927870</v>
      </c>
      <c r="B1207">
        <v>2020</v>
      </c>
      <c r="C1207" t="s">
        <v>739</v>
      </c>
      <c r="D1207" t="s">
        <v>740</v>
      </c>
      <c r="E1207" t="s">
        <v>743</v>
      </c>
      <c r="F1207" s="34">
        <v>213</v>
      </c>
      <c r="G1207" s="34" t="s">
        <v>150</v>
      </c>
      <c r="H1207" s="36">
        <v>72241</v>
      </c>
      <c r="I1207" s="58">
        <v>476330</v>
      </c>
      <c r="J1207">
        <f>IFERROR(VLOOKUP(G1207,'LEAID Match'!$A$2:$B$526,2,FALSE),"")</f>
        <v>2927870</v>
      </c>
      <c r="K1207" s="68">
        <f t="shared" si="37"/>
        <v>8</v>
      </c>
    </row>
    <row r="1208" spans="1:11" x14ac:dyDescent="0.2">
      <c r="A1208">
        <f t="shared" si="36"/>
        <v>2927870</v>
      </c>
      <c r="B1208">
        <v>2021</v>
      </c>
      <c r="C1208" t="s">
        <v>739</v>
      </c>
      <c r="D1208" t="s">
        <v>740</v>
      </c>
      <c r="E1208" t="s">
        <v>743</v>
      </c>
      <c r="F1208" s="34">
        <v>213</v>
      </c>
      <c r="G1208" s="34" t="s">
        <v>150</v>
      </c>
      <c r="H1208" s="36">
        <v>89224</v>
      </c>
      <c r="I1208" s="58">
        <v>462711</v>
      </c>
      <c r="J1208">
        <f>IFERROR(VLOOKUP(G1208,'LEAID Match'!$A$2:$B$526,2,FALSE),"")</f>
        <v>2927870</v>
      </c>
      <c r="K1208" s="68">
        <f t="shared" si="37"/>
        <v>8</v>
      </c>
    </row>
    <row r="1209" spans="1:11" x14ac:dyDescent="0.2">
      <c r="A1209">
        <f t="shared" si="36"/>
        <v>2927870</v>
      </c>
      <c r="B1209">
        <v>2022</v>
      </c>
      <c r="C1209" t="s">
        <v>739</v>
      </c>
      <c r="D1209" t="s">
        <v>740</v>
      </c>
      <c r="E1209" t="s">
        <v>743</v>
      </c>
      <c r="F1209" s="34">
        <v>213</v>
      </c>
      <c r="G1209" s="34" t="s">
        <v>150</v>
      </c>
      <c r="H1209" s="36">
        <v>89993</v>
      </c>
      <c r="I1209" s="58">
        <v>464878</v>
      </c>
      <c r="J1209">
        <f>IFERROR(VLOOKUP(G1209,'LEAID Match'!$A$2:$B$526,2,FALSE),"")</f>
        <v>2927870</v>
      </c>
      <c r="K1209" s="68">
        <f t="shared" si="37"/>
        <v>8</v>
      </c>
    </row>
    <row r="1210" spans="1:11" x14ac:dyDescent="0.2">
      <c r="A1210">
        <f t="shared" si="36"/>
        <v>2928620</v>
      </c>
      <c r="B1210">
        <v>2015</v>
      </c>
      <c r="C1210" t="s">
        <v>739</v>
      </c>
      <c r="D1210" t="s">
        <v>740</v>
      </c>
      <c r="E1210" t="s">
        <v>743</v>
      </c>
      <c r="F1210" s="37">
        <v>214</v>
      </c>
      <c r="G1210" s="39" t="s">
        <v>151</v>
      </c>
      <c r="H1210" s="40">
        <v>40860</v>
      </c>
      <c r="I1210" s="58">
        <v>217621</v>
      </c>
      <c r="J1210">
        <f>IFERROR(VLOOKUP(G1210,'LEAID Match'!$A$2:$B$526,2,FALSE),"")</f>
        <v>2928620</v>
      </c>
      <c r="K1210" s="68">
        <f t="shared" si="37"/>
        <v>8</v>
      </c>
    </row>
    <row r="1211" spans="1:11" x14ac:dyDescent="0.2">
      <c r="A1211">
        <f t="shared" si="36"/>
        <v>2928620</v>
      </c>
      <c r="B1211">
        <v>2016</v>
      </c>
      <c r="C1211" t="s">
        <v>739</v>
      </c>
      <c r="D1211" t="s">
        <v>740</v>
      </c>
      <c r="E1211" t="s">
        <v>743</v>
      </c>
      <c r="F1211" s="34">
        <v>214</v>
      </c>
      <c r="G1211" s="34" t="s">
        <v>151</v>
      </c>
      <c r="H1211" s="36">
        <v>38032</v>
      </c>
      <c r="I1211" s="60">
        <v>194856</v>
      </c>
      <c r="J1211">
        <f>IFERROR(VLOOKUP(G1211,'LEAID Match'!$A$2:$B$526,2,FALSE),"")</f>
        <v>2928620</v>
      </c>
      <c r="K1211" s="68">
        <f t="shared" si="37"/>
        <v>8</v>
      </c>
    </row>
    <row r="1212" spans="1:11" x14ac:dyDescent="0.2">
      <c r="A1212">
        <f t="shared" si="36"/>
        <v>2928620</v>
      </c>
      <c r="B1212">
        <v>2017</v>
      </c>
      <c r="C1212" t="s">
        <v>739</v>
      </c>
      <c r="D1212" t="s">
        <v>740</v>
      </c>
      <c r="E1212" t="s">
        <v>743</v>
      </c>
      <c r="F1212" s="34">
        <v>214</v>
      </c>
      <c r="G1212" s="34" t="s">
        <v>151</v>
      </c>
      <c r="H1212" s="36">
        <v>37117</v>
      </c>
      <c r="I1212" s="58">
        <v>178134</v>
      </c>
      <c r="J1212">
        <f>IFERROR(VLOOKUP(G1212,'LEAID Match'!$A$2:$B$526,2,FALSE),"")</f>
        <v>2928620</v>
      </c>
      <c r="K1212" s="68">
        <f t="shared" si="37"/>
        <v>8</v>
      </c>
    </row>
    <row r="1213" spans="1:11" x14ac:dyDescent="0.2">
      <c r="A1213">
        <f t="shared" si="36"/>
        <v>2928620</v>
      </c>
      <c r="B1213">
        <v>2018</v>
      </c>
      <c r="C1213" t="s">
        <v>739</v>
      </c>
      <c r="D1213" t="s">
        <v>740</v>
      </c>
      <c r="E1213" t="s">
        <v>743</v>
      </c>
      <c r="F1213" s="34">
        <v>214</v>
      </c>
      <c r="G1213" s="34" t="s">
        <v>151</v>
      </c>
      <c r="H1213" s="36">
        <v>37499</v>
      </c>
      <c r="I1213" s="58">
        <v>197026</v>
      </c>
      <c r="J1213">
        <f>IFERROR(VLOOKUP(G1213,'LEAID Match'!$A$2:$B$526,2,FALSE),"")</f>
        <v>2928620</v>
      </c>
      <c r="K1213" s="68">
        <f t="shared" si="37"/>
        <v>8</v>
      </c>
    </row>
    <row r="1214" spans="1:11" x14ac:dyDescent="0.2">
      <c r="A1214">
        <f t="shared" si="36"/>
        <v>2928620</v>
      </c>
      <c r="B1214">
        <v>2019</v>
      </c>
      <c r="C1214" t="s">
        <v>739</v>
      </c>
      <c r="D1214" t="s">
        <v>740</v>
      </c>
      <c r="E1214" t="s">
        <v>743</v>
      </c>
      <c r="F1214" s="34">
        <v>214</v>
      </c>
      <c r="G1214" s="34" t="s">
        <v>151</v>
      </c>
      <c r="H1214" s="36">
        <v>46254</v>
      </c>
      <c r="I1214" s="58">
        <v>183685</v>
      </c>
      <c r="J1214">
        <f>IFERROR(VLOOKUP(G1214,'LEAID Match'!$A$2:$B$526,2,FALSE),"")</f>
        <v>2928620</v>
      </c>
      <c r="K1214" s="68">
        <f t="shared" si="37"/>
        <v>8</v>
      </c>
    </row>
    <row r="1215" spans="1:11" x14ac:dyDescent="0.2">
      <c r="A1215">
        <f t="shared" si="36"/>
        <v>2928620</v>
      </c>
      <c r="B1215">
        <v>2020</v>
      </c>
      <c r="C1215" t="s">
        <v>739</v>
      </c>
      <c r="D1215" t="s">
        <v>740</v>
      </c>
      <c r="E1215" t="s">
        <v>743</v>
      </c>
      <c r="F1215" s="34">
        <v>214</v>
      </c>
      <c r="G1215" s="34" t="s">
        <v>151</v>
      </c>
      <c r="H1215" s="36">
        <v>45433</v>
      </c>
      <c r="I1215" s="58">
        <v>189578</v>
      </c>
      <c r="J1215">
        <f>IFERROR(VLOOKUP(G1215,'LEAID Match'!$A$2:$B$526,2,FALSE),"")</f>
        <v>2928620</v>
      </c>
      <c r="K1215" s="68">
        <f t="shared" si="37"/>
        <v>8</v>
      </c>
    </row>
    <row r="1216" spans="1:11" x14ac:dyDescent="0.2">
      <c r="A1216">
        <f t="shared" si="36"/>
        <v>2928620</v>
      </c>
      <c r="B1216">
        <v>2021</v>
      </c>
      <c r="C1216" t="s">
        <v>739</v>
      </c>
      <c r="D1216" t="s">
        <v>740</v>
      </c>
      <c r="E1216" t="s">
        <v>743</v>
      </c>
      <c r="F1216" s="34">
        <v>214</v>
      </c>
      <c r="G1216" s="34" t="s">
        <v>151</v>
      </c>
      <c r="H1216" s="36">
        <v>48515</v>
      </c>
      <c r="I1216" s="58">
        <v>197949</v>
      </c>
      <c r="J1216">
        <f>IFERROR(VLOOKUP(G1216,'LEAID Match'!$A$2:$B$526,2,FALSE),"")</f>
        <v>2928620</v>
      </c>
      <c r="K1216" s="68">
        <f t="shared" si="37"/>
        <v>8</v>
      </c>
    </row>
    <row r="1217" spans="1:11" x14ac:dyDescent="0.2">
      <c r="A1217">
        <f t="shared" si="36"/>
        <v>2928620</v>
      </c>
      <c r="B1217">
        <v>2022</v>
      </c>
      <c r="C1217" t="s">
        <v>739</v>
      </c>
      <c r="D1217" t="s">
        <v>740</v>
      </c>
      <c r="E1217" t="s">
        <v>743</v>
      </c>
      <c r="F1217" s="34">
        <v>214</v>
      </c>
      <c r="G1217" s="34" t="s">
        <v>151</v>
      </c>
      <c r="H1217" s="36">
        <v>56459</v>
      </c>
      <c r="I1217" s="58">
        <v>198952</v>
      </c>
      <c r="J1217">
        <f>IFERROR(VLOOKUP(G1217,'LEAID Match'!$A$2:$B$526,2,FALSE),"")</f>
        <v>2928620</v>
      </c>
      <c r="K1217" s="68">
        <f t="shared" si="37"/>
        <v>8</v>
      </c>
    </row>
    <row r="1218" spans="1:11" x14ac:dyDescent="0.2">
      <c r="A1218">
        <f t="shared" si="36"/>
        <v>2916500</v>
      </c>
      <c r="B1218">
        <v>2015</v>
      </c>
      <c r="C1218" t="s">
        <v>739</v>
      </c>
      <c r="D1218" t="s">
        <v>740</v>
      </c>
      <c r="E1218" t="s">
        <v>743</v>
      </c>
      <c r="F1218" s="37">
        <v>215</v>
      </c>
      <c r="G1218" s="39" t="s">
        <v>152</v>
      </c>
      <c r="H1218" s="40">
        <v>161941</v>
      </c>
      <c r="I1218" s="58">
        <v>1320051</v>
      </c>
      <c r="J1218">
        <f>IFERROR(VLOOKUP(G1218,'LEAID Match'!$A$2:$B$526,2,FALSE),"")</f>
        <v>2916500</v>
      </c>
      <c r="K1218" s="68">
        <f t="shared" si="37"/>
        <v>8</v>
      </c>
    </row>
    <row r="1219" spans="1:11" x14ac:dyDescent="0.2">
      <c r="A1219">
        <f t="shared" ref="A1219:A1282" si="38">J1219</f>
        <v>2916500</v>
      </c>
      <c r="B1219">
        <v>2016</v>
      </c>
      <c r="C1219" t="s">
        <v>739</v>
      </c>
      <c r="D1219" t="s">
        <v>740</v>
      </c>
      <c r="E1219" t="s">
        <v>743</v>
      </c>
      <c r="F1219" s="34">
        <v>215</v>
      </c>
      <c r="G1219" s="34" t="s">
        <v>152</v>
      </c>
      <c r="H1219" s="36">
        <v>159901</v>
      </c>
      <c r="I1219" s="60">
        <v>1331034</v>
      </c>
      <c r="J1219">
        <f>IFERROR(VLOOKUP(G1219,'LEAID Match'!$A$2:$B$526,2,FALSE),"")</f>
        <v>2916500</v>
      </c>
      <c r="K1219" s="68">
        <f t="shared" ref="K1219:K1282" si="39">COUNTIF($J$2:$J$4295,J1219)</f>
        <v>8</v>
      </c>
    </row>
    <row r="1220" spans="1:11" x14ac:dyDescent="0.2">
      <c r="A1220">
        <f t="shared" si="38"/>
        <v>2916500</v>
      </c>
      <c r="B1220">
        <v>2017</v>
      </c>
      <c r="C1220" t="s">
        <v>739</v>
      </c>
      <c r="D1220" t="s">
        <v>740</v>
      </c>
      <c r="E1220" t="s">
        <v>743</v>
      </c>
      <c r="F1220" s="34">
        <v>215</v>
      </c>
      <c r="G1220" s="34" t="s">
        <v>152</v>
      </c>
      <c r="H1220" s="36">
        <v>148310</v>
      </c>
      <c r="I1220" s="58">
        <v>1342910</v>
      </c>
      <c r="J1220">
        <f>IFERROR(VLOOKUP(G1220,'LEAID Match'!$A$2:$B$526,2,FALSE),"")</f>
        <v>2916500</v>
      </c>
      <c r="K1220" s="68">
        <f t="shared" si="39"/>
        <v>8</v>
      </c>
    </row>
    <row r="1221" spans="1:11" x14ac:dyDescent="0.2">
      <c r="A1221">
        <f t="shared" si="38"/>
        <v>2916500</v>
      </c>
      <c r="B1221">
        <v>2018</v>
      </c>
      <c r="C1221" t="s">
        <v>739</v>
      </c>
      <c r="D1221" t="s">
        <v>740</v>
      </c>
      <c r="E1221" t="s">
        <v>743</v>
      </c>
      <c r="F1221" s="34">
        <v>215</v>
      </c>
      <c r="G1221" s="34" t="s">
        <v>152</v>
      </c>
      <c r="H1221" s="36">
        <v>160353</v>
      </c>
      <c r="I1221" s="58">
        <v>1299182</v>
      </c>
      <c r="J1221">
        <f>IFERROR(VLOOKUP(G1221,'LEAID Match'!$A$2:$B$526,2,FALSE),"")</f>
        <v>2916500</v>
      </c>
      <c r="K1221" s="68">
        <f t="shared" si="39"/>
        <v>8</v>
      </c>
    </row>
    <row r="1222" spans="1:11" x14ac:dyDescent="0.2">
      <c r="A1222">
        <f t="shared" si="38"/>
        <v>2916500</v>
      </c>
      <c r="B1222">
        <v>2019</v>
      </c>
      <c r="C1222" t="s">
        <v>739</v>
      </c>
      <c r="D1222" t="s">
        <v>740</v>
      </c>
      <c r="E1222" t="s">
        <v>743</v>
      </c>
      <c r="F1222" s="34">
        <v>215</v>
      </c>
      <c r="G1222" s="34" t="s">
        <v>152</v>
      </c>
      <c r="H1222" s="36">
        <v>165760</v>
      </c>
      <c r="I1222" s="58">
        <v>1308689</v>
      </c>
      <c r="J1222">
        <f>IFERROR(VLOOKUP(G1222,'LEAID Match'!$A$2:$B$526,2,FALSE),"")</f>
        <v>2916500</v>
      </c>
      <c r="K1222" s="68">
        <f t="shared" si="39"/>
        <v>8</v>
      </c>
    </row>
    <row r="1223" spans="1:11" x14ac:dyDescent="0.2">
      <c r="A1223">
        <f t="shared" si="38"/>
        <v>2916500</v>
      </c>
      <c r="B1223">
        <v>2020</v>
      </c>
      <c r="C1223" t="s">
        <v>739</v>
      </c>
      <c r="D1223" t="s">
        <v>740</v>
      </c>
      <c r="E1223" t="s">
        <v>743</v>
      </c>
      <c r="F1223" s="34">
        <v>215</v>
      </c>
      <c r="G1223" s="34" t="s">
        <v>152</v>
      </c>
      <c r="H1223" s="36">
        <v>169060</v>
      </c>
      <c r="I1223" s="58">
        <v>1285274</v>
      </c>
      <c r="J1223">
        <f>IFERROR(VLOOKUP(G1223,'LEAID Match'!$A$2:$B$526,2,FALSE),"")</f>
        <v>2916500</v>
      </c>
      <c r="K1223" s="68">
        <f t="shared" si="39"/>
        <v>8</v>
      </c>
    </row>
    <row r="1224" spans="1:11" x14ac:dyDescent="0.2">
      <c r="A1224">
        <f t="shared" si="38"/>
        <v>2916500</v>
      </c>
      <c r="B1224">
        <v>2021</v>
      </c>
      <c r="C1224" t="s">
        <v>739</v>
      </c>
      <c r="D1224" t="s">
        <v>740</v>
      </c>
      <c r="E1224" t="s">
        <v>743</v>
      </c>
      <c r="F1224" s="34">
        <v>215</v>
      </c>
      <c r="G1224" s="34" t="s">
        <v>152</v>
      </c>
      <c r="H1224" s="36">
        <v>184158</v>
      </c>
      <c r="I1224" s="58">
        <v>1297792</v>
      </c>
      <c r="J1224">
        <f>IFERROR(VLOOKUP(G1224,'LEAID Match'!$A$2:$B$526,2,FALSE),"")</f>
        <v>2916500</v>
      </c>
      <c r="K1224" s="68">
        <f t="shared" si="39"/>
        <v>8</v>
      </c>
    </row>
    <row r="1225" spans="1:11" x14ac:dyDescent="0.2">
      <c r="A1225">
        <f t="shared" si="38"/>
        <v>2916500</v>
      </c>
      <c r="B1225">
        <v>2022</v>
      </c>
      <c r="C1225" t="s">
        <v>739</v>
      </c>
      <c r="D1225" t="s">
        <v>740</v>
      </c>
      <c r="E1225" t="s">
        <v>743</v>
      </c>
      <c r="F1225" s="34">
        <v>215</v>
      </c>
      <c r="G1225" s="34" t="s">
        <v>152</v>
      </c>
      <c r="H1225" s="36">
        <v>201413</v>
      </c>
      <c r="I1225" s="58">
        <v>1344478</v>
      </c>
      <c r="J1225">
        <f>IFERROR(VLOOKUP(G1225,'LEAID Match'!$A$2:$B$526,2,FALSE),"")</f>
        <v>2916500</v>
      </c>
      <c r="K1225" s="68">
        <f t="shared" si="39"/>
        <v>8</v>
      </c>
    </row>
    <row r="1226" spans="1:11" x14ac:dyDescent="0.2">
      <c r="A1226">
        <f t="shared" si="38"/>
        <v>2912510</v>
      </c>
      <c r="B1226">
        <v>2015</v>
      </c>
      <c r="C1226" t="s">
        <v>739</v>
      </c>
      <c r="D1226" t="s">
        <v>740</v>
      </c>
      <c r="E1226" t="s">
        <v>743</v>
      </c>
      <c r="F1226" s="37">
        <v>216</v>
      </c>
      <c r="G1226" s="39" t="s">
        <v>153</v>
      </c>
      <c r="H1226" s="40">
        <v>19418</v>
      </c>
      <c r="I1226" s="58">
        <v>104165</v>
      </c>
      <c r="J1226">
        <f>IFERROR(VLOOKUP(G1226,'LEAID Match'!$A$2:$B$526,2,FALSE),"")</f>
        <v>2912510</v>
      </c>
      <c r="K1226" s="68">
        <f t="shared" si="39"/>
        <v>8</v>
      </c>
    </row>
    <row r="1227" spans="1:11" x14ac:dyDescent="0.2">
      <c r="A1227">
        <f t="shared" si="38"/>
        <v>2912510</v>
      </c>
      <c r="B1227">
        <v>2016</v>
      </c>
      <c r="C1227" t="s">
        <v>739</v>
      </c>
      <c r="D1227" t="s">
        <v>740</v>
      </c>
      <c r="E1227" t="s">
        <v>743</v>
      </c>
      <c r="F1227" s="34">
        <v>216</v>
      </c>
      <c r="G1227" s="34" t="s">
        <v>153</v>
      </c>
      <c r="H1227" s="36">
        <v>21071</v>
      </c>
      <c r="I1227" s="60">
        <v>110692</v>
      </c>
      <c r="J1227">
        <f>IFERROR(VLOOKUP(G1227,'LEAID Match'!$A$2:$B$526,2,FALSE),"")</f>
        <v>2912510</v>
      </c>
      <c r="K1227" s="68">
        <f t="shared" si="39"/>
        <v>8</v>
      </c>
    </row>
    <row r="1228" spans="1:11" x14ac:dyDescent="0.2">
      <c r="A1228">
        <f t="shared" si="38"/>
        <v>2912510</v>
      </c>
      <c r="B1228">
        <v>2017</v>
      </c>
      <c r="C1228" t="s">
        <v>739</v>
      </c>
      <c r="D1228" t="s">
        <v>740</v>
      </c>
      <c r="E1228" t="s">
        <v>743</v>
      </c>
      <c r="F1228" s="34">
        <v>216</v>
      </c>
      <c r="G1228" s="34" t="s">
        <v>153</v>
      </c>
      <c r="H1228" s="36">
        <v>20210</v>
      </c>
      <c r="I1228" s="58">
        <v>113477</v>
      </c>
      <c r="J1228">
        <f>IFERROR(VLOOKUP(G1228,'LEAID Match'!$A$2:$B$526,2,FALSE),"")</f>
        <v>2912510</v>
      </c>
      <c r="K1228" s="68">
        <f t="shared" si="39"/>
        <v>8</v>
      </c>
    </row>
    <row r="1229" spans="1:11" x14ac:dyDescent="0.2">
      <c r="A1229">
        <f t="shared" si="38"/>
        <v>2912510</v>
      </c>
      <c r="B1229">
        <v>2018</v>
      </c>
      <c r="C1229" t="s">
        <v>739</v>
      </c>
      <c r="D1229" t="s">
        <v>740</v>
      </c>
      <c r="E1229" t="s">
        <v>743</v>
      </c>
      <c r="F1229" s="34">
        <v>216</v>
      </c>
      <c r="G1229" s="34" t="s">
        <v>153</v>
      </c>
      <c r="H1229" s="36">
        <v>21346</v>
      </c>
      <c r="I1229" s="58">
        <v>114976</v>
      </c>
      <c r="J1229">
        <f>IFERROR(VLOOKUP(G1229,'LEAID Match'!$A$2:$B$526,2,FALSE),"")</f>
        <v>2912510</v>
      </c>
      <c r="K1229" s="68">
        <f t="shared" si="39"/>
        <v>8</v>
      </c>
    </row>
    <row r="1230" spans="1:11" x14ac:dyDescent="0.2">
      <c r="A1230">
        <f t="shared" si="38"/>
        <v>2912510</v>
      </c>
      <c r="B1230">
        <v>2019</v>
      </c>
      <c r="C1230" t="s">
        <v>739</v>
      </c>
      <c r="D1230" t="s">
        <v>740</v>
      </c>
      <c r="E1230" t="s">
        <v>743</v>
      </c>
      <c r="F1230" s="34">
        <v>216</v>
      </c>
      <c r="G1230" s="34" t="s">
        <v>153</v>
      </c>
      <c r="H1230" s="36">
        <v>22164</v>
      </c>
      <c r="I1230" s="58">
        <v>123696</v>
      </c>
      <c r="J1230">
        <f>IFERROR(VLOOKUP(G1230,'LEAID Match'!$A$2:$B$526,2,FALSE),"")</f>
        <v>2912510</v>
      </c>
      <c r="K1230" s="68">
        <f t="shared" si="39"/>
        <v>8</v>
      </c>
    </row>
    <row r="1231" spans="1:11" x14ac:dyDescent="0.2">
      <c r="A1231">
        <f t="shared" si="38"/>
        <v>2912510</v>
      </c>
      <c r="B1231">
        <v>2020</v>
      </c>
      <c r="C1231" t="s">
        <v>739</v>
      </c>
      <c r="D1231" t="s">
        <v>740</v>
      </c>
      <c r="E1231" t="s">
        <v>743</v>
      </c>
      <c r="F1231" s="34">
        <v>216</v>
      </c>
      <c r="G1231" s="34" t="s">
        <v>153</v>
      </c>
      <c r="H1231" s="36">
        <v>23047</v>
      </c>
      <c r="I1231" s="58">
        <v>123932</v>
      </c>
      <c r="J1231">
        <f>IFERROR(VLOOKUP(G1231,'LEAID Match'!$A$2:$B$526,2,FALSE),"")</f>
        <v>2912510</v>
      </c>
      <c r="K1231" s="68">
        <f t="shared" si="39"/>
        <v>8</v>
      </c>
    </row>
    <row r="1232" spans="1:11" x14ac:dyDescent="0.2">
      <c r="A1232">
        <f t="shared" si="38"/>
        <v>2912510</v>
      </c>
      <c r="B1232">
        <v>2021</v>
      </c>
      <c r="C1232" t="s">
        <v>739</v>
      </c>
      <c r="D1232" t="s">
        <v>740</v>
      </c>
      <c r="E1232" t="s">
        <v>743</v>
      </c>
      <c r="F1232" s="34">
        <v>216</v>
      </c>
      <c r="G1232" s="34" t="s">
        <v>153</v>
      </c>
      <c r="H1232" s="36">
        <v>22729</v>
      </c>
      <c r="I1232" s="58">
        <v>125342</v>
      </c>
      <c r="J1232">
        <f>IFERROR(VLOOKUP(G1232,'LEAID Match'!$A$2:$B$526,2,FALSE),"")</f>
        <v>2912510</v>
      </c>
      <c r="K1232" s="68">
        <f t="shared" si="39"/>
        <v>8</v>
      </c>
    </row>
    <row r="1233" spans="1:11" x14ac:dyDescent="0.2">
      <c r="A1233">
        <f t="shared" si="38"/>
        <v>2912510</v>
      </c>
      <c r="B1233">
        <v>2022</v>
      </c>
      <c r="C1233" t="s">
        <v>739</v>
      </c>
      <c r="D1233" t="s">
        <v>740</v>
      </c>
      <c r="E1233" t="s">
        <v>743</v>
      </c>
      <c r="F1233" s="34">
        <v>216</v>
      </c>
      <c r="G1233" s="34" t="s">
        <v>153</v>
      </c>
      <c r="H1233" s="36">
        <v>24815</v>
      </c>
      <c r="I1233" s="58">
        <v>130627</v>
      </c>
      <c r="J1233">
        <f>IFERROR(VLOOKUP(G1233,'LEAID Match'!$A$2:$B$526,2,FALSE),"")</f>
        <v>2912510</v>
      </c>
      <c r="K1233" s="68">
        <f t="shared" si="39"/>
        <v>8</v>
      </c>
    </row>
    <row r="1234" spans="1:11" x14ac:dyDescent="0.2">
      <c r="A1234">
        <f t="shared" si="38"/>
        <v>2923460</v>
      </c>
      <c r="B1234">
        <v>2015</v>
      </c>
      <c r="C1234" t="s">
        <v>739</v>
      </c>
      <c r="D1234" t="s">
        <v>740</v>
      </c>
      <c r="E1234" t="s">
        <v>743</v>
      </c>
      <c r="F1234" s="37">
        <v>217</v>
      </c>
      <c r="G1234" s="39" t="s">
        <v>154</v>
      </c>
      <c r="H1234" s="40">
        <v>419112</v>
      </c>
      <c r="I1234" s="58">
        <v>2362868</v>
      </c>
      <c r="J1234">
        <f>IFERROR(VLOOKUP(G1234,'LEAID Match'!$A$2:$B$526,2,FALSE),"")</f>
        <v>2923460</v>
      </c>
      <c r="K1234" s="68">
        <f t="shared" si="39"/>
        <v>8</v>
      </c>
    </row>
    <row r="1235" spans="1:11" x14ac:dyDescent="0.2">
      <c r="A1235">
        <f t="shared" si="38"/>
        <v>2923460</v>
      </c>
      <c r="B1235">
        <v>2016</v>
      </c>
      <c r="C1235" t="s">
        <v>739</v>
      </c>
      <c r="D1235" t="s">
        <v>740</v>
      </c>
      <c r="E1235" t="s">
        <v>743</v>
      </c>
      <c r="F1235" s="34">
        <v>217</v>
      </c>
      <c r="G1235" s="34" t="s">
        <v>154</v>
      </c>
      <c r="H1235" s="36">
        <v>405143</v>
      </c>
      <c r="I1235" s="60">
        <v>2367837</v>
      </c>
      <c r="J1235">
        <f>IFERROR(VLOOKUP(G1235,'LEAID Match'!$A$2:$B$526,2,FALSE),"")</f>
        <v>2923460</v>
      </c>
      <c r="K1235" s="68">
        <f t="shared" si="39"/>
        <v>8</v>
      </c>
    </row>
    <row r="1236" spans="1:11" x14ac:dyDescent="0.2">
      <c r="A1236">
        <f t="shared" si="38"/>
        <v>2923460</v>
      </c>
      <c r="B1236">
        <v>2017</v>
      </c>
      <c r="C1236" t="s">
        <v>739</v>
      </c>
      <c r="D1236" t="s">
        <v>740</v>
      </c>
      <c r="E1236" t="s">
        <v>743</v>
      </c>
      <c r="F1236" s="34">
        <v>217</v>
      </c>
      <c r="G1236" s="34" t="s">
        <v>154</v>
      </c>
      <c r="H1236" s="36">
        <v>413764</v>
      </c>
      <c r="I1236" s="58">
        <v>2371547</v>
      </c>
      <c r="J1236">
        <f>IFERROR(VLOOKUP(G1236,'LEAID Match'!$A$2:$B$526,2,FALSE),"")</f>
        <v>2923460</v>
      </c>
      <c r="K1236" s="68">
        <f t="shared" si="39"/>
        <v>8</v>
      </c>
    </row>
    <row r="1237" spans="1:11" x14ac:dyDescent="0.2">
      <c r="A1237">
        <f t="shared" si="38"/>
        <v>2923460</v>
      </c>
      <c r="B1237">
        <v>2018</v>
      </c>
      <c r="C1237" t="s">
        <v>739</v>
      </c>
      <c r="D1237" t="s">
        <v>740</v>
      </c>
      <c r="E1237" t="s">
        <v>743</v>
      </c>
      <c r="F1237" s="34">
        <v>217</v>
      </c>
      <c r="G1237" s="34" t="s">
        <v>154</v>
      </c>
      <c r="H1237" s="36">
        <v>415817</v>
      </c>
      <c r="I1237" s="58">
        <v>2441004</v>
      </c>
      <c r="J1237">
        <f>IFERROR(VLOOKUP(G1237,'LEAID Match'!$A$2:$B$526,2,FALSE),"")</f>
        <v>2923460</v>
      </c>
      <c r="K1237" s="68">
        <f t="shared" si="39"/>
        <v>8</v>
      </c>
    </row>
    <row r="1238" spans="1:11" x14ac:dyDescent="0.2">
      <c r="A1238">
        <f t="shared" si="38"/>
        <v>2923460</v>
      </c>
      <c r="B1238">
        <v>2019</v>
      </c>
      <c r="C1238" t="s">
        <v>739</v>
      </c>
      <c r="D1238" t="s">
        <v>740</v>
      </c>
      <c r="E1238" t="s">
        <v>743</v>
      </c>
      <c r="F1238" s="34">
        <v>217</v>
      </c>
      <c r="G1238" s="34" t="s">
        <v>154</v>
      </c>
      <c r="H1238" s="36">
        <v>428252</v>
      </c>
      <c r="I1238" s="58">
        <v>2453839</v>
      </c>
      <c r="J1238">
        <f>IFERROR(VLOOKUP(G1238,'LEAID Match'!$A$2:$B$526,2,FALSE),"")</f>
        <v>2923460</v>
      </c>
      <c r="K1238" s="68">
        <f t="shared" si="39"/>
        <v>8</v>
      </c>
    </row>
    <row r="1239" spans="1:11" x14ac:dyDescent="0.2">
      <c r="A1239">
        <f t="shared" si="38"/>
        <v>2923460</v>
      </c>
      <c r="B1239">
        <v>2020</v>
      </c>
      <c r="C1239" t="s">
        <v>739</v>
      </c>
      <c r="D1239" t="s">
        <v>740</v>
      </c>
      <c r="E1239" t="s">
        <v>743</v>
      </c>
      <c r="F1239" s="34">
        <v>217</v>
      </c>
      <c r="G1239" s="34" t="s">
        <v>154</v>
      </c>
      <c r="H1239" s="36">
        <v>450896</v>
      </c>
      <c r="I1239" s="58">
        <v>2500324</v>
      </c>
      <c r="J1239">
        <f>IFERROR(VLOOKUP(G1239,'LEAID Match'!$A$2:$B$526,2,FALSE),"")</f>
        <v>2923460</v>
      </c>
      <c r="K1239" s="68">
        <f t="shared" si="39"/>
        <v>8</v>
      </c>
    </row>
    <row r="1240" spans="1:11" x14ac:dyDescent="0.2">
      <c r="A1240">
        <f t="shared" si="38"/>
        <v>2923460</v>
      </c>
      <c r="B1240">
        <v>2021</v>
      </c>
      <c r="C1240" t="s">
        <v>739</v>
      </c>
      <c r="D1240" t="s">
        <v>740</v>
      </c>
      <c r="E1240" t="s">
        <v>743</v>
      </c>
      <c r="F1240" s="34">
        <v>217</v>
      </c>
      <c r="G1240" s="34" t="s">
        <v>154</v>
      </c>
      <c r="H1240" s="36">
        <v>506201</v>
      </c>
      <c r="I1240" s="58">
        <v>2714028</v>
      </c>
      <c r="J1240">
        <f>IFERROR(VLOOKUP(G1240,'LEAID Match'!$A$2:$B$526,2,FALSE),"")</f>
        <v>2923460</v>
      </c>
      <c r="K1240" s="68">
        <f t="shared" si="39"/>
        <v>8</v>
      </c>
    </row>
    <row r="1241" spans="1:11" x14ac:dyDescent="0.2">
      <c r="A1241">
        <f t="shared" si="38"/>
        <v>2923460</v>
      </c>
      <c r="B1241">
        <v>2022</v>
      </c>
      <c r="C1241" t="s">
        <v>739</v>
      </c>
      <c r="D1241" t="s">
        <v>740</v>
      </c>
      <c r="E1241" t="s">
        <v>743</v>
      </c>
      <c r="F1241" s="34">
        <v>217</v>
      </c>
      <c r="G1241" s="34" t="s">
        <v>154</v>
      </c>
      <c r="H1241" s="36">
        <v>527398</v>
      </c>
      <c r="I1241" s="58">
        <v>2782227</v>
      </c>
      <c r="J1241">
        <f>IFERROR(VLOOKUP(G1241,'LEAID Match'!$A$2:$B$526,2,FALSE),"")</f>
        <v>2923460</v>
      </c>
      <c r="K1241" s="68">
        <f t="shared" si="39"/>
        <v>8</v>
      </c>
    </row>
    <row r="1242" spans="1:11" x14ac:dyDescent="0.2">
      <c r="A1242">
        <f t="shared" si="38"/>
        <v>2930570</v>
      </c>
      <c r="B1242">
        <v>2015</v>
      </c>
      <c r="C1242" t="s">
        <v>739</v>
      </c>
      <c r="D1242" t="s">
        <v>740</v>
      </c>
      <c r="E1242" t="s">
        <v>743</v>
      </c>
      <c r="F1242" s="37">
        <v>218</v>
      </c>
      <c r="G1242" s="39" t="s">
        <v>155</v>
      </c>
      <c r="H1242" s="40">
        <v>239273</v>
      </c>
      <c r="I1242" s="58">
        <v>2003481</v>
      </c>
      <c r="J1242">
        <f>IFERROR(VLOOKUP(G1242,'LEAID Match'!$A$2:$B$526,2,FALSE),"")</f>
        <v>2930570</v>
      </c>
      <c r="K1242" s="68">
        <f t="shared" si="39"/>
        <v>8</v>
      </c>
    </row>
    <row r="1243" spans="1:11" x14ac:dyDescent="0.2">
      <c r="A1243">
        <f t="shared" si="38"/>
        <v>2930570</v>
      </c>
      <c r="B1243">
        <v>2016</v>
      </c>
      <c r="C1243" t="s">
        <v>739</v>
      </c>
      <c r="D1243" t="s">
        <v>740</v>
      </c>
      <c r="E1243" t="s">
        <v>743</v>
      </c>
      <c r="F1243" s="34">
        <v>218</v>
      </c>
      <c r="G1243" s="34" t="s">
        <v>155</v>
      </c>
      <c r="H1243" s="36">
        <v>252008</v>
      </c>
      <c r="I1243" s="60">
        <v>2028482</v>
      </c>
      <c r="J1243">
        <f>IFERROR(VLOOKUP(G1243,'LEAID Match'!$A$2:$B$526,2,FALSE),"")</f>
        <v>2930570</v>
      </c>
      <c r="K1243" s="68">
        <f t="shared" si="39"/>
        <v>8</v>
      </c>
    </row>
    <row r="1244" spans="1:11" x14ac:dyDescent="0.2">
      <c r="A1244">
        <f t="shared" si="38"/>
        <v>2930570</v>
      </c>
      <c r="B1244">
        <v>2017</v>
      </c>
      <c r="C1244" t="s">
        <v>739</v>
      </c>
      <c r="D1244" t="s">
        <v>740</v>
      </c>
      <c r="E1244" t="s">
        <v>743</v>
      </c>
      <c r="F1244" s="34">
        <v>218</v>
      </c>
      <c r="G1244" s="34" t="s">
        <v>155</v>
      </c>
      <c r="H1244" s="36">
        <v>264078</v>
      </c>
      <c r="I1244" s="58">
        <v>2086399</v>
      </c>
      <c r="J1244">
        <f>IFERROR(VLOOKUP(G1244,'LEAID Match'!$A$2:$B$526,2,FALSE),"")</f>
        <v>2930570</v>
      </c>
      <c r="K1244" s="68">
        <f t="shared" si="39"/>
        <v>8</v>
      </c>
    </row>
    <row r="1245" spans="1:11" x14ac:dyDescent="0.2">
      <c r="A1245">
        <f t="shared" si="38"/>
        <v>2930570</v>
      </c>
      <c r="B1245">
        <v>2018</v>
      </c>
      <c r="C1245" t="s">
        <v>739</v>
      </c>
      <c r="D1245" t="s">
        <v>740</v>
      </c>
      <c r="E1245" t="s">
        <v>743</v>
      </c>
      <c r="F1245" s="34">
        <v>218</v>
      </c>
      <c r="G1245" s="34" t="s">
        <v>155</v>
      </c>
      <c r="H1245" s="36">
        <v>274586</v>
      </c>
      <c r="I1245" s="58">
        <v>2147128</v>
      </c>
      <c r="J1245">
        <f>IFERROR(VLOOKUP(G1245,'LEAID Match'!$A$2:$B$526,2,FALSE),"")</f>
        <v>2930570</v>
      </c>
      <c r="K1245" s="68">
        <f t="shared" si="39"/>
        <v>8</v>
      </c>
    </row>
    <row r="1246" spans="1:11" x14ac:dyDescent="0.2">
      <c r="A1246">
        <f t="shared" si="38"/>
        <v>2930570</v>
      </c>
      <c r="B1246">
        <v>2019</v>
      </c>
      <c r="C1246" t="s">
        <v>739</v>
      </c>
      <c r="D1246" t="s">
        <v>740</v>
      </c>
      <c r="E1246" t="s">
        <v>743</v>
      </c>
      <c r="F1246" s="34">
        <v>218</v>
      </c>
      <c r="G1246" s="34" t="s">
        <v>155</v>
      </c>
      <c r="H1246" s="36">
        <v>283275</v>
      </c>
      <c r="I1246" s="58">
        <v>2230189</v>
      </c>
      <c r="J1246">
        <f>IFERROR(VLOOKUP(G1246,'LEAID Match'!$A$2:$B$526,2,FALSE),"")</f>
        <v>2930570</v>
      </c>
      <c r="K1246" s="68">
        <f t="shared" si="39"/>
        <v>8</v>
      </c>
    </row>
    <row r="1247" spans="1:11" x14ac:dyDescent="0.2">
      <c r="A1247">
        <f t="shared" si="38"/>
        <v>2930570</v>
      </c>
      <c r="B1247">
        <v>2020</v>
      </c>
      <c r="C1247" t="s">
        <v>739</v>
      </c>
      <c r="D1247" t="s">
        <v>740</v>
      </c>
      <c r="E1247" t="s">
        <v>743</v>
      </c>
      <c r="F1247" s="34">
        <v>218</v>
      </c>
      <c r="G1247" s="34" t="s">
        <v>155</v>
      </c>
      <c r="H1247" s="36">
        <v>289992</v>
      </c>
      <c r="I1247" s="58">
        <v>2290665</v>
      </c>
      <c r="J1247">
        <f>IFERROR(VLOOKUP(G1247,'LEAID Match'!$A$2:$B$526,2,FALSE),"")</f>
        <v>2930570</v>
      </c>
      <c r="K1247" s="68">
        <f t="shared" si="39"/>
        <v>8</v>
      </c>
    </row>
    <row r="1248" spans="1:11" x14ac:dyDescent="0.2">
      <c r="A1248">
        <f t="shared" si="38"/>
        <v>2930570</v>
      </c>
      <c r="B1248">
        <v>2021</v>
      </c>
      <c r="C1248" t="s">
        <v>739</v>
      </c>
      <c r="D1248" t="s">
        <v>740</v>
      </c>
      <c r="E1248" t="s">
        <v>743</v>
      </c>
      <c r="F1248" s="34">
        <v>218</v>
      </c>
      <c r="G1248" s="34" t="s">
        <v>155</v>
      </c>
      <c r="H1248" s="36">
        <v>292550</v>
      </c>
      <c r="I1248" s="58">
        <v>2405598</v>
      </c>
      <c r="J1248">
        <f>IFERROR(VLOOKUP(G1248,'LEAID Match'!$A$2:$B$526,2,FALSE),"")</f>
        <v>2930570</v>
      </c>
      <c r="K1248" s="68">
        <f t="shared" si="39"/>
        <v>8</v>
      </c>
    </row>
    <row r="1249" spans="1:11" x14ac:dyDescent="0.2">
      <c r="A1249">
        <f t="shared" si="38"/>
        <v>2930570</v>
      </c>
      <c r="B1249">
        <v>2022</v>
      </c>
      <c r="C1249" t="s">
        <v>739</v>
      </c>
      <c r="D1249" t="s">
        <v>740</v>
      </c>
      <c r="E1249" t="s">
        <v>743</v>
      </c>
      <c r="F1249" s="34">
        <v>218</v>
      </c>
      <c r="G1249" s="34" t="s">
        <v>155</v>
      </c>
      <c r="H1249" s="36">
        <v>302663</v>
      </c>
      <c r="I1249" s="58">
        <v>2495163</v>
      </c>
      <c r="J1249">
        <f>IFERROR(VLOOKUP(G1249,'LEAID Match'!$A$2:$B$526,2,FALSE),"")</f>
        <v>2930570</v>
      </c>
      <c r="K1249" s="68">
        <f t="shared" si="39"/>
        <v>8</v>
      </c>
    </row>
    <row r="1250" spans="1:11" x14ac:dyDescent="0.2">
      <c r="A1250">
        <f t="shared" si="38"/>
        <v>2929100</v>
      </c>
      <c r="B1250">
        <v>2015</v>
      </c>
      <c r="C1250" t="s">
        <v>739</v>
      </c>
      <c r="D1250" t="s">
        <v>740</v>
      </c>
      <c r="E1250" t="s">
        <v>743</v>
      </c>
      <c r="F1250" s="37">
        <v>219</v>
      </c>
      <c r="G1250" s="39" t="s">
        <v>156</v>
      </c>
      <c r="H1250" s="40">
        <v>257559</v>
      </c>
      <c r="I1250" s="58">
        <v>1565406</v>
      </c>
      <c r="J1250">
        <f>IFERROR(VLOOKUP(G1250,'LEAID Match'!$A$2:$B$526,2,FALSE),"")</f>
        <v>2929100</v>
      </c>
      <c r="K1250" s="68">
        <f t="shared" si="39"/>
        <v>8</v>
      </c>
    </row>
    <row r="1251" spans="1:11" x14ac:dyDescent="0.2">
      <c r="A1251">
        <f t="shared" si="38"/>
        <v>2929100</v>
      </c>
      <c r="B1251">
        <v>2016</v>
      </c>
      <c r="C1251" t="s">
        <v>739</v>
      </c>
      <c r="D1251" t="s">
        <v>740</v>
      </c>
      <c r="E1251" t="s">
        <v>743</v>
      </c>
      <c r="F1251" s="34">
        <v>219</v>
      </c>
      <c r="G1251" s="34" t="s">
        <v>156</v>
      </c>
      <c r="H1251" s="36">
        <v>252697</v>
      </c>
      <c r="I1251" s="60">
        <v>1621944</v>
      </c>
      <c r="J1251">
        <f>IFERROR(VLOOKUP(G1251,'LEAID Match'!$A$2:$B$526,2,FALSE),"")</f>
        <v>2929100</v>
      </c>
      <c r="K1251" s="68">
        <f t="shared" si="39"/>
        <v>8</v>
      </c>
    </row>
    <row r="1252" spans="1:11" x14ac:dyDescent="0.2">
      <c r="A1252">
        <f t="shared" si="38"/>
        <v>2929100</v>
      </c>
      <c r="B1252">
        <v>2017</v>
      </c>
      <c r="C1252" t="s">
        <v>739</v>
      </c>
      <c r="D1252" t="s">
        <v>740</v>
      </c>
      <c r="E1252" t="s">
        <v>743</v>
      </c>
      <c r="F1252" s="34">
        <v>219</v>
      </c>
      <c r="G1252" s="34" t="s">
        <v>156</v>
      </c>
      <c r="H1252" s="36">
        <v>240549</v>
      </c>
      <c r="I1252" s="58">
        <v>1558450</v>
      </c>
      <c r="J1252">
        <f>IFERROR(VLOOKUP(G1252,'LEAID Match'!$A$2:$B$526,2,FALSE),"")</f>
        <v>2929100</v>
      </c>
      <c r="K1252" s="68">
        <f t="shared" si="39"/>
        <v>8</v>
      </c>
    </row>
    <row r="1253" spans="1:11" x14ac:dyDescent="0.2">
      <c r="A1253">
        <f t="shared" si="38"/>
        <v>2929100</v>
      </c>
      <c r="B1253">
        <v>2018</v>
      </c>
      <c r="C1253" t="s">
        <v>739</v>
      </c>
      <c r="D1253" t="s">
        <v>740</v>
      </c>
      <c r="E1253" t="s">
        <v>743</v>
      </c>
      <c r="F1253" s="34">
        <v>219</v>
      </c>
      <c r="G1253" s="34" t="s">
        <v>156</v>
      </c>
      <c r="H1253" s="36">
        <v>252066</v>
      </c>
      <c r="I1253" s="58">
        <v>1615423</v>
      </c>
      <c r="J1253">
        <f>IFERROR(VLOOKUP(G1253,'LEAID Match'!$A$2:$B$526,2,FALSE),"")</f>
        <v>2929100</v>
      </c>
      <c r="K1253" s="68">
        <f t="shared" si="39"/>
        <v>8</v>
      </c>
    </row>
    <row r="1254" spans="1:11" x14ac:dyDescent="0.2">
      <c r="A1254">
        <f t="shared" si="38"/>
        <v>2929100</v>
      </c>
      <c r="B1254">
        <v>2019</v>
      </c>
      <c r="C1254" t="s">
        <v>739</v>
      </c>
      <c r="D1254" t="s">
        <v>740</v>
      </c>
      <c r="E1254" t="s">
        <v>743</v>
      </c>
      <c r="F1254" s="34">
        <v>219</v>
      </c>
      <c r="G1254" s="34" t="s">
        <v>156</v>
      </c>
      <c r="H1254" s="36">
        <v>269325</v>
      </c>
      <c r="I1254" s="58">
        <v>1640226</v>
      </c>
      <c r="J1254">
        <f>IFERROR(VLOOKUP(G1254,'LEAID Match'!$A$2:$B$526,2,FALSE),"")</f>
        <v>2929100</v>
      </c>
      <c r="K1254" s="68">
        <f t="shared" si="39"/>
        <v>8</v>
      </c>
    </row>
    <row r="1255" spans="1:11" x14ac:dyDescent="0.2">
      <c r="A1255">
        <f t="shared" si="38"/>
        <v>2929100</v>
      </c>
      <c r="B1255">
        <v>2020</v>
      </c>
      <c r="C1255" t="s">
        <v>739</v>
      </c>
      <c r="D1255" t="s">
        <v>740</v>
      </c>
      <c r="E1255" t="s">
        <v>743</v>
      </c>
      <c r="F1255" s="34">
        <v>219</v>
      </c>
      <c r="G1255" s="34" t="s">
        <v>156</v>
      </c>
      <c r="H1255" s="36">
        <v>274810</v>
      </c>
      <c r="I1255" s="58">
        <v>1627887</v>
      </c>
      <c r="J1255">
        <f>IFERROR(VLOOKUP(G1255,'LEAID Match'!$A$2:$B$526,2,FALSE),"")</f>
        <v>2929100</v>
      </c>
      <c r="K1255" s="68">
        <f t="shared" si="39"/>
        <v>8</v>
      </c>
    </row>
    <row r="1256" spans="1:11" x14ac:dyDescent="0.2">
      <c r="A1256">
        <f t="shared" si="38"/>
        <v>2929100</v>
      </c>
      <c r="B1256">
        <v>2021</v>
      </c>
      <c r="C1256" t="s">
        <v>739</v>
      </c>
      <c r="D1256" t="s">
        <v>740</v>
      </c>
      <c r="E1256" t="s">
        <v>743</v>
      </c>
      <c r="F1256" s="34">
        <v>219</v>
      </c>
      <c r="G1256" s="34" t="s">
        <v>156</v>
      </c>
      <c r="H1256" s="36">
        <v>302889</v>
      </c>
      <c r="I1256" s="58">
        <v>1682389</v>
      </c>
      <c r="J1256">
        <f>IFERROR(VLOOKUP(G1256,'LEAID Match'!$A$2:$B$526,2,FALSE),"")</f>
        <v>2929100</v>
      </c>
      <c r="K1256" s="68">
        <f t="shared" si="39"/>
        <v>8</v>
      </c>
    </row>
    <row r="1257" spans="1:11" x14ac:dyDescent="0.2">
      <c r="A1257">
        <f t="shared" si="38"/>
        <v>2929100</v>
      </c>
      <c r="B1257">
        <v>2022</v>
      </c>
      <c r="C1257" t="s">
        <v>739</v>
      </c>
      <c r="D1257" t="s">
        <v>740</v>
      </c>
      <c r="E1257" t="s">
        <v>743</v>
      </c>
      <c r="F1257" s="34">
        <v>219</v>
      </c>
      <c r="G1257" s="34" t="s">
        <v>156</v>
      </c>
      <c r="H1257" s="36">
        <v>358076</v>
      </c>
      <c r="I1257" s="58">
        <v>1675909</v>
      </c>
      <c r="J1257">
        <f>IFERROR(VLOOKUP(G1257,'LEAID Match'!$A$2:$B$526,2,FALSE),"")</f>
        <v>2929100</v>
      </c>
      <c r="K1257" s="68">
        <f t="shared" si="39"/>
        <v>8</v>
      </c>
    </row>
    <row r="1258" spans="1:11" x14ac:dyDescent="0.2">
      <c r="A1258">
        <f t="shared" si="38"/>
        <v>2919200</v>
      </c>
      <c r="B1258">
        <v>2015</v>
      </c>
      <c r="C1258" t="s">
        <v>739</v>
      </c>
      <c r="D1258" t="s">
        <v>740</v>
      </c>
      <c r="E1258" t="s">
        <v>743</v>
      </c>
      <c r="F1258" s="37">
        <v>220</v>
      </c>
      <c r="G1258" s="39" t="s">
        <v>157</v>
      </c>
      <c r="H1258" s="40">
        <v>38067</v>
      </c>
      <c r="I1258" s="58">
        <v>226753</v>
      </c>
      <c r="J1258">
        <f>IFERROR(VLOOKUP(G1258,'LEAID Match'!$A$2:$B$526,2,FALSE),"")</f>
        <v>2919200</v>
      </c>
      <c r="K1258" s="68">
        <f t="shared" si="39"/>
        <v>8</v>
      </c>
    </row>
    <row r="1259" spans="1:11" x14ac:dyDescent="0.2">
      <c r="A1259">
        <f t="shared" si="38"/>
        <v>2919200</v>
      </c>
      <c r="B1259">
        <v>2016</v>
      </c>
      <c r="C1259" t="s">
        <v>739</v>
      </c>
      <c r="D1259" t="s">
        <v>740</v>
      </c>
      <c r="E1259" t="s">
        <v>743</v>
      </c>
      <c r="F1259" s="34">
        <v>220</v>
      </c>
      <c r="G1259" s="34" t="s">
        <v>157</v>
      </c>
      <c r="H1259" s="36">
        <v>40640</v>
      </c>
      <c r="I1259" s="60">
        <v>222194</v>
      </c>
      <c r="J1259">
        <f>IFERROR(VLOOKUP(G1259,'LEAID Match'!$A$2:$B$526,2,FALSE),"")</f>
        <v>2919200</v>
      </c>
      <c r="K1259" s="68">
        <f t="shared" si="39"/>
        <v>8</v>
      </c>
    </row>
    <row r="1260" spans="1:11" x14ac:dyDescent="0.2">
      <c r="A1260">
        <f t="shared" si="38"/>
        <v>2919200</v>
      </c>
      <c r="B1260">
        <v>2017</v>
      </c>
      <c r="C1260" t="s">
        <v>739</v>
      </c>
      <c r="D1260" t="s">
        <v>740</v>
      </c>
      <c r="E1260" t="s">
        <v>743</v>
      </c>
      <c r="F1260" s="34">
        <v>220</v>
      </c>
      <c r="G1260" s="34" t="s">
        <v>157</v>
      </c>
      <c r="H1260" s="36">
        <v>42707</v>
      </c>
      <c r="I1260" s="58">
        <v>224377</v>
      </c>
      <c r="J1260">
        <f>IFERROR(VLOOKUP(G1260,'LEAID Match'!$A$2:$B$526,2,FALSE),"")</f>
        <v>2919200</v>
      </c>
      <c r="K1260" s="68">
        <f t="shared" si="39"/>
        <v>8</v>
      </c>
    </row>
    <row r="1261" spans="1:11" x14ac:dyDescent="0.2">
      <c r="A1261">
        <f t="shared" si="38"/>
        <v>2919200</v>
      </c>
      <c r="B1261">
        <v>2018</v>
      </c>
      <c r="C1261" t="s">
        <v>739</v>
      </c>
      <c r="D1261" t="s">
        <v>740</v>
      </c>
      <c r="E1261" t="s">
        <v>743</v>
      </c>
      <c r="F1261" s="34">
        <v>220</v>
      </c>
      <c r="G1261" s="34" t="s">
        <v>157</v>
      </c>
      <c r="H1261" s="36">
        <v>46353</v>
      </c>
      <c r="I1261" s="58">
        <v>229118</v>
      </c>
      <c r="J1261">
        <f>IFERROR(VLOOKUP(G1261,'LEAID Match'!$A$2:$B$526,2,FALSE),"")</f>
        <v>2919200</v>
      </c>
      <c r="K1261" s="68">
        <f t="shared" si="39"/>
        <v>8</v>
      </c>
    </row>
    <row r="1262" spans="1:11" x14ac:dyDescent="0.2">
      <c r="A1262">
        <f t="shared" si="38"/>
        <v>2919200</v>
      </c>
      <c r="B1262">
        <v>2019</v>
      </c>
      <c r="C1262" t="s">
        <v>739</v>
      </c>
      <c r="D1262" t="s">
        <v>740</v>
      </c>
      <c r="E1262" t="s">
        <v>743</v>
      </c>
      <c r="F1262" s="34">
        <v>220</v>
      </c>
      <c r="G1262" s="34" t="s">
        <v>157</v>
      </c>
      <c r="H1262" s="36">
        <v>47885</v>
      </c>
      <c r="I1262" s="58">
        <v>230723</v>
      </c>
      <c r="J1262">
        <f>IFERROR(VLOOKUP(G1262,'LEAID Match'!$A$2:$B$526,2,FALSE),"")</f>
        <v>2919200</v>
      </c>
      <c r="K1262" s="68">
        <f t="shared" si="39"/>
        <v>8</v>
      </c>
    </row>
    <row r="1263" spans="1:11" x14ac:dyDescent="0.2">
      <c r="A1263">
        <f t="shared" si="38"/>
        <v>2919200</v>
      </c>
      <c r="B1263">
        <v>2020</v>
      </c>
      <c r="C1263" t="s">
        <v>739</v>
      </c>
      <c r="D1263" t="s">
        <v>740</v>
      </c>
      <c r="E1263" t="s">
        <v>743</v>
      </c>
      <c r="F1263" s="34">
        <v>220</v>
      </c>
      <c r="G1263" s="34" t="s">
        <v>157</v>
      </c>
      <c r="H1263" s="36">
        <v>46739</v>
      </c>
      <c r="I1263" s="58">
        <v>228774</v>
      </c>
      <c r="J1263">
        <f>IFERROR(VLOOKUP(G1263,'LEAID Match'!$A$2:$B$526,2,FALSE),"")</f>
        <v>2919200</v>
      </c>
      <c r="K1263" s="68">
        <f t="shared" si="39"/>
        <v>8</v>
      </c>
    </row>
    <row r="1264" spans="1:11" x14ac:dyDescent="0.2">
      <c r="A1264">
        <f t="shared" si="38"/>
        <v>2919200</v>
      </c>
      <c r="B1264">
        <v>2021</v>
      </c>
      <c r="C1264" t="s">
        <v>739</v>
      </c>
      <c r="D1264" t="s">
        <v>740</v>
      </c>
      <c r="E1264" t="s">
        <v>743</v>
      </c>
      <c r="F1264" s="34">
        <v>220</v>
      </c>
      <c r="G1264" s="34" t="s">
        <v>157</v>
      </c>
      <c r="H1264" s="36">
        <v>45395</v>
      </c>
      <c r="I1264" s="58">
        <v>244474</v>
      </c>
      <c r="J1264">
        <f>IFERROR(VLOOKUP(G1264,'LEAID Match'!$A$2:$B$526,2,FALSE),"")</f>
        <v>2919200</v>
      </c>
      <c r="K1264" s="68">
        <f t="shared" si="39"/>
        <v>8</v>
      </c>
    </row>
    <row r="1265" spans="1:11" x14ac:dyDescent="0.2">
      <c r="A1265">
        <f t="shared" si="38"/>
        <v>2919200</v>
      </c>
      <c r="B1265">
        <v>2022</v>
      </c>
      <c r="C1265" t="s">
        <v>739</v>
      </c>
      <c r="D1265" t="s">
        <v>740</v>
      </c>
      <c r="E1265" t="s">
        <v>743</v>
      </c>
      <c r="F1265" s="34">
        <v>220</v>
      </c>
      <c r="G1265" s="34" t="s">
        <v>157</v>
      </c>
      <c r="H1265" s="36">
        <v>46275</v>
      </c>
      <c r="I1265" s="58">
        <v>226985</v>
      </c>
      <c r="J1265">
        <f>IFERROR(VLOOKUP(G1265,'LEAID Match'!$A$2:$B$526,2,FALSE),"")</f>
        <v>2919200</v>
      </c>
      <c r="K1265" s="68">
        <f t="shared" si="39"/>
        <v>8</v>
      </c>
    </row>
    <row r="1266" spans="1:11" x14ac:dyDescent="0.2">
      <c r="A1266">
        <f t="shared" si="38"/>
        <v>2912450</v>
      </c>
      <c r="B1266">
        <v>2015</v>
      </c>
      <c r="C1266" t="s">
        <v>739</v>
      </c>
      <c r="D1266" t="s">
        <v>740</v>
      </c>
      <c r="E1266" t="s">
        <v>743</v>
      </c>
      <c r="F1266" s="37">
        <v>221</v>
      </c>
      <c r="G1266" s="34" t="s">
        <v>554</v>
      </c>
      <c r="H1266" s="40">
        <v>17762</v>
      </c>
      <c r="I1266" s="58">
        <v>161884</v>
      </c>
      <c r="J1266">
        <f>IFERROR(VLOOKUP(G1266,'LEAID Match'!$A$2:$B$526,2,FALSE),"")</f>
        <v>2912450</v>
      </c>
      <c r="K1266" s="68">
        <f t="shared" si="39"/>
        <v>8</v>
      </c>
    </row>
    <row r="1267" spans="1:11" x14ac:dyDescent="0.2">
      <c r="A1267">
        <f t="shared" si="38"/>
        <v>2912450</v>
      </c>
      <c r="B1267">
        <v>2016</v>
      </c>
      <c r="C1267" t="s">
        <v>739</v>
      </c>
      <c r="D1267" t="s">
        <v>740</v>
      </c>
      <c r="E1267" t="s">
        <v>743</v>
      </c>
      <c r="F1267" s="34">
        <v>221</v>
      </c>
      <c r="G1267" s="34" t="s">
        <v>554</v>
      </c>
      <c r="H1267" s="36">
        <v>15609</v>
      </c>
      <c r="I1267" s="60">
        <v>166743</v>
      </c>
      <c r="J1267">
        <f>IFERROR(VLOOKUP(G1267,'LEAID Match'!$A$2:$B$526,2,FALSE),"")</f>
        <v>2912450</v>
      </c>
      <c r="K1267" s="68">
        <f t="shared" si="39"/>
        <v>8</v>
      </c>
    </row>
    <row r="1268" spans="1:11" x14ac:dyDescent="0.2">
      <c r="A1268">
        <f t="shared" si="38"/>
        <v>2912450</v>
      </c>
      <c r="B1268">
        <v>2017</v>
      </c>
      <c r="C1268" t="s">
        <v>739</v>
      </c>
      <c r="D1268" t="s">
        <v>740</v>
      </c>
      <c r="E1268" t="s">
        <v>743</v>
      </c>
      <c r="F1268" s="34">
        <v>221</v>
      </c>
      <c r="G1268" s="34" t="s">
        <v>554</v>
      </c>
      <c r="H1268" s="36">
        <v>16612</v>
      </c>
      <c r="I1268" s="58">
        <v>170768</v>
      </c>
      <c r="J1268">
        <f>IFERROR(VLOOKUP(G1268,'LEAID Match'!$A$2:$B$526,2,FALSE),"")</f>
        <v>2912450</v>
      </c>
      <c r="K1268" s="68">
        <f t="shared" si="39"/>
        <v>8</v>
      </c>
    </row>
    <row r="1269" spans="1:11" x14ac:dyDescent="0.2">
      <c r="A1269">
        <f t="shared" si="38"/>
        <v>2912450</v>
      </c>
      <c r="B1269">
        <v>2018</v>
      </c>
      <c r="C1269" t="s">
        <v>739</v>
      </c>
      <c r="D1269" t="s">
        <v>740</v>
      </c>
      <c r="E1269" t="s">
        <v>743</v>
      </c>
      <c r="F1269" s="34">
        <v>221</v>
      </c>
      <c r="G1269" s="34" t="s">
        <v>554</v>
      </c>
      <c r="H1269" s="36">
        <v>15343</v>
      </c>
      <c r="I1269" s="58">
        <v>170402</v>
      </c>
      <c r="J1269">
        <f>IFERROR(VLOOKUP(G1269,'LEAID Match'!$A$2:$B$526,2,FALSE),"")</f>
        <v>2912450</v>
      </c>
      <c r="K1269" s="68">
        <f t="shared" si="39"/>
        <v>8</v>
      </c>
    </row>
    <row r="1270" spans="1:11" x14ac:dyDescent="0.2">
      <c r="A1270">
        <f t="shared" si="38"/>
        <v>2912450</v>
      </c>
      <c r="B1270">
        <v>2019</v>
      </c>
      <c r="C1270" t="s">
        <v>739</v>
      </c>
      <c r="D1270" t="s">
        <v>740</v>
      </c>
      <c r="E1270" t="s">
        <v>743</v>
      </c>
      <c r="F1270" s="34">
        <v>221</v>
      </c>
      <c r="G1270" s="34" t="s">
        <v>554</v>
      </c>
      <c r="H1270" s="36">
        <v>11727</v>
      </c>
      <c r="I1270" s="58">
        <v>168520</v>
      </c>
      <c r="J1270">
        <f>IFERROR(VLOOKUP(G1270,'LEAID Match'!$A$2:$B$526,2,FALSE),"")</f>
        <v>2912450</v>
      </c>
      <c r="K1270" s="68">
        <f t="shared" si="39"/>
        <v>8</v>
      </c>
    </row>
    <row r="1271" spans="1:11" x14ac:dyDescent="0.2">
      <c r="A1271">
        <f t="shared" si="38"/>
        <v>2912450</v>
      </c>
      <c r="B1271">
        <v>2020</v>
      </c>
      <c r="C1271" t="s">
        <v>739</v>
      </c>
      <c r="D1271" t="s">
        <v>740</v>
      </c>
      <c r="E1271" t="s">
        <v>743</v>
      </c>
      <c r="F1271" s="34">
        <v>221</v>
      </c>
      <c r="G1271" s="34" t="s">
        <v>554</v>
      </c>
      <c r="H1271" s="36">
        <v>13272</v>
      </c>
      <c r="I1271" s="58">
        <v>160630</v>
      </c>
      <c r="J1271">
        <f>IFERROR(VLOOKUP(G1271,'LEAID Match'!$A$2:$B$526,2,FALSE),"")</f>
        <v>2912450</v>
      </c>
      <c r="K1271" s="68">
        <f t="shared" si="39"/>
        <v>8</v>
      </c>
    </row>
    <row r="1272" spans="1:11" x14ac:dyDescent="0.2">
      <c r="A1272">
        <f t="shared" si="38"/>
        <v>2912450</v>
      </c>
      <c r="B1272">
        <v>2021</v>
      </c>
      <c r="C1272" t="s">
        <v>739</v>
      </c>
      <c r="D1272" t="s">
        <v>740</v>
      </c>
      <c r="E1272" t="s">
        <v>743</v>
      </c>
      <c r="F1272" s="34">
        <v>221</v>
      </c>
      <c r="G1272" s="34" t="s">
        <v>554</v>
      </c>
      <c r="H1272" s="36">
        <v>20779</v>
      </c>
      <c r="I1272" s="58">
        <v>159570</v>
      </c>
      <c r="J1272">
        <f>IFERROR(VLOOKUP(G1272,'LEAID Match'!$A$2:$B$526,2,FALSE),"")</f>
        <v>2912450</v>
      </c>
      <c r="K1272" s="68">
        <f t="shared" si="39"/>
        <v>8</v>
      </c>
    </row>
    <row r="1273" spans="1:11" x14ac:dyDescent="0.2">
      <c r="A1273">
        <f t="shared" si="38"/>
        <v>2912450</v>
      </c>
      <c r="B1273">
        <v>2022</v>
      </c>
      <c r="C1273" t="s">
        <v>739</v>
      </c>
      <c r="D1273" t="s">
        <v>740</v>
      </c>
      <c r="E1273" t="s">
        <v>743</v>
      </c>
      <c r="F1273" s="34">
        <v>221</v>
      </c>
      <c r="G1273" s="34" t="s">
        <v>554</v>
      </c>
      <c r="H1273" s="36">
        <v>20342</v>
      </c>
      <c r="I1273" s="58">
        <v>162894</v>
      </c>
      <c r="J1273">
        <f>IFERROR(VLOOKUP(G1273,'LEAID Match'!$A$2:$B$526,2,FALSE),"")</f>
        <v>2912450</v>
      </c>
      <c r="K1273" s="68">
        <f t="shared" si="39"/>
        <v>8</v>
      </c>
    </row>
    <row r="1274" spans="1:11" x14ac:dyDescent="0.2">
      <c r="A1274">
        <f t="shared" si="38"/>
        <v>2912480</v>
      </c>
      <c r="B1274">
        <v>2015</v>
      </c>
      <c r="C1274" t="s">
        <v>739</v>
      </c>
      <c r="D1274" t="s">
        <v>740</v>
      </c>
      <c r="E1274" t="s">
        <v>743</v>
      </c>
      <c r="F1274" s="37">
        <v>222</v>
      </c>
      <c r="G1274" s="39" t="s">
        <v>159</v>
      </c>
      <c r="H1274" s="40">
        <v>6674</v>
      </c>
      <c r="I1274" s="58">
        <v>54148</v>
      </c>
      <c r="J1274">
        <f>IFERROR(VLOOKUP(G1274,'LEAID Match'!$A$2:$B$526,2,FALSE),"")</f>
        <v>2912480</v>
      </c>
      <c r="K1274" s="68">
        <f t="shared" si="39"/>
        <v>8</v>
      </c>
    </row>
    <row r="1275" spans="1:11" x14ac:dyDescent="0.2">
      <c r="A1275">
        <f t="shared" si="38"/>
        <v>2912480</v>
      </c>
      <c r="B1275">
        <v>2016</v>
      </c>
      <c r="C1275" t="s">
        <v>739</v>
      </c>
      <c r="D1275" t="s">
        <v>740</v>
      </c>
      <c r="E1275" t="s">
        <v>743</v>
      </c>
      <c r="F1275" s="34">
        <v>222</v>
      </c>
      <c r="G1275" s="34" t="s">
        <v>159</v>
      </c>
      <c r="H1275" s="36">
        <v>6998</v>
      </c>
      <c r="I1275" s="60">
        <v>51287</v>
      </c>
      <c r="J1275">
        <f>IFERROR(VLOOKUP(G1275,'LEAID Match'!$A$2:$B$526,2,FALSE),"")</f>
        <v>2912480</v>
      </c>
      <c r="K1275" s="68">
        <f t="shared" si="39"/>
        <v>8</v>
      </c>
    </row>
    <row r="1276" spans="1:11" x14ac:dyDescent="0.2">
      <c r="A1276">
        <f t="shared" si="38"/>
        <v>2912480</v>
      </c>
      <c r="B1276">
        <v>2017</v>
      </c>
      <c r="C1276" t="s">
        <v>739</v>
      </c>
      <c r="D1276" t="s">
        <v>740</v>
      </c>
      <c r="E1276" t="s">
        <v>743</v>
      </c>
      <c r="F1276" s="34">
        <v>222</v>
      </c>
      <c r="G1276" s="34" t="s">
        <v>159</v>
      </c>
      <c r="H1276" s="36">
        <v>6737</v>
      </c>
      <c r="I1276" s="58">
        <v>57090</v>
      </c>
      <c r="J1276">
        <f>IFERROR(VLOOKUP(G1276,'LEAID Match'!$A$2:$B$526,2,FALSE),"")</f>
        <v>2912480</v>
      </c>
      <c r="K1276" s="68">
        <f t="shared" si="39"/>
        <v>8</v>
      </c>
    </row>
    <row r="1277" spans="1:11" x14ac:dyDescent="0.2">
      <c r="A1277">
        <f t="shared" si="38"/>
        <v>2912480</v>
      </c>
      <c r="B1277">
        <v>2018</v>
      </c>
      <c r="C1277" t="s">
        <v>739</v>
      </c>
      <c r="D1277" t="s">
        <v>740</v>
      </c>
      <c r="E1277" t="s">
        <v>743</v>
      </c>
      <c r="F1277" s="34">
        <v>222</v>
      </c>
      <c r="G1277" s="34" t="s">
        <v>159</v>
      </c>
      <c r="H1277" s="36">
        <v>6687</v>
      </c>
      <c r="I1277" s="58">
        <v>59092</v>
      </c>
      <c r="J1277">
        <f>IFERROR(VLOOKUP(G1277,'LEAID Match'!$A$2:$B$526,2,FALSE),"")</f>
        <v>2912480</v>
      </c>
      <c r="K1277" s="68">
        <f t="shared" si="39"/>
        <v>8</v>
      </c>
    </row>
    <row r="1278" spans="1:11" x14ac:dyDescent="0.2">
      <c r="A1278">
        <f t="shared" si="38"/>
        <v>2912480</v>
      </c>
      <c r="B1278">
        <v>2019</v>
      </c>
      <c r="C1278" t="s">
        <v>739</v>
      </c>
      <c r="D1278" t="s">
        <v>740</v>
      </c>
      <c r="E1278" t="s">
        <v>743</v>
      </c>
      <c r="F1278" s="34">
        <v>222</v>
      </c>
      <c r="G1278" s="34" t="s">
        <v>159</v>
      </c>
      <c r="H1278" s="36">
        <v>6285</v>
      </c>
      <c r="I1278" s="58">
        <v>59542</v>
      </c>
      <c r="J1278">
        <f>IFERROR(VLOOKUP(G1278,'LEAID Match'!$A$2:$B$526,2,FALSE),"")</f>
        <v>2912480</v>
      </c>
      <c r="K1278" s="68">
        <f t="shared" si="39"/>
        <v>8</v>
      </c>
    </row>
    <row r="1279" spans="1:11" x14ac:dyDescent="0.2">
      <c r="A1279">
        <f t="shared" si="38"/>
        <v>2912480</v>
      </c>
      <c r="B1279">
        <v>2020</v>
      </c>
      <c r="C1279" t="s">
        <v>739</v>
      </c>
      <c r="D1279" t="s">
        <v>740</v>
      </c>
      <c r="E1279" t="s">
        <v>743</v>
      </c>
      <c r="F1279" s="34">
        <v>222</v>
      </c>
      <c r="G1279" s="34" t="s">
        <v>159</v>
      </c>
      <c r="H1279" s="36">
        <v>6311</v>
      </c>
      <c r="I1279" s="58">
        <v>54433</v>
      </c>
      <c r="J1279">
        <f>IFERROR(VLOOKUP(G1279,'LEAID Match'!$A$2:$B$526,2,FALSE),"")</f>
        <v>2912480</v>
      </c>
      <c r="K1279" s="68">
        <f t="shared" si="39"/>
        <v>8</v>
      </c>
    </row>
    <row r="1280" spans="1:11" x14ac:dyDescent="0.2">
      <c r="A1280">
        <f t="shared" si="38"/>
        <v>2912480</v>
      </c>
      <c r="B1280">
        <v>2021</v>
      </c>
      <c r="C1280" t="s">
        <v>739</v>
      </c>
      <c r="D1280" t="s">
        <v>740</v>
      </c>
      <c r="E1280" t="s">
        <v>743</v>
      </c>
      <c r="F1280" s="34">
        <v>222</v>
      </c>
      <c r="G1280" s="34" t="s">
        <v>159</v>
      </c>
      <c r="H1280" s="36">
        <v>7601</v>
      </c>
      <c r="I1280" s="58">
        <v>61225</v>
      </c>
      <c r="J1280">
        <f>IFERROR(VLOOKUP(G1280,'LEAID Match'!$A$2:$B$526,2,FALSE),"")</f>
        <v>2912480</v>
      </c>
      <c r="K1280" s="68">
        <f t="shared" si="39"/>
        <v>8</v>
      </c>
    </row>
    <row r="1281" spans="1:11" x14ac:dyDescent="0.2">
      <c r="A1281">
        <f t="shared" si="38"/>
        <v>2912480</v>
      </c>
      <c r="B1281">
        <v>2022</v>
      </c>
      <c r="C1281" t="s">
        <v>739</v>
      </c>
      <c r="D1281" t="s">
        <v>740</v>
      </c>
      <c r="E1281" t="s">
        <v>743</v>
      </c>
      <c r="F1281" s="34">
        <v>222</v>
      </c>
      <c r="G1281" s="34" t="s">
        <v>159</v>
      </c>
      <c r="H1281" s="36">
        <v>7290</v>
      </c>
      <c r="I1281" s="58">
        <v>63207</v>
      </c>
      <c r="J1281">
        <f>IFERROR(VLOOKUP(G1281,'LEAID Match'!$A$2:$B$526,2,FALSE),"")</f>
        <v>2912480</v>
      </c>
      <c r="K1281" s="68">
        <f t="shared" si="39"/>
        <v>8</v>
      </c>
    </row>
    <row r="1282" spans="1:11" x14ac:dyDescent="0.2">
      <c r="A1282">
        <f t="shared" si="38"/>
        <v>2929760</v>
      </c>
      <c r="B1282">
        <v>2015</v>
      </c>
      <c r="C1282" t="s">
        <v>739</v>
      </c>
      <c r="D1282" t="s">
        <v>740</v>
      </c>
      <c r="E1282" t="s">
        <v>743</v>
      </c>
      <c r="F1282" s="37">
        <v>223</v>
      </c>
      <c r="G1282" s="39" t="s">
        <v>160</v>
      </c>
      <c r="H1282" s="40">
        <v>156129</v>
      </c>
      <c r="I1282" s="58">
        <v>1455805</v>
      </c>
      <c r="J1282">
        <f>IFERROR(VLOOKUP(G1282,'LEAID Match'!$A$2:$B$526,2,FALSE),"")</f>
        <v>2929760</v>
      </c>
      <c r="K1282" s="68">
        <f t="shared" si="39"/>
        <v>8</v>
      </c>
    </row>
    <row r="1283" spans="1:11" x14ac:dyDescent="0.2">
      <c r="A1283">
        <f t="shared" ref="A1283:A1346" si="40">J1283</f>
        <v>2929760</v>
      </c>
      <c r="B1283">
        <v>2016</v>
      </c>
      <c r="C1283" t="s">
        <v>739</v>
      </c>
      <c r="D1283" t="s">
        <v>740</v>
      </c>
      <c r="E1283" t="s">
        <v>743</v>
      </c>
      <c r="F1283" s="34">
        <v>223</v>
      </c>
      <c r="G1283" s="34" t="s">
        <v>160</v>
      </c>
      <c r="H1283" s="36">
        <v>167603</v>
      </c>
      <c r="I1283" s="60">
        <v>1502580</v>
      </c>
      <c r="J1283">
        <f>IFERROR(VLOOKUP(G1283,'LEAID Match'!$A$2:$B$526,2,FALSE),"")</f>
        <v>2929760</v>
      </c>
      <c r="K1283" s="68">
        <f t="shared" ref="K1283:K1346" si="41">COUNTIF($J$2:$J$4295,J1283)</f>
        <v>8</v>
      </c>
    </row>
    <row r="1284" spans="1:11" x14ac:dyDescent="0.2">
      <c r="A1284">
        <f t="shared" si="40"/>
        <v>2929760</v>
      </c>
      <c r="B1284">
        <v>2017</v>
      </c>
      <c r="C1284" t="s">
        <v>739</v>
      </c>
      <c r="D1284" t="s">
        <v>740</v>
      </c>
      <c r="E1284" t="s">
        <v>743</v>
      </c>
      <c r="F1284" s="34">
        <v>223</v>
      </c>
      <c r="G1284" s="34" t="s">
        <v>160</v>
      </c>
      <c r="H1284" s="36">
        <v>177554</v>
      </c>
      <c r="I1284" s="58">
        <v>1511050</v>
      </c>
      <c r="J1284">
        <f>IFERROR(VLOOKUP(G1284,'LEAID Match'!$A$2:$B$526,2,FALSE),"")</f>
        <v>2929760</v>
      </c>
      <c r="K1284" s="68">
        <f t="shared" si="41"/>
        <v>8</v>
      </c>
    </row>
    <row r="1285" spans="1:11" x14ac:dyDescent="0.2">
      <c r="A1285">
        <f t="shared" si="40"/>
        <v>2929760</v>
      </c>
      <c r="B1285">
        <v>2018</v>
      </c>
      <c r="C1285" t="s">
        <v>739</v>
      </c>
      <c r="D1285" t="s">
        <v>740</v>
      </c>
      <c r="E1285" t="s">
        <v>743</v>
      </c>
      <c r="F1285" s="34">
        <v>223</v>
      </c>
      <c r="G1285" s="34" t="s">
        <v>160</v>
      </c>
      <c r="H1285" s="36">
        <v>180023</v>
      </c>
      <c r="I1285" s="58">
        <v>1564040</v>
      </c>
      <c r="J1285">
        <f>IFERROR(VLOOKUP(G1285,'LEAID Match'!$A$2:$B$526,2,FALSE),"")</f>
        <v>2929760</v>
      </c>
      <c r="K1285" s="68">
        <f t="shared" si="41"/>
        <v>8</v>
      </c>
    </row>
    <row r="1286" spans="1:11" x14ac:dyDescent="0.2">
      <c r="A1286">
        <f t="shared" si="40"/>
        <v>2929760</v>
      </c>
      <c r="B1286">
        <v>2019</v>
      </c>
      <c r="C1286" t="s">
        <v>739</v>
      </c>
      <c r="D1286" t="s">
        <v>740</v>
      </c>
      <c r="E1286" t="s">
        <v>743</v>
      </c>
      <c r="F1286" s="34">
        <v>223</v>
      </c>
      <c r="G1286" s="34" t="s">
        <v>160</v>
      </c>
      <c r="H1286" s="36">
        <v>201411</v>
      </c>
      <c r="I1286" s="58">
        <v>1544093</v>
      </c>
      <c r="J1286">
        <f>IFERROR(VLOOKUP(G1286,'LEAID Match'!$A$2:$B$526,2,FALSE),"")</f>
        <v>2929760</v>
      </c>
      <c r="K1286" s="68">
        <f t="shared" si="41"/>
        <v>8</v>
      </c>
    </row>
    <row r="1287" spans="1:11" x14ac:dyDescent="0.2">
      <c r="A1287">
        <f t="shared" si="40"/>
        <v>2929760</v>
      </c>
      <c r="B1287">
        <v>2020</v>
      </c>
      <c r="C1287" t="s">
        <v>739</v>
      </c>
      <c r="D1287" t="s">
        <v>740</v>
      </c>
      <c r="E1287" t="s">
        <v>743</v>
      </c>
      <c r="F1287" s="34">
        <v>223</v>
      </c>
      <c r="G1287" s="34" t="s">
        <v>160</v>
      </c>
      <c r="H1287" s="36">
        <v>196061</v>
      </c>
      <c r="I1287" s="58">
        <v>1549442</v>
      </c>
      <c r="J1287">
        <f>IFERROR(VLOOKUP(G1287,'LEAID Match'!$A$2:$B$526,2,FALSE),"")</f>
        <v>2929760</v>
      </c>
      <c r="K1287" s="68">
        <f t="shared" si="41"/>
        <v>8</v>
      </c>
    </row>
    <row r="1288" spans="1:11" x14ac:dyDescent="0.2">
      <c r="A1288">
        <f t="shared" si="40"/>
        <v>2929760</v>
      </c>
      <c r="B1288">
        <v>2021</v>
      </c>
      <c r="C1288" t="s">
        <v>739</v>
      </c>
      <c r="D1288" t="s">
        <v>740</v>
      </c>
      <c r="E1288" t="s">
        <v>743</v>
      </c>
      <c r="F1288" s="34">
        <v>223</v>
      </c>
      <c r="G1288" s="34" t="s">
        <v>160</v>
      </c>
      <c r="H1288" s="36">
        <v>206941</v>
      </c>
      <c r="I1288" s="58">
        <v>1597623</v>
      </c>
      <c r="J1288">
        <f>IFERROR(VLOOKUP(G1288,'LEAID Match'!$A$2:$B$526,2,FALSE),"")</f>
        <v>2929760</v>
      </c>
      <c r="K1288" s="68">
        <f t="shared" si="41"/>
        <v>8</v>
      </c>
    </row>
    <row r="1289" spans="1:11" x14ac:dyDescent="0.2">
      <c r="A1289">
        <f t="shared" si="40"/>
        <v>2929760</v>
      </c>
      <c r="B1289">
        <v>2022</v>
      </c>
      <c r="C1289" t="s">
        <v>739</v>
      </c>
      <c r="D1289" t="s">
        <v>740</v>
      </c>
      <c r="E1289" t="s">
        <v>743</v>
      </c>
      <c r="F1289" s="34">
        <v>223</v>
      </c>
      <c r="G1289" s="34" t="s">
        <v>160</v>
      </c>
      <c r="H1289" s="36">
        <v>226453</v>
      </c>
      <c r="I1289" s="58">
        <v>1615187</v>
      </c>
      <c r="J1289">
        <f>IFERROR(VLOOKUP(G1289,'LEAID Match'!$A$2:$B$526,2,FALSE),"")</f>
        <v>2929760</v>
      </c>
      <c r="K1289" s="68">
        <f t="shared" si="41"/>
        <v>8</v>
      </c>
    </row>
    <row r="1290" spans="1:11" x14ac:dyDescent="0.2">
      <c r="A1290">
        <f t="shared" si="40"/>
        <v>2931110</v>
      </c>
      <c r="B1290">
        <v>2015</v>
      </c>
      <c r="C1290" t="s">
        <v>739</v>
      </c>
      <c r="D1290" t="s">
        <v>740</v>
      </c>
      <c r="E1290" t="s">
        <v>743</v>
      </c>
      <c r="F1290" s="37">
        <v>224</v>
      </c>
      <c r="G1290" s="39" t="s">
        <v>161</v>
      </c>
      <c r="H1290" s="40">
        <v>465249</v>
      </c>
      <c r="I1290" s="58">
        <v>3147842</v>
      </c>
      <c r="J1290">
        <f>IFERROR(VLOOKUP(G1290,'LEAID Match'!$A$2:$B$526,2,FALSE),"")</f>
        <v>2931110</v>
      </c>
      <c r="K1290" s="68">
        <f t="shared" si="41"/>
        <v>8</v>
      </c>
    </row>
    <row r="1291" spans="1:11" x14ac:dyDescent="0.2">
      <c r="A1291">
        <f t="shared" si="40"/>
        <v>2931110</v>
      </c>
      <c r="B1291">
        <v>2016</v>
      </c>
      <c r="C1291" t="s">
        <v>739</v>
      </c>
      <c r="D1291" t="s">
        <v>740</v>
      </c>
      <c r="E1291" t="s">
        <v>743</v>
      </c>
      <c r="F1291" s="34">
        <v>224</v>
      </c>
      <c r="G1291" s="34" t="s">
        <v>161</v>
      </c>
      <c r="H1291" s="36">
        <v>465817</v>
      </c>
      <c r="I1291" s="60">
        <v>3196537</v>
      </c>
      <c r="J1291">
        <f>IFERROR(VLOOKUP(G1291,'LEAID Match'!$A$2:$B$526,2,FALSE),"")</f>
        <v>2931110</v>
      </c>
      <c r="K1291" s="68">
        <f t="shared" si="41"/>
        <v>8</v>
      </c>
    </row>
    <row r="1292" spans="1:11" x14ac:dyDescent="0.2">
      <c r="A1292">
        <f t="shared" si="40"/>
        <v>2931110</v>
      </c>
      <c r="B1292">
        <v>2017</v>
      </c>
      <c r="C1292" t="s">
        <v>739</v>
      </c>
      <c r="D1292" t="s">
        <v>740</v>
      </c>
      <c r="E1292" t="s">
        <v>743</v>
      </c>
      <c r="F1292" s="34">
        <v>224</v>
      </c>
      <c r="G1292" s="34" t="s">
        <v>161</v>
      </c>
      <c r="H1292" s="36">
        <v>467873</v>
      </c>
      <c r="I1292" s="58">
        <v>3091334</v>
      </c>
      <c r="J1292">
        <f>IFERROR(VLOOKUP(G1292,'LEAID Match'!$A$2:$B$526,2,FALSE),"")</f>
        <v>2931110</v>
      </c>
      <c r="K1292" s="68">
        <f t="shared" si="41"/>
        <v>8</v>
      </c>
    </row>
    <row r="1293" spans="1:11" x14ac:dyDescent="0.2">
      <c r="A1293">
        <f t="shared" si="40"/>
        <v>2931110</v>
      </c>
      <c r="B1293">
        <v>2018</v>
      </c>
      <c r="C1293" t="s">
        <v>739</v>
      </c>
      <c r="D1293" t="s">
        <v>740</v>
      </c>
      <c r="E1293" t="s">
        <v>743</v>
      </c>
      <c r="F1293" s="34">
        <v>224</v>
      </c>
      <c r="G1293" s="34" t="s">
        <v>161</v>
      </c>
      <c r="H1293" s="36">
        <v>466546</v>
      </c>
      <c r="I1293" s="58">
        <v>3168155</v>
      </c>
      <c r="J1293">
        <f>IFERROR(VLOOKUP(G1293,'LEAID Match'!$A$2:$B$526,2,FALSE),"")</f>
        <v>2931110</v>
      </c>
      <c r="K1293" s="68">
        <f t="shared" si="41"/>
        <v>8</v>
      </c>
    </row>
    <row r="1294" spans="1:11" x14ac:dyDescent="0.2">
      <c r="A1294">
        <f t="shared" si="40"/>
        <v>2931110</v>
      </c>
      <c r="B1294">
        <v>2019</v>
      </c>
      <c r="C1294" t="s">
        <v>739</v>
      </c>
      <c r="D1294" t="s">
        <v>740</v>
      </c>
      <c r="E1294" t="s">
        <v>743</v>
      </c>
      <c r="F1294" s="34">
        <v>224</v>
      </c>
      <c r="G1294" s="34" t="s">
        <v>161</v>
      </c>
      <c r="H1294" s="36">
        <v>481917</v>
      </c>
      <c r="I1294" s="58">
        <v>3253245</v>
      </c>
      <c r="J1294">
        <f>IFERROR(VLOOKUP(G1294,'LEAID Match'!$A$2:$B$526,2,FALSE),"")</f>
        <v>2931110</v>
      </c>
      <c r="K1294" s="68">
        <f t="shared" si="41"/>
        <v>8</v>
      </c>
    </row>
    <row r="1295" spans="1:11" x14ac:dyDescent="0.2">
      <c r="A1295">
        <f t="shared" si="40"/>
        <v>2931110</v>
      </c>
      <c r="B1295">
        <v>2020</v>
      </c>
      <c r="C1295" t="s">
        <v>739</v>
      </c>
      <c r="D1295" t="s">
        <v>740</v>
      </c>
      <c r="E1295" t="s">
        <v>743</v>
      </c>
      <c r="F1295" s="34">
        <v>224</v>
      </c>
      <c r="G1295" s="34" t="s">
        <v>161</v>
      </c>
      <c r="H1295" s="36">
        <v>493825</v>
      </c>
      <c r="I1295" s="58">
        <v>3295917</v>
      </c>
      <c r="J1295">
        <f>IFERROR(VLOOKUP(G1295,'LEAID Match'!$A$2:$B$526,2,FALSE),"")</f>
        <v>2931110</v>
      </c>
      <c r="K1295" s="68">
        <f t="shared" si="41"/>
        <v>8</v>
      </c>
    </row>
    <row r="1296" spans="1:11" x14ac:dyDescent="0.2">
      <c r="A1296">
        <f t="shared" si="40"/>
        <v>2931110</v>
      </c>
      <c r="B1296">
        <v>2021</v>
      </c>
      <c r="C1296" t="s">
        <v>739</v>
      </c>
      <c r="D1296" t="s">
        <v>740</v>
      </c>
      <c r="E1296" t="s">
        <v>743</v>
      </c>
      <c r="F1296" s="34">
        <v>224</v>
      </c>
      <c r="G1296" s="34" t="s">
        <v>161</v>
      </c>
      <c r="H1296" s="36">
        <v>481704</v>
      </c>
      <c r="I1296" s="58">
        <v>3365907</v>
      </c>
      <c r="J1296">
        <f>IFERROR(VLOOKUP(G1296,'LEAID Match'!$A$2:$B$526,2,FALSE),"")</f>
        <v>2931110</v>
      </c>
      <c r="K1296" s="68">
        <f t="shared" si="41"/>
        <v>8</v>
      </c>
    </row>
    <row r="1297" spans="1:11" x14ac:dyDescent="0.2">
      <c r="A1297">
        <f t="shared" si="40"/>
        <v>2931110</v>
      </c>
      <c r="B1297">
        <v>2022</v>
      </c>
      <c r="C1297" t="s">
        <v>739</v>
      </c>
      <c r="D1297" t="s">
        <v>740</v>
      </c>
      <c r="E1297" t="s">
        <v>743</v>
      </c>
      <c r="F1297" s="34">
        <v>224</v>
      </c>
      <c r="G1297" s="34" t="s">
        <v>161</v>
      </c>
      <c r="H1297" s="36">
        <v>510398</v>
      </c>
      <c r="I1297" s="58">
        <v>3410101</v>
      </c>
      <c r="J1297">
        <f>IFERROR(VLOOKUP(G1297,'LEAID Match'!$A$2:$B$526,2,FALSE),"")</f>
        <v>2931110</v>
      </c>
      <c r="K1297" s="68">
        <f t="shared" si="41"/>
        <v>8</v>
      </c>
    </row>
    <row r="1298" spans="1:11" x14ac:dyDescent="0.2">
      <c r="A1298">
        <f t="shared" si="40"/>
        <v>2921960</v>
      </c>
      <c r="B1298">
        <v>2015</v>
      </c>
      <c r="C1298" t="s">
        <v>739</v>
      </c>
      <c r="D1298" t="s">
        <v>740</v>
      </c>
      <c r="E1298" t="s">
        <v>743</v>
      </c>
      <c r="F1298" s="37">
        <v>225</v>
      </c>
      <c r="G1298" s="39" t="s">
        <v>162</v>
      </c>
      <c r="H1298" s="40">
        <v>54143</v>
      </c>
      <c r="I1298" s="58">
        <v>329294</v>
      </c>
      <c r="J1298">
        <f>IFERROR(VLOOKUP(G1298,'LEAID Match'!$A$2:$B$526,2,FALSE),"")</f>
        <v>2921960</v>
      </c>
      <c r="K1298" s="68">
        <f t="shared" si="41"/>
        <v>8</v>
      </c>
    </row>
    <row r="1299" spans="1:11" x14ac:dyDescent="0.2">
      <c r="A1299">
        <f t="shared" si="40"/>
        <v>2921960</v>
      </c>
      <c r="B1299">
        <v>2016</v>
      </c>
      <c r="C1299" t="s">
        <v>739</v>
      </c>
      <c r="D1299" t="s">
        <v>740</v>
      </c>
      <c r="E1299" t="s">
        <v>743</v>
      </c>
      <c r="F1299" s="34">
        <v>225</v>
      </c>
      <c r="G1299" s="34" t="s">
        <v>162</v>
      </c>
      <c r="H1299" s="36">
        <v>56323</v>
      </c>
      <c r="I1299" s="60">
        <v>336999</v>
      </c>
      <c r="J1299">
        <f>IFERROR(VLOOKUP(G1299,'LEAID Match'!$A$2:$B$526,2,FALSE),"")</f>
        <v>2921960</v>
      </c>
      <c r="K1299" s="68">
        <f t="shared" si="41"/>
        <v>8</v>
      </c>
    </row>
    <row r="1300" spans="1:11" x14ac:dyDescent="0.2">
      <c r="A1300">
        <f t="shared" si="40"/>
        <v>2921960</v>
      </c>
      <c r="B1300">
        <v>2017</v>
      </c>
      <c r="C1300" t="s">
        <v>739</v>
      </c>
      <c r="D1300" t="s">
        <v>740</v>
      </c>
      <c r="E1300" t="s">
        <v>743</v>
      </c>
      <c r="F1300" s="34">
        <v>225</v>
      </c>
      <c r="G1300" s="34" t="s">
        <v>162</v>
      </c>
      <c r="H1300" s="36">
        <v>61454</v>
      </c>
      <c r="I1300" s="58">
        <v>340935</v>
      </c>
      <c r="J1300">
        <f>IFERROR(VLOOKUP(G1300,'LEAID Match'!$A$2:$B$526,2,FALSE),"")</f>
        <v>2921960</v>
      </c>
      <c r="K1300" s="68">
        <f t="shared" si="41"/>
        <v>8</v>
      </c>
    </row>
    <row r="1301" spans="1:11" x14ac:dyDescent="0.2">
      <c r="A1301">
        <f t="shared" si="40"/>
        <v>2921960</v>
      </c>
      <c r="B1301">
        <v>2018</v>
      </c>
      <c r="C1301" t="s">
        <v>739</v>
      </c>
      <c r="D1301" t="s">
        <v>740</v>
      </c>
      <c r="E1301" t="s">
        <v>743</v>
      </c>
      <c r="F1301" s="34">
        <v>225</v>
      </c>
      <c r="G1301" s="34" t="s">
        <v>162</v>
      </c>
      <c r="H1301" s="36">
        <v>61632</v>
      </c>
      <c r="I1301" s="58">
        <v>358659</v>
      </c>
      <c r="J1301">
        <f>IFERROR(VLOOKUP(G1301,'LEAID Match'!$A$2:$B$526,2,FALSE),"")</f>
        <v>2921960</v>
      </c>
      <c r="K1301" s="68">
        <f t="shared" si="41"/>
        <v>8</v>
      </c>
    </row>
    <row r="1302" spans="1:11" x14ac:dyDescent="0.2">
      <c r="A1302">
        <f t="shared" si="40"/>
        <v>2921960</v>
      </c>
      <c r="B1302">
        <v>2019</v>
      </c>
      <c r="C1302" t="s">
        <v>739</v>
      </c>
      <c r="D1302" t="s">
        <v>740</v>
      </c>
      <c r="E1302" t="s">
        <v>743</v>
      </c>
      <c r="F1302" s="34">
        <v>225</v>
      </c>
      <c r="G1302" s="34" t="s">
        <v>162</v>
      </c>
      <c r="H1302" s="36">
        <v>57726</v>
      </c>
      <c r="I1302" s="58">
        <v>369136</v>
      </c>
      <c r="J1302">
        <f>IFERROR(VLOOKUP(G1302,'LEAID Match'!$A$2:$B$526,2,FALSE),"")</f>
        <v>2921960</v>
      </c>
      <c r="K1302" s="68">
        <f t="shared" si="41"/>
        <v>8</v>
      </c>
    </row>
    <row r="1303" spans="1:11" x14ac:dyDescent="0.2">
      <c r="A1303">
        <f t="shared" si="40"/>
        <v>2921960</v>
      </c>
      <c r="B1303">
        <v>2020</v>
      </c>
      <c r="C1303" t="s">
        <v>739</v>
      </c>
      <c r="D1303" t="s">
        <v>740</v>
      </c>
      <c r="E1303" t="s">
        <v>743</v>
      </c>
      <c r="F1303" s="34">
        <v>225</v>
      </c>
      <c r="G1303" s="34" t="s">
        <v>162</v>
      </c>
      <c r="H1303" s="36">
        <v>54731</v>
      </c>
      <c r="I1303" s="58">
        <v>372282</v>
      </c>
      <c r="J1303">
        <f>IFERROR(VLOOKUP(G1303,'LEAID Match'!$A$2:$B$526,2,FALSE),"")</f>
        <v>2921960</v>
      </c>
      <c r="K1303" s="68">
        <f t="shared" si="41"/>
        <v>8</v>
      </c>
    </row>
    <row r="1304" spans="1:11" x14ac:dyDescent="0.2">
      <c r="A1304">
        <f t="shared" si="40"/>
        <v>2921960</v>
      </c>
      <c r="B1304">
        <v>2021</v>
      </c>
      <c r="C1304" t="s">
        <v>739</v>
      </c>
      <c r="D1304" t="s">
        <v>740</v>
      </c>
      <c r="E1304" t="s">
        <v>743</v>
      </c>
      <c r="F1304" s="34">
        <v>225</v>
      </c>
      <c r="G1304" s="34" t="s">
        <v>162</v>
      </c>
      <c r="H1304" s="36">
        <v>54648</v>
      </c>
      <c r="I1304" s="58">
        <v>387062</v>
      </c>
      <c r="J1304">
        <f>IFERROR(VLOOKUP(G1304,'LEAID Match'!$A$2:$B$526,2,FALSE),"")</f>
        <v>2921960</v>
      </c>
      <c r="K1304" s="68">
        <f t="shared" si="41"/>
        <v>8</v>
      </c>
    </row>
    <row r="1305" spans="1:11" x14ac:dyDescent="0.2">
      <c r="A1305">
        <f t="shared" si="40"/>
        <v>2921960</v>
      </c>
      <c r="B1305">
        <v>2022</v>
      </c>
      <c r="C1305" t="s">
        <v>739</v>
      </c>
      <c r="D1305" t="s">
        <v>740</v>
      </c>
      <c r="E1305" t="s">
        <v>743</v>
      </c>
      <c r="F1305" s="34">
        <v>225</v>
      </c>
      <c r="G1305" s="34" t="s">
        <v>162</v>
      </c>
      <c r="H1305" s="36">
        <v>56872</v>
      </c>
      <c r="I1305" s="58">
        <v>383374</v>
      </c>
      <c r="J1305">
        <f>IFERROR(VLOOKUP(G1305,'LEAID Match'!$A$2:$B$526,2,FALSE),"")</f>
        <v>2921960</v>
      </c>
      <c r="K1305" s="68">
        <f t="shared" si="41"/>
        <v>8</v>
      </c>
    </row>
    <row r="1306" spans="1:11" x14ac:dyDescent="0.2">
      <c r="A1306">
        <f t="shared" si="40"/>
        <v>2914280</v>
      </c>
      <c r="B1306">
        <v>2015</v>
      </c>
      <c r="C1306" t="s">
        <v>739</v>
      </c>
      <c r="D1306" t="s">
        <v>740</v>
      </c>
      <c r="E1306" t="s">
        <v>743</v>
      </c>
      <c r="F1306" s="37">
        <v>229</v>
      </c>
      <c r="G1306" s="39" t="s">
        <v>163</v>
      </c>
      <c r="H1306" s="40">
        <v>76778</v>
      </c>
      <c r="I1306" s="58">
        <v>659476</v>
      </c>
      <c r="J1306">
        <f>IFERROR(VLOOKUP(G1306,'LEAID Match'!$A$2:$B$526,2,FALSE),"")</f>
        <v>2914280</v>
      </c>
      <c r="K1306" s="68">
        <f t="shared" si="41"/>
        <v>8</v>
      </c>
    </row>
    <row r="1307" spans="1:11" x14ac:dyDescent="0.2">
      <c r="A1307">
        <f t="shared" si="40"/>
        <v>2914280</v>
      </c>
      <c r="B1307">
        <v>2016</v>
      </c>
      <c r="C1307" t="s">
        <v>739</v>
      </c>
      <c r="D1307" t="s">
        <v>740</v>
      </c>
      <c r="E1307" t="s">
        <v>743</v>
      </c>
      <c r="F1307" s="34">
        <v>229</v>
      </c>
      <c r="G1307" s="34" t="s">
        <v>163</v>
      </c>
      <c r="H1307" s="36">
        <v>79743</v>
      </c>
      <c r="I1307" s="60">
        <v>660804</v>
      </c>
      <c r="J1307">
        <f>IFERROR(VLOOKUP(G1307,'LEAID Match'!$A$2:$B$526,2,FALSE),"")</f>
        <v>2914280</v>
      </c>
      <c r="K1307" s="68">
        <f t="shared" si="41"/>
        <v>8</v>
      </c>
    </row>
    <row r="1308" spans="1:11" x14ac:dyDescent="0.2">
      <c r="A1308">
        <f t="shared" si="40"/>
        <v>2914280</v>
      </c>
      <c r="B1308">
        <v>2017</v>
      </c>
      <c r="C1308" t="s">
        <v>739</v>
      </c>
      <c r="D1308" t="s">
        <v>740</v>
      </c>
      <c r="E1308" t="s">
        <v>743</v>
      </c>
      <c r="F1308" s="34">
        <v>229</v>
      </c>
      <c r="G1308" s="34" t="s">
        <v>163</v>
      </c>
      <c r="H1308" s="36">
        <v>81780</v>
      </c>
      <c r="I1308" s="58">
        <v>652783</v>
      </c>
      <c r="J1308">
        <f>IFERROR(VLOOKUP(G1308,'LEAID Match'!$A$2:$B$526,2,FALSE),"")</f>
        <v>2914280</v>
      </c>
      <c r="K1308" s="68">
        <f t="shared" si="41"/>
        <v>8</v>
      </c>
    </row>
    <row r="1309" spans="1:11" x14ac:dyDescent="0.2">
      <c r="A1309">
        <f t="shared" si="40"/>
        <v>2914280</v>
      </c>
      <c r="B1309">
        <v>2018</v>
      </c>
      <c r="C1309" t="s">
        <v>739</v>
      </c>
      <c r="D1309" t="s">
        <v>740</v>
      </c>
      <c r="E1309" t="s">
        <v>743</v>
      </c>
      <c r="F1309" s="34">
        <v>229</v>
      </c>
      <c r="G1309" s="34" t="s">
        <v>163</v>
      </c>
      <c r="H1309" s="36">
        <v>86039</v>
      </c>
      <c r="I1309" s="58">
        <v>675098</v>
      </c>
      <c r="J1309">
        <f>IFERROR(VLOOKUP(G1309,'LEAID Match'!$A$2:$B$526,2,FALSE),"")</f>
        <v>2914280</v>
      </c>
      <c r="K1309" s="68">
        <f t="shared" si="41"/>
        <v>8</v>
      </c>
    </row>
    <row r="1310" spans="1:11" x14ac:dyDescent="0.2">
      <c r="A1310">
        <f t="shared" si="40"/>
        <v>2914280</v>
      </c>
      <c r="B1310">
        <v>2019</v>
      </c>
      <c r="C1310" t="s">
        <v>739</v>
      </c>
      <c r="D1310" t="s">
        <v>740</v>
      </c>
      <c r="E1310" t="s">
        <v>743</v>
      </c>
      <c r="F1310" s="34">
        <v>229</v>
      </c>
      <c r="G1310" s="34" t="s">
        <v>163</v>
      </c>
      <c r="H1310" s="36">
        <v>90381</v>
      </c>
      <c r="I1310" s="58">
        <v>679867</v>
      </c>
      <c r="J1310">
        <f>IFERROR(VLOOKUP(G1310,'LEAID Match'!$A$2:$B$526,2,FALSE),"")</f>
        <v>2914280</v>
      </c>
      <c r="K1310" s="68">
        <f t="shared" si="41"/>
        <v>8</v>
      </c>
    </row>
    <row r="1311" spans="1:11" x14ac:dyDescent="0.2">
      <c r="A1311">
        <f t="shared" si="40"/>
        <v>2914280</v>
      </c>
      <c r="B1311">
        <v>2020</v>
      </c>
      <c r="C1311" t="s">
        <v>739</v>
      </c>
      <c r="D1311" t="s">
        <v>740</v>
      </c>
      <c r="E1311" t="s">
        <v>743</v>
      </c>
      <c r="F1311" s="34">
        <v>229</v>
      </c>
      <c r="G1311" s="34" t="s">
        <v>163</v>
      </c>
      <c r="H1311" s="36">
        <v>90960</v>
      </c>
      <c r="I1311" s="58">
        <v>670685</v>
      </c>
      <c r="J1311">
        <f>IFERROR(VLOOKUP(G1311,'LEAID Match'!$A$2:$B$526,2,FALSE),"")</f>
        <v>2914280</v>
      </c>
      <c r="K1311" s="68">
        <f t="shared" si="41"/>
        <v>8</v>
      </c>
    </row>
    <row r="1312" spans="1:11" x14ac:dyDescent="0.2">
      <c r="A1312">
        <f t="shared" si="40"/>
        <v>2914280</v>
      </c>
      <c r="B1312">
        <v>2021</v>
      </c>
      <c r="C1312" t="s">
        <v>739</v>
      </c>
      <c r="D1312" t="s">
        <v>740</v>
      </c>
      <c r="E1312" t="s">
        <v>743</v>
      </c>
      <c r="F1312" s="34">
        <v>229</v>
      </c>
      <c r="G1312" s="34" t="s">
        <v>163</v>
      </c>
      <c r="H1312" s="36">
        <v>97496</v>
      </c>
      <c r="I1312" s="58">
        <v>671119</v>
      </c>
      <c r="J1312">
        <f>IFERROR(VLOOKUP(G1312,'LEAID Match'!$A$2:$B$526,2,FALSE),"")</f>
        <v>2914280</v>
      </c>
      <c r="K1312" s="68">
        <f t="shared" si="41"/>
        <v>8</v>
      </c>
    </row>
    <row r="1313" spans="1:11" x14ac:dyDescent="0.2">
      <c r="A1313">
        <f t="shared" si="40"/>
        <v>2914280</v>
      </c>
      <c r="B1313">
        <v>2022</v>
      </c>
      <c r="C1313" t="s">
        <v>739</v>
      </c>
      <c r="D1313" t="s">
        <v>740</v>
      </c>
      <c r="E1313" t="s">
        <v>743</v>
      </c>
      <c r="F1313" s="34">
        <v>229</v>
      </c>
      <c r="G1313" s="34" t="s">
        <v>163</v>
      </c>
      <c r="H1313" s="36">
        <v>117098</v>
      </c>
      <c r="I1313" s="58">
        <v>693364</v>
      </c>
      <c r="J1313">
        <f>IFERROR(VLOOKUP(G1313,'LEAID Match'!$A$2:$B$526,2,FALSE),"")</f>
        <v>2914280</v>
      </c>
      <c r="K1313" s="68">
        <f t="shared" si="41"/>
        <v>8</v>
      </c>
    </row>
    <row r="1314" spans="1:11" x14ac:dyDescent="0.2">
      <c r="A1314">
        <f t="shared" si="40"/>
        <v>2923340</v>
      </c>
      <c r="B1314">
        <v>2015</v>
      </c>
      <c r="C1314" t="s">
        <v>739</v>
      </c>
      <c r="D1314" t="s">
        <v>740</v>
      </c>
      <c r="E1314" t="s">
        <v>743</v>
      </c>
      <c r="F1314" s="37">
        <v>230</v>
      </c>
      <c r="G1314" s="39" t="s">
        <v>164</v>
      </c>
      <c r="H1314" s="40">
        <v>162053</v>
      </c>
      <c r="I1314" s="58">
        <v>1128752</v>
      </c>
      <c r="J1314">
        <f>IFERROR(VLOOKUP(G1314,'LEAID Match'!$A$2:$B$526,2,FALSE),"")</f>
        <v>2923340</v>
      </c>
      <c r="K1314" s="68">
        <f t="shared" si="41"/>
        <v>8</v>
      </c>
    </row>
    <row r="1315" spans="1:11" x14ac:dyDescent="0.2">
      <c r="A1315">
        <f t="shared" si="40"/>
        <v>2923340</v>
      </c>
      <c r="B1315">
        <v>2016</v>
      </c>
      <c r="C1315" t="s">
        <v>739</v>
      </c>
      <c r="D1315" t="s">
        <v>740</v>
      </c>
      <c r="E1315" t="s">
        <v>743</v>
      </c>
      <c r="F1315" s="34">
        <v>230</v>
      </c>
      <c r="G1315" s="34" t="s">
        <v>164</v>
      </c>
      <c r="H1315" s="36">
        <v>170914</v>
      </c>
      <c r="I1315" s="60">
        <v>1095915</v>
      </c>
      <c r="J1315">
        <f>IFERROR(VLOOKUP(G1315,'LEAID Match'!$A$2:$B$526,2,FALSE),"")</f>
        <v>2923340</v>
      </c>
      <c r="K1315" s="68">
        <f t="shared" si="41"/>
        <v>8</v>
      </c>
    </row>
    <row r="1316" spans="1:11" x14ac:dyDescent="0.2">
      <c r="A1316">
        <f t="shared" si="40"/>
        <v>2923340</v>
      </c>
      <c r="B1316">
        <v>2017</v>
      </c>
      <c r="C1316" t="s">
        <v>739</v>
      </c>
      <c r="D1316" t="s">
        <v>740</v>
      </c>
      <c r="E1316" t="s">
        <v>743</v>
      </c>
      <c r="F1316" s="34">
        <v>230</v>
      </c>
      <c r="G1316" s="34" t="s">
        <v>164</v>
      </c>
      <c r="H1316" s="36">
        <v>176073</v>
      </c>
      <c r="I1316" s="58">
        <v>1118790</v>
      </c>
      <c r="J1316">
        <f>IFERROR(VLOOKUP(G1316,'LEAID Match'!$A$2:$B$526,2,FALSE),"")</f>
        <v>2923340</v>
      </c>
      <c r="K1316" s="68">
        <f t="shared" si="41"/>
        <v>8</v>
      </c>
    </row>
    <row r="1317" spans="1:11" x14ac:dyDescent="0.2">
      <c r="A1317">
        <f t="shared" si="40"/>
        <v>2923340</v>
      </c>
      <c r="B1317">
        <v>2018</v>
      </c>
      <c r="C1317" t="s">
        <v>739</v>
      </c>
      <c r="D1317" t="s">
        <v>740</v>
      </c>
      <c r="E1317" t="s">
        <v>743</v>
      </c>
      <c r="F1317" s="34">
        <v>230</v>
      </c>
      <c r="G1317" s="34" t="s">
        <v>164</v>
      </c>
      <c r="H1317" s="36">
        <v>183216</v>
      </c>
      <c r="I1317" s="58">
        <v>1130314</v>
      </c>
      <c r="J1317">
        <f>IFERROR(VLOOKUP(G1317,'LEAID Match'!$A$2:$B$526,2,FALSE),"")</f>
        <v>2923340</v>
      </c>
      <c r="K1317" s="68">
        <f t="shared" si="41"/>
        <v>8</v>
      </c>
    </row>
    <row r="1318" spans="1:11" x14ac:dyDescent="0.2">
      <c r="A1318">
        <f t="shared" si="40"/>
        <v>2923340</v>
      </c>
      <c r="B1318">
        <v>2019</v>
      </c>
      <c r="C1318" t="s">
        <v>739</v>
      </c>
      <c r="D1318" t="s">
        <v>740</v>
      </c>
      <c r="E1318" t="s">
        <v>743</v>
      </c>
      <c r="F1318" s="34">
        <v>230</v>
      </c>
      <c r="G1318" s="34" t="s">
        <v>164</v>
      </c>
      <c r="H1318" s="36">
        <v>199777</v>
      </c>
      <c r="I1318" s="58">
        <v>1129818</v>
      </c>
      <c r="J1318">
        <f>IFERROR(VLOOKUP(G1318,'LEAID Match'!$A$2:$B$526,2,FALSE),"")</f>
        <v>2923340</v>
      </c>
      <c r="K1318" s="68">
        <f t="shared" si="41"/>
        <v>8</v>
      </c>
    </row>
    <row r="1319" spans="1:11" x14ac:dyDescent="0.2">
      <c r="A1319">
        <f t="shared" si="40"/>
        <v>2923340</v>
      </c>
      <c r="B1319">
        <v>2020</v>
      </c>
      <c r="C1319" t="s">
        <v>739</v>
      </c>
      <c r="D1319" t="s">
        <v>740</v>
      </c>
      <c r="E1319" t="s">
        <v>743</v>
      </c>
      <c r="F1319" s="34">
        <v>230</v>
      </c>
      <c r="G1319" s="34" t="s">
        <v>164</v>
      </c>
      <c r="H1319" s="36">
        <v>211789</v>
      </c>
      <c r="I1319" s="58">
        <v>1127838</v>
      </c>
      <c r="J1319">
        <f>IFERROR(VLOOKUP(G1319,'LEAID Match'!$A$2:$B$526,2,FALSE),"")</f>
        <v>2923340</v>
      </c>
      <c r="K1319" s="68">
        <f t="shared" si="41"/>
        <v>8</v>
      </c>
    </row>
    <row r="1320" spans="1:11" x14ac:dyDescent="0.2">
      <c r="A1320">
        <f t="shared" si="40"/>
        <v>2923340</v>
      </c>
      <c r="B1320">
        <v>2021</v>
      </c>
      <c r="C1320" t="s">
        <v>739</v>
      </c>
      <c r="D1320" t="s">
        <v>740</v>
      </c>
      <c r="E1320" t="s">
        <v>743</v>
      </c>
      <c r="F1320" s="34">
        <v>230</v>
      </c>
      <c r="G1320" s="34" t="s">
        <v>164</v>
      </c>
      <c r="H1320" s="36">
        <v>215502</v>
      </c>
      <c r="I1320" s="58">
        <v>1120522</v>
      </c>
      <c r="J1320">
        <f>IFERROR(VLOOKUP(G1320,'LEAID Match'!$A$2:$B$526,2,FALSE),"")</f>
        <v>2923340</v>
      </c>
      <c r="K1320" s="68">
        <f t="shared" si="41"/>
        <v>8</v>
      </c>
    </row>
    <row r="1321" spans="1:11" x14ac:dyDescent="0.2">
      <c r="A1321">
        <f t="shared" si="40"/>
        <v>2923340</v>
      </c>
      <c r="B1321">
        <v>2022</v>
      </c>
      <c r="C1321" t="s">
        <v>739</v>
      </c>
      <c r="D1321" t="s">
        <v>740</v>
      </c>
      <c r="E1321" t="s">
        <v>743</v>
      </c>
      <c r="F1321" s="34">
        <v>230</v>
      </c>
      <c r="G1321" s="34" t="s">
        <v>164</v>
      </c>
      <c r="H1321" s="36">
        <v>222772</v>
      </c>
      <c r="I1321" s="58">
        <v>1125452</v>
      </c>
      <c r="J1321">
        <f>IFERROR(VLOOKUP(G1321,'LEAID Match'!$A$2:$B$526,2,FALSE),"")</f>
        <v>2923340</v>
      </c>
      <c r="K1321" s="68">
        <f t="shared" si="41"/>
        <v>8</v>
      </c>
    </row>
    <row r="1322" spans="1:11" x14ac:dyDescent="0.2">
      <c r="A1322">
        <f t="shared" si="40"/>
        <v>2916590</v>
      </c>
      <c r="B1322">
        <v>2015</v>
      </c>
      <c r="C1322" t="s">
        <v>739</v>
      </c>
      <c r="D1322" t="s">
        <v>740</v>
      </c>
      <c r="E1322" t="s">
        <v>743</v>
      </c>
      <c r="F1322" s="37">
        <v>232</v>
      </c>
      <c r="G1322" s="39" t="s">
        <v>165</v>
      </c>
      <c r="H1322" s="40">
        <v>31042</v>
      </c>
      <c r="I1322" s="58">
        <v>284663</v>
      </c>
      <c r="J1322">
        <f>IFERROR(VLOOKUP(G1322,'LEAID Match'!$A$2:$B$526,2,FALSE),"")</f>
        <v>2916590</v>
      </c>
      <c r="K1322" s="68">
        <f t="shared" si="41"/>
        <v>8</v>
      </c>
    </row>
    <row r="1323" spans="1:11" x14ac:dyDescent="0.2">
      <c r="A1323">
        <f t="shared" si="40"/>
        <v>2916590</v>
      </c>
      <c r="B1323">
        <v>2016</v>
      </c>
      <c r="C1323" t="s">
        <v>739</v>
      </c>
      <c r="D1323" t="s">
        <v>740</v>
      </c>
      <c r="E1323" t="s">
        <v>743</v>
      </c>
      <c r="F1323" s="34">
        <v>232</v>
      </c>
      <c r="G1323" s="34" t="s">
        <v>165</v>
      </c>
      <c r="H1323" s="36">
        <v>31748</v>
      </c>
      <c r="I1323" s="60">
        <v>290434</v>
      </c>
      <c r="J1323">
        <f>IFERROR(VLOOKUP(G1323,'LEAID Match'!$A$2:$B$526,2,FALSE),"")</f>
        <v>2916590</v>
      </c>
      <c r="K1323" s="68">
        <f t="shared" si="41"/>
        <v>8</v>
      </c>
    </row>
    <row r="1324" spans="1:11" x14ac:dyDescent="0.2">
      <c r="A1324">
        <f t="shared" si="40"/>
        <v>2916590</v>
      </c>
      <c r="B1324">
        <v>2017</v>
      </c>
      <c r="C1324" t="s">
        <v>739</v>
      </c>
      <c r="D1324" t="s">
        <v>740</v>
      </c>
      <c r="E1324" t="s">
        <v>743</v>
      </c>
      <c r="F1324" s="34">
        <v>232</v>
      </c>
      <c r="G1324" s="34" t="s">
        <v>165</v>
      </c>
      <c r="H1324" s="36">
        <v>33830</v>
      </c>
      <c r="I1324" s="58">
        <v>301164</v>
      </c>
      <c r="J1324">
        <f>IFERROR(VLOOKUP(G1324,'LEAID Match'!$A$2:$B$526,2,FALSE),"")</f>
        <v>2916590</v>
      </c>
      <c r="K1324" s="68">
        <f t="shared" si="41"/>
        <v>8</v>
      </c>
    </row>
    <row r="1325" spans="1:11" x14ac:dyDescent="0.2">
      <c r="A1325">
        <f t="shared" si="40"/>
        <v>2916590</v>
      </c>
      <c r="B1325">
        <v>2018</v>
      </c>
      <c r="C1325" t="s">
        <v>739</v>
      </c>
      <c r="D1325" t="s">
        <v>740</v>
      </c>
      <c r="E1325" t="s">
        <v>743</v>
      </c>
      <c r="F1325" s="34">
        <v>232</v>
      </c>
      <c r="G1325" s="34" t="s">
        <v>165</v>
      </c>
      <c r="H1325" s="36">
        <v>36530</v>
      </c>
      <c r="I1325" s="58">
        <v>306096</v>
      </c>
      <c r="J1325">
        <f>IFERROR(VLOOKUP(G1325,'LEAID Match'!$A$2:$B$526,2,FALSE),"")</f>
        <v>2916590</v>
      </c>
      <c r="K1325" s="68">
        <f t="shared" si="41"/>
        <v>8</v>
      </c>
    </row>
    <row r="1326" spans="1:11" x14ac:dyDescent="0.2">
      <c r="A1326">
        <f t="shared" si="40"/>
        <v>2916590</v>
      </c>
      <c r="B1326">
        <v>2019</v>
      </c>
      <c r="C1326" t="s">
        <v>739</v>
      </c>
      <c r="D1326" t="s">
        <v>740</v>
      </c>
      <c r="E1326" t="s">
        <v>743</v>
      </c>
      <c r="F1326" s="34">
        <v>232</v>
      </c>
      <c r="G1326" s="34" t="s">
        <v>165</v>
      </c>
      <c r="H1326" s="36">
        <v>34824</v>
      </c>
      <c r="I1326" s="58">
        <v>325698</v>
      </c>
      <c r="J1326">
        <f>IFERROR(VLOOKUP(G1326,'LEAID Match'!$A$2:$B$526,2,FALSE),"")</f>
        <v>2916590</v>
      </c>
      <c r="K1326" s="68">
        <f t="shared" si="41"/>
        <v>8</v>
      </c>
    </row>
    <row r="1327" spans="1:11" x14ac:dyDescent="0.2">
      <c r="A1327">
        <f t="shared" si="40"/>
        <v>2916590</v>
      </c>
      <c r="B1327">
        <v>2020</v>
      </c>
      <c r="C1327" t="s">
        <v>739</v>
      </c>
      <c r="D1327" t="s">
        <v>740</v>
      </c>
      <c r="E1327" t="s">
        <v>743</v>
      </c>
      <c r="F1327" s="34">
        <v>232</v>
      </c>
      <c r="G1327" s="34" t="s">
        <v>165</v>
      </c>
      <c r="H1327" s="36">
        <v>36822</v>
      </c>
      <c r="I1327" s="58">
        <v>309934</v>
      </c>
      <c r="J1327">
        <f>IFERROR(VLOOKUP(G1327,'LEAID Match'!$A$2:$B$526,2,FALSE),"")</f>
        <v>2916590</v>
      </c>
      <c r="K1327" s="68">
        <f t="shared" si="41"/>
        <v>8</v>
      </c>
    </row>
    <row r="1328" spans="1:11" x14ac:dyDescent="0.2">
      <c r="A1328">
        <f t="shared" si="40"/>
        <v>2916590</v>
      </c>
      <c r="B1328">
        <v>2021</v>
      </c>
      <c r="C1328" t="s">
        <v>739</v>
      </c>
      <c r="D1328" t="s">
        <v>740</v>
      </c>
      <c r="E1328" t="s">
        <v>743</v>
      </c>
      <c r="F1328" s="34">
        <v>232</v>
      </c>
      <c r="G1328" s="34" t="s">
        <v>165</v>
      </c>
      <c r="H1328" s="36">
        <v>42253</v>
      </c>
      <c r="I1328" s="58">
        <v>331683</v>
      </c>
      <c r="J1328">
        <f>IFERROR(VLOOKUP(G1328,'LEAID Match'!$A$2:$B$526,2,FALSE),"")</f>
        <v>2916590</v>
      </c>
      <c r="K1328" s="68">
        <f t="shared" si="41"/>
        <v>8</v>
      </c>
    </row>
    <row r="1329" spans="1:11" x14ac:dyDescent="0.2">
      <c r="A1329">
        <f t="shared" si="40"/>
        <v>2916590</v>
      </c>
      <c r="B1329">
        <v>2022</v>
      </c>
      <c r="C1329" t="s">
        <v>739</v>
      </c>
      <c r="D1329" t="s">
        <v>740</v>
      </c>
      <c r="E1329" t="s">
        <v>743</v>
      </c>
      <c r="F1329" s="34">
        <v>232</v>
      </c>
      <c r="G1329" s="34" t="s">
        <v>165</v>
      </c>
      <c r="H1329" s="36">
        <v>39439</v>
      </c>
      <c r="I1329" s="58">
        <v>351112</v>
      </c>
      <c r="J1329">
        <f>IFERROR(VLOOKUP(G1329,'LEAID Match'!$A$2:$B$526,2,FALSE),"")</f>
        <v>2916590</v>
      </c>
      <c r="K1329" s="68">
        <f t="shared" si="41"/>
        <v>8</v>
      </c>
    </row>
    <row r="1330" spans="1:11" x14ac:dyDescent="0.2">
      <c r="A1330" t="str">
        <f t="shared" si="40"/>
        <v/>
      </c>
      <c r="B1330">
        <v>2015</v>
      </c>
      <c r="C1330" t="s">
        <v>739</v>
      </c>
      <c r="D1330" t="s">
        <v>740</v>
      </c>
      <c r="E1330" t="s">
        <v>743</v>
      </c>
      <c r="F1330" s="37">
        <v>233</v>
      </c>
      <c r="G1330" s="39" t="s">
        <v>166</v>
      </c>
      <c r="H1330" s="40">
        <v>23316</v>
      </c>
      <c r="I1330" s="58">
        <v>242501</v>
      </c>
      <c r="J1330" t="str">
        <f>IFERROR(VLOOKUP(G1330,'LEAID Match'!$A$2:$B$526,2,FALSE),"")</f>
        <v/>
      </c>
      <c r="K1330" s="68">
        <f t="shared" si="41"/>
        <v>216</v>
      </c>
    </row>
    <row r="1331" spans="1:11" x14ac:dyDescent="0.2">
      <c r="A1331" t="str">
        <f t="shared" si="40"/>
        <v/>
      </c>
      <c r="B1331">
        <v>2016</v>
      </c>
      <c r="C1331" t="s">
        <v>739</v>
      </c>
      <c r="D1331" t="s">
        <v>740</v>
      </c>
      <c r="E1331" t="s">
        <v>743</v>
      </c>
      <c r="F1331" s="34">
        <v>233</v>
      </c>
      <c r="G1331" s="34" t="s">
        <v>166</v>
      </c>
      <c r="H1331" s="36">
        <v>22979</v>
      </c>
      <c r="I1331" s="60">
        <v>249083</v>
      </c>
      <c r="J1331" t="str">
        <f>IFERROR(VLOOKUP(G1331,'LEAID Match'!$A$2:$B$526,2,FALSE),"")</f>
        <v/>
      </c>
      <c r="K1331" s="68">
        <f t="shared" si="41"/>
        <v>216</v>
      </c>
    </row>
    <row r="1332" spans="1:11" x14ac:dyDescent="0.2">
      <c r="A1332" t="str">
        <f t="shared" si="40"/>
        <v/>
      </c>
      <c r="B1332">
        <v>2017</v>
      </c>
      <c r="C1332" t="s">
        <v>739</v>
      </c>
      <c r="D1332" t="s">
        <v>740</v>
      </c>
      <c r="E1332" t="s">
        <v>743</v>
      </c>
      <c r="F1332" s="34">
        <v>233</v>
      </c>
      <c r="G1332" s="34" t="s">
        <v>166</v>
      </c>
      <c r="H1332" s="36">
        <v>23767</v>
      </c>
      <c r="I1332" s="58">
        <v>248629</v>
      </c>
      <c r="J1332" t="str">
        <f>IFERROR(VLOOKUP(G1332,'LEAID Match'!$A$2:$B$526,2,FALSE),"")</f>
        <v/>
      </c>
      <c r="K1332" s="68">
        <f t="shared" si="41"/>
        <v>216</v>
      </c>
    </row>
    <row r="1333" spans="1:11" x14ac:dyDescent="0.2">
      <c r="A1333" t="str">
        <f t="shared" si="40"/>
        <v/>
      </c>
      <c r="B1333">
        <v>2018</v>
      </c>
      <c r="C1333" t="s">
        <v>739</v>
      </c>
      <c r="D1333" t="s">
        <v>740</v>
      </c>
      <c r="E1333" t="s">
        <v>743</v>
      </c>
      <c r="F1333" s="34">
        <v>233</v>
      </c>
      <c r="G1333" s="34" t="s">
        <v>166</v>
      </c>
      <c r="H1333" s="36">
        <v>26005</v>
      </c>
      <c r="I1333" s="58">
        <v>248790</v>
      </c>
      <c r="J1333" t="str">
        <f>IFERROR(VLOOKUP(G1333,'LEAID Match'!$A$2:$B$526,2,FALSE),"")</f>
        <v/>
      </c>
      <c r="K1333" s="68">
        <f t="shared" si="41"/>
        <v>216</v>
      </c>
    </row>
    <row r="1334" spans="1:11" x14ac:dyDescent="0.2">
      <c r="A1334" t="str">
        <f t="shared" si="40"/>
        <v/>
      </c>
      <c r="B1334">
        <v>2019</v>
      </c>
      <c r="C1334" t="s">
        <v>739</v>
      </c>
      <c r="D1334" t="s">
        <v>740</v>
      </c>
      <c r="E1334" t="s">
        <v>743</v>
      </c>
      <c r="F1334" s="34">
        <v>233</v>
      </c>
      <c r="G1334" s="34" t="s">
        <v>166</v>
      </c>
      <c r="H1334" s="36">
        <v>25447</v>
      </c>
      <c r="I1334" s="58">
        <v>253233</v>
      </c>
      <c r="J1334" t="str">
        <f>IFERROR(VLOOKUP(G1334,'LEAID Match'!$A$2:$B$526,2,FALSE),"")</f>
        <v/>
      </c>
      <c r="K1334" s="68">
        <f t="shared" si="41"/>
        <v>216</v>
      </c>
    </row>
    <row r="1335" spans="1:11" x14ac:dyDescent="0.2">
      <c r="A1335" t="str">
        <f t="shared" si="40"/>
        <v/>
      </c>
      <c r="B1335">
        <v>2020</v>
      </c>
      <c r="C1335" t="s">
        <v>739</v>
      </c>
      <c r="D1335" t="s">
        <v>740</v>
      </c>
      <c r="E1335" t="s">
        <v>743</v>
      </c>
      <c r="F1335" s="34">
        <v>233</v>
      </c>
      <c r="G1335" s="34" t="s">
        <v>166</v>
      </c>
      <c r="H1335" s="36">
        <v>25589</v>
      </c>
      <c r="I1335" s="58">
        <v>258984</v>
      </c>
      <c r="J1335" t="str">
        <f>IFERROR(VLOOKUP(G1335,'LEAID Match'!$A$2:$B$526,2,FALSE),"")</f>
        <v/>
      </c>
      <c r="K1335" s="68">
        <f t="shared" si="41"/>
        <v>216</v>
      </c>
    </row>
    <row r="1336" spans="1:11" x14ac:dyDescent="0.2">
      <c r="A1336" t="str">
        <f t="shared" si="40"/>
        <v/>
      </c>
      <c r="B1336">
        <v>2021</v>
      </c>
      <c r="C1336" t="s">
        <v>739</v>
      </c>
      <c r="D1336" t="s">
        <v>740</v>
      </c>
      <c r="E1336" t="s">
        <v>743</v>
      </c>
      <c r="F1336" s="34">
        <v>233</v>
      </c>
      <c r="G1336" s="34" t="s">
        <v>166</v>
      </c>
      <c r="H1336" s="36">
        <v>26268</v>
      </c>
      <c r="I1336" s="58">
        <v>276716</v>
      </c>
      <c r="J1336" t="str">
        <f>IFERROR(VLOOKUP(G1336,'LEAID Match'!$A$2:$B$526,2,FALSE),"")</f>
        <v/>
      </c>
      <c r="K1336" s="68">
        <f t="shared" si="41"/>
        <v>216</v>
      </c>
    </row>
    <row r="1337" spans="1:11" x14ac:dyDescent="0.2">
      <c r="A1337" t="str">
        <f t="shared" si="40"/>
        <v/>
      </c>
      <c r="B1337">
        <v>2022</v>
      </c>
      <c r="C1337" t="s">
        <v>739</v>
      </c>
      <c r="D1337" t="s">
        <v>740</v>
      </c>
      <c r="E1337" t="s">
        <v>743</v>
      </c>
      <c r="F1337" s="34">
        <v>233</v>
      </c>
      <c r="G1337" s="34" t="s">
        <v>166</v>
      </c>
      <c r="H1337" s="36">
        <v>26896</v>
      </c>
      <c r="I1337" s="58">
        <v>297267</v>
      </c>
      <c r="J1337" t="str">
        <f>IFERROR(VLOOKUP(G1337,'LEAID Match'!$A$2:$B$526,2,FALSE),"")</f>
        <v/>
      </c>
      <c r="K1337" s="68">
        <f t="shared" si="41"/>
        <v>216</v>
      </c>
    </row>
    <row r="1338" spans="1:11" x14ac:dyDescent="0.2">
      <c r="A1338">
        <f t="shared" si="40"/>
        <v>2902970</v>
      </c>
      <c r="B1338">
        <v>2015</v>
      </c>
      <c r="C1338" t="s">
        <v>739</v>
      </c>
      <c r="D1338" t="s">
        <v>740</v>
      </c>
      <c r="E1338" t="s">
        <v>743</v>
      </c>
      <c r="F1338" s="37">
        <v>234</v>
      </c>
      <c r="G1338" s="39" t="s">
        <v>167</v>
      </c>
      <c r="H1338" s="40">
        <v>40691</v>
      </c>
      <c r="I1338" s="58">
        <v>311336</v>
      </c>
      <c r="J1338">
        <f>IFERROR(VLOOKUP(G1338,'LEAID Match'!$A$2:$B$526,2,FALSE),"")</f>
        <v>2902970</v>
      </c>
      <c r="K1338" s="68">
        <f t="shared" si="41"/>
        <v>8</v>
      </c>
    </row>
    <row r="1339" spans="1:11" x14ac:dyDescent="0.2">
      <c r="A1339">
        <f t="shared" si="40"/>
        <v>2902970</v>
      </c>
      <c r="B1339">
        <v>2016</v>
      </c>
      <c r="C1339" t="s">
        <v>739</v>
      </c>
      <c r="D1339" t="s">
        <v>740</v>
      </c>
      <c r="E1339" t="s">
        <v>743</v>
      </c>
      <c r="F1339" s="34">
        <v>234</v>
      </c>
      <c r="G1339" s="34" t="s">
        <v>167</v>
      </c>
      <c r="H1339" s="36">
        <v>42046</v>
      </c>
      <c r="I1339" s="60">
        <v>293876</v>
      </c>
      <c r="J1339">
        <f>IFERROR(VLOOKUP(G1339,'LEAID Match'!$A$2:$B$526,2,FALSE),"")</f>
        <v>2902970</v>
      </c>
      <c r="K1339" s="68">
        <f t="shared" si="41"/>
        <v>8</v>
      </c>
    </row>
    <row r="1340" spans="1:11" x14ac:dyDescent="0.2">
      <c r="A1340">
        <f t="shared" si="40"/>
        <v>2902970</v>
      </c>
      <c r="B1340">
        <v>2017</v>
      </c>
      <c r="C1340" t="s">
        <v>739</v>
      </c>
      <c r="D1340" t="s">
        <v>740</v>
      </c>
      <c r="E1340" t="s">
        <v>743</v>
      </c>
      <c r="F1340" s="34">
        <v>234</v>
      </c>
      <c r="G1340" s="34" t="s">
        <v>167</v>
      </c>
      <c r="H1340" s="36">
        <v>37816</v>
      </c>
      <c r="I1340" s="58">
        <v>296220</v>
      </c>
      <c r="J1340">
        <f>IFERROR(VLOOKUP(G1340,'LEAID Match'!$A$2:$B$526,2,FALSE),"")</f>
        <v>2902970</v>
      </c>
      <c r="K1340" s="68">
        <f t="shared" si="41"/>
        <v>8</v>
      </c>
    </row>
    <row r="1341" spans="1:11" x14ac:dyDescent="0.2">
      <c r="A1341">
        <f t="shared" si="40"/>
        <v>2902970</v>
      </c>
      <c r="B1341">
        <v>2018</v>
      </c>
      <c r="C1341" t="s">
        <v>739</v>
      </c>
      <c r="D1341" t="s">
        <v>740</v>
      </c>
      <c r="E1341" t="s">
        <v>743</v>
      </c>
      <c r="F1341" s="34">
        <v>234</v>
      </c>
      <c r="G1341" s="34" t="s">
        <v>167</v>
      </c>
      <c r="H1341" s="36">
        <v>36330</v>
      </c>
      <c r="I1341" s="58">
        <v>293762</v>
      </c>
      <c r="J1341">
        <f>IFERROR(VLOOKUP(G1341,'LEAID Match'!$A$2:$B$526,2,FALSE),"")</f>
        <v>2902970</v>
      </c>
      <c r="K1341" s="68">
        <f t="shared" si="41"/>
        <v>8</v>
      </c>
    </row>
    <row r="1342" spans="1:11" x14ac:dyDescent="0.2">
      <c r="A1342">
        <f t="shared" si="40"/>
        <v>2902970</v>
      </c>
      <c r="B1342">
        <v>2019</v>
      </c>
      <c r="C1342" t="s">
        <v>739</v>
      </c>
      <c r="D1342" t="s">
        <v>740</v>
      </c>
      <c r="E1342" t="s">
        <v>743</v>
      </c>
      <c r="F1342" s="34">
        <v>234</v>
      </c>
      <c r="G1342" s="34" t="s">
        <v>167</v>
      </c>
      <c r="H1342" s="36">
        <v>40858</v>
      </c>
      <c r="I1342" s="58">
        <v>295634</v>
      </c>
      <c r="J1342">
        <f>IFERROR(VLOOKUP(G1342,'LEAID Match'!$A$2:$B$526,2,FALSE),"")</f>
        <v>2902970</v>
      </c>
      <c r="K1342" s="68">
        <f t="shared" si="41"/>
        <v>8</v>
      </c>
    </row>
    <row r="1343" spans="1:11" x14ac:dyDescent="0.2">
      <c r="A1343">
        <f t="shared" si="40"/>
        <v>2902970</v>
      </c>
      <c r="B1343">
        <v>2020</v>
      </c>
      <c r="C1343" t="s">
        <v>739</v>
      </c>
      <c r="D1343" t="s">
        <v>740</v>
      </c>
      <c r="E1343" t="s">
        <v>743</v>
      </c>
      <c r="F1343" s="34">
        <v>234</v>
      </c>
      <c r="G1343" s="34" t="s">
        <v>167</v>
      </c>
      <c r="H1343" s="36">
        <v>42358</v>
      </c>
      <c r="I1343" s="58">
        <v>293249</v>
      </c>
      <c r="J1343">
        <f>IFERROR(VLOOKUP(G1343,'LEAID Match'!$A$2:$B$526,2,FALSE),"")</f>
        <v>2902970</v>
      </c>
      <c r="K1343" s="68">
        <f t="shared" si="41"/>
        <v>8</v>
      </c>
    </row>
    <row r="1344" spans="1:11" x14ac:dyDescent="0.2">
      <c r="A1344">
        <f t="shared" si="40"/>
        <v>2902970</v>
      </c>
      <c r="B1344">
        <v>2021</v>
      </c>
      <c r="C1344" t="s">
        <v>739</v>
      </c>
      <c r="D1344" t="s">
        <v>740</v>
      </c>
      <c r="E1344" t="s">
        <v>743</v>
      </c>
      <c r="F1344" s="34">
        <v>234</v>
      </c>
      <c r="G1344" s="34" t="s">
        <v>167</v>
      </c>
      <c r="H1344" s="36">
        <v>39631</v>
      </c>
      <c r="I1344" s="58">
        <v>312509</v>
      </c>
      <c r="J1344">
        <f>IFERROR(VLOOKUP(G1344,'LEAID Match'!$A$2:$B$526,2,FALSE),"")</f>
        <v>2902970</v>
      </c>
      <c r="K1344" s="68">
        <f t="shared" si="41"/>
        <v>8</v>
      </c>
    </row>
    <row r="1345" spans="1:11" x14ac:dyDescent="0.2">
      <c r="A1345">
        <f t="shared" si="40"/>
        <v>2902970</v>
      </c>
      <c r="B1345">
        <v>2022</v>
      </c>
      <c r="C1345" t="s">
        <v>739</v>
      </c>
      <c r="D1345" t="s">
        <v>740</v>
      </c>
      <c r="E1345" t="s">
        <v>743</v>
      </c>
      <c r="F1345" s="34">
        <v>234</v>
      </c>
      <c r="G1345" s="34" t="s">
        <v>167</v>
      </c>
      <c r="H1345" s="36">
        <v>51835</v>
      </c>
      <c r="I1345" s="58">
        <v>326232</v>
      </c>
      <c r="J1345">
        <f>IFERROR(VLOOKUP(G1345,'LEAID Match'!$A$2:$B$526,2,FALSE),"")</f>
        <v>2902970</v>
      </c>
      <c r="K1345" s="68">
        <f t="shared" si="41"/>
        <v>8</v>
      </c>
    </row>
    <row r="1346" spans="1:11" x14ac:dyDescent="0.2">
      <c r="A1346">
        <f t="shared" si="40"/>
        <v>2932010</v>
      </c>
      <c r="B1346">
        <v>2015</v>
      </c>
      <c r="C1346" t="s">
        <v>739</v>
      </c>
      <c r="D1346" t="s">
        <v>740</v>
      </c>
      <c r="E1346" t="s">
        <v>743</v>
      </c>
      <c r="F1346" s="37">
        <v>235</v>
      </c>
      <c r="G1346" s="39" t="s">
        <v>168</v>
      </c>
      <c r="H1346" s="40">
        <v>442485</v>
      </c>
      <c r="I1346" s="58">
        <v>2863742</v>
      </c>
      <c r="J1346">
        <f>IFERROR(VLOOKUP(G1346,'LEAID Match'!$A$2:$B$526,2,FALSE),"")</f>
        <v>2932010</v>
      </c>
      <c r="K1346" s="68">
        <f t="shared" si="41"/>
        <v>8</v>
      </c>
    </row>
    <row r="1347" spans="1:11" x14ac:dyDescent="0.2">
      <c r="A1347">
        <f t="shared" ref="A1347:A1410" si="42">J1347</f>
        <v>2932010</v>
      </c>
      <c r="B1347">
        <v>2016</v>
      </c>
      <c r="C1347" t="s">
        <v>739</v>
      </c>
      <c r="D1347" t="s">
        <v>740</v>
      </c>
      <c r="E1347" t="s">
        <v>743</v>
      </c>
      <c r="F1347" s="34">
        <v>235</v>
      </c>
      <c r="G1347" s="34" t="s">
        <v>168</v>
      </c>
      <c r="H1347" s="36">
        <v>457302</v>
      </c>
      <c r="I1347" s="60">
        <v>2966828</v>
      </c>
      <c r="J1347">
        <f>IFERROR(VLOOKUP(G1347,'LEAID Match'!$A$2:$B$526,2,FALSE),"")</f>
        <v>2932010</v>
      </c>
      <c r="K1347" s="68">
        <f t="shared" ref="K1347:K1410" si="43">COUNTIF($J$2:$J$4295,J1347)</f>
        <v>8</v>
      </c>
    </row>
    <row r="1348" spans="1:11" x14ac:dyDescent="0.2">
      <c r="A1348">
        <f t="shared" si="42"/>
        <v>2932010</v>
      </c>
      <c r="B1348">
        <v>2017</v>
      </c>
      <c r="C1348" t="s">
        <v>739</v>
      </c>
      <c r="D1348" t="s">
        <v>740</v>
      </c>
      <c r="E1348" t="s">
        <v>743</v>
      </c>
      <c r="F1348" s="34">
        <v>235</v>
      </c>
      <c r="G1348" s="34" t="s">
        <v>168</v>
      </c>
      <c r="H1348" s="36">
        <v>476313</v>
      </c>
      <c r="I1348" s="58">
        <v>3063038</v>
      </c>
      <c r="J1348">
        <f>IFERROR(VLOOKUP(G1348,'LEAID Match'!$A$2:$B$526,2,FALSE),"")</f>
        <v>2932010</v>
      </c>
      <c r="K1348" s="68">
        <f t="shared" si="43"/>
        <v>8</v>
      </c>
    </row>
    <row r="1349" spans="1:11" x14ac:dyDescent="0.2">
      <c r="A1349">
        <f t="shared" si="42"/>
        <v>2932010</v>
      </c>
      <c r="B1349">
        <v>2018</v>
      </c>
      <c r="C1349" t="s">
        <v>739</v>
      </c>
      <c r="D1349" t="s">
        <v>740</v>
      </c>
      <c r="E1349" t="s">
        <v>743</v>
      </c>
      <c r="F1349" s="34">
        <v>235</v>
      </c>
      <c r="G1349" s="34" t="s">
        <v>168</v>
      </c>
      <c r="H1349" s="36">
        <v>492561</v>
      </c>
      <c r="I1349" s="58">
        <v>3149266</v>
      </c>
      <c r="J1349">
        <f>IFERROR(VLOOKUP(G1349,'LEAID Match'!$A$2:$B$526,2,FALSE),"")</f>
        <v>2932010</v>
      </c>
      <c r="K1349" s="68">
        <f t="shared" si="43"/>
        <v>8</v>
      </c>
    </row>
    <row r="1350" spans="1:11" x14ac:dyDescent="0.2">
      <c r="A1350">
        <f t="shared" si="42"/>
        <v>2932010</v>
      </c>
      <c r="B1350">
        <v>2019</v>
      </c>
      <c r="C1350" t="s">
        <v>739</v>
      </c>
      <c r="D1350" t="s">
        <v>740</v>
      </c>
      <c r="E1350" t="s">
        <v>743</v>
      </c>
      <c r="F1350" s="34">
        <v>235</v>
      </c>
      <c r="G1350" s="34" t="s">
        <v>168</v>
      </c>
      <c r="H1350" s="36">
        <v>512403</v>
      </c>
      <c r="I1350" s="58">
        <v>3217948</v>
      </c>
      <c r="J1350">
        <f>IFERROR(VLOOKUP(G1350,'LEAID Match'!$A$2:$B$526,2,FALSE),"")</f>
        <v>2932010</v>
      </c>
      <c r="K1350" s="68">
        <f t="shared" si="43"/>
        <v>8</v>
      </c>
    </row>
    <row r="1351" spans="1:11" x14ac:dyDescent="0.2">
      <c r="A1351">
        <f t="shared" si="42"/>
        <v>2932010</v>
      </c>
      <c r="B1351">
        <v>2020</v>
      </c>
      <c r="C1351" t="s">
        <v>739</v>
      </c>
      <c r="D1351" t="s">
        <v>740</v>
      </c>
      <c r="E1351" t="s">
        <v>743</v>
      </c>
      <c r="F1351" s="34">
        <v>235</v>
      </c>
      <c r="G1351" s="34" t="s">
        <v>168</v>
      </c>
      <c r="H1351" s="36">
        <v>537977</v>
      </c>
      <c r="I1351" s="58">
        <v>3329429</v>
      </c>
      <c r="J1351">
        <f>IFERROR(VLOOKUP(G1351,'LEAID Match'!$A$2:$B$526,2,FALSE),"")</f>
        <v>2932010</v>
      </c>
      <c r="K1351" s="68">
        <f t="shared" si="43"/>
        <v>8</v>
      </c>
    </row>
    <row r="1352" spans="1:11" x14ac:dyDescent="0.2">
      <c r="A1352">
        <f t="shared" si="42"/>
        <v>2932010</v>
      </c>
      <c r="B1352">
        <v>2021</v>
      </c>
      <c r="C1352" t="s">
        <v>739</v>
      </c>
      <c r="D1352" t="s">
        <v>740</v>
      </c>
      <c r="E1352" t="s">
        <v>743</v>
      </c>
      <c r="F1352" s="34">
        <v>235</v>
      </c>
      <c r="G1352" s="34" t="s">
        <v>168</v>
      </c>
      <c r="H1352" s="36">
        <v>555012</v>
      </c>
      <c r="I1352" s="58">
        <v>3565066</v>
      </c>
      <c r="J1352">
        <f>IFERROR(VLOOKUP(G1352,'LEAID Match'!$A$2:$B$526,2,FALSE),"")</f>
        <v>2932010</v>
      </c>
      <c r="K1352" s="68">
        <f t="shared" si="43"/>
        <v>8</v>
      </c>
    </row>
    <row r="1353" spans="1:11" x14ac:dyDescent="0.2">
      <c r="A1353">
        <f t="shared" si="42"/>
        <v>2932010</v>
      </c>
      <c r="B1353">
        <v>2022</v>
      </c>
      <c r="C1353" t="s">
        <v>739</v>
      </c>
      <c r="D1353" t="s">
        <v>740</v>
      </c>
      <c r="E1353" t="s">
        <v>743</v>
      </c>
      <c r="F1353" s="34">
        <v>235</v>
      </c>
      <c r="G1353" s="34" t="s">
        <v>168</v>
      </c>
      <c r="H1353" s="36">
        <v>576953</v>
      </c>
      <c r="I1353" s="58">
        <v>3643182</v>
      </c>
      <c r="J1353">
        <f>IFERROR(VLOOKUP(G1353,'LEAID Match'!$A$2:$B$526,2,FALSE),"")</f>
        <v>2932010</v>
      </c>
      <c r="K1353" s="68">
        <f t="shared" si="43"/>
        <v>8</v>
      </c>
    </row>
    <row r="1354" spans="1:11" x14ac:dyDescent="0.2">
      <c r="A1354">
        <f t="shared" si="42"/>
        <v>2926220</v>
      </c>
      <c r="B1354">
        <v>2015</v>
      </c>
      <c r="C1354" t="s">
        <v>739</v>
      </c>
      <c r="D1354" t="s">
        <v>740</v>
      </c>
      <c r="E1354" t="s">
        <v>743</v>
      </c>
      <c r="F1354" s="37">
        <v>236</v>
      </c>
      <c r="G1354" s="39" t="s">
        <v>169</v>
      </c>
      <c r="H1354" s="40">
        <v>417490</v>
      </c>
      <c r="I1354" s="58">
        <v>2989020</v>
      </c>
      <c r="J1354">
        <f>IFERROR(VLOOKUP(G1354,'LEAID Match'!$A$2:$B$526,2,FALSE),"")</f>
        <v>2926220</v>
      </c>
      <c r="K1354" s="68">
        <f t="shared" si="43"/>
        <v>8</v>
      </c>
    </row>
    <row r="1355" spans="1:11" x14ac:dyDescent="0.2">
      <c r="A1355">
        <f t="shared" si="42"/>
        <v>2926220</v>
      </c>
      <c r="B1355">
        <v>2016</v>
      </c>
      <c r="C1355" t="s">
        <v>739</v>
      </c>
      <c r="D1355" t="s">
        <v>740</v>
      </c>
      <c r="E1355" t="s">
        <v>743</v>
      </c>
      <c r="F1355" s="34">
        <v>236</v>
      </c>
      <c r="G1355" s="34" t="s">
        <v>169</v>
      </c>
      <c r="H1355" s="36">
        <v>446082</v>
      </c>
      <c r="I1355" s="60">
        <v>3047085</v>
      </c>
      <c r="J1355">
        <f>IFERROR(VLOOKUP(G1355,'LEAID Match'!$A$2:$B$526,2,FALSE),"")</f>
        <v>2926220</v>
      </c>
      <c r="K1355" s="68">
        <f t="shared" si="43"/>
        <v>8</v>
      </c>
    </row>
    <row r="1356" spans="1:11" x14ac:dyDescent="0.2">
      <c r="A1356">
        <f t="shared" si="42"/>
        <v>2926220</v>
      </c>
      <c r="B1356">
        <v>2017</v>
      </c>
      <c r="C1356" t="s">
        <v>739</v>
      </c>
      <c r="D1356" t="s">
        <v>740</v>
      </c>
      <c r="E1356" t="s">
        <v>743</v>
      </c>
      <c r="F1356" s="34">
        <v>236</v>
      </c>
      <c r="G1356" s="34" t="s">
        <v>169</v>
      </c>
      <c r="H1356" s="36">
        <v>481135</v>
      </c>
      <c r="I1356" s="58">
        <v>3200638</v>
      </c>
      <c r="J1356">
        <f>IFERROR(VLOOKUP(G1356,'LEAID Match'!$A$2:$B$526,2,FALSE),"")</f>
        <v>2926220</v>
      </c>
      <c r="K1356" s="68">
        <f t="shared" si="43"/>
        <v>8</v>
      </c>
    </row>
    <row r="1357" spans="1:11" x14ac:dyDescent="0.2">
      <c r="A1357">
        <f t="shared" si="42"/>
        <v>2926220</v>
      </c>
      <c r="B1357">
        <v>2018</v>
      </c>
      <c r="C1357" t="s">
        <v>739</v>
      </c>
      <c r="D1357" t="s">
        <v>740</v>
      </c>
      <c r="E1357" t="s">
        <v>743</v>
      </c>
      <c r="F1357" s="34">
        <v>236</v>
      </c>
      <c r="G1357" s="34" t="s">
        <v>169</v>
      </c>
      <c r="H1357" s="36">
        <v>501542</v>
      </c>
      <c r="I1357" s="58">
        <v>3319508</v>
      </c>
      <c r="J1357">
        <f>IFERROR(VLOOKUP(G1357,'LEAID Match'!$A$2:$B$526,2,FALSE),"")</f>
        <v>2926220</v>
      </c>
      <c r="K1357" s="68">
        <f t="shared" si="43"/>
        <v>8</v>
      </c>
    </row>
    <row r="1358" spans="1:11" x14ac:dyDescent="0.2">
      <c r="A1358">
        <f t="shared" si="42"/>
        <v>2926220</v>
      </c>
      <c r="B1358">
        <v>2019</v>
      </c>
      <c r="C1358" t="s">
        <v>739</v>
      </c>
      <c r="D1358" t="s">
        <v>740</v>
      </c>
      <c r="E1358" t="s">
        <v>743</v>
      </c>
      <c r="F1358" s="34">
        <v>236</v>
      </c>
      <c r="G1358" s="34" t="s">
        <v>169</v>
      </c>
      <c r="H1358" s="36">
        <v>541054</v>
      </c>
      <c r="I1358" s="58">
        <v>3473284</v>
      </c>
      <c r="J1358">
        <f>IFERROR(VLOOKUP(G1358,'LEAID Match'!$A$2:$B$526,2,FALSE),"")</f>
        <v>2926220</v>
      </c>
      <c r="K1358" s="68">
        <f t="shared" si="43"/>
        <v>8</v>
      </c>
    </row>
    <row r="1359" spans="1:11" x14ac:dyDescent="0.2">
      <c r="A1359">
        <f t="shared" si="42"/>
        <v>2926220</v>
      </c>
      <c r="B1359">
        <v>2020</v>
      </c>
      <c r="C1359" t="s">
        <v>739</v>
      </c>
      <c r="D1359" t="s">
        <v>740</v>
      </c>
      <c r="E1359" t="s">
        <v>743</v>
      </c>
      <c r="F1359" s="34">
        <v>236</v>
      </c>
      <c r="G1359" s="34" t="s">
        <v>169</v>
      </c>
      <c r="H1359" s="36">
        <v>595938</v>
      </c>
      <c r="I1359" s="58">
        <v>3571552</v>
      </c>
      <c r="J1359">
        <f>IFERROR(VLOOKUP(G1359,'LEAID Match'!$A$2:$B$526,2,FALSE),"")</f>
        <v>2926220</v>
      </c>
      <c r="K1359" s="68">
        <f t="shared" si="43"/>
        <v>8</v>
      </c>
    </row>
    <row r="1360" spans="1:11" x14ac:dyDescent="0.2">
      <c r="A1360">
        <f t="shared" si="42"/>
        <v>2926220</v>
      </c>
      <c r="B1360">
        <v>2021</v>
      </c>
      <c r="C1360" t="s">
        <v>739</v>
      </c>
      <c r="D1360" t="s">
        <v>740</v>
      </c>
      <c r="E1360" t="s">
        <v>743</v>
      </c>
      <c r="F1360" s="34">
        <v>236</v>
      </c>
      <c r="G1360" s="34" t="s">
        <v>169</v>
      </c>
      <c r="H1360" s="36">
        <v>635651</v>
      </c>
      <c r="I1360" s="58">
        <v>3689459</v>
      </c>
      <c r="J1360">
        <f>IFERROR(VLOOKUP(G1360,'LEAID Match'!$A$2:$B$526,2,FALSE),"")</f>
        <v>2926220</v>
      </c>
      <c r="K1360" s="68">
        <f t="shared" si="43"/>
        <v>8</v>
      </c>
    </row>
    <row r="1361" spans="1:11" x14ac:dyDescent="0.2">
      <c r="A1361">
        <f t="shared" si="42"/>
        <v>2926220</v>
      </c>
      <c r="B1361">
        <v>2022</v>
      </c>
      <c r="C1361" t="s">
        <v>739</v>
      </c>
      <c r="D1361" t="s">
        <v>740</v>
      </c>
      <c r="E1361" t="s">
        <v>743</v>
      </c>
      <c r="F1361" s="34">
        <v>236</v>
      </c>
      <c r="G1361" s="34" t="s">
        <v>169</v>
      </c>
      <c r="H1361" s="36">
        <v>671727</v>
      </c>
      <c r="I1361" s="58">
        <v>3827443</v>
      </c>
      <c r="J1361">
        <f>IFERROR(VLOOKUP(G1361,'LEAID Match'!$A$2:$B$526,2,FALSE),"")</f>
        <v>2926220</v>
      </c>
      <c r="K1361" s="68">
        <f t="shared" si="43"/>
        <v>8</v>
      </c>
    </row>
    <row r="1362" spans="1:11" x14ac:dyDescent="0.2">
      <c r="A1362">
        <f t="shared" si="42"/>
        <v>2903270</v>
      </c>
      <c r="B1362">
        <v>2015</v>
      </c>
      <c r="C1362" t="s">
        <v>739</v>
      </c>
      <c r="D1362" t="s">
        <v>740</v>
      </c>
      <c r="E1362" t="s">
        <v>743</v>
      </c>
      <c r="F1362" s="37">
        <v>237</v>
      </c>
      <c r="G1362" s="39" t="s">
        <v>170</v>
      </c>
      <c r="H1362" s="40">
        <v>46835</v>
      </c>
      <c r="I1362" s="58">
        <v>445888</v>
      </c>
      <c r="J1362">
        <f>IFERROR(VLOOKUP(G1362,'LEAID Match'!$A$2:$B$526,2,FALSE),"")</f>
        <v>2903270</v>
      </c>
      <c r="K1362" s="68">
        <f t="shared" si="43"/>
        <v>8</v>
      </c>
    </row>
    <row r="1363" spans="1:11" x14ac:dyDescent="0.2">
      <c r="A1363">
        <f t="shared" si="42"/>
        <v>2903270</v>
      </c>
      <c r="B1363">
        <v>2016</v>
      </c>
      <c r="C1363" t="s">
        <v>739</v>
      </c>
      <c r="D1363" t="s">
        <v>740</v>
      </c>
      <c r="E1363" t="s">
        <v>743</v>
      </c>
      <c r="F1363" s="34">
        <v>237</v>
      </c>
      <c r="G1363" s="34" t="s">
        <v>170</v>
      </c>
      <c r="H1363" s="36">
        <v>51238</v>
      </c>
      <c r="I1363" s="60">
        <v>428326</v>
      </c>
      <c r="J1363">
        <f>IFERROR(VLOOKUP(G1363,'LEAID Match'!$A$2:$B$526,2,FALSE),"")</f>
        <v>2903270</v>
      </c>
      <c r="K1363" s="68">
        <f t="shared" si="43"/>
        <v>8</v>
      </c>
    </row>
    <row r="1364" spans="1:11" x14ac:dyDescent="0.2">
      <c r="A1364">
        <f t="shared" si="42"/>
        <v>2903270</v>
      </c>
      <c r="B1364">
        <v>2017</v>
      </c>
      <c r="C1364" t="s">
        <v>739</v>
      </c>
      <c r="D1364" t="s">
        <v>740</v>
      </c>
      <c r="E1364" t="s">
        <v>743</v>
      </c>
      <c r="F1364" s="34">
        <v>237</v>
      </c>
      <c r="G1364" s="34" t="s">
        <v>170</v>
      </c>
      <c r="H1364" s="36">
        <v>54194</v>
      </c>
      <c r="I1364" s="58">
        <v>408828</v>
      </c>
      <c r="J1364">
        <f>IFERROR(VLOOKUP(G1364,'LEAID Match'!$A$2:$B$526,2,FALSE),"")</f>
        <v>2903270</v>
      </c>
      <c r="K1364" s="68">
        <f t="shared" si="43"/>
        <v>8</v>
      </c>
    </row>
    <row r="1365" spans="1:11" x14ac:dyDescent="0.2">
      <c r="A1365">
        <f t="shared" si="42"/>
        <v>2903270</v>
      </c>
      <c r="B1365">
        <v>2018</v>
      </c>
      <c r="C1365" t="s">
        <v>739</v>
      </c>
      <c r="D1365" t="s">
        <v>740</v>
      </c>
      <c r="E1365" t="s">
        <v>743</v>
      </c>
      <c r="F1365" s="34">
        <v>237</v>
      </c>
      <c r="G1365" s="34" t="s">
        <v>170</v>
      </c>
      <c r="H1365" s="36">
        <v>54290</v>
      </c>
      <c r="I1365" s="58">
        <v>433317</v>
      </c>
      <c r="J1365">
        <f>IFERROR(VLOOKUP(G1365,'LEAID Match'!$A$2:$B$526,2,FALSE),"")</f>
        <v>2903270</v>
      </c>
      <c r="K1365" s="68">
        <f t="shared" si="43"/>
        <v>8</v>
      </c>
    </row>
    <row r="1366" spans="1:11" x14ac:dyDescent="0.2">
      <c r="A1366">
        <f t="shared" si="42"/>
        <v>2903270</v>
      </c>
      <c r="B1366">
        <v>2019</v>
      </c>
      <c r="C1366" t="s">
        <v>739</v>
      </c>
      <c r="D1366" t="s">
        <v>740</v>
      </c>
      <c r="E1366" t="s">
        <v>743</v>
      </c>
      <c r="F1366" s="34">
        <v>237</v>
      </c>
      <c r="G1366" s="34" t="s">
        <v>170</v>
      </c>
      <c r="H1366" s="36">
        <v>60570</v>
      </c>
      <c r="I1366" s="58">
        <v>442667</v>
      </c>
      <c r="J1366">
        <f>IFERROR(VLOOKUP(G1366,'LEAID Match'!$A$2:$B$526,2,FALSE),"")</f>
        <v>2903270</v>
      </c>
      <c r="K1366" s="68">
        <f t="shared" si="43"/>
        <v>8</v>
      </c>
    </row>
    <row r="1367" spans="1:11" x14ac:dyDescent="0.2">
      <c r="A1367">
        <f t="shared" si="42"/>
        <v>2903270</v>
      </c>
      <c r="B1367">
        <v>2020</v>
      </c>
      <c r="C1367" t="s">
        <v>739</v>
      </c>
      <c r="D1367" t="s">
        <v>740</v>
      </c>
      <c r="E1367" t="s">
        <v>743</v>
      </c>
      <c r="F1367" s="34">
        <v>237</v>
      </c>
      <c r="G1367" s="34" t="s">
        <v>170</v>
      </c>
      <c r="H1367" s="36">
        <v>65376</v>
      </c>
      <c r="I1367" s="58">
        <v>468333</v>
      </c>
      <c r="J1367">
        <f>IFERROR(VLOOKUP(G1367,'LEAID Match'!$A$2:$B$526,2,FALSE),"")</f>
        <v>2903270</v>
      </c>
      <c r="K1367" s="68">
        <f t="shared" si="43"/>
        <v>8</v>
      </c>
    </row>
    <row r="1368" spans="1:11" x14ac:dyDescent="0.2">
      <c r="A1368">
        <f t="shared" si="42"/>
        <v>2903270</v>
      </c>
      <c r="B1368">
        <v>2021</v>
      </c>
      <c r="C1368" t="s">
        <v>739</v>
      </c>
      <c r="D1368" t="s">
        <v>740</v>
      </c>
      <c r="E1368" t="s">
        <v>743</v>
      </c>
      <c r="F1368" s="34">
        <v>237</v>
      </c>
      <c r="G1368" s="34" t="s">
        <v>170</v>
      </c>
      <c r="H1368" s="36">
        <v>76900</v>
      </c>
      <c r="I1368" s="58">
        <v>500779</v>
      </c>
      <c r="J1368">
        <f>IFERROR(VLOOKUP(G1368,'LEAID Match'!$A$2:$B$526,2,FALSE),"")</f>
        <v>2903270</v>
      </c>
      <c r="K1368" s="68">
        <f t="shared" si="43"/>
        <v>8</v>
      </c>
    </row>
    <row r="1369" spans="1:11" x14ac:dyDescent="0.2">
      <c r="A1369">
        <f t="shared" si="42"/>
        <v>2903270</v>
      </c>
      <c r="B1369">
        <v>2022</v>
      </c>
      <c r="C1369" t="s">
        <v>739</v>
      </c>
      <c r="D1369" t="s">
        <v>740</v>
      </c>
      <c r="E1369" t="s">
        <v>743</v>
      </c>
      <c r="F1369" s="34">
        <v>237</v>
      </c>
      <c r="G1369" s="34" t="s">
        <v>170</v>
      </c>
      <c r="H1369" s="36">
        <v>83103</v>
      </c>
      <c r="I1369" s="58">
        <v>521354</v>
      </c>
      <c r="J1369">
        <f>IFERROR(VLOOKUP(G1369,'LEAID Match'!$A$2:$B$526,2,FALSE),"")</f>
        <v>2903270</v>
      </c>
      <c r="K1369" s="68">
        <f t="shared" si="43"/>
        <v>8</v>
      </c>
    </row>
    <row r="1370" spans="1:11" x14ac:dyDescent="0.2">
      <c r="A1370">
        <f t="shared" si="42"/>
        <v>2930990</v>
      </c>
      <c r="B1370">
        <v>2015</v>
      </c>
      <c r="C1370" t="s">
        <v>739</v>
      </c>
      <c r="D1370" t="s">
        <v>740</v>
      </c>
      <c r="E1370" t="s">
        <v>743</v>
      </c>
      <c r="F1370" s="37">
        <v>238</v>
      </c>
      <c r="G1370" s="39" t="s">
        <v>171</v>
      </c>
      <c r="H1370" s="40">
        <v>17270</v>
      </c>
      <c r="I1370" s="58">
        <v>178918</v>
      </c>
      <c r="J1370">
        <f>IFERROR(VLOOKUP(G1370,'LEAID Match'!$A$2:$B$526,2,FALSE),"")</f>
        <v>2930990</v>
      </c>
      <c r="K1370" s="68">
        <f t="shared" si="43"/>
        <v>8</v>
      </c>
    </row>
    <row r="1371" spans="1:11" x14ac:dyDescent="0.2">
      <c r="A1371">
        <f t="shared" si="42"/>
        <v>2930990</v>
      </c>
      <c r="B1371">
        <v>2016</v>
      </c>
      <c r="C1371" t="s">
        <v>739</v>
      </c>
      <c r="D1371" t="s">
        <v>740</v>
      </c>
      <c r="E1371" t="s">
        <v>743</v>
      </c>
      <c r="F1371" s="34">
        <v>238</v>
      </c>
      <c r="G1371" s="34" t="s">
        <v>171</v>
      </c>
      <c r="H1371" s="36">
        <v>17037</v>
      </c>
      <c r="I1371" s="60">
        <v>182689</v>
      </c>
      <c r="J1371">
        <f>IFERROR(VLOOKUP(G1371,'LEAID Match'!$A$2:$B$526,2,FALSE),"")</f>
        <v>2930990</v>
      </c>
      <c r="K1371" s="68">
        <f t="shared" si="43"/>
        <v>8</v>
      </c>
    </row>
    <row r="1372" spans="1:11" x14ac:dyDescent="0.2">
      <c r="A1372">
        <f t="shared" si="42"/>
        <v>2930990</v>
      </c>
      <c r="B1372">
        <v>2017</v>
      </c>
      <c r="C1372" t="s">
        <v>739</v>
      </c>
      <c r="D1372" t="s">
        <v>740</v>
      </c>
      <c r="E1372" t="s">
        <v>743</v>
      </c>
      <c r="F1372" s="34">
        <v>238</v>
      </c>
      <c r="G1372" s="34" t="s">
        <v>171</v>
      </c>
      <c r="H1372" s="36">
        <v>17415</v>
      </c>
      <c r="I1372" s="58">
        <v>185675</v>
      </c>
      <c r="J1372">
        <f>IFERROR(VLOOKUP(G1372,'LEAID Match'!$A$2:$B$526,2,FALSE),"")</f>
        <v>2930990</v>
      </c>
      <c r="K1372" s="68">
        <f t="shared" si="43"/>
        <v>8</v>
      </c>
    </row>
    <row r="1373" spans="1:11" x14ac:dyDescent="0.2">
      <c r="A1373">
        <f t="shared" si="42"/>
        <v>2930990</v>
      </c>
      <c r="B1373">
        <v>2018</v>
      </c>
      <c r="C1373" t="s">
        <v>739</v>
      </c>
      <c r="D1373" t="s">
        <v>740</v>
      </c>
      <c r="E1373" t="s">
        <v>743</v>
      </c>
      <c r="F1373" s="34">
        <v>238</v>
      </c>
      <c r="G1373" s="34" t="s">
        <v>171</v>
      </c>
      <c r="H1373" s="36">
        <v>21085</v>
      </c>
      <c r="I1373" s="58">
        <v>184710</v>
      </c>
      <c r="J1373">
        <f>IFERROR(VLOOKUP(G1373,'LEAID Match'!$A$2:$B$526,2,FALSE),"")</f>
        <v>2930990</v>
      </c>
      <c r="K1373" s="68">
        <f t="shared" si="43"/>
        <v>8</v>
      </c>
    </row>
    <row r="1374" spans="1:11" x14ac:dyDescent="0.2">
      <c r="A1374">
        <f t="shared" si="42"/>
        <v>2930990</v>
      </c>
      <c r="B1374">
        <v>2019</v>
      </c>
      <c r="C1374" t="s">
        <v>739</v>
      </c>
      <c r="D1374" t="s">
        <v>740</v>
      </c>
      <c r="E1374" t="s">
        <v>743</v>
      </c>
      <c r="F1374" s="34">
        <v>238</v>
      </c>
      <c r="G1374" s="34" t="s">
        <v>171</v>
      </c>
      <c r="H1374" s="36">
        <v>22318</v>
      </c>
      <c r="I1374" s="58">
        <v>195026</v>
      </c>
      <c r="J1374">
        <f>IFERROR(VLOOKUP(G1374,'LEAID Match'!$A$2:$B$526,2,FALSE),"")</f>
        <v>2930990</v>
      </c>
      <c r="K1374" s="68">
        <f t="shared" si="43"/>
        <v>8</v>
      </c>
    </row>
    <row r="1375" spans="1:11" x14ac:dyDescent="0.2">
      <c r="A1375">
        <f t="shared" si="42"/>
        <v>2930990</v>
      </c>
      <c r="B1375">
        <v>2020</v>
      </c>
      <c r="C1375" t="s">
        <v>739</v>
      </c>
      <c r="D1375" t="s">
        <v>740</v>
      </c>
      <c r="E1375" t="s">
        <v>743</v>
      </c>
      <c r="F1375" s="34">
        <v>238</v>
      </c>
      <c r="G1375" s="34" t="s">
        <v>171</v>
      </c>
      <c r="H1375" s="36">
        <v>21748</v>
      </c>
      <c r="I1375" s="58">
        <v>199728</v>
      </c>
      <c r="J1375">
        <f>IFERROR(VLOOKUP(G1375,'LEAID Match'!$A$2:$B$526,2,FALSE),"")</f>
        <v>2930990</v>
      </c>
      <c r="K1375" s="68">
        <f t="shared" si="43"/>
        <v>8</v>
      </c>
    </row>
    <row r="1376" spans="1:11" x14ac:dyDescent="0.2">
      <c r="A1376">
        <f t="shared" si="42"/>
        <v>2930990</v>
      </c>
      <c r="B1376">
        <v>2021</v>
      </c>
      <c r="C1376" t="s">
        <v>739</v>
      </c>
      <c r="D1376" t="s">
        <v>740</v>
      </c>
      <c r="E1376" t="s">
        <v>743</v>
      </c>
      <c r="F1376" s="34">
        <v>238</v>
      </c>
      <c r="G1376" s="34" t="s">
        <v>171</v>
      </c>
      <c r="H1376" s="36">
        <v>27231</v>
      </c>
      <c r="I1376" s="58">
        <v>191648</v>
      </c>
      <c r="J1376">
        <f>IFERROR(VLOOKUP(G1376,'LEAID Match'!$A$2:$B$526,2,FALSE),"")</f>
        <v>2930990</v>
      </c>
      <c r="K1376" s="68">
        <f t="shared" si="43"/>
        <v>8</v>
      </c>
    </row>
    <row r="1377" spans="1:11" x14ac:dyDescent="0.2">
      <c r="A1377">
        <f t="shared" si="42"/>
        <v>2930990</v>
      </c>
      <c r="B1377">
        <v>2022</v>
      </c>
      <c r="C1377" t="s">
        <v>739</v>
      </c>
      <c r="D1377" t="s">
        <v>740</v>
      </c>
      <c r="E1377" t="s">
        <v>743</v>
      </c>
      <c r="F1377" s="34">
        <v>238</v>
      </c>
      <c r="G1377" s="34" t="s">
        <v>171</v>
      </c>
      <c r="H1377" s="36">
        <v>26450</v>
      </c>
      <c r="I1377" s="58">
        <v>202898</v>
      </c>
      <c r="J1377">
        <f>IFERROR(VLOOKUP(G1377,'LEAID Match'!$A$2:$B$526,2,FALSE),"")</f>
        <v>2930990</v>
      </c>
      <c r="K1377" s="68">
        <f t="shared" si="43"/>
        <v>8</v>
      </c>
    </row>
    <row r="1378" spans="1:11" x14ac:dyDescent="0.2">
      <c r="A1378">
        <f t="shared" si="42"/>
        <v>2929640</v>
      </c>
      <c r="B1378">
        <v>2015</v>
      </c>
      <c r="C1378" t="s">
        <v>739</v>
      </c>
      <c r="D1378" t="s">
        <v>740</v>
      </c>
      <c r="E1378" t="s">
        <v>743</v>
      </c>
      <c r="F1378" s="37">
        <v>239</v>
      </c>
      <c r="G1378" s="39" t="s">
        <v>172</v>
      </c>
      <c r="H1378" s="40">
        <v>118876</v>
      </c>
      <c r="I1378" s="58">
        <v>747732</v>
      </c>
      <c r="J1378">
        <f>IFERROR(VLOOKUP(G1378,'LEAID Match'!$A$2:$B$526,2,FALSE),"")</f>
        <v>2929640</v>
      </c>
      <c r="K1378" s="68">
        <f t="shared" si="43"/>
        <v>8</v>
      </c>
    </row>
    <row r="1379" spans="1:11" x14ac:dyDescent="0.2">
      <c r="A1379">
        <f t="shared" si="42"/>
        <v>2929640</v>
      </c>
      <c r="B1379">
        <v>2016</v>
      </c>
      <c r="C1379" t="s">
        <v>739</v>
      </c>
      <c r="D1379" t="s">
        <v>740</v>
      </c>
      <c r="E1379" t="s">
        <v>743</v>
      </c>
      <c r="F1379" s="34">
        <v>239</v>
      </c>
      <c r="G1379" s="34" t="s">
        <v>172</v>
      </c>
      <c r="H1379" s="36">
        <v>131255</v>
      </c>
      <c r="I1379" s="60">
        <v>773226</v>
      </c>
      <c r="J1379">
        <f>IFERROR(VLOOKUP(G1379,'LEAID Match'!$A$2:$B$526,2,FALSE),"")</f>
        <v>2929640</v>
      </c>
      <c r="K1379" s="68">
        <f t="shared" si="43"/>
        <v>8</v>
      </c>
    </row>
    <row r="1380" spans="1:11" x14ac:dyDescent="0.2">
      <c r="A1380">
        <f t="shared" si="42"/>
        <v>2929640</v>
      </c>
      <c r="B1380">
        <v>2017</v>
      </c>
      <c r="C1380" t="s">
        <v>739</v>
      </c>
      <c r="D1380" t="s">
        <v>740</v>
      </c>
      <c r="E1380" t="s">
        <v>743</v>
      </c>
      <c r="F1380" s="34">
        <v>239</v>
      </c>
      <c r="G1380" s="34" t="s">
        <v>172</v>
      </c>
      <c r="H1380" s="36">
        <v>134142</v>
      </c>
      <c r="I1380" s="58">
        <v>807125</v>
      </c>
      <c r="J1380">
        <f>IFERROR(VLOOKUP(G1380,'LEAID Match'!$A$2:$B$526,2,FALSE),"")</f>
        <v>2929640</v>
      </c>
      <c r="K1380" s="68">
        <f t="shared" si="43"/>
        <v>8</v>
      </c>
    </row>
    <row r="1381" spans="1:11" x14ac:dyDescent="0.2">
      <c r="A1381">
        <f t="shared" si="42"/>
        <v>2929640</v>
      </c>
      <c r="B1381">
        <v>2018</v>
      </c>
      <c r="C1381" t="s">
        <v>739</v>
      </c>
      <c r="D1381" t="s">
        <v>740</v>
      </c>
      <c r="E1381" t="s">
        <v>743</v>
      </c>
      <c r="F1381" s="34">
        <v>239</v>
      </c>
      <c r="G1381" s="34" t="s">
        <v>172</v>
      </c>
      <c r="H1381" s="36">
        <v>141397</v>
      </c>
      <c r="I1381" s="58">
        <v>834893</v>
      </c>
      <c r="J1381">
        <f>IFERROR(VLOOKUP(G1381,'LEAID Match'!$A$2:$B$526,2,FALSE),"")</f>
        <v>2929640</v>
      </c>
      <c r="K1381" s="68">
        <f t="shared" si="43"/>
        <v>8</v>
      </c>
    </row>
    <row r="1382" spans="1:11" x14ac:dyDescent="0.2">
      <c r="A1382">
        <f t="shared" si="42"/>
        <v>2929640</v>
      </c>
      <c r="B1382">
        <v>2019</v>
      </c>
      <c r="C1382" t="s">
        <v>739</v>
      </c>
      <c r="D1382" t="s">
        <v>740</v>
      </c>
      <c r="E1382" t="s">
        <v>743</v>
      </c>
      <c r="F1382" s="34">
        <v>239</v>
      </c>
      <c r="G1382" s="34" t="s">
        <v>172</v>
      </c>
      <c r="H1382" s="36">
        <v>149787</v>
      </c>
      <c r="I1382" s="58">
        <v>876165</v>
      </c>
      <c r="J1382">
        <f>IFERROR(VLOOKUP(G1382,'LEAID Match'!$A$2:$B$526,2,FALSE),"")</f>
        <v>2929640</v>
      </c>
      <c r="K1382" s="68">
        <f t="shared" si="43"/>
        <v>8</v>
      </c>
    </row>
    <row r="1383" spans="1:11" x14ac:dyDescent="0.2">
      <c r="A1383">
        <f t="shared" si="42"/>
        <v>2929640</v>
      </c>
      <c r="B1383">
        <v>2020</v>
      </c>
      <c r="C1383" t="s">
        <v>739</v>
      </c>
      <c r="D1383" t="s">
        <v>740</v>
      </c>
      <c r="E1383" t="s">
        <v>743</v>
      </c>
      <c r="F1383" s="34">
        <v>239</v>
      </c>
      <c r="G1383" s="34" t="s">
        <v>172</v>
      </c>
      <c r="H1383" s="36">
        <v>150646</v>
      </c>
      <c r="I1383" s="58">
        <v>904363</v>
      </c>
      <c r="J1383">
        <f>IFERROR(VLOOKUP(G1383,'LEAID Match'!$A$2:$B$526,2,FALSE),"")</f>
        <v>2929640</v>
      </c>
      <c r="K1383" s="68">
        <f t="shared" si="43"/>
        <v>8</v>
      </c>
    </row>
    <row r="1384" spans="1:11" x14ac:dyDescent="0.2">
      <c r="A1384">
        <f t="shared" si="42"/>
        <v>2929640</v>
      </c>
      <c r="B1384">
        <v>2021</v>
      </c>
      <c r="C1384" t="s">
        <v>739</v>
      </c>
      <c r="D1384" t="s">
        <v>740</v>
      </c>
      <c r="E1384" t="s">
        <v>743</v>
      </c>
      <c r="F1384" s="34">
        <v>239</v>
      </c>
      <c r="G1384" s="34" t="s">
        <v>172</v>
      </c>
      <c r="H1384" s="36">
        <v>156316</v>
      </c>
      <c r="I1384" s="58">
        <v>919204</v>
      </c>
      <c r="J1384">
        <f>IFERROR(VLOOKUP(G1384,'LEAID Match'!$A$2:$B$526,2,FALSE),"")</f>
        <v>2929640</v>
      </c>
      <c r="K1384" s="68">
        <f t="shared" si="43"/>
        <v>8</v>
      </c>
    </row>
    <row r="1385" spans="1:11" x14ac:dyDescent="0.2">
      <c r="A1385">
        <f t="shared" si="42"/>
        <v>2929640</v>
      </c>
      <c r="B1385">
        <v>2022</v>
      </c>
      <c r="C1385" t="s">
        <v>739</v>
      </c>
      <c r="D1385" t="s">
        <v>740</v>
      </c>
      <c r="E1385" t="s">
        <v>743</v>
      </c>
      <c r="F1385" s="34">
        <v>239</v>
      </c>
      <c r="G1385" s="34" t="s">
        <v>172</v>
      </c>
      <c r="H1385" s="36">
        <v>177248</v>
      </c>
      <c r="I1385" s="58">
        <v>932170</v>
      </c>
      <c r="J1385">
        <f>IFERROR(VLOOKUP(G1385,'LEAID Match'!$A$2:$B$526,2,FALSE),"")</f>
        <v>2929640</v>
      </c>
      <c r="K1385" s="68">
        <f t="shared" si="43"/>
        <v>8</v>
      </c>
    </row>
    <row r="1386" spans="1:11" x14ac:dyDescent="0.2">
      <c r="A1386" t="str">
        <f t="shared" si="42"/>
        <v/>
      </c>
      <c r="B1386">
        <v>2015</v>
      </c>
      <c r="C1386" t="s">
        <v>739</v>
      </c>
      <c r="D1386" t="s">
        <v>740</v>
      </c>
      <c r="E1386" t="s">
        <v>743</v>
      </c>
      <c r="F1386" s="37">
        <v>240</v>
      </c>
      <c r="G1386" s="39" t="s">
        <v>216</v>
      </c>
      <c r="H1386" s="40">
        <v>252942</v>
      </c>
      <c r="I1386" s="58">
        <v>1243080</v>
      </c>
      <c r="J1386" t="str">
        <f>IFERROR(VLOOKUP(G1386,'LEAID Match'!$A$2:$B$526,2,FALSE),"")</f>
        <v/>
      </c>
      <c r="K1386" s="68">
        <f t="shared" si="43"/>
        <v>216</v>
      </c>
    </row>
    <row r="1387" spans="1:11" x14ac:dyDescent="0.2">
      <c r="A1387" t="str">
        <f t="shared" si="42"/>
        <v/>
      </c>
      <c r="B1387">
        <v>2016</v>
      </c>
      <c r="C1387" t="s">
        <v>739</v>
      </c>
      <c r="D1387" t="s">
        <v>740</v>
      </c>
      <c r="E1387" t="s">
        <v>743</v>
      </c>
      <c r="F1387" s="34">
        <v>240</v>
      </c>
      <c r="G1387" s="34" t="s">
        <v>216</v>
      </c>
      <c r="H1387" s="36">
        <v>262478</v>
      </c>
      <c r="I1387" s="60">
        <v>1293813</v>
      </c>
      <c r="J1387" t="str">
        <f>IFERROR(VLOOKUP(G1387,'LEAID Match'!$A$2:$B$526,2,FALSE),"")</f>
        <v/>
      </c>
      <c r="K1387" s="68">
        <f t="shared" si="43"/>
        <v>216</v>
      </c>
    </row>
    <row r="1388" spans="1:11" x14ac:dyDescent="0.2">
      <c r="A1388" t="str">
        <f t="shared" si="42"/>
        <v/>
      </c>
      <c r="B1388">
        <v>2017</v>
      </c>
      <c r="C1388" t="s">
        <v>739</v>
      </c>
      <c r="D1388" t="s">
        <v>740</v>
      </c>
      <c r="E1388" t="s">
        <v>743</v>
      </c>
      <c r="F1388" s="34">
        <v>240</v>
      </c>
      <c r="G1388" s="34" t="s">
        <v>216</v>
      </c>
      <c r="H1388" s="36">
        <v>277000</v>
      </c>
      <c r="I1388" s="58">
        <v>1377723</v>
      </c>
      <c r="J1388" t="str">
        <f>IFERROR(VLOOKUP(G1388,'LEAID Match'!$A$2:$B$526,2,FALSE),"")</f>
        <v/>
      </c>
      <c r="K1388" s="68">
        <f t="shared" si="43"/>
        <v>216</v>
      </c>
    </row>
    <row r="1389" spans="1:11" x14ac:dyDescent="0.2">
      <c r="A1389" t="str">
        <f t="shared" si="42"/>
        <v/>
      </c>
      <c r="B1389">
        <v>2018</v>
      </c>
      <c r="C1389" t="s">
        <v>739</v>
      </c>
      <c r="D1389" t="s">
        <v>740</v>
      </c>
      <c r="E1389" t="s">
        <v>743</v>
      </c>
      <c r="F1389" s="34">
        <v>240</v>
      </c>
      <c r="G1389" s="34" t="s">
        <v>216</v>
      </c>
      <c r="H1389" s="36">
        <v>288042</v>
      </c>
      <c r="I1389" s="58">
        <v>1407623</v>
      </c>
      <c r="J1389" t="str">
        <f>IFERROR(VLOOKUP(G1389,'LEAID Match'!$A$2:$B$526,2,FALSE),"")</f>
        <v/>
      </c>
      <c r="K1389" s="68">
        <f t="shared" si="43"/>
        <v>216</v>
      </c>
    </row>
    <row r="1390" spans="1:11" x14ac:dyDescent="0.2">
      <c r="A1390" t="str">
        <f t="shared" si="42"/>
        <v/>
      </c>
      <c r="B1390">
        <v>2019</v>
      </c>
      <c r="C1390" t="s">
        <v>739</v>
      </c>
      <c r="D1390" t="s">
        <v>740</v>
      </c>
      <c r="E1390" t="s">
        <v>743</v>
      </c>
      <c r="F1390" s="34">
        <v>240</v>
      </c>
      <c r="G1390" s="34" t="s">
        <v>216</v>
      </c>
      <c r="H1390" s="36">
        <v>290635</v>
      </c>
      <c r="I1390" s="58">
        <v>1456357</v>
      </c>
      <c r="J1390" t="str">
        <f>IFERROR(VLOOKUP(G1390,'LEAID Match'!$A$2:$B$526,2,FALSE),"")</f>
        <v/>
      </c>
      <c r="K1390" s="68">
        <f t="shared" si="43"/>
        <v>216</v>
      </c>
    </row>
    <row r="1391" spans="1:11" x14ac:dyDescent="0.2">
      <c r="A1391" t="str">
        <f t="shared" si="42"/>
        <v/>
      </c>
      <c r="B1391">
        <v>2020</v>
      </c>
      <c r="C1391" t="s">
        <v>739</v>
      </c>
      <c r="D1391" t="s">
        <v>740</v>
      </c>
      <c r="E1391" t="s">
        <v>743</v>
      </c>
      <c r="F1391" s="34">
        <v>240</v>
      </c>
      <c r="G1391" s="34" t="s">
        <v>216</v>
      </c>
      <c r="H1391" s="36">
        <v>311059</v>
      </c>
      <c r="I1391" s="58">
        <v>1587398</v>
      </c>
      <c r="J1391" t="str">
        <f>IFERROR(VLOOKUP(G1391,'LEAID Match'!$A$2:$B$526,2,FALSE),"")</f>
        <v/>
      </c>
      <c r="K1391" s="68">
        <f t="shared" si="43"/>
        <v>216</v>
      </c>
    </row>
    <row r="1392" spans="1:11" x14ac:dyDescent="0.2">
      <c r="A1392" t="str">
        <f t="shared" si="42"/>
        <v/>
      </c>
      <c r="B1392">
        <v>2021</v>
      </c>
      <c r="C1392" t="s">
        <v>739</v>
      </c>
      <c r="D1392" t="s">
        <v>740</v>
      </c>
      <c r="E1392" t="s">
        <v>743</v>
      </c>
      <c r="F1392" s="34">
        <v>240</v>
      </c>
      <c r="G1392" s="34" t="s">
        <v>216</v>
      </c>
      <c r="H1392" s="36">
        <v>319502</v>
      </c>
      <c r="I1392" s="58">
        <v>1632797</v>
      </c>
      <c r="J1392" t="str">
        <f>IFERROR(VLOOKUP(G1392,'LEAID Match'!$A$2:$B$526,2,FALSE),"")</f>
        <v/>
      </c>
      <c r="K1392" s="68">
        <f t="shared" si="43"/>
        <v>216</v>
      </c>
    </row>
    <row r="1393" spans="1:11" x14ac:dyDescent="0.2">
      <c r="A1393" t="str">
        <f t="shared" si="42"/>
        <v/>
      </c>
      <c r="B1393">
        <v>2022</v>
      </c>
      <c r="C1393" t="s">
        <v>739</v>
      </c>
      <c r="D1393" t="s">
        <v>740</v>
      </c>
      <c r="E1393" t="s">
        <v>743</v>
      </c>
      <c r="F1393" s="34">
        <v>240</v>
      </c>
      <c r="G1393" s="34" t="s">
        <v>216</v>
      </c>
      <c r="H1393" s="36">
        <v>351771</v>
      </c>
      <c r="I1393" s="58">
        <v>1790212</v>
      </c>
      <c r="J1393" t="str">
        <f>IFERROR(VLOOKUP(G1393,'LEAID Match'!$A$2:$B$526,2,FALSE),"")</f>
        <v/>
      </c>
      <c r="K1393" s="68">
        <f t="shared" si="43"/>
        <v>216</v>
      </c>
    </row>
    <row r="1394" spans="1:11" x14ac:dyDescent="0.2">
      <c r="A1394">
        <f t="shared" si="42"/>
        <v>2911700</v>
      </c>
      <c r="B1394">
        <v>2015</v>
      </c>
      <c r="C1394" t="s">
        <v>739</v>
      </c>
      <c r="D1394" t="s">
        <v>740</v>
      </c>
      <c r="E1394" t="s">
        <v>743</v>
      </c>
      <c r="F1394" s="37">
        <v>241</v>
      </c>
      <c r="G1394" s="39" t="s">
        <v>173</v>
      </c>
      <c r="H1394" s="40">
        <v>83944</v>
      </c>
      <c r="I1394" s="58">
        <v>616930</v>
      </c>
      <c r="J1394">
        <f>IFERROR(VLOOKUP(G1394,'LEAID Match'!$A$2:$B$526,2,FALSE),"")</f>
        <v>2911700</v>
      </c>
      <c r="K1394" s="68">
        <f t="shared" si="43"/>
        <v>8</v>
      </c>
    </row>
    <row r="1395" spans="1:11" x14ac:dyDescent="0.2">
      <c r="A1395">
        <f t="shared" si="42"/>
        <v>2911700</v>
      </c>
      <c r="B1395">
        <v>2016</v>
      </c>
      <c r="C1395" t="s">
        <v>739</v>
      </c>
      <c r="D1395" t="s">
        <v>740</v>
      </c>
      <c r="E1395" t="s">
        <v>743</v>
      </c>
      <c r="F1395" s="34">
        <v>241</v>
      </c>
      <c r="G1395" s="34" t="s">
        <v>173</v>
      </c>
      <c r="H1395" s="36">
        <v>92716</v>
      </c>
      <c r="I1395" s="60">
        <v>631534</v>
      </c>
      <c r="J1395">
        <f>IFERROR(VLOOKUP(G1395,'LEAID Match'!$A$2:$B$526,2,FALSE),"")</f>
        <v>2911700</v>
      </c>
      <c r="K1395" s="68">
        <f t="shared" si="43"/>
        <v>8</v>
      </c>
    </row>
    <row r="1396" spans="1:11" x14ac:dyDescent="0.2">
      <c r="A1396">
        <f t="shared" si="42"/>
        <v>2911700</v>
      </c>
      <c r="B1396">
        <v>2017</v>
      </c>
      <c r="C1396" t="s">
        <v>739</v>
      </c>
      <c r="D1396" t="s">
        <v>740</v>
      </c>
      <c r="E1396" t="s">
        <v>743</v>
      </c>
      <c r="F1396" s="34">
        <v>241</v>
      </c>
      <c r="G1396" s="34" t="s">
        <v>173</v>
      </c>
      <c r="H1396" s="36">
        <v>91498</v>
      </c>
      <c r="I1396" s="58">
        <v>639256</v>
      </c>
      <c r="J1396">
        <f>IFERROR(VLOOKUP(G1396,'LEAID Match'!$A$2:$B$526,2,FALSE),"")</f>
        <v>2911700</v>
      </c>
      <c r="K1396" s="68">
        <f t="shared" si="43"/>
        <v>8</v>
      </c>
    </row>
    <row r="1397" spans="1:11" x14ac:dyDescent="0.2">
      <c r="A1397">
        <f t="shared" si="42"/>
        <v>2911700</v>
      </c>
      <c r="B1397">
        <v>2018</v>
      </c>
      <c r="C1397" t="s">
        <v>739</v>
      </c>
      <c r="D1397" t="s">
        <v>740</v>
      </c>
      <c r="E1397" t="s">
        <v>743</v>
      </c>
      <c r="F1397" s="34">
        <v>241</v>
      </c>
      <c r="G1397" s="34" t="s">
        <v>173</v>
      </c>
      <c r="H1397" s="36">
        <v>97710</v>
      </c>
      <c r="I1397" s="58">
        <v>645448</v>
      </c>
      <c r="J1397">
        <f>IFERROR(VLOOKUP(G1397,'LEAID Match'!$A$2:$B$526,2,FALSE),"")</f>
        <v>2911700</v>
      </c>
      <c r="K1397" s="68">
        <f t="shared" si="43"/>
        <v>8</v>
      </c>
    </row>
    <row r="1398" spans="1:11" x14ac:dyDescent="0.2">
      <c r="A1398">
        <f t="shared" si="42"/>
        <v>2911700</v>
      </c>
      <c r="B1398">
        <v>2019</v>
      </c>
      <c r="C1398" t="s">
        <v>739</v>
      </c>
      <c r="D1398" t="s">
        <v>740</v>
      </c>
      <c r="E1398" t="s">
        <v>743</v>
      </c>
      <c r="F1398" s="34">
        <v>241</v>
      </c>
      <c r="G1398" s="34" t="s">
        <v>173</v>
      </c>
      <c r="H1398" s="36">
        <v>105282</v>
      </c>
      <c r="I1398" s="58">
        <v>663948</v>
      </c>
      <c r="J1398">
        <f>IFERROR(VLOOKUP(G1398,'LEAID Match'!$A$2:$B$526,2,FALSE),"")</f>
        <v>2911700</v>
      </c>
      <c r="K1398" s="68">
        <f t="shared" si="43"/>
        <v>8</v>
      </c>
    </row>
    <row r="1399" spans="1:11" x14ac:dyDescent="0.2">
      <c r="A1399">
        <f t="shared" si="42"/>
        <v>2911700</v>
      </c>
      <c r="B1399">
        <v>2020</v>
      </c>
      <c r="C1399" t="s">
        <v>739</v>
      </c>
      <c r="D1399" t="s">
        <v>740</v>
      </c>
      <c r="E1399" t="s">
        <v>743</v>
      </c>
      <c r="F1399" s="34">
        <v>241</v>
      </c>
      <c r="G1399" s="34" t="s">
        <v>173</v>
      </c>
      <c r="H1399" s="36">
        <v>113460</v>
      </c>
      <c r="I1399" s="58">
        <v>684679</v>
      </c>
      <c r="J1399">
        <f>IFERROR(VLOOKUP(G1399,'LEAID Match'!$A$2:$B$526,2,FALSE),"")</f>
        <v>2911700</v>
      </c>
      <c r="K1399" s="68">
        <f t="shared" si="43"/>
        <v>8</v>
      </c>
    </row>
    <row r="1400" spans="1:11" x14ac:dyDescent="0.2">
      <c r="A1400">
        <f t="shared" si="42"/>
        <v>2911700</v>
      </c>
      <c r="B1400">
        <v>2021</v>
      </c>
      <c r="C1400" t="s">
        <v>739</v>
      </c>
      <c r="D1400" t="s">
        <v>740</v>
      </c>
      <c r="E1400" t="s">
        <v>743</v>
      </c>
      <c r="F1400" s="34">
        <v>241</v>
      </c>
      <c r="G1400" s="34" t="s">
        <v>173</v>
      </c>
      <c r="H1400" s="36">
        <v>121680</v>
      </c>
      <c r="I1400" s="58">
        <v>726255</v>
      </c>
      <c r="J1400">
        <f>IFERROR(VLOOKUP(G1400,'LEAID Match'!$A$2:$B$526,2,FALSE),"")</f>
        <v>2911700</v>
      </c>
      <c r="K1400" s="68">
        <f t="shared" si="43"/>
        <v>8</v>
      </c>
    </row>
    <row r="1401" spans="1:11" x14ac:dyDescent="0.2">
      <c r="A1401">
        <f t="shared" si="42"/>
        <v>2911700</v>
      </c>
      <c r="B1401">
        <v>2022</v>
      </c>
      <c r="C1401" t="s">
        <v>739</v>
      </c>
      <c r="D1401" t="s">
        <v>740</v>
      </c>
      <c r="E1401" t="s">
        <v>743</v>
      </c>
      <c r="F1401" s="34">
        <v>241</v>
      </c>
      <c r="G1401" s="34" t="s">
        <v>173</v>
      </c>
      <c r="H1401" s="36">
        <v>124324</v>
      </c>
      <c r="I1401" s="58">
        <v>747483</v>
      </c>
      <c r="J1401">
        <f>IFERROR(VLOOKUP(G1401,'LEAID Match'!$A$2:$B$526,2,FALSE),"")</f>
        <v>2911700</v>
      </c>
      <c r="K1401" s="68">
        <f t="shared" si="43"/>
        <v>8</v>
      </c>
    </row>
    <row r="1402" spans="1:11" x14ac:dyDescent="0.2">
      <c r="A1402">
        <f t="shared" si="42"/>
        <v>2928860</v>
      </c>
      <c r="B1402">
        <v>2015</v>
      </c>
      <c r="C1402" t="s">
        <v>739</v>
      </c>
      <c r="D1402" t="s">
        <v>740</v>
      </c>
      <c r="E1402" t="s">
        <v>743</v>
      </c>
      <c r="F1402" s="37">
        <v>242</v>
      </c>
      <c r="G1402" s="39" t="s">
        <v>174</v>
      </c>
      <c r="H1402" s="40">
        <v>3043995</v>
      </c>
      <c r="I1402" s="58">
        <v>16680479</v>
      </c>
      <c r="J1402">
        <f>IFERROR(VLOOKUP(G1402,'LEAID Match'!$A$2:$B$526,2,FALSE),"")</f>
        <v>2928860</v>
      </c>
      <c r="K1402" s="68">
        <f t="shared" si="43"/>
        <v>8</v>
      </c>
    </row>
    <row r="1403" spans="1:11" x14ac:dyDescent="0.2">
      <c r="A1403">
        <f t="shared" si="42"/>
        <v>2928860</v>
      </c>
      <c r="B1403">
        <v>2016</v>
      </c>
      <c r="C1403" t="s">
        <v>739</v>
      </c>
      <c r="D1403" t="s">
        <v>740</v>
      </c>
      <c r="E1403" t="s">
        <v>743</v>
      </c>
      <c r="F1403" s="34">
        <v>242</v>
      </c>
      <c r="G1403" s="34" t="s">
        <v>174</v>
      </c>
      <c r="H1403" s="36">
        <v>3147417</v>
      </c>
      <c r="I1403" s="60">
        <v>17249177</v>
      </c>
      <c r="J1403">
        <f>IFERROR(VLOOKUP(G1403,'LEAID Match'!$A$2:$B$526,2,FALSE),"")</f>
        <v>2928860</v>
      </c>
      <c r="K1403" s="68">
        <f t="shared" si="43"/>
        <v>8</v>
      </c>
    </row>
    <row r="1404" spans="1:11" x14ac:dyDescent="0.2">
      <c r="A1404">
        <f t="shared" si="42"/>
        <v>2928860</v>
      </c>
      <c r="B1404">
        <v>2017</v>
      </c>
      <c r="C1404" t="s">
        <v>739</v>
      </c>
      <c r="D1404" t="s">
        <v>740</v>
      </c>
      <c r="E1404" t="s">
        <v>743</v>
      </c>
      <c r="F1404" s="34">
        <v>242</v>
      </c>
      <c r="G1404" s="34" t="s">
        <v>174</v>
      </c>
      <c r="H1404" s="36">
        <v>3218514</v>
      </c>
      <c r="I1404" s="58">
        <v>17810745</v>
      </c>
      <c r="J1404">
        <f>IFERROR(VLOOKUP(G1404,'LEAID Match'!$A$2:$B$526,2,FALSE),"")</f>
        <v>2928860</v>
      </c>
      <c r="K1404" s="68">
        <f t="shared" si="43"/>
        <v>8</v>
      </c>
    </row>
    <row r="1405" spans="1:11" x14ac:dyDescent="0.2">
      <c r="A1405">
        <f t="shared" si="42"/>
        <v>2928860</v>
      </c>
      <c r="B1405">
        <v>2018</v>
      </c>
      <c r="C1405" t="s">
        <v>739</v>
      </c>
      <c r="D1405" t="s">
        <v>740</v>
      </c>
      <c r="E1405" t="s">
        <v>743</v>
      </c>
      <c r="F1405" s="34">
        <v>242</v>
      </c>
      <c r="G1405" s="34" t="s">
        <v>174</v>
      </c>
      <c r="H1405" s="36">
        <v>3343838</v>
      </c>
      <c r="I1405" s="58">
        <v>18286103</v>
      </c>
      <c r="J1405">
        <f>IFERROR(VLOOKUP(G1405,'LEAID Match'!$A$2:$B$526,2,FALSE),"")</f>
        <v>2928860</v>
      </c>
      <c r="K1405" s="68">
        <f t="shared" si="43"/>
        <v>8</v>
      </c>
    </row>
    <row r="1406" spans="1:11" x14ac:dyDescent="0.2">
      <c r="A1406">
        <f t="shared" si="42"/>
        <v>2928860</v>
      </c>
      <c r="B1406">
        <v>2019</v>
      </c>
      <c r="C1406" t="s">
        <v>739</v>
      </c>
      <c r="D1406" t="s">
        <v>740</v>
      </c>
      <c r="E1406" t="s">
        <v>743</v>
      </c>
      <c r="F1406" s="34">
        <v>242</v>
      </c>
      <c r="G1406" s="34" t="s">
        <v>174</v>
      </c>
      <c r="H1406" s="36">
        <v>3503215</v>
      </c>
      <c r="I1406" s="58">
        <v>19117419</v>
      </c>
      <c r="J1406">
        <f>IFERROR(VLOOKUP(G1406,'LEAID Match'!$A$2:$B$526,2,FALSE),"")</f>
        <v>2928860</v>
      </c>
      <c r="K1406" s="68">
        <f t="shared" si="43"/>
        <v>8</v>
      </c>
    </row>
    <row r="1407" spans="1:11" x14ac:dyDescent="0.2">
      <c r="A1407">
        <f t="shared" si="42"/>
        <v>2928860</v>
      </c>
      <c r="B1407">
        <v>2020</v>
      </c>
      <c r="C1407" t="s">
        <v>739</v>
      </c>
      <c r="D1407" t="s">
        <v>740</v>
      </c>
      <c r="E1407" t="s">
        <v>743</v>
      </c>
      <c r="F1407" s="34">
        <v>242</v>
      </c>
      <c r="G1407" s="34" t="s">
        <v>174</v>
      </c>
      <c r="H1407" s="36">
        <v>3674957</v>
      </c>
      <c r="I1407" s="58">
        <v>20125152</v>
      </c>
      <c r="J1407">
        <f>IFERROR(VLOOKUP(G1407,'LEAID Match'!$A$2:$B$526,2,FALSE),"")</f>
        <v>2928860</v>
      </c>
      <c r="K1407" s="68">
        <f t="shared" si="43"/>
        <v>8</v>
      </c>
    </row>
    <row r="1408" spans="1:11" x14ac:dyDescent="0.2">
      <c r="A1408">
        <f t="shared" si="42"/>
        <v>2928860</v>
      </c>
      <c r="B1408">
        <v>2021</v>
      </c>
      <c r="C1408" t="s">
        <v>739</v>
      </c>
      <c r="D1408" t="s">
        <v>740</v>
      </c>
      <c r="E1408" t="s">
        <v>743</v>
      </c>
      <c r="F1408" s="34">
        <v>242</v>
      </c>
      <c r="G1408" s="34" t="s">
        <v>174</v>
      </c>
      <c r="H1408" s="36">
        <v>3763852</v>
      </c>
      <c r="I1408" s="58">
        <v>21679515</v>
      </c>
      <c r="J1408">
        <f>IFERROR(VLOOKUP(G1408,'LEAID Match'!$A$2:$B$526,2,FALSE),"")</f>
        <v>2928860</v>
      </c>
      <c r="K1408" s="68">
        <f t="shared" si="43"/>
        <v>8</v>
      </c>
    </row>
    <row r="1409" spans="1:11" x14ac:dyDescent="0.2">
      <c r="A1409">
        <f t="shared" si="42"/>
        <v>2928860</v>
      </c>
      <c r="B1409">
        <v>2022</v>
      </c>
      <c r="C1409" t="s">
        <v>739</v>
      </c>
      <c r="D1409" t="s">
        <v>740</v>
      </c>
      <c r="E1409" t="s">
        <v>743</v>
      </c>
      <c r="F1409" s="34">
        <v>242</v>
      </c>
      <c r="G1409" s="34" t="s">
        <v>174</v>
      </c>
      <c r="H1409" s="36">
        <v>4090015</v>
      </c>
      <c r="I1409" s="58">
        <v>21311714</v>
      </c>
      <c r="J1409">
        <f>IFERROR(VLOOKUP(G1409,'LEAID Match'!$A$2:$B$526,2,FALSE),"")</f>
        <v>2928860</v>
      </c>
      <c r="K1409" s="68">
        <f t="shared" si="43"/>
        <v>8</v>
      </c>
    </row>
    <row r="1410" spans="1:11" x14ac:dyDescent="0.2">
      <c r="A1410">
        <f t="shared" si="42"/>
        <v>2928770</v>
      </c>
      <c r="B1410">
        <v>2015</v>
      </c>
      <c r="C1410" t="s">
        <v>739</v>
      </c>
      <c r="D1410" t="s">
        <v>740</v>
      </c>
      <c r="E1410" t="s">
        <v>743</v>
      </c>
      <c r="F1410" s="37">
        <v>243</v>
      </c>
      <c r="G1410" s="39" t="s">
        <v>175</v>
      </c>
      <c r="H1410" s="40">
        <v>5348</v>
      </c>
      <c r="I1410" s="58">
        <v>38913</v>
      </c>
      <c r="J1410">
        <f>IFERROR(VLOOKUP(G1410,'LEAID Match'!$A$2:$B$526,2,FALSE),"")</f>
        <v>2928770</v>
      </c>
      <c r="K1410" s="68">
        <f t="shared" si="43"/>
        <v>8</v>
      </c>
    </row>
    <row r="1411" spans="1:11" x14ac:dyDescent="0.2">
      <c r="A1411">
        <f t="shared" ref="A1411:A1474" si="44">J1411</f>
        <v>2928770</v>
      </c>
      <c r="B1411">
        <v>2016</v>
      </c>
      <c r="C1411" t="s">
        <v>739</v>
      </c>
      <c r="D1411" t="s">
        <v>740</v>
      </c>
      <c r="E1411" t="s">
        <v>743</v>
      </c>
      <c r="F1411" s="34">
        <v>243</v>
      </c>
      <c r="G1411" s="34" t="s">
        <v>175</v>
      </c>
      <c r="H1411" s="36">
        <v>6918</v>
      </c>
      <c r="I1411" s="60">
        <v>39372</v>
      </c>
      <c r="J1411">
        <f>IFERROR(VLOOKUP(G1411,'LEAID Match'!$A$2:$B$526,2,FALSE),"")</f>
        <v>2928770</v>
      </c>
      <c r="K1411" s="68">
        <f t="shared" ref="K1411:K1474" si="45">COUNTIF($J$2:$J$4295,J1411)</f>
        <v>8</v>
      </c>
    </row>
    <row r="1412" spans="1:11" x14ac:dyDescent="0.2">
      <c r="A1412">
        <f t="shared" si="44"/>
        <v>2928770</v>
      </c>
      <c r="B1412">
        <v>2017</v>
      </c>
      <c r="C1412" t="s">
        <v>739</v>
      </c>
      <c r="D1412" t="s">
        <v>740</v>
      </c>
      <c r="E1412" t="s">
        <v>743</v>
      </c>
      <c r="F1412" s="34">
        <v>243</v>
      </c>
      <c r="G1412" s="34" t="s">
        <v>175</v>
      </c>
      <c r="H1412" s="36">
        <v>6627</v>
      </c>
      <c r="I1412" s="58">
        <v>40287</v>
      </c>
      <c r="J1412">
        <f>IFERROR(VLOOKUP(G1412,'LEAID Match'!$A$2:$B$526,2,FALSE),"")</f>
        <v>2928770</v>
      </c>
      <c r="K1412" s="68">
        <f t="shared" si="45"/>
        <v>8</v>
      </c>
    </row>
    <row r="1413" spans="1:11" x14ac:dyDescent="0.2">
      <c r="A1413">
        <f t="shared" si="44"/>
        <v>2928770</v>
      </c>
      <c r="B1413">
        <v>2018</v>
      </c>
      <c r="C1413" t="s">
        <v>739</v>
      </c>
      <c r="D1413" t="s">
        <v>740</v>
      </c>
      <c r="E1413" t="s">
        <v>743</v>
      </c>
      <c r="F1413" s="34">
        <v>243</v>
      </c>
      <c r="G1413" s="34" t="s">
        <v>175</v>
      </c>
      <c r="H1413" s="36">
        <v>5503</v>
      </c>
      <c r="I1413" s="58">
        <v>40140</v>
      </c>
      <c r="J1413">
        <f>IFERROR(VLOOKUP(G1413,'LEAID Match'!$A$2:$B$526,2,FALSE),"")</f>
        <v>2928770</v>
      </c>
      <c r="K1413" s="68">
        <f t="shared" si="45"/>
        <v>8</v>
      </c>
    </row>
    <row r="1414" spans="1:11" x14ac:dyDescent="0.2">
      <c r="A1414">
        <f t="shared" si="44"/>
        <v>2928770</v>
      </c>
      <c r="B1414">
        <v>2019</v>
      </c>
      <c r="C1414" t="s">
        <v>739</v>
      </c>
      <c r="D1414" t="s">
        <v>740</v>
      </c>
      <c r="E1414" t="s">
        <v>743</v>
      </c>
      <c r="F1414" s="34">
        <v>243</v>
      </c>
      <c r="G1414" s="34" t="s">
        <v>175</v>
      </c>
      <c r="H1414" s="36">
        <v>5603</v>
      </c>
      <c r="I1414" s="58">
        <v>41189</v>
      </c>
      <c r="J1414">
        <f>IFERROR(VLOOKUP(G1414,'LEAID Match'!$A$2:$B$526,2,FALSE),"")</f>
        <v>2928770</v>
      </c>
      <c r="K1414" s="68">
        <f t="shared" si="45"/>
        <v>8</v>
      </c>
    </row>
    <row r="1415" spans="1:11" x14ac:dyDescent="0.2">
      <c r="A1415">
        <f t="shared" si="44"/>
        <v>2928770</v>
      </c>
      <c r="B1415">
        <v>2020</v>
      </c>
      <c r="C1415" t="s">
        <v>739</v>
      </c>
      <c r="D1415" t="s">
        <v>740</v>
      </c>
      <c r="E1415" t="s">
        <v>743</v>
      </c>
      <c r="F1415" s="34">
        <v>243</v>
      </c>
      <c r="G1415" s="34" t="s">
        <v>175</v>
      </c>
      <c r="H1415" s="36">
        <v>5948</v>
      </c>
      <c r="I1415" s="58">
        <v>34295</v>
      </c>
      <c r="J1415">
        <f>IFERROR(VLOOKUP(G1415,'LEAID Match'!$A$2:$B$526,2,FALSE),"")</f>
        <v>2928770</v>
      </c>
      <c r="K1415" s="68">
        <f t="shared" si="45"/>
        <v>8</v>
      </c>
    </row>
    <row r="1416" spans="1:11" x14ac:dyDescent="0.2">
      <c r="A1416">
        <f t="shared" si="44"/>
        <v>2928770</v>
      </c>
      <c r="B1416">
        <v>2021</v>
      </c>
      <c r="C1416" t="s">
        <v>739</v>
      </c>
      <c r="D1416" t="s">
        <v>740</v>
      </c>
      <c r="E1416" t="s">
        <v>743</v>
      </c>
      <c r="F1416" s="34">
        <v>243</v>
      </c>
      <c r="G1416" s="34" t="s">
        <v>175</v>
      </c>
      <c r="H1416" s="36">
        <v>8959</v>
      </c>
      <c r="I1416" s="58">
        <v>34819</v>
      </c>
      <c r="J1416">
        <f>IFERROR(VLOOKUP(G1416,'LEAID Match'!$A$2:$B$526,2,FALSE),"")</f>
        <v>2928770</v>
      </c>
      <c r="K1416" s="68">
        <f t="shared" si="45"/>
        <v>8</v>
      </c>
    </row>
    <row r="1417" spans="1:11" x14ac:dyDescent="0.2">
      <c r="A1417">
        <f t="shared" si="44"/>
        <v>2928770</v>
      </c>
      <c r="B1417">
        <v>2022</v>
      </c>
      <c r="C1417" t="s">
        <v>739</v>
      </c>
      <c r="D1417" t="s">
        <v>740</v>
      </c>
      <c r="E1417" t="s">
        <v>743</v>
      </c>
      <c r="F1417" s="34">
        <v>243</v>
      </c>
      <c r="G1417" s="34" t="s">
        <v>175</v>
      </c>
      <c r="H1417" s="36">
        <v>11233</v>
      </c>
      <c r="I1417" s="58">
        <v>38044</v>
      </c>
      <c r="J1417">
        <f>IFERROR(VLOOKUP(G1417,'LEAID Match'!$A$2:$B$526,2,FALSE),"")</f>
        <v>2928770</v>
      </c>
      <c r="K1417" s="68">
        <f t="shared" si="45"/>
        <v>8</v>
      </c>
    </row>
    <row r="1418" spans="1:11" x14ac:dyDescent="0.2">
      <c r="A1418">
        <f t="shared" si="44"/>
        <v>2912690</v>
      </c>
      <c r="B1418">
        <v>2015</v>
      </c>
      <c r="C1418" t="s">
        <v>739</v>
      </c>
      <c r="D1418" t="s">
        <v>740</v>
      </c>
      <c r="E1418" t="s">
        <v>743</v>
      </c>
      <c r="F1418" s="37">
        <v>244</v>
      </c>
      <c r="G1418" s="39" t="s">
        <v>176</v>
      </c>
      <c r="H1418" s="40">
        <v>32888</v>
      </c>
      <c r="I1418" s="58">
        <v>150232</v>
      </c>
      <c r="J1418">
        <f>IFERROR(VLOOKUP(G1418,'LEAID Match'!$A$2:$B$526,2,FALSE),"")</f>
        <v>2912690</v>
      </c>
      <c r="K1418" s="68">
        <f t="shared" si="45"/>
        <v>8</v>
      </c>
    </row>
    <row r="1419" spans="1:11" x14ac:dyDescent="0.2">
      <c r="A1419">
        <f t="shared" si="44"/>
        <v>2912690</v>
      </c>
      <c r="B1419">
        <v>2016</v>
      </c>
      <c r="C1419" t="s">
        <v>739</v>
      </c>
      <c r="D1419" t="s">
        <v>740</v>
      </c>
      <c r="E1419" t="s">
        <v>743</v>
      </c>
      <c r="F1419" s="34">
        <v>244</v>
      </c>
      <c r="G1419" s="34" t="s">
        <v>176</v>
      </c>
      <c r="H1419" s="36">
        <v>34198</v>
      </c>
      <c r="I1419" s="60">
        <v>151669</v>
      </c>
      <c r="J1419">
        <f>IFERROR(VLOOKUP(G1419,'LEAID Match'!$A$2:$B$526,2,FALSE),"")</f>
        <v>2912690</v>
      </c>
      <c r="K1419" s="68">
        <f t="shared" si="45"/>
        <v>8</v>
      </c>
    </row>
    <row r="1420" spans="1:11" x14ac:dyDescent="0.2">
      <c r="A1420">
        <f t="shared" si="44"/>
        <v>2912690</v>
      </c>
      <c r="B1420">
        <v>2017</v>
      </c>
      <c r="C1420" t="s">
        <v>739</v>
      </c>
      <c r="D1420" t="s">
        <v>740</v>
      </c>
      <c r="E1420" t="s">
        <v>743</v>
      </c>
      <c r="F1420" s="34">
        <v>244</v>
      </c>
      <c r="G1420" s="34" t="s">
        <v>176</v>
      </c>
      <c r="H1420" s="36">
        <v>32004</v>
      </c>
      <c r="I1420" s="58">
        <v>163307</v>
      </c>
      <c r="J1420">
        <f>IFERROR(VLOOKUP(G1420,'LEAID Match'!$A$2:$B$526,2,FALSE),"")</f>
        <v>2912690</v>
      </c>
      <c r="K1420" s="68">
        <f t="shared" si="45"/>
        <v>8</v>
      </c>
    </row>
    <row r="1421" spans="1:11" x14ac:dyDescent="0.2">
      <c r="A1421">
        <f t="shared" si="44"/>
        <v>2912690</v>
      </c>
      <c r="B1421">
        <v>2018</v>
      </c>
      <c r="C1421" t="s">
        <v>739</v>
      </c>
      <c r="D1421" t="s">
        <v>740</v>
      </c>
      <c r="E1421" t="s">
        <v>743</v>
      </c>
      <c r="F1421" s="34">
        <v>244</v>
      </c>
      <c r="G1421" s="34" t="s">
        <v>176</v>
      </c>
      <c r="H1421" s="36">
        <v>30809</v>
      </c>
      <c r="I1421" s="58">
        <v>144770</v>
      </c>
      <c r="J1421">
        <f>IFERROR(VLOOKUP(G1421,'LEAID Match'!$A$2:$B$526,2,FALSE),"")</f>
        <v>2912690</v>
      </c>
      <c r="K1421" s="68">
        <f t="shared" si="45"/>
        <v>8</v>
      </c>
    </row>
    <row r="1422" spans="1:11" x14ac:dyDescent="0.2">
      <c r="A1422">
        <f t="shared" si="44"/>
        <v>2912690</v>
      </c>
      <c r="B1422">
        <v>2019</v>
      </c>
      <c r="C1422" t="s">
        <v>739</v>
      </c>
      <c r="D1422" t="s">
        <v>740</v>
      </c>
      <c r="E1422" t="s">
        <v>743</v>
      </c>
      <c r="F1422" s="34">
        <v>244</v>
      </c>
      <c r="G1422" s="34" t="s">
        <v>176</v>
      </c>
      <c r="H1422" s="36">
        <v>36994</v>
      </c>
      <c r="I1422" s="58">
        <v>122233</v>
      </c>
      <c r="J1422">
        <f>IFERROR(VLOOKUP(G1422,'LEAID Match'!$A$2:$B$526,2,FALSE),"")</f>
        <v>2912690</v>
      </c>
      <c r="K1422" s="68">
        <f t="shared" si="45"/>
        <v>8</v>
      </c>
    </row>
    <row r="1423" spans="1:11" x14ac:dyDescent="0.2">
      <c r="A1423">
        <f t="shared" si="44"/>
        <v>2912690</v>
      </c>
      <c r="B1423">
        <v>2020</v>
      </c>
      <c r="C1423" t="s">
        <v>739</v>
      </c>
      <c r="D1423" t="s">
        <v>740</v>
      </c>
      <c r="E1423" t="s">
        <v>743</v>
      </c>
      <c r="F1423" s="34">
        <v>244</v>
      </c>
      <c r="G1423" s="34" t="s">
        <v>176</v>
      </c>
      <c r="H1423" s="36">
        <v>32811</v>
      </c>
      <c r="I1423" s="58">
        <v>149117</v>
      </c>
      <c r="J1423">
        <f>IFERROR(VLOOKUP(G1423,'LEAID Match'!$A$2:$B$526,2,FALSE),"")</f>
        <v>2912690</v>
      </c>
      <c r="K1423" s="68">
        <f t="shared" si="45"/>
        <v>8</v>
      </c>
    </row>
    <row r="1424" spans="1:11" x14ac:dyDescent="0.2">
      <c r="A1424">
        <f t="shared" si="44"/>
        <v>2912690</v>
      </c>
      <c r="B1424">
        <v>2021</v>
      </c>
      <c r="C1424" t="s">
        <v>739</v>
      </c>
      <c r="D1424" t="s">
        <v>740</v>
      </c>
      <c r="E1424" t="s">
        <v>743</v>
      </c>
      <c r="F1424" s="34">
        <v>244</v>
      </c>
      <c r="G1424" s="34" t="s">
        <v>176</v>
      </c>
      <c r="H1424" s="36">
        <v>33497</v>
      </c>
      <c r="I1424" s="58">
        <v>130226</v>
      </c>
      <c r="J1424">
        <f>IFERROR(VLOOKUP(G1424,'LEAID Match'!$A$2:$B$526,2,FALSE),"")</f>
        <v>2912690</v>
      </c>
      <c r="K1424" s="68">
        <f t="shared" si="45"/>
        <v>8</v>
      </c>
    </row>
    <row r="1425" spans="1:11" x14ac:dyDescent="0.2">
      <c r="A1425">
        <f t="shared" si="44"/>
        <v>2912690</v>
      </c>
      <c r="B1425">
        <v>2022</v>
      </c>
      <c r="C1425" t="s">
        <v>739</v>
      </c>
      <c r="D1425" t="s">
        <v>740</v>
      </c>
      <c r="E1425" t="s">
        <v>743</v>
      </c>
      <c r="F1425" s="34">
        <v>244</v>
      </c>
      <c r="G1425" s="34" t="s">
        <v>176</v>
      </c>
      <c r="H1425" s="36">
        <v>38425</v>
      </c>
      <c r="I1425" s="58">
        <v>133121</v>
      </c>
      <c r="J1425">
        <f>IFERROR(VLOOKUP(G1425,'LEAID Match'!$A$2:$B$526,2,FALSE),"")</f>
        <v>2912690</v>
      </c>
      <c r="K1425" s="68">
        <f t="shared" si="45"/>
        <v>8</v>
      </c>
    </row>
    <row r="1426" spans="1:11" x14ac:dyDescent="0.2">
      <c r="A1426">
        <f t="shared" si="44"/>
        <v>2913440</v>
      </c>
      <c r="B1426">
        <v>2015</v>
      </c>
      <c r="C1426" t="s">
        <v>739</v>
      </c>
      <c r="D1426" t="s">
        <v>740</v>
      </c>
      <c r="E1426" t="s">
        <v>743</v>
      </c>
      <c r="F1426" s="37">
        <v>245</v>
      </c>
      <c r="G1426" s="39" t="s">
        <v>177</v>
      </c>
      <c r="H1426" s="40">
        <v>18705</v>
      </c>
      <c r="I1426" s="58">
        <v>74812</v>
      </c>
      <c r="J1426">
        <f>IFERROR(VLOOKUP(G1426,'LEAID Match'!$A$2:$B$526,2,FALSE),"")</f>
        <v>2913440</v>
      </c>
      <c r="K1426" s="68">
        <f t="shared" si="45"/>
        <v>8</v>
      </c>
    </row>
    <row r="1427" spans="1:11" x14ac:dyDescent="0.2">
      <c r="A1427">
        <f t="shared" si="44"/>
        <v>2913440</v>
      </c>
      <c r="B1427">
        <v>2016</v>
      </c>
      <c r="C1427" t="s">
        <v>739</v>
      </c>
      <c r="D1427" t="s">
        <v>740</v>
      </c>
      <c r="E1427" t="s">
        <v>743</v>
      </c>
      <c r="F1427" s="34">
        <v>245</v>
      </c>
      <c r="G1427" s="34" t="s">
        <v>177</v>
      </c>
      <c r="H1427" s="36">
        <v>18113</v>
      </c>
      <c r="I1427" s="60">
        <v>81234</v>
      </c>
      <c r="J1427">
        <f>IFERROR(VLOOKUP(G1427,'LEAID Match'!$A$2:$B$526,2,FALSE),"")</f>
        <v>2913440</v>
      </c>
      <c r="K1427" s="68">
        <f t="shared" si="45"/>
        <v>8</v>
      </c>
    </row>
    <row r="1428" spans="1:11" x14ac:dyDescent="0.2">
      <c r="A1428">
        <f t="shared" si="44"/>
        <v>2913440</v>
      </c>
      <c r="B1428">
        <v>2017</v>
      </c>
      <c r="C1428" t="s">
        <v>739</v>
      </c>
      <c r="D1428" t="s">
        <v>740</v>
      </c>
      <c r="E1428" t="s">
        <v>743</v>
      </c>
      <c r="F1428" s="34">
        <v>245</v>
      </c>
      <c r="G1428" s="34" t="s">
        <v>177</v>
      </c>
      <c r="H1428" s="36">
        <v>18543</v>
      </c>
      <c r="I1428" s="58">
        <v>83458</v>
      </c>
      <c r="J1428">
        <f>IFERROR(VLOOKUP(G1428,'LEAID Match'!$A$2:$B$526,2,FALSE),"")</f>
        <v>2913440</v>
      </c>
      <c r="K1428" s="68">
        <f t="shared" si="45"/>
        <v>8</v>
      </c>
    </row>
    <row r="1429" spans="1:11" x14ac:dyDescent="0.2">
      <c r="A1429">
        <f t="shared" si="44"/>
        <v>2913440</v>
      </c>
      <c r="B1429">
        <v>2018</v>
      </c>
      <c r="C1429" t="s">
        <v>739</v>
      </c>
      <c r="D1429" t="s">
        <v>740</v>
      </c>
      <c r="E1429" t="s">
        <v>743</v>
      </c>
      <c r="F1429" s="34">
        <v>245</v>
      </c>
      <c r="G1429" s="34" t="s">
        <v>177</v>
      </c>
      <c r="H1429" s="36">
        <v>19348</v>
      </c>
      <c r="I1429" s="58">
        <v>90400</v>
      </c>
      <c r="J1429">
        <f>IFERROR(VLOOKUP(G1429,'LEAID Match'!$A$2:$B$526,2,FALSE),"")</f>
        <v>2913440</v>
      </c>
      <c r="K1429" s="68">
        <f t="shared" si="45"/>
        <v>8</v>
      </c>
    </row>
    <row r="1430" spans="1:11" x14ac:dyDescent="0.2">
      <c r="A1430">
        <f t="shared" si="44"/>
        <v>2913440</v>
      </c>
      <c r="B1430">
        <v>2019</v>
      </c>
      <c r="C1430" t="s">
        <v>739</v>
      </c>
      <c r="D1430" t="s">
        <v>740</v>
      </c>
      <c r="E1430" t="s">
        <v>743</v>
      </c>
      <c r="F1430" s="34">
        <v>245</v>
      </c>
      <c r="G1430" s="34" t="s">
        <v>177</v>
      </c>
      <c r="H1430" s="36">
        <v>23085</v>
      </c>
      <c r="I1430" s="58">
        <v>94387</v>
      </c>
      <c r="J1430">
        <f>IFERROR(VLOOKUP(G1430,'LEAID Match'!$A$2:$B$526,2,FALSE),"")</f>
        <v>2913440</v>
      </c>
      <c r="K1430" s="68">
        <f t="shared" si="45"/>
        <v>8</v>
      </c>
    </row>
    <row r="1431" spans="1:11" x14ac:dyDescent="0.2">
      <c r="A1431">
        <f t="shared" si="44"/>
        <v>2913440</v>
      </c>
      <c r="B1431">
        <v>2020</v>
      </c>
      <c r="C1431" t="s">
        <v>739</v>
      </c>
      <c r="D1431" t="s">
        <v>740</v>
      </c>
      <c r="E1431" t="s">
        <v>743</v>
      </c>
      <c r="F1431" s="34">
        <v>245</v>
      </c>
      <c r="G1431" s="34" t="s">
        <v>177</v>
      </c>
      <c r="H1431" s="36">
        <v>23468</v>
      </c>
      <c r="I1431" s="58">
        <v>96585</v>
      </c>
      <c r="J1431">
        <f>IFERROR(VLOOKUP(G1431,'LEAID Match'!$A$2:$B$526,2,FALSE),"")</f>
        <v>2913440</v>
      </c>
      <c r="K1431" s="68">
        <f t="shared" si="45"/>
        <v>8</v>
      </c>
    </row>
    <row r="1432" spans="1:11" x14ac:dyDescent="0.2">
      <c r="A1432">
        <f t="shared" si="44"/>
        <v>2913440</v>
      </c>
      <c r="B1432">
        <v>2021</v>
      </c>
      <c r="C1432" t="s">
        <v>739</v>
      </c>
      <c r="D1432" t="s">
        <v>740</v>
      </c>
      <c r="E1432" t="s">
        <v>743</v>
      </c>
      <c r="F1432" s="34">
        <v>245</v>
      </c>
      <c r="G1432" s="34" t="s">
        <v>177</v>
      </c>
      <c r="H1432" s="36">
        <v>26239</v>
      </c>
      <c r="I1432" s="58">
        <v>104793</v>
      </c>
      <c r="J1432">
        <f>IFERROR(VLOOKUP(G1432,'LEAID Match'!$A$2:$B$526,2,FALSE),"")</f>
        <v>2913440</v>
      </c>
      <c r="K1432" s="68">
        <f t="shared" si="45"/>
        <v>8</v>
      </c>
    </row>
    <row r="1433" spans="1:11" x14ac:dyDescent="0.2">
      <c r="A1433">
        <f t="shared" si="44"/>
        <v>2913440</v>
      </c>
      <c r="B1433">
        <v>2022</v>
      </c>
      <c r="C1433" t="s">
        <v>739</v>
      </c>
      <c r="D1433" t="s">
        <v>740</v>
      </c>
      <c r="E1433" t="s">
        <v>743</v>
      </c>
      <c r="F1433" s="34">
        <v>245</v>
      </c>
      <c r="G1433" s="34" t="s">
        <v>177</v>
      </c>
      <c r="H1433" s="36">
        <v>30617</v>
      </c>
      <c r="I1433" s="58">
        <v>109221</v>
      </c>
      <c r="J1433">
        <f>IFERROR(VLOOKUP(G1433,'LEAID Match'!$A$2:$B$526,2,FALSE),"")</f>
        <v>2913440</v>
      </c>
      <c r="K1433" s="68">
        <f t="shared" si="45"/>
        <v>8</v>
      </c>
    </row>
    <row r="1434" spans="1:11" x14ac:dyDescent="0.2">
      <c r="A1434">
        <f t="shared" si="44"/>
        <v>2917910</v>
      </c>
      <c r="B1434">
        <v>2015</v>
      </c>
      <c r="C1434" t="s">
        <v>739</v>
      </c>
      <c r="D1434" t="s">
        <v>740</v>
      </c>
      <c r="E1434" t="s">
        <v>743</v>
      </c>
      <c r="F1434" s="37">
        <v>246</v>
      </c>
      <c r="G1434" s="39" t="s">
        <v>178</v>
      </c>
      <c r="H1434" s="40">
        <v>7163</v>
      </c>
      <c r="I1434" s="58">
        <v>54570</v>
      </c>
      <c r="J1434">
        <f>IFERROR(VLOOKUP(G1434,'LEAID Match'!$A$2:$B$526,2,FALSE),"")</f>
        <v>2917910</v>
      </c>
      <c r="K1434" s="68">
        <f t="shared" si="45"/>
        <v>8</v>
      </c>
    </row>
    <row r="1435" spans="1:11" x14ac:dyDescent="0.2">
      <c r="A1435">
        <f t="shared" si="44"/>
        <v>2917910</v>
      </c>
      <c r="B1435">
        <v>2016</v>
      </c>
      <c r="C1435" t="s">
        <v>739</v>
      </c>
      <c r="D1435" t="s">
        <v>740</v>
      </c>
      <c r="E1435" t="s">
        <v>743</v>
      </c>
      <c r="F1435" s="34">
        <v>246</v>
      </c>
      <c r="G1435" s="34" t="s">
        <v>178</v>
      </c>
      <c r="H1435" s="36">
        <v>7274</v>
      </c>
      <c r="I1435" s="60">
        <v>46871</v>
      </c>
      <c r="J1435">
        <f>IFERROR(VLOOKUP(G1435,'LEAID Match'!$A$2:$B$526,2,FALSE),"")</f>
        <v>2917910</v>
      </c>
      <c r="K1435" s="68">
        <f t="shared" si="45"/>
        <v>8</v>
      </c>
    </row>
    <row r="1436" spans="1:11" x14ac:dyDescent="0.2">
      <c r="A1436">
        <f t="shared" si="44"/>
        <v>2917910</v>
      </c>
      <c r="B1436">
        <v>2017</v>
      </c>
      <c r="C1436" t="s">
        <v>739</v>
      </c>
      <c r="D1436" t="s">
        <v>740</v>
      </c>
      <c r="E1436" t="s">
        <v>743</v>
      </c>
      <c r="F1436" s="34">
        <v>246</v>
      </c>
      <c r="G1436" s="34" t="s">
        <v>178</v>
      </c>
      <c r="H1436" s="36">
        <v>10301</v>
      </c>
      <c r="I1436" s="58">
        <v>51805</v>
      </c>
      <c r="J1436">
        <f>IFERROR(VLOOKUP(G1436,'LEAID Match'!$A$2:$B$526,2,FALSE),"")</f>
        <v>2917910</v>
      </c>
      <c r="K1436" s="68">
        <f t="shared" si="45"/>
        <v>8</v>
      </c>
    </row>
    <row r="1437" spans="1:11" x14ac:dyDescent="0.2">
      <c r="A1437">
        <f t="shared" si="44"/>
        <v>2917910</v>
      </c>
      <c r="B1437">
        <v>2018</v>
      </c>
      <c r="C1437" t="s">
        <v>739</v>
      </c>
      <c r="D1437" t="s">
        <v>740</v>
      </c>
      <c r="E1437" t="s">
        <v>743</v>
      </c>
      <c r="F1437" s="34">
        <v>246</v>
      </c>
      <c r="G1437" s="34" t="s">
        <v>178</v>
      </c>
      <c r="H1437" s="36">
        <v>7605</v>
      </c>
      <c r="I1437" s="58">
        <v>54997</v>
      </c>
      <c r="J1437">
        <f>IFERROR(VLOOKUP(G1437,'LEAID Match'!$A$2:$B$526,2,FALSE),"")</f>
        <v>2917910</v>
      </c>
      <c r="K1437" s="68">
        <f t="shared" si="45"/>
        <v>8</v>
      </c>
    </row>
    <row r="1438" spans="1:11" x14ac:dyDescent="0.2">
      <c r="A1438">
        <f t="shared" si="44"/>
        <v>2917910</v>
      </c>
      <c r="B1438">
        <v>2019</v>
      </c>
      <c r="C1438" t="s">
        <v>739</v>
      </c>
      <c r="D1438" t="s">
        <v>740</v>
      </c>
      <c r="E1438" t="s">
        <v>743</v>
      </c>
      <c r="F1438" s="34">
        <v>246</v>
      </c>
      <c r="G1438" s="34" t="s">
        <v>178</v>
      </c>
      <c r="H1438" s="36">
        <v>6740</v>
      </c>
      <c r="I1438" s="58">
        <v>57907</v>
      </c>
      <c r="J1438">
        <f>IFERROR(VLOOKUP(G1438,'LEAID Match'!$A$2:$B$526,2,FALSE),"")</f>
        <v>2917910</v>
      </c>
      <c r="K1438" s="68">
        <f t="shared" si="45"/>
        <v>8</v>
      </c>
    </row>
    <row r="1439" spans="1:11" x14ac:dyDescent="0.2">
      <c r="A1439">
        <f t="shared" si="44"/>
        <v>2917910</v>
      </c>
      <c r="B1439">
        <v>2020</v>
      </c>
      <c r="C1439" t="s">
        <v>739</v>
      </c>
      <c r="D1439" t="s">
        <v>740</v>
      </c>
      <c r="E1439" t="s">
        <v>743</v>
      </c>
      <c r="F1439" s="34">
        <v>246</v>
      </c>
      <c r="G1439" s="34" t="s">
        <v>178</v>
      </c>
      <c r="H1439" s="36">
        <v>9146</v>
      </c>
      <c r="I1439" s="58">
        <v>55988</v>
      </c>
      <c r="J1439">
        <f>IFERROR(VLOOKUP(G1439,'LEAID Match'!$A$2:$B$526,2,FALSE),"")</f>
        <v>2917910</v>
      </c>
      <c r="K1439" s="68">
        <f t="shared" si="45"/>
        <v>8</v>
      </c>
    </row>
    <row r="1440" spans="1:11" x14ac:dyDescent="0.2">
      <c r="A1440">
        <f t="shared" si="44"/>
        <v>2917910</v>
      </c>
      <c r="B1440">
        <v>2021</v>
      </c>
      <c r="C1440" t="s">
        <v>739</v>
      </c>
      <c r="D1440" t="s">
        <v>740</v>
      </c>
      <c r="E1440" t="s">
        <v>743</v>
      </c>
      <c r="F1440" s="34">
        <v>246</v>
      </c>
      <c r="G1440" s="34" t="s">
        <v>178</v>
      </c>
      <c r="H1440" s="36">
        <v>10134</v>
      </c>
      <c r="I1440" s="58">
        <v>58546</v>
      </c>
      <c r="J1440">
        <f>IFERROR(VLOOKUP(G1440,'LEAID Match'!$A$2:$B$526,2,FALSE),"")</f>
        <v>2917910</v>
      </c>
      <c r="K1440" s="68">
        <f t="shared" si="45"/>
        <v>8</v>
      </c>
    </row>
    <row r="1441" spans="1:11" x14ac:dyDescent="0.2">
      <c r="A1441">
        <f t="shared" si="44"/>
        <v>2917910</v>
      </c>
      <c r="B1441">
        <v>2022</v>
      </c>
      <c r="C1441" t="s">
        <v>739</v>
      </c>
      <c r="D1441" t="s">
        <v>740</v>
      </c>
      <c r="E1441" t="s">
        <v>743</v>
      </c>
      <c r="F1441" s="34">
        <v>246</v>
      </c>
      <c r="G1441" s="34" t="s">
        <v>178</v>
      </c>
      <c r="H1441" s="36">
        <v>10453</v>
      </c>
      <c r="I1441" s="58">
        <v>54371</v>
      </c>
      <c r="J1441">
        <f>IFERROR(VLOOKUP(G1441,'LEAID Match'!$A$2:$B$526,2,FALSE),"")</f>
        <v>2917910</v>
      </c>
      <c r="K1441" s="68">
        <f t="shared" si="45"/>
        <v>8</v>
      </c>
    </row>
    <row r="1442" spans="1:11" x14ac:dyDescent="0.2">
      <c r="A1442">
        <f t="shared" si="44"/>
        <v>2930360</v>
      </c>
      <c r="B1442">
        <v>2015</v>
      </c>
      <c r="C1442" t="s">
        <v>739</v>
      </c>
      <c r="D1442" t="s">
        <v>740</v>
      </c>
      <c r="E1442" t="s">
        <v>743</v>
      </c>
      <c r="F1442" s="37">
        <v>247</v>
      </c>
      <c r="G1442" s="39" t="s">
        <v>179</v>
      </c>
      <c r="H1442" s="40">
        <v>90747</v>
      </c>
      <c r="I1442" s="58">
        <v>767937</v>
      </c>
      <c r="J1442">
        <f>IFERROR(VLOOKUP(G1442,'LEAID Match'!$A$2:$B$526,2,FALSE),"")</f>
        <v>2930360</v>
      </c>
      <c r="K1442" s="68">
        <f t="shared" si="45"/>
        <v>8</v>
      </c>
    </row>
    <row r="1443" spans="1:11" x14ac:dyDescent="0.2">
      <c r="A1443">
        <f t="shared" si="44"/>
        <v>2930360</v>
      </c>
      <c r="B1443">
        <v>2016</v>
      </c>
      <c r="C1443" t="s">
        <v>739</v>
      </c>
      <c r="D1443" t="s">
        <v>740</v>
      </c>
      <c r="E1443" t="s">
        <v>743</v>
      </c>
      <c r="F1443" s="34">
        <v>247</v>
      </c>
      <c r="G1443" s="34" t="s">
        <v>179</v>
      </c>
      <c r="H1443" s="36">
        <v>92380</v>
      </c>
      <c r="I1443" s="60">
        <v>812956</v>
      </c>
      <c r="J1443">
        <f>IFERROR(VLOOKUP(G1443,'LEAID Match'!$A$2:$B$526,2,FALSE),"")</f>
        <v>2930360</v>
      </c>
      <c r="K1443" s="68">
        <f t="shared" si="45"/>
        <v>8</v>
      </c>
    </row>
    <row r="1444" spans="1:11" x14ac:dyDescent="0.2">
      <c r="A1444">
        <f t="shared" si="44"/>
        <v>2930360</v>
      </c>
      <c r="B1444">
        <v>2017</v>
      </c>
      <c r="C1444" t="s">
        <v>739</v>
      </c>
      <c r="D1444" t="s">
        <v>740</v>
      </c>
      <c r="E1444" t="s">
        <v>743</v>
      </c>
      <c r="F1444" s="34">
        <v>247</v>
      </c>
      <c r="G1444" s="34" t="s">
        <v>179</v>
      </c>
      <c r="H1444" s="36">
        <v>101347</v>
      </c>
      <c r="I1444" s="58">
        <v>815535</v>
      </c>
      <c r="J1444">
        <f>IFERROR(VLOOKUP(G1444,'LEAID Match'!$A$2:$B$526,2,FALSE),"")</f>
        <v>2930360</v>
      </c>
      <c r="K1444" s="68">
        <f t="shared" si="45"/>
        <v>8</v>
      </c>
    </row>
    <row r="1445" spans="1:11" x14ac:dyDescent="0.2">
      <c r="A1445">
        <f t="shared" si="44"/>
        <v>2930360</v>
      </c>
      <c r="B1445">
        <v>2018</v>
      </c>
      <c r="C1445" t="s">
        <v>739</v>
      </c>
      <c r="D1445" t="s">
        <v>740</v>
      </c>
      <c r="E1445" t="s">
        <v>743</v>
      </c>
      <c r="F1445" s="34">
        <v>247</v>
      </c>
      <c r="G1445" s="34" t="s">
        <v>179</v>
      </c>
      <c r="H1445" s="36">
        <v>106025</v>
      </c>
      <c r="I1445" s="58">
        <v>803014</v>
      </c>
      <c r="J1445">
        <f>IFERROR(VLOOKUP(G1445,'LEAID Match'!$A$2:$B$526,2,FALSE),"")</f>
        <v>2930360</v>
      </c>
      <c r="K1445" s="68">
        <f t="shared" si="45"/>
        <v>8</v>
      </c>
    </row>
    <row r="1446" spans="1:11" x14ac:dyDescent="0.2">
      <c r="A1446">
        <f t="shared" si="44"/>
        <v>2930360</v>
      </c>
      <c r="B1446">
        <v>2019</v>
      </c>
      <c r="C1446" t="s">
        <v>739</v>
      </c>
      <c r="D1446" t="s">
        <v>740</v>
      </c>
      <c r="E1446" t="s">
        <v>743</v>
      </c>
      <c r="F1446" s="34">
        <v>247</v>
      </c>
      <c r="G1446" s="34" t="s">
        <v>179</v>
      </c>
      <c r="H1446" s="36">
        <v>115101</v>
      </c>
      <c r="I1446" s="58">
        <v>837637</v>
      </c>
      <c r="J1446">
        <f>IFERROR(VLOOKUP(G1446,'LEAID Match'!$A$2:$B$526,2,FALSE),"")</f>
        <v>2930360</v>
      </c>
      <c r="K1446" s="68">
        <f t="shared" si="45"/>
        <v>8</v>
      </c>
    </row>
    <row r="1447" spans="1:11" x14ac:dyDescent="0.2">
      <c r="A1447">
        <f t="shared" si="44"/>
        <v>2930360</v>
      </c>
      <c r="B1447">
        <v>2020</v>
      </c>
      <c r="C1447" t="s">
        <v>739</v>
      </c>
      <c r="D1447" t="s">
        <v>740</v>
      </c>
      <c r="E1447" t="s">
        <v>743</v>
      </c>
      <c r="F1447" s="34">
        <v>247</v>
      </c>
      <c r="G1447" s="34" t="s">
        <v>179</v>
      </c>
      <c r="H1447" s="36">
        <v>125450</v>
      </c>
      <c r="I1447" s="58">
        <v>824213</v>
      </c>
      <c r="J1447">
        <f>IFERROR(VLOOKUP(G1447,'LEAID Match'!$A$2:$B$526,2,FALSE),"")</f>
        <v>2930360</v>
      </c>
      <c r="K1447" s="68">
        <f t="shared" si="45"/>
        <v>8</v>
      </c>
    </row>
    <row r="1448" spans="1:11" x14ac:dyDescent="0.2">
      <c r="A1448">
        <f t="shared" si="44"/>
        <v>2930360</v>
      </c>
      <c r="B1448">
        <v>2021</v>
      </c>
      <c r="C1448" t="s">
        <v>739</v>
      </c>
      <c r="D1448" t="s">
        <v>740</v>
      </c>
      <c r="E1448" t="s">
        <v>743</v>
      </c>
      <c r="F1448" s="34">
        <v>247</v>
      </c>
      <c r="G1448" s="34" t="s">
        <v>179</v>
      </c>
      <c r="H1448" s="36">
        <v>128550</v>
      </c>
      <c r="I1448" s="58">
        <v>834445</v>
      </c>
      <c r="J1448">
        <f>IFERROR(VLOOKUP(G1448,'LEAID Match'!$A$2:$B$526,2,FALSE),"")</f>
        <v>2930360</v>
      </c>
      <c r="K1448" s="68">
        <f t="shared" si="45"/>
        <v>8</v>
      </c>
    </row>
    <row r="1449" spans="1:11" x14ac:dyDescent="0.2">
      <c r="A1449">
        <f t="shared" si="44"/>
        <v>2930360</v>
      </c>
      <c r="B1449">
        <v>2022</v>
      </c>
      <c r="C1449" t="s">
        <v>739</v>
      </c>
      <c r="D1449" t="s">
        <v>740</v>
      </c>
      <c r="E1449" t="s">
        <v>743</v>
      </c>
      <c r="F1449" s="34">
        <v>247</v>
      </c>
      <c r="G1449" s="34" t="s">
        <v>179</v>
      </c>
      <c r="H1449" s="36">
        <v>137214</v>
      </c>
      <c r="I1449" s="58">
        <v>850181</v>
      </c>
      <c r="J1449">
        <f>IFERROR(VLOOKUP(G1449,'LEAID Match'!$A$2:$B$526,2,FALSE),"")</f>
        <v>2930360</v>
      </c>
      <c r="K1449" s="68">
        <f t="shared" si="45"/>
        <v>8</v>
      </c>
    </row>
    <row r="1450" spans="1:11" x14ac:dyDescent="0.2">
      <c r="A1450">
        <f t="shared" si="44"/>
        <v>2906450</v>
      </c>
      <c r="B1450">
        <v>2015</v>
      </c>
      <c r="C1450" t="s">
        <v>739</v>
      </c>
      <c r="D1450" t="s">
        <v>740</v>
      </c>
      <c r="E1450" t="s">
        <v>743</v>
      </c>
      <c r="F1450" s="37">
        <v>248</v>
      </c>
      <c r="G1450" s="39" t="s">
        <v>180</v>
      </c>
      <c r="H1450" s="40">
        <v>16549</v>
      </c>
      <c r="I1450" s="58">
        <v>86727</v>
      </c>
      <c r="J1450">
        <f>IFERROR(VLOOKUP(G1450,'LEAID Match'!$A$2:$B$526,2,FALSE),"")</f>
        <v>2906450</v>
      </c>
      <c r="K1450" s="68">
        <f t="shared" si="45"/>
        <v>8</v>
      </c>
    </row>
    <row r="1451" spans="1:11" x14ac:dyDescent="0.2">
      <c r="A1451">
        <f t="shared" si="44"/>
        <v>2906450</v>
      </c>
      <c r="B1451">
        <v>2016</v>
      </c>
      <c r="C1451" t="s">
        <v>739</v>
      </c>
      <c r="D1451" t="s">
        <v>740</v>
      </c>
      <c r="E1451" t="s">
        <v>743</v>
      </c>
      <c r="F1451" s="34">
        <v>248</v>
      </c>
      <c r="G1451" s="34" t="s">
        <v>180</v>
      </c>
      <c r="H1451" s="36">
        <v>19817</v>
      </c>
      <c r="I1451" s="60">
        <v>85959</v>
      </c>
      <c r="J1451">
        <f>IFERROR(VLOOKUP(G1451,'LEAID Match'!$A$2:$B$526,2,FALSE),"")</f>
        <v>2906450</v>
      </c>
      <c r="K1451" s="68">
        <f t="shared" si="45"/>
        <v>8</v>
      </c>
    </row>
    <row r="1452" spans="1:11" x14ac:dyDescent="0.2">
      <c r="A1452">
        <f t="shared" si="44"/>
        <v>2906450</v>
      </c>
      <c r="B1452">
        <v>2017</v>
      </c>
      <c r="C1452" t="s">
        <v>739</v>
      </c>
      <c r="D1452" t="s">
        <v>740</v>
      </c>
      <c r="E1452" t="s">
        <v>743</v>
      </c>
      <c r="F1452" s="34">
        <v>248</v>
      </c>
      <c r="G1452" s="34" t="s">
        <v>180</v>
      </c>
      <c r="H1452" s="36">
        <v>20602</v>
      </c>
      <c r="I1452" s="58">
        <v>79718</v>
      </c>
      <c r="J1452">
        <f>IFERROR(VLOOKUP(G1452,'LEAID Match'!$A$2:$B$526,2,FALSE),"")</f>
        <v>2906450</v>
      </c>
      <c r="K1452" s="68">
        <f t="shared" si="45"/>
        <v>8</v>
      </c>
    </row>
    <row r="1453" spans="1:11" x14ac:dyDescent="0.2">
      <c r="A1453">
        <f t="shared" si="44"/>
        <v>2906450</v>
      </c>
      <c r="B1453">
        <v>2018</v>
      </c>
      <c r="C1453" t="s">
        <v>739</v>
      </c>
      <c r="D1453" t="s">
        <v>740</v>
      </c>
      <c r="E1453" t="s">
        <v>743</v>
      </c>
      <c r="F1453" s="34">
        <v>248</v>
      </c>
      <c r="G1453" s="34" t="s">
        <v>180</v>
      </c>
      <c r="H1453" s="36">
        <v>22381</v>
      </c>
      <c r="I1453" s="58">
        <v>68806</v>
      </c>
      <c r="J1453">
        <f>IFERROR(VLOOKUP(G1453,'LEAID Match'!$A$2:$B$526,2,FALSE),"")</f>
        <v>2906450</v>
      </c>
      <c r="K1453" s="68">
        <f t="shared" si="45"/>
        <v>8</v>
      </c>
    </row>
    <row r="1454" spans="1:11" x14ac:dyDescent="0.2">
      <c r="A1454">
        <f t="shared" si="44"/>
        <v>2906450</v>
      </c>
      <c r="B1454">
        <v>2019</v>
      </c>
      <c r="C1454" t="s">
        <v>739</v>
      </c>
      <c r="D1454" t="s">
        <v>740</v>
      </c>
      <c r="E1454" t="s">
        <v>743</v>
      </c>
      <c r="F1454" s="34">
        <v>248</v>
      </c>
      <c r="G1454" s="34" t="s">
        <v>180</v>
      </c>
      <c r="H1454" s="36">
        <v>19640</v>
      </c>
      <c r="I1454" s="58">
        <v>81073</v>
      </c>
      <c r="J1454">
        <f>IFERROR(VLOOKUP(G1454,'LEAID Match'!$A$2:$B$526,2,FALSE),"")</f>
        <v>2906450</v>
      </c>
      <c r="K1454" s="68">
        <f t="shared" si="45"/>
        <v>8</v>
      </c>
    </row>
    <row r="1455" spans="1:11" x14ac:dyDescent="0.2">
      <c r="A1455">
        <f t="shared" si="44"/>
        <v>2906450</v>
      </c>
      <c r="B1455">
        <v>2020</v>
      </c>
      <c r="C1455" t="s">
        <v>739</v>
      </c>
      <c r="D1455" t="s">
        <v>740</v>
      </c>
      <c r="E1455" t="s">
        <v>743</v>
      </c>
      <c r="F1455" s="34">
        <v>248</v>
      </c>
      <c r="G1455" s="34" t="s">
        <v>180</v>
      </c>
      <c r="H1455" s="36">
        <v>19541</v>
      </c>
      <c r="I1455" s="58">
        <v>94807</v>
      </c>
      <c r="J1455">
        <f>IFERROR(VLOOKUP(G1455,'LEAID Match'!$A$2:$B$526,2,FALSE),"")</f>
        <v>2906450</v>
      </c>
      <c r="K1455" s="68">
        <f t="shared" si="45"/>
        <v>8</v>
      </c>
    </row>
    <row r="1456" spans="1:11" x14ac:dyDescent="0.2">
      <c r="A1456">
        <f t="shared" si="44"/>
        <v>2906450</v>
      </c>
      <c r="B1456">
        <v>2021</v>
      </c>
      <c r="C1456" t="s">
        <v>739</v>
      </c>
      <c r="D1456" t="s">
        <v>740</v>
      </c>
      <c r="E1456" t="s">
        <v>743</v>
      </c>
      <c r="F1456" s="34">
        <v>248</v>
      </c>
      <c r="G1456" s="34" t="s">
        <v>180</v>
      </c>
      <c r="H1456" s="36">
        <v>24176</v>
      </c>
      <c r="I1456" s="58">
        <v>75507</v>
      </c>
      <c r="J1456">
        <f>IFERROR(VLOOKUP(G1456,'LEAID Match'!$A$2:$B$526,2,FALSE),"")</f>
        <v>2906450</v>
      </c>
      <c r="K1456" s="68">
        <f t="shared" si="45"/>
        <v>8</v>
      </c>
    </row>
    <row r="1457" spans="1:11" x14ac:dyDescent="0.2">
      <c r="A1457">
        <f t="shared" si="44"/>
        <v>2906450</v>
      </c>
      <c r="B1457">
        <v>2022</v>
      </c>
      <c r="C1457" t="s">
        <v>739</v>
      </c>
      <c r="D1457" t="s">
        <v>740</v>
      </c>
      <c r="E1457" t="s">
        <v>743</v>
      </c>
      <c r="F1457" s="34">
        <v>248</v>
      </c>
      <c r="G1457" s="34" t="s">
        <v>180</v>
      </c>
      <c r="H1457" s="36">
        <v>32965</v>
      </c>
      <c r="I1457" s="58">
        <v>60985</v>
      </c>
      <c r="J1457">
        <f>IFERROR(VLOOKUP(G1457,'LEAID Match'!$A$2:$B$526,2,FALSE),"")</f>
        <v>2906450</v>
      </c>
      <c r="K1457" s="68">
        <f t="shared" si="45"/>
        <v>8</v>
      </c>
    </row>
    <row r="1458" spans="1:11" x14ac:dyDescent="0.2">
      <c r="A1458">
        <f t="shared" si="44"/>
        <v>2900002</v>
      </c>
      <c r="B1458">
        <v>2015</v>
      </c>
      <c r="C1458" t="s">
        <v>739</v>
      </c>
      <c r="D1458" t="s">
        <v>740</v>
      </c>
      <c r="E1458" t="s">
        <v>743</v>
      </c>
      <c r="F1458" s="37">
        <v>249</v>
      </c>
      <c r="G1458" s="39" t="s">
        <v>181</v>
      </c>
      <c r="H1458" s="40">
        <v>75303</v>
      </c>
      <c r="I1458" s="58">
        <v>551946</v>
      </c>
      <c r="J1458">
        <f>IFERROR(VLOOKUP(G1458,'LEAID Match'!$A$2:$B$526,2,FALSE),"")</f>
        <v>2900002</v>
      </c>
      <c r="K1458" s="68">
        <f t="shared" si="45"/>
        <v>8</v>
      </c>
    </row>
    <row r="1459" spans="1:11" x14ac:dyDescent="0.2">
      <c r="A1459">
        <f t="shared" si="44"/>
        <v>2900002</v>
      </c>
      <c r="B1459">
        <v>2016</v>
      </c>
      <c r="C1459" t="s">
        <v>739</v>
      </c>
      <c r="D1459" t="s">
        <v>740</v>
      </c>
      <c r="E1459" t="s">
        <v>743</v>
      </c>
      <c r="F1459" s="34">
        <v>249</v>
      </c>
      <c r="G1459" s="34" t="s">
        <v>181</v>
      </c>
      <c r="H1459" s="36">
        <v>83193</v>
      </c>
      <c r="I1459" s="60">
        <v>573184</v>
      </c>
      <c r="J1459">
        <f>IFERROR(VLOOKUP(G1459,'LEAID Match'!$A$2:$B$526,2,FALSE),"")</f>
        <v>2900002</v>
      </c>
      <c r="K1459" s="68">
        <f t="shared" si="45"/>
        <v>8</v>
      </c>
    </row>
    <row r="1460" spans="1:11" x14ac:dyDescent="0.2">
      <c r="A1460">
        <f t="shared" si="44"/>
        <v>2900002</v>
      </c>
      <c r="B1460">
        <v>2017</v>
      </c>
      <c r="C1460" t="s">
        <v>739</v>
      </c>
      <c r="D1460" t="s">
        <v>740</v>
      </c>
      <c r="E1460" t="s">
        <v>743</v>
      </c>
      <c r="F1460" s="34">
        <v>249</v>
      </c>
      <c r="G1460" s="34" t="s">
        <v>181</v>
      </c>
      <c r="H1460" s="36">
        <v>82541</v>
      </c>
      <c r="I1460" s="58">
        <v>585358</v>
      </c>
      <c r="J1460">
        <f>IFERROR(VLOOKUP(G1460,'LEAID Match'!$A$2:$B$526,2,FALSE),"")</f>
        <v>2900002</v>
      </c>
      <c r="K1460" s="68">
        <f t="shared" si="45"/>
        <v>8</v>
      </c>
    </row>
    <row r="1461" spans="1:11" x14ac:dyDescent="0.2">
      <c r="A1461">
        <f t="shared" si="44"/>
        <v>2900002</v>
      </c>
      <c r="B1461">
        <v>2018</v>
      </c>
      <c r="C1461" t="s">
        <v>739</v>
      </c>
      <c r="D1461" t="s">
        <v>740</v>
      </c>
      <c r="E1461" t="s">
        <v>743</v>
      </c>
      <c r="F1461" s="34">
        <v>249</v>
      </c>
      <c r="G1461" s="34" t="s">
        <v>181</v>
      </c>
      <c r="H1461" s="36">
        <v>91683</v>
      </c>
      <c r="I1461" s="58">
        <v>613375</v>
      </c>
      <c r="J1461">
        <f>IFERROR(VLOOKUP(G1461,'LEAID Match'!$A$2:$B$526,2,FALSE),"")</f>
        <v>2900002</v>
      </c>
      <c r="K1461" s="68">
        <f t="shared" si="45"/>
        <v>8</v>
      </c>
    </row>
    <row r="1462" spans="1:11" x14ac:dyDescent="0.2">
      <c r="A1462">
        <f t="shared" si="44"/>
        <v>2900002</v>
      </c>
      <c r="B1462">
        <v>2019</v>
      </c>
      <c r="C1462" t="s">
        <v>739</v>
      </c>
      <c r="D1462" t="s">
        <v>740</v>
      </c>
      <c r="E1462" t="s">
        <v>743</v>
      </c>
      <c r="F1462" s="34">
        <v>249</v>
      </c>
      <c r="G1462" s="34" t="s">
        <v>181</v>
      </c>
      <c r="H1462" s="36">
        <v>99954</v>
      </c>
      <c r="I1462" s="58">
        <v>634244</v>
      </c>
      <c r="J1462">
        <f>IFERROR(VLOOKUP(G1462,'LEAID Match'!$A$2:$B$526,2,FALSE),"")</f>
        <v>2900002</v>
      </c>
      <c r="K1462" s="68">
        <f t="shared" si="45"/>
        <v>8</v>
      </c>
    </row>
    <row r="1463" spans="1:11" x14ac:dyDescent="0.2">
      <c r="A1463">
        <f t="shared" si="44"/>
        <v>2900002</v>
      </c>
      <c r="B1463">
        <v>2020</v>
      </c>
      <c r="C1463" t="s">
        <v>739</v>
      </c>
      <c r="D1463" t="s">
        <v>740</v>
      </c>
      <c r="E1463" t="s">
        <v>743</v>
      </c>
      <c r="F1463" s="34">
        <v>249</v>
      </c>
      <c r="G1463" s="34" t="s">
        <v>181</v>
      </c>
      <c r="H1463" s="36">
        <v>105952</v>
      </c>
      <c r="I1463" s="58">
        <v>645797</v>
      </c>
      <c r="J1463">
        <f>IFERROR(VLOOKUP(G1463,'LEAID Match'!$A$2:$B$526,2,FALSE),"")</f>
        <v>2900002</v>
      </c>
      <c r="K1463" s="68">
        <f t="shared" si="45"/>
        <v>8</v>
      </c>
    </row>
    <row r="1464" spans="1:11" x14ac:dyDescent="0.2">
      <c r="A1464">
        <f t="shared" si="44"/>
        <v>2900002</v>
      </c>
      <c r="B1464">
        <v>2021</v>
      </c>
      <c r="C1464" t="s">
        <v>739</v>
      </c>
      <c r="D1464" t="s">
        <v>740</v>
      </c>
      <c r="E1464" t="s">
        <v>743</v>
      </c>
      <c r="F1464" s="34">
        <v>249</v>
      </c>
      <c r="G1464" s="34" t="s">
        <v>181</v>
      </c>
      <c r="H1464" s="36">
        <v>109111</v>
      </c>
      <c r="I1464" s="58">
        <v>649311</v>
      </c>
      <c r="J1464">
        <f>IFERROR(VLOOKUP(G1464,'LEAID Match'!$A$2:$B$526,2,FALSE),"")</f>
        <v>2900002</v>
      </c>
      <c r="K1464" s="68">
        <f t="shared" si="45"/>
        <v>8</v>
      </c>
    </row>
    <row r="1465" spans="1:11" x14ac:dyDescent="0.2">
      <c r="A1465">
        <f t="shared" si="44"/>
        <v>2900002</v>
      </c>
      <c r="B1465">
        <v>2022</v>
      </c>
      <c r="C1465" t="s">
        <v>739</v>
      </c>
      <c r="D1465" t="s">
        <v>740</v>
      </c>
      <c r="E1465" t="s">
        <v>743</v>
      </c>
      <c r="F1465" s="34">
        <v>249</v>
      </c>
      <c r="G1465" s="34" t="s">
        <v>181</v>
      </c>
      <c r="H1465" s="36">
        <v>116491</v>
      </c>
      <c r="I1465" s="58">
        <v>662527</v>
      </c>
      <c r="J1465">
        <f>IFERROR(VLOOKUP(G1465,'LEAID Match'!$A$2:$B$526,2,FALSE),"")</f>
        <v>2900002</v>
      </c>
      <c r="K1465" s="68">
        <f t="shared" si="45"/>
        <v>8</v>
      </c>
    </row>
    <row r="1466" spans="1:11" x14ac:dyDescent="0.2">
      <c r="A1466">
        <f t="shared" si="44"/>
        <v>2922770</v>
      </c>
      <c r="B1466">
        <v>2015</v>
      </c>
      <c r="C1466" t="s">
        <v>739</v>
      </c>
      <c r="D1466" t="s">
        <v>740</v>
      </c>
      <c r="E1466" t="s">
        <v>743</v>
      </c>
      <c r="F1466" s="37">
        <v>250</v>
      </c>
      <c r="G1466" s="39" t="s">
        <v>182</v>
      </c>
      <c r="H1466" s="40">
        <v>23000</v>
      </c>
      <c r="I1466" s="58">
        <v>173031</v>
      </c>
      <c r="J1466">
        <f>IFERROR(VLOOKUP(G1466,'LEAID Match'!$A$2:$B$526,2,FALSE),"")</f>
        <v>2922770</v>
      </c>
      <c r="K1466" s="68">
        <f t="shared" si="45"/>
        <v>8</v>
      </c>
    </row>
    <row r="1467" spans="1:11" x14ac:dyDescent="0.2">
      <c r="A1467">
        <f t="shared" si="44"/>
        <v>2922770</v>
      </c>
      <c r="B1467">
        <v>2016</v>
      </c>
      <c r="C1467" t="s">
        <v>739</v>
      </c>
      <c r="D1467" t="s">
        <v>740</v>
      </c>
      <c r="E1467" t="s">
        <v>743</v>
      </c>
      <c r="F1467" s="34">
        <v>250</v>
      </c>
      <c r="G1467" s="34" t="s">
        <v>182</v>
      </c>
      <c r="H1467" s="36">
        <v>21222</v>
      </c>
      <c r="I1467" s="60">
        <v>176620</v>
      </c>
      <c r="J1467">
        <f>IFERROR(VLOOKUP(G1467,'LEAID Match'!$A$2:$B$526,2,FALSE),"")</f>
        <v>2922770</v>
      </c>
      <c r="K1467" s="68">
        <f t="shared" si="45"/>
        <v>8</v>
      </c>
    </row>
    <row r="1468" spans="1:11" x14ac:dyDescent="0.2">
      <c r="A1468">
        <f t="shared" si="44"/>
        <v>2922770</v>
      </c>
      <c r="B1468">
        <v>2017</v>
      </c>
      <c r="C1468" t="s">
        <v>739</v>
      </c>
      <c r="D1468" t="s">
        <v>740</v>
      </c>
      <c r="E1468" t="s">
        <v>743</v>
      </c>
      <c r="F1468" s="34">
        <v>250</v>
      </c>
      <c r="G1468" s="34" t="s">
        <v>182</v>
      </c>
      <c r="H1468" s="36">
        <v>30618</v>
      </c>
      <c r="I1468" s="58">
        <v>158021</v>
      </c>
      <c r="J1468">
        <f>IFERROR(VLOOKUP(G1468,'LEAID Match'!$A$2:$B$526,2,FALSE),"")</f>
        <v>2922770</v>
      </c>
      <c r="K1468" s="68">
        <f t="shared" si="45"/>
        <v>8</v>
      </c>
    </row>
    <row r="1469" spans="1:11" x14ac:dyDescent="0.2">
      <c r="A1469">
        <f t="shared" si="44"/>
        <v>2922770</v>
      </c>
      <c r="B1469">
        <v>2018</v>
      </c>
      <c r="C1469" t="s">
        <v>739</v>
      </c>
      <c r="D1469" t="s">
        <v>740</v>
      </c>
      <c r="E1469" t="s">
        <v>743</v>
      </c>
      <c r="F1469" s="34">
        <v>250</v>
      </c>
      <c r="G1469" s="34" t="s">
        <v>182</v>
      </c>
      <c r="H1469" s="36">
        <v>28655</v>
      </c>
      <c r="I1469" s="58">
        <v>169922</v>
      </c>
      <c r="J1469">
        <f>IFERROR(VLOOKUP(G1469,'LEAID Match'!$A$2:$B$526,2,FALSE),"")</f>
        <v>2922770</v>
      </c>
      <c r="K1469" s="68">
        <f t="shared" si="45"/>
        <v>8</v>
      </c>
    </row>
    <row r="1470" spans="1:11" x14ac:dyDescent="0.2">
      <c r="A1470">
        <f t="shared" si="44"/>
        <v>2922770</v>
      </c>
      <c r="B1470">
        <v>2019</v>
      </c>
      <c r="C1470" t="s">
        <v>739</v>
      </c>
      <c r="D1470" t="s">
        <v>740</v>
      </c>
      <c r="E1470" t="s">
        <v>743</v>
      </c>
      <c r="F1470" s="34">
        <v>250</v>
      </c>
      <c r="G1470" s="34" t="s">
        <v>182</v>
      </c>
      <c r="H1470" s="36">
        <v>32412</v>
      </c>
      <c r="I1470" s="58">
        <v>166143</v>
      </c>
      <c r="J1470">
        <f>IFERROR(VLOOKUP(G1470,'LEAID Match'!$A$2:$B$526,2,FALSE),"")</f>
        <v>2922770</v>
      </c>
      <c r="K1470" s="68">
        <f t="shared" si="45"/>
        <v>8</v>
      </c>
    </row>
    <row r="1471" spans="1:11" x14ac:dyDescent="0.2">
      <c r="A1471">
        <f t="shared" si="44"/>
        <v>2922770</v>
      </c>
      <c r="B1471">
        <v>2020</v>
      </c>
      <c r="C1471" t="s">
        <v>739</v>
      </c>
      <c r="D1471" t="s">
        <v>740</v>
      </c>
      <c r="E1471" t="s">
        <v>743</v>
      </c>
      <c r="F1471" s="34">
        <v>250</v>
      </c>
      <c r="G1471" s="34" t="s">
        <v>182</v>
      </c>
      <c r="H1471" s="36">
        <v>32147</v>
      </c>
      <c r="I1471" s="58">
        <v>174047</v>
      </c>
      <c r="J1471">
        <f>IFERROR(VLOOKUP(G1471,'LEAID Match'!$A$2:$B$526,2,FALSE),"")</f>
        <v>2922770</v>
      </c>
      <c r="K1471" s="68">
        <f t="shared" si="45"/>
        <v>8</v>
      </c>
    </row>
    <row r="1472" spans="1:11" x14ac:dyDescent="0.2">
      <c r="A1472">
        <f t="shared" si="44"/>
        <v>2922770</v>
      </c>
      <c r="B1472">
        <v>2021</v>
      </c>
      <c r="C1472" t="s">
        <v>739</v>
      </c>
      <c r="D1472" t="s">
        <v>740</v>
      </c>
      <c r="E1472" t="s">
        <v>743</v>
      </c>
      <c r="F1472" s="34">
        <v>250</v>
      </c>
      <c r="G1472" s="34" t="s">
        <v>182</v>
      </c>
      <c r="H1472" s="36">
        <v>30824</v>
      </c>
      <c r="I1472" s="58">
        <v>169910</v>
      </c>
      <c r="J1472">
        <f>IFERROR(VLOOKUP(G1472,'LEAID Match'!$A$2:$B$526,2,FALSE),"")</f>
        <v>2922770</v>
      </c>
      <c r="K1472" s="68">
        <f t="shared" si="45"/>
        <v>8</v>
      </c>
    </row>
    <row r="1473" spans="1:11" x14ac:dyDescent="0.2">
      <c r="A1473">
        <f t="shared" si="44"/>
        <v>2922770</v>
      </c>
      <c r="B1473">
        <v>2022</v>
      </c>
      <c r="C1473" t="s">
        <v>739</v>
      </c>
      <c r="D1473" t="s">
        <v>740</v>
      </c>
      <c r="E1473" t="s">
        <v>743</v>
      </c>
      <c r="F1473" s="34">
        <v>250</v>
      </c>
      <c r="G1473" s="34" t="s">
        <v>182</v>
      </c>
      <c r="H1473" s="36">
        <v>34406</v>
      </c>
      <c r="I1473" s="58">
        <v>181711</v>
      </c>
      <c r="J1473">
        <f>IFERROR(VLOOKUP(G1473,'LEAID Match'!$A$2:$B$526,2,FALSE),"")</f>
        <v>2922770</v>
      </c>
      <c r="K1473" s="68">
        <f t="shared" si="45"/>
        <v>8</v>
      </c>
    </row>
    <row r="1474" spans="1:11" x14ac:dyDescent="0.2">
      <c r="A1474">
        <f t="shared" si="44"/>
        <v>2912870</v>
      </c>
      <c r="B1474">
        <v>2015</v>
      </c>
      <c r="C1474" t="s">
        <v>739</v>
      </c>
      <c r="D1474" t="s">
        <v>740</v>
      </c>
      <c r="E1474" t="s">
        <v>743</v>
      </c>
      <c r="F1474" s="37">
        <v>251</v>
      </c>
      <c r="G1474" s="39" t="s">
        <v>183</v>
      </c>
      <c r="H1474" s="40">
        <v>10745</v>
      </c>
      <c r="I1474" s="58">
        <v>117618</v>
      </c>
      <c r="J1474">
        <f>IFERROR(VLOOKUP(G1474,'LEAID Match'!$A$2:$B$526,2,FALSE),"")</f>
        <v>2912870</v>
      </c>
      <c r="K1474" s="68">
        <f t="shared" si="45"/>
        <v>8</v>
      </c>
    </row>
    <row r="1475" spans="1:11" x14ac:dyDescent="0.2">
      <c r="A1475">
        <f t="shared" ref="A1475:A1538" si="46">J1475</f>
        <v>2912870</v>
      </c>
      <c r="B1475">
        <v>2016</v>
      </c>
      <c r="C1475" t="s">
        <v>739</v>
      </c>
      <c r="D1475" t="s">
        <v>740</v>
      </c>
      <c r="E1475" t="s">
        <v>743</v>
      </c>
      <c r="F1475" s="34">
        <v>251</v>
      </c>
      <c r="G1475" s="34" t="s">
        <v>183</v>
      </c>
      <c r="H1475" s="36">
        <v>13867</v>
      </c>
      <c r="I1475" s="60">
        <v>113932</v>
      </c>
      <c r="J1475">
        <f>IFERROR(VLOOKUP(G1475,'LEAID Match'!$A$2:$B$526,2,FALSE),"")</f>
        <v>2912870</v>
      </c>
      <c r="K1475" s="68">
        <f t="shared" ref="K1475:K1538" si="47">COUNTIF($J$2:$J$4295,J1475)</f>
        <v>8</v>
      </c>
    </row>
    <row r="1476" spans="1:11" x14ac:dyDescent="0.2">
      <c r="A1476">
        <f t="shared" si="46"/>
        <v>2912870</v>
      </c>
      <c r="B1476">
        <v>2017</v>
      </c>
      <c r="C1476" t="s">
        <v>739</v>
      </c>
      <c r="D1476" t="s">
        <v>740</v>
      </c>
      <c r="E1476" t="s">
        <v>743</v>
      </c>
      <c r="F1476" s="34">
        <v>251</v>
      </c>
      <c r="G1476" s="34" t="s">
        <v>183</v>
      </c>
      <c r="H1476" s="36">
        <v>17572</v>
      </c>
      <c r="I1476" s="58">
        <v>108403</v>
      </c>
      <c r="J1476">
        <f>IFERROR(VLOOKUP(G1476,'LEAID Match'!$A$2:$B$526,2,FALSE),"")</f>
        <v>2912870</v>
      </c>
      <c r="K1476" s="68">
        <f t="shared" si="47"/>
        <v>8</v>
      </c>
    </row>
    <row r="1477" spans="1:11" x14ac:dyDescent="0.2">
      <c r="A1477">
        <f t="shared" si="46"/>
        <v>2912870</v>
      </c>
      <c r="B1477">
        <v>2018</v>
      </c>
      <c r="C1477" t="s">
        <v>739</v>
      </c>
      <c r="D1477" t="s">
        <v>740</v>
      </c>
      <c r="E1477" t="s">
        <v>743</v>
      </c>
      <c r="F1477" s="34">
        <v>251</v>
      </c>
      <c r="G1477" s="34" t="s">
        <v>183</v>
      </c>
      <c r="H1477" s="36">
        <v>19917</v>
      </c>
      <c r="I1477" s="58">
        <v>101031</v>
      </c>
      <c r="J1477">
        <f>IFERROR(VLOOKUP(G1477,'LEAID Match'!$A$2:$B$526,2,FALSE),"")</f>
        <v>2912870</v>
      </c>
      <c r="K1477" s="68">
        <f t="shared" si="47"/>
        <v>8</v>
      </c>
    </row>
    <row r="1478" spans="1:11" x14ac:dyDescent="0.2">
      <c r="A1478">
        <f t="shared" si="46"/>
        <v>2912870</v>
      </c>
      <c r="B1478">
        <v>2019</v>
      </c>
      <c r="C1478" t="s">
        <v>739</v>
      </c>
      <c r="D1478" t="s">
        <v>740</v>
      </c>
      <c r="E1478" t="s">
        <v>743</v>
      </c>
      <c r="F1478" s="34">
        <v>251</v>
      </c>
      <c r="G1478" s="34" t="s">
        <v>183</v>
      </c>
      <c r="H1478" s="36">
        <v>24009</v>
      </c>
      <c r="I1478" s="58">
        <v>102255</v>
      </c>
      <c r="J1478">
        <f>IFERROR(VLOOKUP(G1478,'LEAID Match'!$A$2:$B$526,2,FALSE),"")</f>
        <v>2912870</v>
      </c>
      <c r="K1478" s="68">
        <f t="shared" si="47"/>
        <v>8</v>
      </c>
    </row>
    <row r="1479" spans="1:11" x14ac:dyDescent="0.2">
      <c r="A1479">
        <f t="shared" si="46"/>
        <v>2912870</v>
      </c>
      <c r="B1479">
        <v>2020</v>
      </c>
      <c r="C1479" t="s">
        <v>739</v>
      </c>
      <c r="D1479" t="s">
        <v>740</v>
      </c>
      <c r="E1479" t="s">
        <v>743</v>
      </c>
      <c r="F1479" s="34">
        <v>251</v>
      </c>
      <c r="G1479" s="34" t="s">
        <v>183</v>
      </c>
      <c r="H1479" s="36">
        <v>27318</v>
      </c>
      <c r="I1479" s="58">
        <v>96566</v>
      </c>
      <c r="J1479">
        <f>IFERROR(VLOOKUP(G1479,'LEAID Match'!$A$2:$B$526,2,FALSE),"")</f>
        <v>2912870</v>
      </c>
      <c r="K1479" s="68">
        <f t="shared" si="47"/>
        <v>8</v>
      </c>
    </row>
    <row r="1480" spans="1:11" x14ac:dyDescent="0.2">
      <c r="A1480">
        <f t="shared" si="46"/>
        <v>2912870</v>
      </c>
      <c r="B1480">
        <v>2021</v>
      </c>
      <c r="C1480" t="s">
        <v>739</v>
      </c>
      <c r="D1480" t="s">
        <v>740</v>
      </c>
      <c r="E1480" t="s">
        <v>743</v>
      </c>
      <c r="F1480" s="34">
        <v>251</v>
      </c>
      <c r="G1480" s="34" t="s">
        <v>183</v>
      </c>
      <c r="H1480" s="36">
        <v>28835</v>
      </c>
      <c r="I1480" s="58">
        <v>111617</v>
      </c>
      <c r="J1480">
        <f>IFERROR(VLOOKUP(G1480,'LEAID Match'!$A$2:$B$526,2,FALSE),"")</f>
        <v>2912870</v>
      </c>
      <c r="K1480" s="68">
        <f t="shared" si="47"/>
        <v>8</v>
      </c>
    </row>
    <row r="1481" spans="1:11" x14ac:dyDescent="0.2">
      <c r="A1481">
        <f t="shared" si="46"/>
        <v>2912870</v>
      </c>
      <c r="B1481">
        <v>2022</v>
      </c>
      <c r="C1481" t="s">
        <v>739</v>
      </c>
      <c r="D1481" t="s">
        <v>740</v>
      </c>
      <c r="E1481" t="s">
        <v>743</v>
      </c>
      <c r="F1481" s="34">
        <v>251</v>
      </c>
      <c r="G1481" s="34" t="s">
        <v>183</v>
      </c>
      <c r="H1481" s="36">
        <v>33794</v>
      </c>
      <c r="I1481" s="58">
        <v>106039</v>
      </c>
      <c r="J1481">
        <f>IFERROR(VLOOKUP(G1481,'LEAID Match'!$A$2:$B$526,2,FALSE),"")</f>
        <v>2912870</v>
      </c>
      <c r="K1481" s="68">
        <f t="shared" si="47"/>
        <v>8</v>
      </c>
    </row>
    <row r="1482" spans="1:11" x14ac:dyDescent="0.2">
      <c r="A1482">
        <f t="shared" si="46"/>
        <v>2926490</v>
      </c>
      <c r="B1482">
        <v>2015</v>
      </c>
      <c r="C1482" t="s">
        <v>739</v>
      </c>
      <c r="D1482" t="s">
        <v>740</v>
      </c>
      <c r="E1482" t="s">
        <v>743</v>
      </c>
      <c r="F1482" s="37">
        <v>252</v>
      </c>
      <c r="G1482" s="39" t="s">
        <v>184</v>
      </c>
      <c r="H1482" s="40">
        <v>10992</v>
      </c>
      <c r="I1482" s="58">
        <v>97332</v>
      </c>
      <c r="J1482">
        <f>IFERROR(VLOOKUP(G1482,'LEAID Match'!$A$2:$B$526,2,FALSE),"")</f>
        <v>2926490</v>
      </c>
      <c r="K1482" s="68">
        <f t="shared" si="47"/>
        <v>8</v>
      </c>
    </row>
    <row r="1483" spans="1:11" x14ac:dyDescent="0.2">
      <c r="A1483">
        <f t="shared" si="46"/>
        <v>2926490</v>
      </c>
      <c r="B1483">
        <v>2016</v>
      </c>
      <c r="C1483" t="s">
        <v>739</v>
      </c>
      <c r="D1483" t="s">
        <v>740</v>
      </c>
      <c r="E1483" t="s">
        <v>743</v>
      </c>
      <c r="F1483" s="34">
        <v>252</v>
      </c>
      <c r="G1483" s="34" t="s">
        <v>184</v>
      </c>
      <c r="H1483" s="36">
        <v>14429</v>
      </c>
      <c r="I1483" s="60">
        <v>73897</v>
      </c>
      <c r="J1483">
        <f>IFERROR(VLOOKUP(G1483,'LEAID Match'!$A$2:$B$526,2,FALSE),"")</f>
        <v>2926490</v>
      </c>
      <c r="K1483" s="68">
        <f t="shared" si="47"/>
        <v>8</v>
      </c>
    </row>
    <row r="1484" spans="1:11" x14ac:dyDescent="0.2">
      <c r="A1484">
        <f t="shared" si="46"/>
        <v>2926490</v>
      </c>
      <c r="B1484">
        <v>2017</v>
      </c>
      <c r="C1484" t="s">
        <v>739</v>
      </c>
      <c r="D1484" t="s">
        <v>740</v>
      </c>
      <c r="E1484" t="s">
        <v>743</v>
      </c>
      <c r="F1484" s="34">
        <v>252</v>
      </c>
      <c r="G1484" s="34" t="s">
        <v>184</v>
      </c>
      <c r="H1484" s="36">
        <v>16479</v>
      </c>
      <c r="I1484" s="58">
        <v>75221</v>
      </c>
      <c r="J1484">
        <f>IFERROR(VLOOKUP(G1484,'LEAID Match'!$A$2:$B$526,2,FALSE),"")</f>
        <v>2926490</v>
      </c>
      <c r="K1484" s="68">
        <f t="shared" si="47"/>
        <v>8</v>
      </c>
    </row>
    <row r="1485" spans="1:11" x14ac:dyDescent="0.2">
      <c r="A1485">
        <f t="shared" si="46"/>
        <v>2926490</v>
      </c>
      <c r="B1485">
        <v>2018</v>
      </c>
      <c r="C1485" t="s">
        <v>739</v>
      </c>
      <c r="D1485" t="s">
        <v>740</v>
      </c>
      <c r="E1485" t="s">
        <v>743</v>
      </c>
      <c r="F1485" s="34">
        <v>252</v>
      </c>
      <c r="G1485" s="34" t="s">
        <v>184</v>
      </c>
      <c r="H1485" s="36">
        <v>11316</v>
      </c>
      <c r="I1485" s="58">
        <v>93758</v>
      </c>
      <c r="J1485">
        <f>IFERROR(VLOOKUP(G1485,'LEAID Match'!$A$2:$B$526,2,FALSE),"")</f>
        <v>2926490</v>
      </c>
      <c r="K1485" s="68">
        <f t="shared" si="47"/>
        <v>8</v>
      </c>
    </row>
    <row r="1486" spans="1:11" x14ac:dyDescent="0.2">
      <c r="A1486">
        <f t="shared" si="46"/>
        <v>2926490</v>
      </c>
      <c r="B1486">
        <v>2019</v>
      </c>
      <c r="C1486" t="s">
        <v>739</v>
      </c>
      <c r="D1486" t="s">
        <v>740</v>
      </c>
      <c r="E1486" t="s">
        <v>743</v>
      </c>
      <c r="F1486" s="34">
        <v>252</v>
      </c>
      <c r="G1486" s="34" t="s">
        <v>184</v>
      </c>
      <c r="H1486" s="36">
        <v>13370</v>
      </c>
      <c r="I1486" s="58">
        <v>73581</v>
      </c>
      <c r="J1486">
        <f>IFERROR(VLOOKUP(G1486,'LEAID Match'!$A$2:$B$526,2,FALSE),"")</f>
        <v>2926490</v>
      </c>
      <c r="K1486" s="68">
        <f t="shared" si="47"/>
        <v>8</v>
      </c>
    </row>
    <row r="1487" spans="1:11" x14ac:dyDescent="0.2">
      <c r="A1487">
        <f t="shared" si="46"/>
        <v>2926490</v>
      </c>
      <c r="B1487">
        <v>2020</v>
      </c>
      <c r="C1487" t="s">
        <v>739</v>
      </c>
      <c r="D1487" t="s">
        <v>740</v>
      </c>
      <c r="E1487" t="s">
        <v>743</v>
      </c>
      <c r="F1487" s="34">
        <v>252</v>
      </c>
      <c r="G1487" s="34" t="s">
        <v>184</v>
      </c>
      <c r="H1487" s="36">
        <v>13604</v>
      </c>
      <c r="I1487" s="58">
        <v>84376</v>
      </c>
      <c r="J1487">
        <f>IFERROR(VLOOKUP(G1487,'LEAID Match'!$A$2:$B$526,2,FALSE),"")</f>
        <v>2926490</v>
      </c>
      <c r="K1487" s="68">
        <f t="shared" si="47"/>
        <v>8</v>
      </c>
    </row>
    <row r="1488" spans="1:11" x14ac:dyDescent="0.2">
      <c r="A1488">
        <f t="shared" si="46"/>
        <v>2926490</v>
      </c>
      <c r="B1488">
        <v>2021</v>
      </c>
      <c r="C1488" t="s">
        <v>739</v>
      </c>
      <c r="D1488" t="s">
        <v>740</v>
      </c>
      <c r="E1488" t="s">
        <v>743</v>
      </c>
      <c r="F1488" s="34">
        <v>252</v>
      </c>
      <c r="G1488" s="34" t="s">
        <v>184</v>
      </c>
      <c r="H1488" s="36">
        <v>18128</v>
      </c>
      <c r="I1488" s="58">
        <v>88557</v>
      </c>
      <c r="J1488">
        <f>IFERROR(VLOOKUP(G1488,'LEAID Match'!$A$2:$B$526,2,FALSE),"")</f>
        <v>2926490</v>
      </c>
      <c r="K1488" s="68">
        <f t="shared" si="47"/>
        <v>8</v>
      </c>
    </row>
    <row r="1489" spans="1:11" x14ac:dyDescent="0.2">
      <c r="A1489">
        <f t="shared" si="46"/>
        <v>2926490</v>
      </c>
      <c r="B1489">
        <v>2022</v>
      </c>
      <c r="C1489" t="s">
        <v>739</v>
      </c>
      <c r="D1489" t="s">
        <v>740</v>
      </c>
      <c r="E1489" t="s">
        <v>743</v>
      </c>
      <c r="F1489" s="34">
        <v>252</v>
      </c>
      <c r="G1489" s="34" t="s">
        <v>184</v>
      </c>
      <c r="H1489" s="36">
        <v>21344</v>
      </c>
      <c r="I1489" s="58">
        <v>78716</v>
      </c>
      <c r="J1489">
        <f>IFERROR(VLOOKUP(G1489,'LEAID Match'!$A$2:$B$526,2,FALSE),"")</f>
        <v>2926490</v>
      </c>
      <c r="K1489" s="68">
        <f t="shared" si="47"/>
        <v>8</v>
      </c>
    </row>
    <row r="1490" spans="1:11" x14ac:dyDescent="0.2">
      <c r="A1490" t="str">
        <f t="shared" si="46"/>
        <v/>
      </c>
      <c r="B1490">
        <v>2015</v>
      </c>
      <c r="C1490" t="s">
        <v>739</v>
      </c>
      <c r="D1490" t="s">
        <v>740</v>
      </c>
      <c r="E1490" t="s">
        <v>743</v>
      </c>
      <c r="F1490" s="37">
        <v>254</v>
      </c>
      <c r="G1490" s="39" t="s">
        <v>185</v>
      </c>
      <c r="H1490" s="40">
        <v>35293</v>
      </c>
      <c r="I1490" s="58">
        <v>422474</v>
      </c>
      <c r="J1490" t="str">
        <f>IFERROR(VLOOKUP(G1490,'LEAID Match'!$A$2:$B$526,2,FALSE),"")</f>
        <v/>
      </c>
      <c r="K1490" s="68">
        <f t="shared" si="47"/>
        <v>216</v>
      </c>
    </row>
    <row r="1491" spans="1:11" x14ac:dyDescent="0.2">
      <c r="A1491" t="str">
        <f t="shared" si="46"/>
        <v/>
      </c>
      <c r="B1491">
        <v>2016</v>
      </c>
      <c r="C1491" t="s">
        <v>739</v>
      </c>
      <c r="D1491" t="s">
        <v>740</v>
      </c>
      <c r="E1491" t="s">
        <v>743</v>
      </c>
      <c r="F1491" s="34">
        <v>254</v>
      </c>
      <c r="G1491" s="34" t="s">
        <v>185</v>
      </c>
      <c r="H1491" s="36">
        <v>39247</v>
      </c>
      <c r="I1491" s="60">
        <v>447553</v>
      </c>
      <c r="J1491" t="str">
        <f>IFERROR(VLOOKUP(G1491,'LEAID Match'!$A$2:$B$526,2,FALSE),"")</f>
        <v/>
      </c>
      <c r="K1491" s="68">
        <f t="shared" si="47"/>
        <v>216</v>
      </c>
    </row>
    <row r="1492" spans="1:11" x14ac:dyDescent="0.2">
      <c r="A1492" t="str">
        <f t="shared" si="46"/>
        <v/>
      </c>
      <c r="B1492">
        <v>2017</v>
      </c>
      <c r="C1492" t="s">
        <v>739</v>
      </c>
      <c r="D1492" t="s">
        <v>740</v>
      </c>
      <c r="E1492" t="s">
        <v>743</v>
      </c>
      <c r="F1492" s="34">
        <v>254</v>
      </c>
      <c r="G1492" s="34" t="s">
        <v>185</v>
      </c>
      <c r="H1492" s="36">
        <v>38012</v>
      </c>
      <c r="I1492" s="58">
        <v>455474</v>
      </c>
      <c r="J1492" t="str">
        <f>IFERROR(VLOOKUP(G1492,'LEAID Match'!$A$2:$B$526,2,FALSE),"")</f>
        <v/>
      </c>
      <c r="K1492" s="68">
        <f t="shared" si="47"/>
        <v>216</v>
      </c>
    </row>
    <row r="1493" spans="1:11" x14ac:dyDescent="0.2">
      <c r="A1493" t="str">
        <f t="shared" si="46"/>
        <v/>
      </c>
      <c r="B1493">
        <v>2018</v>
      </c>
      <c r="C1493" t="s">
        <v>739</v>
      </c>
      <c r="D1493" t="s">
        <v>740</v>
      </c>
      <c r="E1493" t="s">
        <v>743</v>
      </c>
      <c r="F1493" s="34">
        <v>254</v>
      </c>
      <c r="G1493" s="34" t="s">
        <v>185</v>
      </c>
      <c r="H1493" s="36">
        <v>44663</v>
      </c>
      <c r="I1493" s="58">
        <v>453573</v>
      </c>
      <c r="J1493" t="str">
        <f>IFERROR(VLOOKUP(G1493,'LEAID Match'!$A$2:$B$526,2,FALSE),"")</f>
        <v/>
      </c>
      <c r="K1493" s="68">
        <f t="shared" si="47"/>
        <v>216</v>
      </c>
    </row>
    <row r="1494" spans="1:11" x14ac:dyDescent="0.2">
      <c r="A1494" t="str">
        <f t="shared" si="46"/>
        <v/>
      </c>
      <c r="B1494">
        <v>2019</v>
      </c>
      <c r="C1494" t="s">
        <v>739</v>
      </c>
      <c r="D1494" t="s">
        <v>740</v>
      </c>
      <c r="E1494" t="s">
        <v>743</v>
      </c>
      <c r="F1494" s="34">
        <v>254</v>
      </c>
      <c r="G1494" s="34" t="s">
        <v>185</v>
      </c>
      <c r="H1494" s="36">
        <v>49030</v>
      </c>
      <c r="I1494" s="58">
        <v>471975</v>
      </c>
      <c r="J1494" t="str">
        <f>IFERROR(VLOOKUP(G1494,'LEAID Match'!$A$2:$B$526,2,FALSE),"")</f>
        <v/>
      </c>
      <c r="K1494" s="68">
        <f t="shared" si="47"/>
        <v>216</v>
      </c>
    </row>
    <row r="1495" spans="1:11" x14ac:dyDescent="0.2">
      <c r="A1495" t="str">
        <f t="shared" si="46"/>
        <v/>
      </c>
      <c r="B1495">
        <v>2020</v>
      </c>
      <c r="C1495" t="s">
        <v>739</v>
      </c>
      <c r="D1495" t="s">
        <v>740</v>
      </c>
      <c r="E1495" t="s">
        <v>743</v>
      </c>
      <c r="F1495" s="34">
        <v>254</v>
      </c>
      <c r="G1495" s="34" t="s">
        <v>185</v>
      </c>
      <c r="H1495" s="36">
        <v>49588</v>
      </c>
      <c r="I1495" s="58">
        <v>488609</v>
      </c>
      <c r="J1495" t="str">
        <f>IFERROR(VLOOKUP(G1495,'LEAID Match'!$A$2:$B$526,2,FALSE),"")</f>
        <v/>
      </c>
      <c r="K1495" s="68">
        <f t="shared" si="47"/>
        <v>216</v>
      </c>
    </row>
    <row r="1496" spans="1:11" x14ac:dyDescent="0.2">
      <c r="A1496" t="str">
        <f t="shared" si="46"/>
        <v/>
      </c>
      <c r="B1496">
        <v>2021</v>
      </c>
      <c r="C1496" t="s">
        <v>739</v>
      </c>
      <c r="D1496" t="s">
        <v>740</v>
      </c>
      <c r="E1496" t="s">
        <v>743</v>
      </c>
      <c r="F1496" s="34">
        <v>254</v>
      </c>
      <c r="G1496" s="34" t="s">
        <v>185</v>
      </c>
      <c r="H1496" s="36">
        <v>51827</v>
      </c>
      <c r="I1496" s="58">
        <v>509491</v>
      </c>
      <c r="J1496" t="str">
        <f>IFERROR(VLOOKUP(G1496,'LEAID Match'!$A$2:$B$526,2,FALSE),"")</f>
        <v/>
      </c>
      <c r="K1496" s="68">
        <f t="shared" si="47"/>
        <v>216</v>
      </c>
    </row>
    <row r="1497" spans="1:11" x14ac:dyDescent="0.2">
      <c r="A1497" t="str">
        <f t="shared" si="46"/>
        <v/>
      </c>
      <c r="B1497">
        <v>2022</v>
      </c>
      <c r="C1497" t="s">
        <v>739</v>
      </c>
      <c r="D1497" t="s">
        <v>740</v>
      </c>
      <c r="E1497" t="s">
        <v>743</v>
      </c>
      <c r="F1497" s="34">
        <v>254</v>
      </c>
      <c r="G1497" s="34" t="s">
        <v>185</v>
      </c>
      <c r="H1497" s="36">
        <v>54802</v>
      </c>
      <c r="I1497" s="58">
        <v>509399</v>
      </c>
      <c r="J1497" t="str">
        <f>IFERROR(VLOOKUP(G1497,'LEAID Match'!$A$2:$B$526,2,FALSE),"")</f>
        <v/>
      </c>
      <c r="K1497" s="68">
        <f t="shared" si="47"/>
        <v>216</v>
      </c>
    </row>
    <row r="1498" spans="1:11" x14ac:dyDescent="0.2">
      <c r="A1498">
        <f t="shared" si="46"/>
        <v>2928080</v>
      </c>
      <c r="B1498">
        <v>2015</v>
      </c>
      <c r="C1498" t="s">
        <v>739</v>
      </c>
      <c r="D1498" t="s">
        <v>740</v>
      </c>
      <c r="E1498" t="s">
        <v>743</v>
      </c>
      <c r="F1498" s="37">
        <v>256</v>
      </c>
      <c r="G1498" s="39" t="s">
        <v>186</v>
      </c>
      <c r="H1498" s="40">
        <v>4974</v>
      </c>
      <c r="I1498" s="58">
        <v>52374</v>
      </c>
      <c r="J1498">
        <f>IFERROR(VLOOKUP(G1498,'LEAID Match'!$A$2:$B$526,2,FALSE),"")</f>
        <v>2928080</v>
      </c>
      <c r="K1498" s="68">
        <f t="shared" si="47"/>
        <v>8</v>
      </c>
    </row>
    <row r="1499" spans="1:11" x14ac:dyDescent="0.2">
      <c r="A1499">
        <f t="shared" si="46"/>
        <v>2928080</v>
      </c>
      <c r="B1499">
        <v>2016</v>
      </c>
      <c r="C1499" t="s">
        <v>739</v>
      </c>
      <c r="D1499" t="s">
        <v>740</v>
      </c>
      <c r="E1499" t="s">
        <v>743</v>
      </c>
      <c r="F1499" s="34">
        <v>256</v>
      </c>
      <c r="G1499" s="34" t="s">
        <v>186</v>
      </c>
      <c r="H1499" s="36">
        <v>5047</v>
      </c>
      <c r="I1499" s="60">
        <v>51636</v>
      </c>
      <c r="J1499">
        <f>IFERROR(VLOOKUP(G1499,'LEAID Match'!$A$2:$B$526,2,FALSE),"")</f>
        <v>2928080</v>
      </c>
      <c r="K1499" s="68">
        <f t="shared" si="47"/>
        <v>8</v>
      </c>
    </row>
    <row r="1500" spans="1:11" x14ac:dyDescent="0.2">
      <c r="A1500">
        <f t="shared" si="46"/>
        <v>2928080</v>
      </c>
      <c r="B1500">
        <v>2017</v>
      </c>
      <c r="C1500" t="s">
        <v>739</v>
      </c>
      <c r="D1500" t="s">
        <v>740</v>
      </c>
      <c r="E1500" t="s">
        <v>743</v>
      </c>
      <c r="F1500" s="34">
        <v>256</v>
      </c>
      <c r="G1500" s="34" t="s">
        <v>186</v>
      </c>
      <c r="H1500" s="36">
        <v>5296</v>
      </c>
      <c r="I1500" s="58">
        <v>53087</v>
      </c>
      <c r="J1500">
        <f>IFERROR(VLOOKUP(G1500,'LEAID Match'!$A$2:$B$526,2,FALSE),"")</f>
        <v>2928080</v>
      </c>
      <c r="K1500" s="68">
        <f t="shared" si="47"/>
        <v>8</v>
      </c>
    </row>
    <row r="1501" spans="1:11" x14ac:dyDescent="0.2">
      <c r="A1501">
        <f t="shared" si="46"/>
        <v>2928080</v>
      </c>
      <c r="B1501">
        <v>2018</v>
      </c>
      <c r="C1501" t="s">
        <v>739</v>
      </c>
      <c r="D1501" t="s">
        <v>740</v>
      </c>
      <c r="E1501" t="s">
        <v>743</v>
      </c>
      <c r="F1501" s="34">
        <v>256</v>
      </c>
      <c r="G1501" s="34" t="s">
        <v>186</v>
      </c>
      <c r="H1501" s="36">
        <v>5456</v>
      </c>
      <c r="I1501" s="58">
        <v>53424</v>
      </c>
      <c r="J1501">
        <f>IFERROR(VLOOKUP(G1501,'LEAID Match'!$A$2:$B$526,2,FALSE),"")</f>
        <v>2928080</v>
      </c>
      <c r="K1501" s="68">
        <f t="shared" si="47"/>
        <v>8</v>
      </c>
    </row>
    <row r="1502" spans="1:11" x14ac:dyDescent="0.2">
      <c r="A1502">
        <f t="shared" si="46"/>
        <v>2928080</v>
      </c>
      <c r="B1502">
        <v>2019</v>
      </c>
      <c r="C1502" t="s">
        <v>739</v>
      </c>
      <c r="D1502" t="s">
        <v>740</v>
      </c>
      <c r="E1502" t="s">
        <v>743</v>
      </c>
      <c r="F1502" s="34">
        <v>256</v>
      </c>
      <c r="G1502" s="34" t="s">
        <v>186</v>
      </c>
      <c r="H1502" s="36">
        <v>7232</v>
      </c>
      <c r="I1502" s="58">
        <v>38540</v>
      </c>
      <c r="J1502">
        <f>IFERROR(VLOOKUP(G1502,'LEAID Match'!$A$2:$B$526,2,FALSE),"")</f>
        <v>2928080</v>
      </c>
      <c r="K1502" s="68">
        <f t="shared" si="47"/>
        <v>8</v>
      </c>
    </row>
    <row r="1503" spans="1:11" x14ac:dyDescent="0.2">
      <c r="A1503">
        <f t="shared" si="46"/>
        <v>2928080</v>
      </c>
      <c r="B1503">
        <v>2020</v>
      </c>
      <c r="C1503" t="s">
        <v>739</v>
      </c>
      <c r="D1503" t="s">
        <v>740</v>
      </c>
      <c r="E1503" t="s">
        <v>743</v>
      </c>
      <c r="F1503" s="34">
        <v>256</v>
      </c>
      <c r="G1503" s="34" t="s">
        <v>186</v>
      </c>
      <c r="H1503" s="36">
        <v>7489</v>
      </c>
      <c r="I1503" s="58">
        <v>39166</v>
      </c>
      <c r="J1503">
        <f>IFERROR(VLOOKUP(G1503,'LEAID Match'!$A$2:$B$526,2,FALSE),"")</f>
        <v>2928080</v>
      </c>
      <c r="K1503" s="68">
        <f t="shared" si="47"/>
        <v>8</v>
      </c>
    </row>
    <row r="1504" spans="1:11" x14ac:dyDescent="0.2">
      <c r="A1504">
        <f t="shared" si="46"/>
        <v>2928080</v>
      </c>
      <c r="B1504">
        <v>2021</v>
      </c>
      <c r="C1504" t="s">
        <v>739</v>
      </c>
      <c r="D1504" t="s">
        <v>740</v>
      </c>
      <c r="E1504" t="s">
        <v>743</v>
      </c>
      <c r="F1504" s="34">
        <v>256</v>
      </c>
      <c r="G1504" s="34" t="s">
        <v>186</v>
      </c>
      <c r="H1504" s="36">
        <v>5603</v>
      </c>
      <c r="I1504" s="58">
        <v>41805</v>
      </c>
      <c r="J1504">
        <f>IFERROR(VLOOKUP(G1504,'LEAID Match'!$A$2:$B$526,2,FALSE),"")</f>
        <v>2928080</v>
      </c>
      <c r="K1504" s="68">
        <f t="shared" si="47"/>
        <v>8</v>
      </c>
    </row>
    <row r="1505" spans="1:11" x14ac:dyDescent="0.2">
      <c r="A1505">
        <f t="shared" si="46"/>
        <v>2928080</v>
      </c>
      <c r="B1505">
        <v>2022</v>
      </c>
      <c r="C1505" t="s">
        <v>739</v>
      </c>
      <c r="D1505" t="s">
        <v>740</v>
      </c>
      <c r="E1505" t="s">
        <v>743</v>
      </c>
      <c r="F1505" s="34">
        <v>256</v>
      </c>
      <c r="G1505" s="34" t="s">
        <v>186</v>
      </c>
      <c r="H1505" s="36">
        <v>6343</v>
      </c>
      <c r="I1505" s="58">
        <v>50277</v>
      </c>
      <c r="J1505">
        <f>IFERROR(VLOOKUP(G1505,'LEAID Match'!$A$2:$B$526,2,FALSE),"")</f>
        <v>2928080</v>
      </c>
      <c r="K1505" s="68">
        <f t="shared" si="47"/>
        <v>8</v>
      </c>
    </row>
    <row r="1506" spans="1:11" x14ac:dyDescent="0.2">
      <c r="A1506">
        <f t="shared" si="46"/>
        <v>2906480</v>
      </c>
      <c r="B1506">
        <v>2015</v>
      </c>
      <c r="C1506" t="s">
        <v>739</v>
      </c>
      <c r="D1506" t="s">
        <v>740</v>
      </c>
      <c r="E1506" t="s">
        <v>743</v>
      </c>
      <c r="F1506" s="37">
        <v>258</v>
      </c>
      <c r="G1506" s="39" t="s">
        <v>187</v>
      </c>
      <c r="H1506" s="40">
        <v>48089</v>
      </c>
      <c r="I1506" s="58">
        <v>116958</v>
      </c>
      <c r="J1506">
        <f>IFERROR(VLOOKUP(G1506,'LEAID Match'!$A$2:$B$526,2,FALSE),"")</f>
        <v>2906480</v>
      </c>
      <c r="K1506" s="68">
        <f t="shared" si="47"/>
        <v>8</v>
      </c>
    </row>
    <row r="1507" spans="1:11" x14ac:dyDescent="0.2">
      <c r="A1507">
        <f t="shared" si="46"/>
        <v>2906480</v>
      </c>
      <c r="B1507">
        <v>2016</v>
      </c>
      <c r="C1507" t="s">
        <v>739</v>
      </c>
      <c r="D1507" t="s">
        <v>740</v>
      </c>
      <c r="E1507" t="s">
        <v>743</v>
      </c>
      <c r="F1507" s="34">
        <v>258</v>
      </c>
      <c r="G1507" s="34" t="s">
        <v>187</v>
      </c>
      <c r="H1507" s="36">
        <v>56392</v>
      </c>
      <c r="I1507" s="60">
        <v>114821</v>
      </c>
      <c r="J1507">
        <f>IFERROR(VLOOKUP(G1507,'LEAID Match'!$A$2:$B$526,2,FALSE),"")</f>
        <v>2906480</v>
      </c>
      <c r="K1507" s="68">
        <f t="shared" si="47"/>
        <v>8</v>
      </c>
    </row>
    <row r="1508" spans="1:11" x14ac:dyDescent="0.2">
      <c r="A1508">
        <f t="shared" si="46"/>
        <v>2906480</v>
      </c>
      <c r="B1508">
        <v>2017</v>
      </c>
      <c r="C1508" t="s">
        <v>739</v>
      </c>
      <c r="D1508" t="s">
        <v>740</v>
      </c>
      <c r="E1508" t="s">
        <v>743</v>
      </c>
      <c r="F1508" s="34">
        <v>258</v>
      </c>
      <c r="G1508" s="34" t="s">
        <v>187</v>
      </c>
      <c r="H1508" s="36">
        <v>61843</v>
      </c>
      <c r="I1508" s="58">
        <v>128823</v>
      </c>
      <c r="J1508">
        <f>IFERROR(VLOOKUP(G1508,'LEAID Match'!$A$2:$B$526,2,FALSE),"")</f>
        <v>2906480</v>
      </c>
      <c r="K1508" s="68">
        <f t="shared" si="47"/>
        <v>8</v>
      </c>
    </row>
    <row r="1509" spans="1:11" x14ac:dyDescent="0.2">
      <c r="A1509">
        <f t="shared" si="46"/>
        <v>2906480</v>
      </c>
      <c r="B1509">
        <v>2018</v>
      </c>
      <c r="C1509" t="s">
        <v>739</v>
      </c>
      <c r="D1509" t="s">
        <v>740</v>
      </c>
      <c r="E1509" t="s">
        <v>743</v>
      </c>
      <c r="F1509" s="34">
        <v>258</v>
      </c>
      <c r="G1509" s="34" t="s">
        <v>187</v>
      </c>
      <c r="H1509" s="36">
        <v>43587</v>
      </c>
      <c r="I1509" s="58">
        <v>112180</v>
      </c>
      <c r="J1509">
        <f>IFERROR(VLOOKUP(G1509,'LEAID Match'!$A$2:$B$526,2,FALSE),"")</f>
        <v>2906480</v>
      </c>
      <c r="K1509" s="68">
        <f t="shared" si="47"/>
        <v>8</v>
      </c>
    </row>
    <row r="1510" spans="1:11" x14ac:dyDescent="0.2">
      <c r="A1510">
        <f t="shared" si="46"/>
        <v>2906480</v>
      </c>
      <c r="B1510">
        <v>2019</v>
      </c>
      <c r="C1510" t="s">
        <v>739</v>
      </c>
      <c r="D1510" t="s">
        <v>740</v>
      </c>
      <c r="E1510" t="s">
        <v>743</v>
      </c>
      <c r="F1510" s="34">
        <v>258</v>
      </c>
      <c r="G1510" s="34" t="s">
        <v>187</v>
      </c>
      <c r="H1510" s="36">
        <v>38085</v>
      </c>
      <c r="I1510" s="58">
        <v>106863</v>
      </c>
      <c r="J1510">
        <f>IFERROR(VLOOKUP(G1510,'LEAID Match'!$A$2:$B$526,2,FALSE),"")</f>
        <v>2906480</v>
      </c>
      <c r="K1510" s="68">
        <f t="shared" si="47"/>
        <v>8</v>
      </c>
    </row>
    <row r="1511" spans="1:11" x14ac:dyDescent="0.2">
      <c r="A1511">
        <f t="shared" si="46"/>
        <v>2906480</v>
      </c>
      <c r="B1511">
        <v>2020</v>
      </c>
      <c r="C1511" t="s">
        <v>739</v>
      </c>
      <c r="D1511" t="s">
        <v>740</v>
      </c>
      <c r="E1511" t="s">
        <v>743</v>
      </c>
      <c r="F1511" s="34">
        <v>258</v>
      </c>
      <c r="G1511" s="34" t="s">
        <v>187</v>
      </c>
      <c r="H1511" s="36">
        <v>36793</v>
      </c>
      <c r="I1511" s="58">
        <v>111783</v>
      </c>
      <c r="J1511">
        <f>IFERROR(VLOOKUP(G1511,'LEAID Match'!$A$2:$B$526,2,FALSE),"")</f>
        <v>2906480</v>
      </c>
      <c r="K1511" s="68">
        <f t="shared" si="47"/>
        <v>8</v>
      </c>
    </row>
    <row r="1512" spans="1:11" x14ac:dyDescent="0.2">
      <c r="A1512">
        <f t="shared" si="46"/>
        <v>2906480</v>
      </c>
      <c r="B1512">
        <v>2021</v>
      </c>
      <c r="C1512" t="s">
        <v>739</v>
      </c>
      <c r="D1512" t="s">
        <v>740</v>
      </c>
      <c r="E1512" t="s">
        <v>743</v>
      </c>
      <c r="F1512" s="34">
        <v>258</v>
      </c>
      <c r="G1512" s="34" t="s">
        <v>187</v>
      </c>
      <c r="H1512" s="36">
        <v>29813</v>
      </c>
      <c r="I1512" s="58">
        <v>128733</v>
      </c>
      <c r="J1512">
        <f>IFERROR(VLOOKUP(G1512,'LEAID Match'!$A$2:$B$526,2,FALSE),"")</f>
        <v>2906480</v>
      </c>
      <c r="K1512" s="68">
        <f t="shared" si="47"/>
        <v>8</v>
      </c>
    </row>
    <row r="1513" spans="1:11" x14ac:dyDescent="0.2">
      <c r="A1513">
        <f t="shared" si="46"/>
        <v>2906480</v>
      </c>
      <c r="B1513">
        <v>2022</v>
      </c>
      <c r="C1513" t="s">
        <v>739</v>
      </c>
      <c r="D1513" t="s">
        <v>740</v>
      </c>
      <c r="E1513" t="s">
        <v>743</v>
      </c>
      <c r="F1513" s="34">
        <v>258</v>
      </c>
      <c r="G1513" s="34" t="s">
        <v>187</v>
      </c>
      <c r="H1513" s="36">
        <v>30839</v>
      </c>
      <c r="I1513" s="58">
        <v>145563</v>
      </c>
      <c r="J1513">
        <f>IFERROR(VLOOKUP(G1513,'LEAID Match'!$A$2:$B$526,2,FALSE),"")</f>
        <v>2906480</v>
      </c>
      <c r="K1513" s="68">
        <f t="shared" si="47"/>
        <v>8</v>
      </c>
    </row>
    <row r="1514" spans="1:11" x14ac:dyDescent="0.2">
      <c r="A1514">
        <f t="shared" si="46"/>
        <v>2918330</v>
      </c>
      <c r="B1514">
        <v>2015</v>
      </c>
      <c r="C1514" t="s">
        <v>739</v>
      </c>
      <c r="D1514" t="s">
        <v>740</v>
      </c>
      <c r="E1514" t="s">
        <v>743</v>
      </c>
      <c r="F1514" s="37">
        <v>259</v>
      </c>
      <c r="G1514" s="39" t="s">
        <v>188</v>
      </c>
      <c r="H1514" s="40">
        <v>7755</v>
      </c>
      <c r="I1514" s="58">
        <v>60154</v>
      </c>
      <c r="J1514">
        <f>IFERROR(VLOOKUP(G1514,'LEAID Match'!$A$2:$B$526,2,FALSE),"")</f>
        <v>2918330</v>
      </c>
      <c r="K1514" s="68">
        <f t="shared" si="47"/>
        <v>8</v>
      </c>
    </row>
    <row r="1515" spans="1:11" x14ac:dyDescent="0.2">
      <c r="A1515">
        <f t="shared" si="46"/>
        <v>2918330</v>
      </c>
      <c r="B1515">
        <v>2016</v>
      </c>
      <c r="C1515" t="s">
        <v>739</v>
      </c>
      <c r="D1515" t="s">
        <v>740</v>
      </c>
      <c r="E1515" t="s">
        <v>743</v>
      </c>
      <c r="F1515" s="34">
        <v>259</v>
      </c>
      <c r="G1515" s="34" t="s">
        <v>188</v>
      </c>
      <c r="H1515" s="36">
        <v>8010</v>
      </c>
      <c r="I1515" s="60">
        <v>53797</v>
      </c>
      <c r="J1515">
        <f>IFERROR(VLOOKUP(G1515,'LEAID Match'!$A$2:$B$526,2,FALSE),"")</f>
        <v>2918330</v>
      </c>
      <c r="K1515" s="68">
        <f t="shared" si="47"/>
        <v>8</v>
      </c>
    </row>
    <row r="1516" spans="1:11" x14ac:dyDescent="0.2">
      <c r="A1516">
        <f t="shared" si="46"/>
        <v>2918330</v>
      </c>
      <c r="B1516">
        <v>2017</v>
      </c>
      <c r="C1516" t="s">
        <v>739</v>
      </c>
      <c r="D1516" t="s">
        <v>740</v>
      </c>
      <c r="E1516" t="s">
        <v>743</v>
      </c>
      <c r="F1516" s="34">
        <v>259</v>
      </c>
      <c r="G1516" s="34" t="s">
        <v>188</v>
      </c>
      <c r="H1516" s="36">
        <v>8849</v>
      </c>
      <c r="I1516" s="58">
        <v>57287</v>
      </c>
      <c r="J1516">
        <f>IFERROR(VLOOKUP(G1516,'LEAID Match'!$A$2:$B$526,2,FALSE),"")</f>
        <v>2918330</v>
      </c>
      <c r="K1516" s="68">
        <f t="shared" si="47"/>
        <v>8</v>
      </c>
    </row>
    <row r="1517" spans="1:11" x14ac:dyDescent="0.2">
      <c r="A1517">
        <f t="shared" si="46"/>
        <v>2918330</v>
      </c>
      <c r="B1517">
        <v>2018</v>
      </c>
      <c r="C1517" t="s">
        <v>739</v>
      </c>
      <c r="D1517" t="s">
        <v>740</v>
      </c>
      <c r="E1517" t="s">
        <v>743</v>
      </c>
      <c r="F1517" s="34">
        <v>259</v>
      </c>
      <c r="G1517" s="34" t="s">
        <v>188</v>
      </c>
      <c r="H1517" s="36">
        <v>9004</v>
      </c>
      <c r="I1517" s="58">
        <v>63886</v>
      </c>
      <c r="J1517">
        <f>IFERROR(VLOOKUP(G1517,'LEAID Match'!$A$2:$B$526,2,FALSE),"")</f>
        <v>2918330</v>
      </c>
      <c r="K1517" s="68">
        <f t="shared" si="47"/>
        <v>8</v>
      </c>
    </row>
    <row r="1518" spans="1:11" x14ac:dyDescent="0.2">
      <c r="A1518">
        <f t="shared" si="46"/>
        <v>2918330</v>
      </c>
      <c r="B1518">
        <v>2019</v>
      </c>
      <c r="C1518" t="s">
        <v>739</v>
      </c>
      <c r="D1518" t="s">
        <v>740</v>
      </c>
      <c r="E1518" t="s">
        <v>743</v>
      </c>
      <c r="F1518" s="34">
        <v>259</v>
      </c>
      <c r="G1518" s="34" t="s">
        <v>188</v>
      </c>
      <c r="H1518" s="36">
        <v>6863</v>
      </c>
      <c r="I1518" s="58">
        <v>72185</v>
      </c>
      <c r="J1518">
        <f>IFERROR(VLOOKUP(G1518,'LEAID Match'!$A$2:$B$526,2,FALSE),"")</f>
        <v>2918330</v>
      </c>
      <c r="K1518" s="68">
        <f t="shared" si="47"/>
        <v>8</v>
      </c>
    </row>
    <row r="1519" spans="1:11" x14ac:dyDescent="0.2">
      <c r="A1519">
        <f t="shared" si="46"/>
        <v>2918330</v>
      </c>
      <c r="B1519">
        <v>2020</v>
      </c>
      <c r="C1519" t="s">
        <v>739</v>
      </c>
      <c r="D1519" t="s">
        <v>740</v>
      </c>
      <c r="E1519" t="s">
        <v>743</v>
      </c>
      <c r="F1519" s="34">
        <v>259</v>
      </c>
      <c r="G1519" s="34" t="s">
        <v>188</v>
      </c>
      <c r="H1519" s="36">
        <v>7595</v>
      </c>
      <c r="I1519" s="58">
        <v>77820</v>
      </c>
      <c r="J1519">
        <f>IFERROR(VLOOKUP(G1519,'LEAID Match'!$A$2:$B$526,2,FALSE),"")</f>
        <v>2918330</v>
      </c>
      <c r="K1519" s="68">
        <f t="shared" si="47"/>
        <v>8</v>
      </c>
    </row>
    <row r="1520" spans="1:11" x14ac:dyDescent="0.2">
      <c r="A1520">
        <f t="shared" si="46"/>
        <v>2918330</v>
      </c>
      <c r="B1520">
        <v>2021</v>
      </c>
      <c r="C1520" t="s">
        <v>739</v>
      </c>
      <c r="D1520" t="s">
        <v>740</v>
      </c>
      <c r="E1520" t="s">
        <v>743</v>
      </c>
      <c r="F1520" s="34">
        <v>259</v>
      </c>
      <c r="G1520" s="34" t="s">
        <v>188</v>
      </c>
      <c r="H1520" s="36">
        <v>6943</v>
      </c>
      <c r="I1520" s="58">
        <v>77788</v>
      </c>
      <c r="J1520">
        <f>IFERROR(VLOOKUP(G1520,'LEAID Match'!$A$2:$B$526,2,FALSE),"")</f>
        <v>2918330</v>
      </c>
      <c r="K1520" s="68">
        <f t="shared" si="47"/>
        <v>8</v>
      </c>
    </row>
    <row r="1521" spans="1:11" x14ac:dyDescent="0.2">
      <c r="A1521">
        <f t="shared" si="46"/>
        <v>2918330</v>
      </c>
      <c r="B1521">
        <v>2022</v>
      </c>
      <c r="C1521" t="s">
        <v>739</v>
      </c>
      <c r="D1521" t="s">
        <v>740</v>
      </c>
      <c r="E1521" t="s">
        <v>743</v>
      </c>
      <c r="F1521" s="34">
        <v>259</v>
      </c>
      <c r="G1521" s="34" t="s">
        <v>188</v>
      </c>
      <c r="H1521" s="36">
        <v>10642</v>
      </c>
      <c r="I1521" s="58">
        <v>86475</v>
      </c>
      <c r="J1521">
        <f>IFERROR(VLOOKUP(G1521,'LEAID Match'!$A$2:$B$526,2,FALSE),"")</f>
        <v>2918330</v>
      </c>
      <c r="K1521" s="68">
        <f t="shared" si="47"/>
        <v>8</v>
      </c>
    </row>
    <row r="1522" spans="1:11" x14ac:dyDescent="0.2">
      <c r="A1522">
        <f t="shared" si="46"/>
        <v>2910470</v>
      </c>
      <c r="B1522">
        <v>2015</v>
      </c>
      <c r="C1522" t="s">
        <v>739</v>
      </c>
      <c r="D1522" t="s">
        <v>740</v>
      </c>
      <c r="E1522" t="s">
        <v>743</v>
      </c>
      <c r="F1522" s="37">
        <v>260</v>
      </c>
      <c r="G1522" s="39" t="s">
        <v>189</v>
      </c>
      <c r="H1522" s="40">
        <v>6365</v>
      </c>
      <c r="I1522" s="58">
        <v>44608</v>
      </c>
      <c r="J1522">
        <f>IFERROR(VLOOKUP(G1522,'LEAID Match'!$A$2:$B$526,2,FALSE),"")</f>
        <v>2910470</v>
      </c>
      <c r="K1522" s="68">
        <f t="shared" si="47"/>
        <v>8</v>
      </c>
    </row>
    <row r="1523" spans="1:11" x14ac:dyDescent="0.2">
      <c r="A1523">
        <f t="shared" si="46"/>
        <v>2910470</v>
      </c>
      <c r="B1523">
        <v>2016</v>
      </c>
      <c r="C1523" t="s">
        <v>739</v>
      </c>
      <c r="D1523" t="s">
        <v>740</v>
      </c>
      <c r="E1523" t="s">
        <v>743</v>
      </c>
      <c r="F1523" s="34">
        <v>260</v>
      </c>
      <c r="G1523" s="34" t="s">
        <v>189</v>
      </c>
      <c r="H1523" s="36">
        <v>6469</v>
      </c>
      <c r="I1523" s="60">
        <v>44749</v>
      </c>
      <c r="J1523">
        <f>IFERROR(VLOOKUP(G1523,'LEAID Match'!$A$2:$B$526,2,FALSE),"")</f>
        <v>2910470</v>
      </c>
      <c r="K1523" s="68">
        <f t="shared" si="47"/>
        <v>8</v>
      </c>
    </row>
    <row r="1524" spans="1:11" x14ac:dyDescent="0.2">
      <c r="A1524">
        <f t="shared" si="46"/>
        <v>2910470</v>
      </c>
      <c r="B1524">
        <v>2017</v>
      </c>
      <c r="C1524" t="s">
        <v>739</v>
      </c>
      <c r="D1524" t="s">
        <v>740</v>
      </c>
      <c r="E1524" t="s">
        <v>743</v>
      </c>
      <c r="F1524" s="34">
        <v>260</v>
      </c>
      <c r="G1524" s="34" t="s">
        <v>189</v>
      </c>
      <c r="H1524" s="36">
        <v>6721</v>
      </c>
      <c r="I1524" s="58">
        <v>47486</v>
      </c>
      <c r="J1524">
        <f>IFERROR(VLOOKUP(G1524,'LEAID Match'!$A$2:$B$526,2,FALSE),"")</f>
        <v>2910470</v>
      </c>
      <c r="K1524" s="68">
        <f t="shared" si="47"/>
        <v>8</v>
      </c>
    </row>
    <row r="1525" spans="1:11" x14ac:dyDescent="0.2">
      <c r="A1525">
        <f t="shared" si="46"/>
        <v>2910470</v>
      </c>
      <c r="B1525">
        <v>2018</v>
      </c>
      <c r="C1525" t="s">
        <v>739</v>
      </c>
      <c r="D1525" t="s">
        <v>740</v>
      </c>
      <c r="E1525" t="s">
        <v>743</v>
      </c>
      <c r="F1525" s="34">
        <v>260</v>
      </c>
      <c r="G1525" s="34" t="s">
        <v>189</v>
      </c>
      <c r="H1525" s="36">
        <v>6735</v>
      </c>
      <c r="I1525" s="58">
        <v>43668</v>
      </c>
      <c r="J1525">
        <f>IFERROR(VLOOKUP(G1525,'LEAID Match'!$A$2:$B$526,2,FALSE),"")</f>
        <v>2910470</v>
      </c>
      <c r="K1525" s="68">
        <f t="shared" si="47"/>
        <v>8</v>
      </c>
    </row>
    <row r="1526" spans="1:11" x14ac:dyDescent="0.2">
      <c r="A1526">
        <f t="shared" si="46"/>
        <v>2910470</v>
      </c>
      <c r="B1526">
        <v>2019</v>
      </c>
      <c r="C1526" t="s">
        <v>739</v>
      </c>
      <c r="D1526" t="s">
        <v>740</v>
      </c>
      <c r="E1526" t="s">
        <v>743</v>
      </c>
      <c r="F1526" s="34">
        <v>260</v>
      </c>
      <c r="G1526" s="34" t="s">
        <v>189</v>
      </c>
      <c r="H1526" s="36">
        <v>5957</v>
      </c>
      <c r="I1526" s="58">
        <v>45306</v>
      </c>
      <c r="J1526">
        <f>IFERROR(VLOOKUP(G1526,'LEAID Match'!$A$2:$B$526,2,FALSE),"")</f>
        <v>2910470</v>
      </c>
      <c r="K1526" s="68">
        <f t="shared" si="47"/>
        <v>8</v>
      </c>
    </row>
    <row r="1527" spans="1:11" x14ac:dyDescent="0.2">
      <c r="A1527">
        <f t="shared" si="46"/>
        <v>2910470</v>
      </c>
      <c r="B1527">
        <v>2020</v>
      </c>
      <c r="C1527" t="s">
        <v>739</v>
      </c>
      <c r="D1527" t="s">
        <v>740</v>
      </c>
      <c r="E1527" t="s">
        <v>743</v>
      </c>
      <c r="F1527" s="34">
        <v>260</v>
      </c>
      <c r="G1527" s="34" t="s">
        <v>189</v>
      </c>
      <c r="H1527" s="36">
        <v>6828</v>
      </c>
      <c r="I1527" s="58">
        <v>35666</v>
      </c>
      <c r="J1527">
        <f>IFERROR(VLOOKUP(G1527,'LEAID Match'!$A$2:$B$526,2,FALSE),"")</f>
        <v>2910470</v>
      </c>
      <c r="K1527" s="68">
        <f t="shared" si="47"/>
        <v>8</v>
      </c>
    </row>
    <row r="1528" spans="1:11" x14ac:dyDescent="0.2">
      <c r="A1528">
        <f t="shared" si="46"/>
        <v>2910470</v>
      </c>
      <c r="B1528">
        <v>2021</v>
      </c>
      <c r="C1528" t="s">
        <v>739</v>
      </c>
      <c r="D1528" t="s">
        <v>740</v>
      </c>
      <c r="E1528" t="s">
        <v>743</v>
      </c>
      <c r="F1528" s="34">
        <v>260</v>
      </c>
      <c r="G1528" s="34" t="s">
        <v>189</v>
      </c>
      <c r="H1528" s="36">
        <v>8292</v>
      </c>
      <c r="I1528" s="58">
        <v>34506</v>
      </c>
      <c r="J1528">
        <f>IFERROR(VLOOKUP(G1528,'LEAID Match'!$A$2:$B$526,2,FALSE),"")</f>
        <v>2910470</v>
      </c>
      <c r="K1528" s="68">
        <f t="shared" si="47"/>
        <v>8</v>
      </c>
    </row>
    <row r="1529" spans="1:11" x14ac:dyDescent="0.2">
      <c r="A1529">
        <f t="shared" si="46"/>
        <v>2910470</v>
      </c>
      <c r="B1529">
        <v>2022</v>
      </c>
      <c r="C1529" t="s">
        <v>739</v>
      </c>
      <c r="D1529" t="s">
        <v>740</v>
      </c>
      <c r="E1529" t="s">
        <v>743</v>
      </c>
      <c r="F1529" s="34">
        <v>260</v>
      </c>
      <c r="G1529" s="34" t="s">
        <v>189</v>
      </c>
      <c r="H1529" s="36">
        <v>7347</v>
      </c>
      <c r="I1529" s="58">
        <v>29319</v>
      </c>
      <c r="J1529">
        <f>IFERROR(VLOOKUP(G1529,'LEAID Match'!$A$2:$B$526,2,FALSE),"")</f>
        <v>2910470</v>
      </c>
      <c r="K1529" s="68">
        <f t="shared" si="47"/>
        <v>8</v>
      </c>
    </row>
    <row r="1530" spans="1:11" x14ac:dyDescent="0.2">
      <c r="A1530">
        <f t="shared" si="46"/>
        <v>2921360</v>
      </c>
      <c r="B1530">
        <v>2015</v>
      </c>
      <c r="C1530" t="s">
        <v>739</v>
      </c>
      <c r="D1530" t="s">
        <v>740</v>
      </c>
      <c r="E1530" t="s">
        <v>743</v>
      </c>
      <c r="F1530" s="37">
        <v>261</v>
      </c>
      <c r="G1530" s="39" t="s">
        <v>190</v>
      </c>
      <c r="H1530" s="40">
        <v>6093</v>
      </c>
      <c r="I1530" s="58">
        <v>82318</v>
      </c>
      <c r="J1530">
        <f>IFERROR(VLOOKUP(G1530,'LEAID Match'!$A$2:$B$526,2,FALSE),"")</f>
        <v>2921360</v>
      </c>
      <c r="K1530" s="68">
        <f t="shared" si="47"/>
        <v>8</v>
      </c>
    </row>
    <row r="1531" spans="1:11" x14ac:dyDescent="0.2">
      <c r="A1531">
        <f t="shared" si="46"/>
        <v>2921360</v>
      </c>
      <c r="B1531">
        <v>2016</v>
      </c>
      <c r="C1531" t="s">
        <v>739</v>
      </c>
      <c r="D1531" t="s">
        <v>740</v>
      </c>
      <c r="E1531" t="s">
        <v>743</v>
      </c>
      <c r="F1531" s="34">
        <v>261</v>
      </c>
      <c r="G1531" s="34" t="s">
        <v>190</v>
      </c>
      <c r="H1531" s="36">
        <v>8962</v>
      </c>
      <c r="I1531" s="60">
        <v>78161</v>
      </c>
      <c r="J1531">
        <f>IFERROR(VLOOKUP(G1531,'LEAID Match'!$A$2:$B$526,2,FALSE),"")</f>
        <v>2921360</v>
      </c>
      <c r="K1531" s="68">
        <f t="shared" si="47"/>
        <v>8</v>
      </c>
    </row>
    <row r="1532" spans="1:11" x14ac:dyDescent="0.2">
      <c r="A1532">
        <f t="shared" si="46"/>
        <v>2921360</v>
      </c>
      <c r="B1532">
        <v>2017</v>
      </c>
      <c r="C1532" t="s">
        <v>739</v>
      </c>
      <c r="D1532" t="s">
        <v>740</v>
      </c>
      <c r="E1532" t="s">
        <v>743</v>
      </c>
      <c r="F1532" s="34">
        <v>261</v>
      </c>
      <c r="G1532" s="34" t="s">
        <v>190</v>
      </c>
      <c r="H1532" s="36">
        <v>10184</v>
      </c>
      <c r="I1532" s="58">
        <v>84516</v>
      </c>
      <c r="J1532">
        <f>IFERROR(VLOOKUP(G1532,'LEAID Match'!$A$2:$B$526,2,FALSE),"")</f>
        <v>2921360</v>
      </c>
      <c r="K1532" s="68">
        <f t="shared" si="47"/>
        <v>8</v>
      </c>
    </row>
    <row r="1533" spans="1:11" x14ac:dyDescent="0.2">
      <c r="A1533">
        <f t="shared" si="46"/>
        <v>2921360</v>
      </c>
      <c r="B1533">
        <v>2018</v>
      </c>
      <c r="C1533" t="s">
        <v>739</v>
      </c>
      <c r="D1533" t="s">
        <v>740</v>
      </c>
      <c r="E1533" t="s">
        <v>743</v>
      </c>
      <c r="F1533" s="34">
        <v>261</v>
      </c>
      <c r="G1533" s="34" t="s">
        <v>190</v>
      </c>
      <c r="H1533" s="36">
        <v>6212</v>
      </c>
      <c r="I1533" s="58">
        <v>88854</v>
      </c>
      <c r="J1533">
        <f>IFERROR(VLOOKUP(G1533,'LEAID Match'!$A$2:$B$526,2,FALSE),"")</f>
        <v>2921360</v>
      </c>
      <c r="K1533" s="68">
        <f t="shared" si="47"/>
        <v>8</v>
      </c>
    </row>
    <row r="1534" spans="1:11" x14ac:dyDescent="0.2">
      <c r="A1534">
        <f t="shared" si="46"/>
        <v>2921360</v>
      </c>
      <c r="B1534">
        <v>2019</v>
      </c>
      <c r="C1534" t="s">
        <v>739</v>
      </c>
      <c r="D1534" t="s">
        <v>740</v>
      </c>
      <c r="E1534" t="s">
        <v>743</v>
      </c>
      <c r="F1534" s="34">
        <v>261</v>
      </c>
      <c r="G1534" s="34" t="s">
        <v>190</v>
      </c>
      <c r="H1534" s="36">
        <v>6709</v>
      </c>
      <c r="I1534" s="58">
        <v>88933</v>
      </c>
      <c r="J1534">
        <f>IFERROR(VLOOKUP(G1534,'LEAID Match'!$A$2:$B$526,2,FALSE),"")</f>
        <v>2921360</v>
      </c>
      <c r="K1534" s="68">
        <f t="shared" si="47"/>
        <v>8</v>
      </c>
    </row>
    <row r="1535" spans="1:11" x14ac:dyDescent="0.2">
      <c r="A1535">
        <f t="shared" si="46"/>
        <v>2921360</v>
      </c>
      <c r="B1535">
        <v>2020</v>
      </c>
      <c r="C1535" t="s">
        <v>739</v>
      </c>
      <c r="D1535" t="s">
        <v>740</v>
      </c>
      <c r="E1535" t="s">
        <v>743</v>
      </c>
      <c r="F1535" s="34">
        <v>261</v>
      </c>
      <c r="G1535" s="34" t="s">
        <v>190</v>
      </c>
      <c r="H1535" s="36">
        <v>7973</v>
      </c>
      <c r="I1535" s="58">
        <v>96494</v>
      </c>
      <c r="J1535">
        <f>IFERROR(VLOOKUP(G1535,'LEAID Match'!$A$2:$B$526,2,FALSE),"")</f>
        <v>2921360</v>
      </c>
      <c r="K1535" s="68">
        <f t="shared" si="47"/>
        <v>8</v>
      </c>
    </row>
    <row r="1536" spans="1:11" x14ac:dyDescent="0.2">
      <c r="A1536">
        <f t="shared" si="46"/>
        <v>2921360</v>
      </c>
      <c r="B1536">
        <v>2021</v>
      </c>
      <c r="C1536" t="s">
        <v>739</v>
      </c>
      <c r="D1536" t="s">
        <v>740</v>
      </c>
      <c r="E1536" t="s">
        <v>743</v>
      </c>
      <c r="F1536" s="34">
        <v>261</v>
      </c>
      <c r="G1536" s="34" t="s">
        <v>190</v>
      </c>
      <c r="H1536" s="36">
        <v>10752</v>
      </c>
      <c r="I1536" s="58">
        <v>95660</v>
      </c>
      <c r="J1536">
        <f>IFERROR(VLOOKUP(G1536,'LEAID Match'!$A$2:$B$526,2,FALSE),"")</f>
        <v>2921360</v>
      </c>
      <c r="K1536" s="68">
        <f t="shared" si="47"/>
        <v>8</v>
      </c>
    </row>
    <row r="1537" spans="1:11" x14ac:dyDescent="0.2">
      <c r="A1537">
        <f t="shared" si="46"/>
        <v>2921360</v>
      </c>
      <c r="B1537">
        <v>2022</v>
      </c>
      <c r="C1537" t="s">
        <v>739</v>
      </c>
      <c r="D1537" t="s">
        <v>740</v>
      </c>
      <c r="E1537" t="s">
        <v>743</v>
      </c>
      <c r="F1537" s="34">
        <v>261</v>
      </c>
      <c r="G1537" s="34" t="s">
        <v>190</v>
      </c>
      <c r="H1537" s="36">
        <v>16443</v>
      </c>
      <c r="I1537" s="58">
        <v>88032</v>
      </c>
      <c r="J1537">
        <f>IFERROR(VLOOKUP(G1537,'LEAID Match'!$A$2:$B$526,2,FALSE),"")</f>
        <v>2921360</v>
      </c>
      <c r="K1537" s="68">
        <f t="shared" si="47"/>
        <v>8</v>
      </c>
    </row>
    <row r="1538" spans="1:11" x14ac:dyDescent="0.2">
      <c r="A1538">
        <f t="shared" si="46"/>
        <v>2909860</v>
      </c>
      <c r="B1538">
        <v>2015</v>
      </c>
      <c r="C1538" t="s">
        <v>739</v>
      </c>
      <c r="D1538" t="s">
        <v>740</v>
      </c>
      <c r="E1538" t="s">
        <v>743</v>
      </c>
      <c r="F1538" s="37">
        <v>264</v>
      </c>
      <c r="G1538" s="39" t="s">
        <v>191</v>
      </c>
      <c r="H1538" s="40">
        <v>82657</v>
      </c>
      <c r="I1538" s="58">
        <v>1192192</v>
      </c>
      <c r="J1538">
        <f>IFERROR(VLOOKUP(G1538,'LEAID Match'!$A$2:$B$526,2,FALSE),"")</f>
        <v>2909860</v>
      </c>
      <c r="K1538" s="68">
        <f t="shared" si="47"/>
        <v>8</v>
      </c>
    </row>
    <row r="1539" spans="1:11" x14ac:dyDescent="0.2">
      <c r="A1539">
        <f t="shared" ref="A1539:A1602" si="48">J1539</f>
        <v>2909860</v>
      </c>
      <c r="B1539">
        <v>2016</v>
      </c>
      <c r="C1539" t="s">
        <v>739</v>
      </c>
      <c r="D1539" t="s">
        <v>740</v>
      </c>
      <c r="E1539" t="s">
        <v>743</v>
      </c>
      <c r="F1539" s="34">
        <v>264</v>
      </c>
      <c r="G1539" s="34" t="s">
        <v>191</v>
      </c>
      <c r="H1539" s="36">
        <v>87476</v>
      </c>
      <c r="I1539" s="60">
        <v>1220904</v>
      </c>
      <c r="J1539">
        <f>IFERROR(VLOOKUP(G1539,'LEAID Match'!$A$2:$B$526,2,FALSE),"")</f>
        <v>2909860</v>
      </c>
      <c r="K1539" s="68">
        <f t="shared" ref="K1539:K1602" si="49">COUNTIF($J$2:$J$4295,J1539)</f>
        <v>8</v>
      </c>
    </row>
    <row r="1540" spans="1:11" x14ac:dyDescent="0.2">
      <c r="A1540">
        <f t="shared" si="48"/>
        <v>2909860</v>
      </c>
      <c r="B1540">
        <v>2017</v>
      </c>
      <c r="C1540" t="s">
        <v>739</v>
      </c>
      <c r="D1540" t="s">
        <v>740</v>
      </c>
      <c r="E1540" t="s">
        <v>743</v>
      </c>
      <c r="F1540" s="34">
        <v>264</v>
      </c>
      <c r="G1540" s="34" t="s">
        <v>191</v>
      </c>
      <c r="H1540" s="36">
        <v>89816</v>
      </c>
      <c r="I1540" s="58">
        <v>1241468</v>
      </c>
      <c r="J1540">
        <f>IFERROR(VLOOKUP(G1540,'LEAID Match'!$A$2:$B$526,2,FALSE),"")</f>
        <v>2909860</v>
      </c>
      <c r="K1540" s="68">
        <f t="shared" si="49"/>
        <v>8</v>
      </c>
    </row>
    <row r="1541" spans="1:11" x14ac:dyDescent="0.2">
      <c r="A1541">
        <f t="shared" si="48"/>
        <v>2909860</v>
      </c>
      <c r="B1541">
        <v>2018</v>
      </c>
      <c r="C1541" t="s">
        <v>739</v>
      </c>
      <c r="D1541" t="s">
        <v>740</v>
      </c>
      <c r="E1541" t="s">
        <v>743</v>
      </c>
      <c r="F1541" s="34">
        <v>264</v>
      </c>
      <c r="G1541" s="34" t="s">
        <v>191</v>
      </c>
      <c r="H1541" s="36">
        <v>100050</v>
      </c>
      <c r="I1541" s="58">
        <v>1257939</v>
      </c>
      <c r="J1541">
        <f>IFERROR(VLOOKUP(G1541,'LEAID Match'!$A$2:$B$526,2,FALSE),"")</f>
        <v>2909860</v>
      </c>
      <c r="K1541" s="68">
        <f t="shared" si="49"/>
        <v>8</v>
      </c>
    </row>
    <row r="1542" spans="1:11" x14ac:dyDescent="0.2">
      <c r="A1542">
        <f t="shared" si="48"/>
        <v>2909860</v>
      </c>
      <c r="B1542">
        <v>2019</v>
      </c>
      <c r="C1542" t="s">
        <v>739</v>
      </c>
      <c r="D1542" t="s">
        <v>740</v>
      </c>
      <c r="E1542" t="s">
        <v>743</v>
      </c>
      <c r="F1542" s="34">
        <v>264</v>
      </c>
      <c r="G1542" s="34" t="s">
        <v>191</v>
      </c>
      <c r="H1542" s="36">
        <v>110174</v>
      </c>
      <c r="I1542" s="58">
        <v>1290273</v>
      </c>
      <c r="J1542">
        <f>IFERROR(VLOOKUP(G1542,'LEAID Match'!$A$2:$B$526,2,FALSE),"")</f>
        <v>2909860</v>
      </c>
      <c r="K1542" s="68">
        <f t="shared" si="49"/>
        <v>8</v>
      </c>
    </row>
    <row r="1543" spans="1:11" x14ac:dyDescent="0.2">
      <c r="A1543">
        <f t="shared" si="48"/>
        <v>2909860</v>
      </c>
      <c r="B1543">
        <v>2020</v>
      </c>
      <c r="C1543" t="s">
        <v>739</v>
      </c>
      <c r="D1543" t="s">
        <v>740</v>
      </c>
      <c r="E1543" t="s">
        <v>743</v>
      </c>
      <c r="F1543" s="34">
        <v>264</v>
      </c>
      <c r="G1543" s="34" t="s">
        <v>191</v>
      </c>
      <c r="H1543" s="36">
        <v>137731</v>
      </c>
      <c r="I1543" s="58">
        <v>1320963</v>
      </c>
      <c r="J1543">
        <f>IFERROR(VLOOKUP(G1543,'LEAID Match'!$A$2:$B$526,2,FALSE),"")</f>
        <v>2909860</v>
      </c>
      <c r="K1543" s="68">
        <f t="shared" si="49"/>
        <v>8</v>
      </c>
    </row>
    <row r="1544" spans="1:11" x14ac:dyDescent="0.2">
      <c r="A1544">
        <f t="shared" si="48"/>
        <v>2909860</v>
      </c>
      <c r="B1544">
        <v>2021</v>
      </c>
      <c r="C1544" t="s">
        <v>739</v>
      </c>
      <c r="D1544" t="s">
        <v>740</v>
      </c>
      <c r="E1544" t="s">
        <v>743</v>
      </c>
      <c r="F1544" s="34">
        <v>264</v>
      </c>
      <c r="G1544" s="34" t="s">
        <v>191</v>
      </c>
      <c r="H1544" s="36">
        <v>143155</v>
      </c>
      <c r="I1544" s="58">
        <v>1332729</v>
      </c>
      <c r="J1544">
        <f>IFERROR(VLOOKUP(G1544,'LEAID Match'!$A$2:$B$526,2,FALSE),"")</f>
        <v>2909860</v>
      </c>
      <c r="K1544" s="68">
        <f t="shared" si="49"/>
        <v>8</v>
      </c>
    </row>
    <row r="1545" spans="1:11" x14ac:dyDescent="0.2">
      <c r="A1545">
        <f t="shared" si="48"/>
        <v>2909860</v>
      </c>
      <c r="B1545">
        <v>2022</v>
      </c>
      <c r="C1545" t="s">
        <v>739</v>
      </c>
      <c r="D1545" t="s">
        <v>740</v>
      </c>
      <c r="E1545" t="s">
        <v>743</v>
      </c>
      <c r="F1545" s="34">
        <v>264</v>
      </c>
      <c r="G1545" s="34" t="s">
        <v>191</v>
      </c>
      <c r="H1545" s="36">
        <v>177128</v>
      </c>
      <c r="I1545" s="58">
        <v>1374904</v>
      </c>
      <c r="J1545">
        <f>IFERROR(VLOOKUP(G1545,'LEAID Match'!$A$2:$B$526,2,FALSE),"")</f>
        <v>2909860</v>
      </c>
      <c r="K1545" s="68">
        <f t="shared" si="49"/>
        <v>8</v>
      </c>
    </row>
    <row r="1546" spans="1:11" x14ac:dyDescent="0.2">
      <c r="A1546">
        <f t="shared" si="48"/>
        <v>2914320</v>
      </c>
      <c r="B1546">
        <v>2015</v>
      </c>
      <c r="C1546" t="s">
        <v>739</v>
      </c>
      <c r="D1546" t="s">
        <v>740</v>
      </c>
      <c r="E1546" t="s">
        <v>743</v>
      </c>
      <c r="F1546" s="37">
        <v>266</v>
      </c>
      <c r="G1546" s="39" t="s">
        <v>192</v>
      </c>
      <c r="H1546" s="40">
        <v>68812</v>
      </c>
      <c r="I1546" s="58">
        <v>428489</v>
      </c>
      <c r="J1546">
        <f>IFERROR(VLOOKUP(G1546,'LEAID Match'!$A$2:$B$526,2,FALSE),"")</f>
        <v>2914320</v>
      </c>
      <c r="K1546" s="68">
        <f t="shared" si="49"/>
        <v>8</v>
      </c>
    </row>
    <row r="1547" spans="1:11" x14ac:dyDescent="0.2">
      <c r="A1547">
        <f t="shared" si="48"/>
        <v>2914320</v>
      </c>
      <c r="B1547">
        <v>2016</v>
      </c>
      <c r="C1547" t="s">
        <v>739</v>
      </c>
      <c r="D1547" t="s">
        <v>740</v>
      </c>
      <c r="E1547" t="s">
        <v>743</v>
      </c>
      <c r="F1547" s="34">
        <v>266</v>
      </c>
      <c r="G1547" s="34" t="s">
        <v>192</v>
      </c>
      <c r="H1547" s="36">
        <v>71385</v>
      </c>
      <c r="I1547" s="60">
        <v>431027</v>
      </c>
      <c r="J1547">
        <f>IFERROR(VLOOKUP(G1547,'LEAID Match'!$A$2:$B$526,2,FALSE),"")</f>
        <v>2914320</v>
      </c>
      <c r="K1547" s="68">
        <f t="shared" si="49"/>
        <v>8</v>
      </c>
    </row>
    <row r="1548" spans="1:11" x14ac:dyDescent="0.2">
      <c r="A1548">
        <f t="shared" si="48"/>
        <v>2914320</v>
      </c>
      <c r="B1548">
        <v>2017</v>
      </c>
      <c r="C1548" t="s">
        <v>739</v>
      </c>
      <c r="D1548" t="s">
        <v>740</v>
      </c>
      <c r="E1548" t="s">
        <v>743</v>
      </c>
      <c r="F1548" s="34">
        <v>266</v>
      </c>
      <c r="G1548" s="34" t="s">
        <v>192</v>
      </c>
      <c r="H1548" s="36">
        <v>69511</v>
      </c>
      <c r="I1548" s="58">
        <v>452069</v>
      </c>
      <c r="J1548">
        <f>IFERROR(VLOOKUP(G1548,'LEAID Match'!$A$2:$B$526,2,FALSE),"")</f>
        <v>2914320</v>
      </c>
      <c r="K1548" s="68">
        <f t="shared" si="49"/>
        <v>8</v>
      </c>
    </row>
    <row r="1549" spans="1:11" x14ac:dyDescent="0.2">
      <c r="A1549">
        <f t="shared" si="48"/>
        <v>2914320</v>
      </c>
      <c r="B1549">
        <v>2018</v>
      </c>
      <c r="C1549" t="s">
        <v>739</v>
      </c>
      <c r="D1549" t="s">
        <v>740</v>
      </c>
      <c r="E1549" t="s">
        <v>743</v>
      </c>
      <c r="F1549" s="34">
        <v>266</v>
      </c>
      <c r="G1549" s="34" t="s">
        <v>192</v>
      </c>
      <c r="H1549" s="36">
        <v>68456</v>
      </c>
      <c r="I1549" s="58">
        <v>471012</v>
      </c>
      <c r="J1549">
        <f>IFERROR(VLOOKUP(G1549,'LEAID Match'!$A$2:$B$526,2,FALSE),"")</f>
        <v>2914320</v>
      </c>
      <c r="K1549" s="68">
        <f t="shared" si="49"/>
        <v>8</v>
      </c>
    </row>
    <row r="1550" spans="1:11" x14ac:dyDescent="0.2">
      <c r="A1550">
        <f t="shared" si="48"/>
        <v>2914320</v>
      </c>
      <c r="B1550">
        <v>2019</v>
      </c>
      <c r="C1550" t="s">
        <v>739</v>
      </c>
      <c r="D1550" t="s">
        <v>740</v>
      </c>
      <c r="E1550" t="s">
        <v>743</v>
      </c>
      <c r="F1550" s="34">
        <v>266</v>
      </c>
      <c r="G1550" s="34" t="s">
        <v>192</v>
      </c>
      <c r="H1550" s="36">
        <v>71794</v>
      </c>
      <c r="I1550" s="58">
        <v>487956</v>
      </c>
      <c r="J1550">
        <f>IFERROR(VLOOKUP(G1550,'LEAID Match'!$A$2:$B$526,2,FALSE),"")</f>
        <v>2914320</v>
      </c>
      <c r="K1550" s="68">
        <f t="shared" si="49"/>
        <v>8</v>
      </c>
    </row>
    <row r="1551" spans="1:11" x14ac:dyDescent="0.2">
      <c r="A1551">
        <f t="shared" si="48"/>
        <v>2914320</v>
      </c>
      <c r="B1551">
        <v>2020</v>
      </c>
      <c r="C1551" t="s">
        <v>739</v>
      </c>
      <c r="D1551" t="s">
        <v>740</v>
      </c>
      <c r="E1551" t="s">
        <v>743</v>
      </c>
      <c r="F1551" s="34">
        <v>266</v>
      </c>
      <c r="G1551" s="34" t="s">
        <v>192</v>
      </c>
      <c r="H1551" s="36">
        <v>69172</v>
      </c>
      <c r="I1551" s="58">
        <v>493006</v>
      </c>
      <c r="J1551">
        <f>IFERROR(VLOOKUP(G1551,'LEAID Match'!$A$2:$B$526,2,FALSE),"")</f>
        <v>2914320</v>
      </c>
      <c r="K1551" s="68">
        <f t="shared" si="49"/>
        <v>8</v>
      </c>
    </row>
    <row r="1552" spans="1:11" x14ac:dyDescent="0.2">
      <c r="A1552">
        <f t="shared" si="48"/>
        <v>2914320</v>
      </c>
      <c r="B1552">
        <v>2021</v>
      </c>
      <c r="C1552" t="s">
        <v>739</v>
      </c>
      <c r="D1552" t="s">
        <v>740</v>
      </c>
      <c r="E1552" t="s">
        <v>743</v>
      </c>
      <c r="F1552" s="34">
        <v>266</v>
      </c>
      <c r="G1552" s="34" t="s">
        <v>192</v>
      </c>
      <c r="H1552" s="36">
        <v>65655</v>
      </c>
      <c r="I1552" s="58">
        <v>475315</v>
      </c>
      <c r="J1552">
        <f>IFERROR(VLOOKUP(G1552,'LEAID Match'!$A$2:$B$526,2,FALSE),"")</f>
        <v>2914320</v>
      </c>
      <c r="K1552" s="68">
        <f t="shared" si="49"/>
        <v>8</v>
      </c>
    </row>
    <row r="1553" spans="1:11" x14ac:dyDescent="0.2">
      <c r="A1553">
        <f t="shared" si="48"/>
        <v>2914320</v>
      </c>
      <c r="B1553">
        <v>2022</v>
      </c>
      <c r="C1553" t="s">
        <v>739</v>
      </c>
      <c r="D1553" t="s">
        <v>740</v>
      </c>
      <c r="E1553" t="s">
        <v>743</v>
      </c>
      <c r="F1553" s="34">
        <v>266</v>
      </c>
      <c r="G1553" s="34" t="s">
        <v>192</v>
      </c>
      <c r="H1553" s="36">
        <v>62708</v>
      </c>
      <c r="I1553" s="58">
        <v>491215</v>
      </c>
      <c r="J1553">
        <f>IFERROR(VLOOKUP(G1553,'LEAID Match'!$A$2:$B$526,2,FALSE),"")</f>
        <v>2914320</v>
      </c>
      <c r="K1553" s="68">
        <f t="shared" si="49"/>
        <v>8</v>
      </c>
    </row>
    <row r="1554" spans="1:11" x14ac:dyDescent="0.2">
      <c r="A1554">
        <f t="shared" si="48"/>
        <v>2931920</v>
      </c>
      <c r="B1554">
        <v>2015</v>
      </c>
      <c r="C1554" t="s">
        <v>739</v>
      </c>
      <c r="D1554" t="s">
        <v>740</v>
      </c>
      <c r="E1554" t="s">
        <v>743</v>
      </c>
      <c r="F1554" s="37">
        <v>267</v>
      </c>
      <c r="G1554" s="39" t="s">
        <v>193</v>
      </c>
      <c r="H1554" s="40">
        <v>31989</v>
      </c>
      <c r="I1554" s="58">
        <v>191842</v>
      </c>
      <c r="J1554">
        <f>IFERROR(VLOOKUP(G1554,'LEAID Match'!$A$2:$B$526,2,FALSE),"")</f>
        <v>2931920</v>
      </c>
      <c r="K1554" s="68">
        <f t="shared" si="49"/>
        <v>8</v>
      </c>
    </row>
    <row r="1555" spans="1:11" x14ac:dyDescent="0.2">
      <c r="A1555">
        <f t="shared" si="48"/>
        <v>2931920</v>
      </c>
      <c r="B1555">
        <v>2016</v>
      </c>
      <c r="C1555" t="s">
        <v>739</v>
      </c>
      <c r="D1555" t="s">
        <v>740</v>
      </c>
      <c r="E1555" t="s">
        <v>743</v>
      </c>
      <c r="F1555" s="34">
        <v>267</v>
      </c>
      <c r="G1555" s="34" t="s">
        <v>193</v>
      </c>
      <c r="H1555" s="36">
        <v>36230</v>
      </c>
      <c r="I1555" s="60">
        <v>195910</v>
      </c>
      <c r="J1555">
        <f>IFERROR(VLOOKUP(G1555,'LEAID Match'!$A$2:$B$526,2,FALSE),"")</f>
        <v>2931920</v>
      </c>
      <c r="K1555" s="68">
        <f t="shared" si="49"/>
        <v>8</v>
      </c>
    </row>
    <row r="1556" spans="1:11" x14ac:dyDescent="0.2">
      <c r="A1556">
        <f t="shared" si="48"/>
        <v>2931920</v>
      </c>
      <c r="B1556">
        <v>2017</v>
      </c>
      <c r="C1556" t="s">
        <v>739</v>
      </c>
      <c r="D1556" t="s">
        <v>740</v>
      </c>
      <c r="E1556" t="s">
        <v>743</v>
      </c>
      <c r="F1556" s="34">
        <v>267</v>
      </c>
      <c r="G1556" s="34" t="s">
        <v>193</v>
      </c>
      <c r="H1556" s="36">
        <v>37367</v>
      </c>
      <c r="I1556" s="58">
        <v>199697</v>
      </c>
      <c r="J1556">
        <f>IFERROR(VLOOKUP(G1556,'LEAID Match'!$A$2:$B$526,2,FALSE),"")</f>
        <v>2931920</v>
      </c>
      <c r="K1556" s="68">
        <f t="shared" si="49"/>
        <v>8</v>
      </c>
    </row>
    <row r="1557" spans="1:11" x14ac:dyDescent="0.2">
      <c r="A1557">
        <f t="shared" si="48"/>
        <v>2931920</v>
      </c>
      <c r="B1557">
        <v>2018</v>
      </c>
      <c r="C1557" t="s">
        <v>739</v>
      </c>
      <c r="D1557" t="s">
        <v>740</v>
      </c>
      <c r="E1557" t="s">
        <v>743</v>
      </c>
      <c r="F1557" s="34">
        <v>267</v>
      </c>
      <c r="G1557" s="34" t="s">
        <v>193</v>
      </c>
      <c r="H1557" s="36">
        <v>41219</v>
      </c>
      <c r="I1557" s="58">
        <v>206990</v>
      </c>
      <c r="J1557">
        <f>IFERROR(VLOOKUP(G1557,'LEAID Match'!$A$2:$B$526,2,FALSE),"")</f>
        <v>2931920</v>
      </c>
      <c r="K1557" s="68">
        <f t="shared" si="49"/>
        <v>8</v>
      </c>
    </row>
    <row r="1558" spans="1:11" x14ac:dyDescent="0.2">
      <c r="A1558">
        <f t="shared" si="48"/>
        <v>2931920</v>
      </c>
      <c r="B1558">
        <v>2019</v>
      </c>
      <c r="C1558" t="s">
        <v>739</v>
      </c>
      <c r="D1558" t="s">
        <v>740</v>
      </c>
      <c r="E1558" t="s">
        <v>743</v>
      </c>
      <c r="F1558" s="34">
        <v>267</v>
      </c>
      <c r="G1558" s="34" t="s">
        <v>193</v>
      </c>
      <c r="H1558" s="36">
        <v>40728</v>
      </c>
      <c r="I1558" s="58">
        <v>213600</v>
      </c>
      <c r="J1558">
        <f>IFERROR(VLOOKUP(G1558,'LEAID Match'!$A$2:$B$526,2,FALSE),"")</f>
        <v>2931920</v>
      </c>
      <c r="K1558" s="68">
        <f t="shared" si="49"/>
        <v>8</v>
      </c>
    </row>
    <row r="1559" spans="1:11" x14ac:dyDescent="0.2">
      <c r="A1559">
        <f t="shared" si="48"/>
        <v>2931920</v>
      </c>
      <c r="B1559">
        <v>2020</v>
      </c>
      <c r="C1559" t="s">
        <v>739</v>
      </c>
      <c r="D1559" t="s">
        <v>740</v>
      </c>
      <c r="E1559" t="s">
        <v>743</v>
      </c>
      <c r="F1559" s="34">
        <v>267</v>
      </c>
      <c r="G1559" s="34" t="s">
        <v>193</v>
      </c>
      <c r="H1559" s="36">
        <v>43863</v>
      </c>
      <c r="I1559" s="58">
        <v>236109</v>
      </c>
      <c r="J1559">
        <f>IFERROR(VLOOKUP(G1559,'LEAID Match'!$A$2:$B$526,2,FALSE),"")</f>
        <v>2931920</v>
      </c>
      <c r="K1559" s="68">
        <f t="shared" si="49"/>
        <v>8</v>
      </c>
    </row>
    <row r="1560" spans="1:11" x14ac:dyDescent="0.2">
      <c r="A1560">
        <f t="shared" si="48"/>
        <v>2931920</v>
      </c>
      <c r="B1560">
        <v>2021</v>
      </c>
      <c r="C1560" t="s">
        <v>739</v>
      </c>
      <c r="D1560" t="s">
        <v>740</v>
      </c>
      <c r="E1560" t="s">
        <v>743</v>
      </c>
      <c r="F1560" s="34">
        <v>267</v>
      </c>
      <c r="G1560" s="34" t="s">
        <v>193</v>
      </c>
      <c r="H1560" s="36">
        <v>45986</v>
      </c>
      <c r="I1560" s="58">
        <v>238807</v>
      </c>
      <c r="J1560">
        <f>IFERROR(VLOOKUP(G1560,'LEAID Match'!$A$2:$B$526,2,FALSE),"")</f>
        <v>2931920</v>
      </c>
      <c r="K1560" s="68">
        <f t="shared" si="49"/>
        <v>8</v>
      </c>
    </row>
    <row r="1561" spans="1:11" x14ac:dyDescent="0.2">
      <c r="A1561">
        <f t="shared" si="48"/>
        <v>2931920</v>
      </c>
      <c r="B1561">
        <v>2022</v>
      </c>
      <c r="C1561" t="s">
        <v>739</v>
      </c>
      <c r="D1561" t="s">
        <v>740</v>
      </c>
      <c r="E1561" t="s">
        <v>743</v>
      </c>
      <c r="F1561" s="34">
        <v>267</v>
      </c>
      <c r="G1561" s="34" t="s">
        <v>193</v>
      </c>
      <c r="H1561" s="36">
        <v>52766</v>
      </c>
      <c r="I1561" s="58">
        <v>228697</v>
      </c>
      <c r="J1561">
        <f>IFERROR(VLOOKUP(G1561,'LEAID Match'!$A$2:$B$526,2,FALSE),"")</f>
        <v>2931920</v>
      </c>
      <c r="K1561" s="68">
        <f t="shared" si="49"/>
        <v>8</v>
      </c>
    </row>
    <row r="1562" spans="1:11" x14ac:dyDescent="0.2">
      <c r="A1562">
        <f t="shared" si="48"/>
        <v>2931460</v>
      </c>
      <c r="B1562">
        <v>2015</v>
      </c>
      <c r="C1562" t="s">
        <v>739</v>
      </c>
      <c r="D1562" t="s">
        <v>740</v>
      </c>
      <c r="E1562" t="s">
        <v>743</v>
      </c>
      <c r="F1562" s="37">
        <v>268</v>
      </c>
      <c r="G1562" s="39" t="s">
        <v>194</v>
      </c>
      <c r="H1562" s="40">
        <v>19510</v>
      </c>
      <c r="I1562" s="58">
        <v>205798</v>
      </c>
      <c r="J1562">
        <f>IFERROR(VLOOKUP(G1562,'LEAID Match'!$A$2:$B$526,2,FALSE),"")</f>
        <v>2931460</v>
      </c>
      <c r="K1562" s="68">
        <f t="shared" si="49"/>
        <v>8</v>
      </c>
    </row>
    <row r="1563" spans="1:11" x14ac:dyDescent="0.2">
      <c r="A1563">
        <f t="shared" si="48"/>
        <v>2931460</v>
      </c>
      <c r="B1563">
        <v>2016</v>
      </c>
      <c r="C1563" t="s">
        <v>739</v>
      </c>
      <c r="D1563" t="s">
        <v>740</v>
      </c>
      <c r="E1563" t="s">
        <v>743</v>
      </c>
      <c r="F1563" s="34">
        <v>268</v>
      </c>
      <c r="G1563" s="34" t="s">
        <v>194</v>
      </c>
      <c r="H1563" s="36">
        <v>22966</v>
      </c>
      <c r="I1563" s="60">
        <v>212098</v>
      </c>
      <c r="J1563">
        <f>IFERROR(VLOOKUP(G1563,'LEAID Match'!$A$2:$B$526,2,FALSE),"")</f>
        <v>2931460</v>
      </c>
      <c r="K1563" s="68">
        <f t="shared" si="49"/>
        <v>8</v>
      </c>
    </row>
    <row r="1564" spans="1:11" x14ac:dyDescent="0.2">
      <c r="A1564">
        <f t="shared" si="48"/>
        <v>2931460</v>
      </c>
      <c r="B1564">
        <v>2017</v>
      </c>
      <c r="C1564" t="s">
        <v>739</v>
      </c>
      <c r="D1564" t="s">
        <v>740</v>
      </c>
      <c r="E1564" t="s">
        <v>743</v>
      </c>
      <c r="F1564" s="34">
        <v>268</v>
      </c>
      <c r="G1564" s="34" t="s">
        <v>194</v>
      </c>
      <c r="H1564" s="36">
        <v>25393</v>
      </c>
      <c r="I1564" s="58">
        <v>209803</v>
      </c>
      <c r="J1564">
        <f>IFERROR(VLOOKUP(G1564,'LEAID Match'!$A$2:$B$526,2,FALSE),"")</f>
        <v>2931460</v>
      </c>
      <c r="K1564" s="68">
        <f t="shared" si="49"/>
        <v>8</v>
      </c>
    </row>
    <row r="1565" spans="1:11" x14ac:dyDescent="0.2">
      <c r="A1565">
        <f t="shared" si="48"/>
        <v>2931460</v>
      </c>
      <c r="B1565">
        <v>2018</v>
      </c>
      <c r="C1565" t="s">
        <v>739</v>
      </c>
      <c r="D1565" t="s">
        <v>740</v>
      </c>
      <c r="E1565" t="s">
        <v>743</v>
      </c>
      <c r="F1565" s="34">
        <v>268</v>
      </c>
      <c r="G1565" s="34" t="s">
        <v>194</v>
      </c>
      <c r="H1565" s="36">
        <v>25678</v>
      </c>
      <c r="I1565" s="58">
        <v>203648</v>
      </c>
      <c r="J1565">
        <f>IFERROR(VLOOKUP(G1565,'LEAID Match'!$A$2:$B$526,2,FALSE),"")</f>
        <v>2931460</v>
      </c>
      <c r="K1565" s="68">
        <f t="shared" si="49"/>
        <v>8</v>
      </c>
    </row>
    <row r="1566" spans="1:11" x14ac:dyDescent="0.2">
      <c r="A1566">
        <f t="shared" si="48"/>
        <v>2931460</v>
      </c>
      <c r="B1566">
        <v>2019</v>
      </c>
      <c r="C1566" t="s">
        <v>739</v>
      </c>
      <c r="D1566" t="s">
        <v>740</v>
      </c>
      <c r="E1566" t="s">
        <v>743</v>
      </c>
      <c r="F1566" s="34">
        <v>268</v>
      </c>
      <c r="G1566" s="34" t="s">
        <v>194</v>
      </c>
      <c r="H1566" s="36">
        <v>27583</v>
      </c>
      <c r="I1566" s="58">
        <v>208388</v>
      </c>
      <c r="J1566">
        <f>IFERROR(VLOOKUP(G1566,'LEAID Match'!$A$2:$B$526,2,FALSE),"")</f>
        <v>2931460</v>
      </c>
      <c r="K1566" s="68">
        <f t="shared" si="49"/>
        <v>8</v>
      </c>
    </row>
    <row r="1567" spans="1:11" x14ac:dyDescent="0.2">
      <c r="A1567">
        <f t="shared" si="48"/>
        <v>2931460</v>
      </c>
      <c r="B1567">
        <v>2020</v>
      </c>
      <c r="C1567" t="s">
        <v>739</v>
      </c>
      <c r="D1567" t="s">
        <v>740</v>
      </c>
      <c r="E1567" t="s">
        <v>743</v>
      </c>
      <c r="F1567" s="34">
        <v>268</v>
      </c>
      <c r="G1567" s="34" t="s">
        <v>194</v>
      </c>
      <c r="H1567" s="36">
        <v>26459</v>
      </c>
      <c r="I1567" s="58">
        <v>215493</v>
      </c>
      <c r="J1567">
        <f>IFERROR(VLOOKUP(G1567,'LEAID Match'!$A$2:$B$526,2,FALSE),"")</f>
        <v>2931460</v>
      </c>
      <c r="K1567" s="68">
        <f t="shared" si="49"/>
        <v>8</v>
      </c>
    </row>
    <row r="1568" spans="1:11" x14ac:dyDescent="0.2">
      <c r="A1568">
        <f t="shared" si="48"/>
        <v>2931460</v>
      </c>
      <c r="B1568">
        <v>2021</v>
      </c>
      <c r="C1568" t="s">
        <v>739</v>
      </c>
      <c r="D1568" t="s">
        <v>740</v>
      </c>
      <c r="E1568" t="s">
        <v>743</v>
      </c>
      <c r="F1568" s="34">
        <v>268</v>
      </c>
      <c r="G1568" s="34" t="s">
        <v>194</v>
      </c>
      <c r="H1568" s="36">
        <v>29219</v>
      </c>
      <c r="I1568" s="58">
        <v>221279</v>
      </c>
      <c r="J1568">
        <f>IFERROR(VLOOKUP(G1568,'LEAID Match'!$A$2:$B$526,2,FALSE),"")</f>
        <v>2931460</v>
      </c>
      <c r="K1568" s="68">
        <f t="shared" si="49"/>
        <v>8</v>
      </c>
    </row>
    <row r="1569" spans="1:11" x14ac:dyDescent="0.2">
      <c r="A1569">
        <f t="shared" si="48"/>
        <v>2931460</v>
      </c>
      <c r="B1569">
        <v>2022</v>
      </c>
      <c r="C1569" t="s">
        <v>739</v>
      </c>
      <c r="D1569" t="s">
        <v>740</v>
      </c>
      <c r="E1569" t="s">
        <v>743</v>
      </c>
      <c r="F1569" s="34">
        <v>268</v>
      </c>
      <c r="G1569" s="34" t="s">
        <v>194</v>
      </c>
      <c r="H1569" s="36">
        <v>34891</v>
      </c>
      <c r="I1569" s="58">
        <v>221931</v>
      </c>
      <c r="J1569">
        <f>IFERROR(VLOOKUP(G1569,'LEAID Match'!$A$2:$B$526,2,FALSE),"")</f>
        <v>2931460</v>
      </c>
      <c r="K1569" s="68">
        <f t="shared" si="49"/>
        <v>8</v>
      </c>
    </row>
    <row r="1570" spans="1:11" x14ac:dyDescent="0.2">
      <c r="A1570">
        <f t="shared" si="48"/>
        <v>2914310</v>
      </c>
      <c r="B1570">
        <v>2015</v>
      </c>
      <c r="C1570" t="s">
        <v>739</v>
      </c>
      <c r="D1570" t="s">
        <v>740</v>
      </c>
      <c r="E1570" t="s">
        <v>743</v>
      </c>
      <c r="F1570" s="37">
        <v>269</v>
      </c>
      <c r="G1570" s="34" t="s">
        <v>555</v>
      </c>
      <c r="H1570" s="40">
        <v>38280</v>
      </c>
      <c r="I1570" s="58">
        <v>186042</v>
      </c>
      <c r="J1570">
        <f>IFERROR(VLOOKUP(G1570,'LEAID Match'!$A$2:$B$526,2,FALSE),"")</f>
        <v>2914310</v>
      </c>
      <c r="K1570" s="68">
        <f t="shared" si="49"/>
        <v>8</v>
      </c>
    </row>
    <row r="1571" spans="1:11" x14ac:dyDescent="0.2">
      <c r="A1571">
        <f t="shared" si="48"/>
        <v>2914310</v>
      </c>
      <c r="B1571">
        <v>2016</v>
      </c>
      <c r="C1571" t="s">
        <v>739</v>
      </c>
      <c r="D1571" t="s">
        <v>740</v>
      </c>
      <c r="E1571" t="s">
        <v>743</v>
      </c>
      <c r="F1571" s="34">
        <v>269</v>
      </c>
      <c r="G1571" s="34" t="s">
        <v>555</v>
      </c>
      <c r="H1571" s="36">
        <v>40374</v>
      </c>
      <c r="I1571" s="60">
        <v>198078</v>
      </c>
      <c r="J1571">
        <f>IFERROR(VLOOKUP(G1571,'LEAID Match'!$A$2:$B$526,2,FALSE),"")</f>
        <v>2914310</v>
      </c>
      <c r="K1571" s="68">
        <f t="shared" si="49"/>
        <v>8</v>
      </c>
    </row>
    <row r="1572" spans="1:11" x14ac:dyDescent="0.2">
      <c r="A1572">
        <f t="shared" si="48"/>
        <v>2914310</v>
      </c>
      <c r="B1572">
        <v>2017</v>
      </c>
      <c r="C1572" t="s">
        <v>739</v>
      </c>
      <c r="D1572" t="s">
        <v>740</v>
      </c>
      <c r="E1572" t="s">
        <v>743</v>
      </c>
      <c r="F1572" s="34">
        <v>269</v>
      </c>
      <c r="G1572" s="34" t="s">
        <v>555</v>
      </c>
      <c r="H1572" s="36">
        <v>41107</v>
      </c>
      <c r="I1572" s="58">
        <v>198057</v>
      </c>
      <c r="J1572">
        <f>IFERROR(VLOOKUP(G1572,'LEAID Match'!$A$2:$B$526,2,FALSE),"")</f>
        <v>2914310</v>
      </c>
      <c r="K1572" s="68">
        <f t="shared" si="49"/>
        <v>8</v>
      </c>
    </row>
    <row r="1573" spans="1:11" x14ac:dyDescent="0.2">
      <c r="A1573">
        <f t="shared" si="48"/>
        <v>2914310</v>
      </c>
      <c r="B1573">
        <v>2018</v>
      </c>
      <c r="C1573" t="s">
        <v>739</v>
      </c>
      <c r="D1573" t="s">
        <v>740</v>
      </c>
      <c r="E1573" t="s">
        <v>743</v>
      </c>
      <c r="F1573" s="34">
        <v>269</v>
      </c>
      <c r="G1573" s="34" t="s">
        <v>555</v>
      </c>
      <c r="H1573" s="36">
        <v>40193</v>
      </c>
      <c r="I1573" s="58">
        <v>192757</v>
      </c>
      <c r="J1573">
        <f>IFERROR(VLOOKUP(G1573,'LEAID Match'!$A$2:$B$526,2,FALSE),"")</f>
        <v>2914310</v>
      </c>
      <c r="K1573" s="68">
        <f t="shared" si="49"/>
        <v>8</v>
      </c>
    </row>
    <row r="1574" spans="1:11" x14ac:dyDescent="0.2">
      <c r="A1574">
        <f t="shared" si="48"/>
        <v>2914310</v>
      </c>
      <c r="B1574">
        <v>2019</v>
      </c>
      <c r="C1574" t="s">
        <v>739</v>
      </c>
      <c r="D1574" t="s">
        <v>740</v>
      </c>
      <c r="E1574" t="s">
        <v>743</v>
      </c>
      <c r="F1574" s="34">
        <v>269</v>
      </c>
      <c r="G1574" s="34" t="s">
        <v>555</v>
      </c>
      <c r="H1574" s="36">
        <v>41486</v>
      </c>
      <c r="I1574" s="58">
        <v>185725</v>
      </c>
      <c r="J1574">
        <f>IFERROR(VLOOKUP(G1574,'LEAID Match'!$A$2:$B$526,2,FALSE),"")</f>
        <v>2914310</v>
      </c>
      <c r="K1574" s="68">
        <f t="shared" si="49"/>
        <v>8</v>
      </c>
    </row>
    <row r="1575" spans="1:11" x14ac:dyDescent="0.2">
      <c r="A1575">
        <f t="shared" si="48"/>
        <v>2914310</v>
      </c>
      <c r="B1575">
        <v>2020</v>
      </c>
      <c r="C1575" t="s">
        <v>739</v>
      </c>
      <c r="D1575" t="s">
        <v>740</v>
      </c>
      <c r="E1575" t="s">
        <v>743</v>
      </c>
      <c r="F1575" s="34">
        <v>269</v>
      </c>
      <c r="G1575" s="34" t="s">
        <v>555</v>
      </c>
      <c r="H1575" s="36">
        <v>42305</v>
      </c>
      <c r="I1575" s="58">
        <v>195925</v>
      </c>
      <c r="J1575">
        <f>IFERROR(VLOOKUP(G1575,'LEAID Match'!$A$2:$B$526,2,FALSE),"")</f>
        <v>2914310</v>
      </c>
      <c r="K1575" s="68">
        <f t="shared" si="49"/>
        <v>8</v>
      </c>
    </row>
    <row r="1576" spans="1:11" x14ac:dyDescent="0.2">
      <c r="A1576">
        <f t="shared" si="48"/>
        <v>2914310</v>
      </c>
      <c r="B1576">
        <v>2021</v>
      </c>
      <c r="C1576" t="s">
        <v>739</v>
      </c>
      <c r="D1576" t="s">
        <v>740</v>
      </c>
      <c r="E1576" t="s">
        <v>743</v>
      </c>
      <c r="F1576" s="34">
        <v>269</v>
      </c>
      <c r="G1576" s="34" t="s">
        <v>555</v>
      </c>
      <c r="H1576" s="36">
        <v>42478</v>
      </c>
      <c r="I1576" s="58">
        <v>203302</v>
      </c>
      <c r="J1576">
        <f>IFERROR(VLOOKUP(G1576,'LEAID Match'!$A$2:$B$526,2,FALSE),"")</f>
        <v>2914310</v>
      </c>
      <c r="K1576" s="68">
        <f t="shared" si="49"/>
        <v>8</v>
      </c>
    </row>
    <row r="1577" spans="1:11" x14ac:dyDescent="0.2">
      <c r="A1577">
        <f t="shared" si="48"/>
        <v>2914310</v>
      </c>
      <c r="B1577">
        <v>2022</v>
      </c>
      <c r="C1577" t="s">
        <v>739</v>
      </c>
      <c r="D1577" t="s">
        <v>740</v>
      </c>
      <c r="E1577" t="s">
        <v>743</v>
      </c>
      <c r="F1577" s="34">
        <v>269</v>
      </c>
      <c r="G1577" s="34" t="s">
        <v>555</v>
      </c>
      <c r="H1577" s="36">
        <v>39055</v>
      </c>
      <c r="I1577" s="58">
        <v>240648</v>
      </c>
      <c r="J1577">
        <f>IFERROR(VLOOKUP(G1577,'LEAID Match'!$A$2:$B$526,2,FALSE),"")</f>
        <v>2914310</v>
      </c>
      <c r="K1577" s="68">
        <f t="shared" si="49"/>
        <v>8</v>
      </c>
    </row>
    <row r="1578" spans="1:11" x14ac:dyDescent="0.2">
      <c r="A1578">
        <f t="shared" si="48"/>
        <v>2923190</v>
      </c>
      <c r="B1578">
        <v>2015</v>
      </c>
      <c r="C1578" t="s">
        <v>739</v>
      </c>
      <c r="D1578" t="s">
        <v>740</v>
      </c>
      <c r="E1578" t="s">
        <v>743</v>
      </c>
      <c r="F1578" s="37">
        <v>270</v>
      </c>
      <c r="G1578" s="39" t="s">
        <v>196</v>
      </c>
      <c r="H1578" s="40">
        <v>23523</v>
      </c>
      <c r="I1578" s="58">
        <v>203611</v>
      </c>
      <c r="J1578">
        <f>IFERROR(VLOOKUP(G1578,'LEAID Match'!$A$2:$B$526,2,FALSE),"")</f>
        <v>2923190</v>
      </c>
      <c r="K1578" s="68">
        <f t="shared" si="49"/>
        <v>8</v>
      </c>
    </row>
    <row r="1579" spans="1:11" x14ac:dyDescent="0.2">
      <c r="A1579">
        <f t="shared" si="48"/>
        <v>2923190</v>
      </c>
      <c r="B1579">
        <v>2016</v>
      </c>
      <c r="C1579" t="s">
        <v>739</v>
      </c>
      <c r="D1579" t="s">
        <v>740</v>
      </c>
      <c r="E1579" t="s">
        <v>743</v>
      </c>
      <c r="F1579" s="34">
        <v>270</v>
      </c>
      <c r="G1579" s="34" t="s">
        <v>196</v>
      </c>
      <c r="H1579" s="36">
        <v>23235</v>
      </c>
      <c r="I1579" s="60">
        <v>215065</v>
      </c>
      <c r="J1579">
        <f>IFERROR(VLOOKUP(G1579,'LEAID Match'!$A$2:$B$526,2,FALSE),"")</f>
        <v>2923190</v>
      </c>
      <c r="K1579" s="68">
        <f t="shared" si="49"/>
        <v>8</v>
      </c>
    </row>
    <row r="1580" spans="1:11" x14ac:dyDescent="0.2">
      <c r="A1580">
        <f t="shared" si="48"/>
        <v>2923190</v>
      </c>
      <c r="B1580">
        <v>2017</v>
      </c>
      <c r="C1580" t="s">
        <v>739</v>
      </c>
      <c r="D1580" t="s">
        <v>740</v>
      </c>
      <c r="E1580" t="s">
        <v>743</v>
      </c>
      <c r="F1580" s="34">
        <v>270</v>
      </c>
      <c r="G1580" s="34" t="s">
        <v>196</v>
      </c>
      <c r="H1580" s="36">
        <v>19347</v>
      </c>
      <c r="I1580" s="58">
        <v>239169</v>
      </c>
      <c r="J1580">
        <f>IFERROR(VLOOKUP(G1580,'LEAID Match'!$A$2:$B$526,2,FALSE),"")</f>
        <v>2923190</v>
      </c>
      <c r="K1580" s="68">
        <f t="shared" si="49"/>
        <v>8</v>
      </c>
    </row>
    <row r="1581" spans="1:11" x14ac:dyDescent="0.2">
      <c r="A1581">
        <f t="shared" si="48"/>
        <v>2923190</v>
      </c>
      <c r="B1581">
        <v>2018</v>
      </c>
      <c r="C1581" t="s">
        <v>739</v>
      </c>
      <c r="D1581" t="s">
        <v>740</v>
      </c>
      <c r="E1581" t="s">
        <v>743</v>
      </c>
      <c r="F1581" s="34">
        <v>270</v>
      </c>
      <c r="G1581" s="34" t="s">
        <v>196</v>
      </c>
      <c r="H1581" s="36">
        <v>22445</v>
      </c>
      <c r="I1581" s="58">
        <v>241162</v>
      </c>
      <c r="J1581">
        <f>IFERROR(VLOOKUP(G1581,'LEAID Match'!$A$2:$B$526,2,FALSE),"")</f>
        <v>2923190</v>
      </c>
      <c r="K1581" s="68">
        <f t="shared" si="49"/>
        <v>8</v>
      </c>
    </row>
    <row r="1582" spans="1:11" x14ac:dyDescent="0.2">
      <c r="A1582">
        <f t="shared" si="48"/>
        <v>2923190</v>
      </c>
      <c r="B1582">
        <v>2019</v>
      </c>
      <c r="C1582" t="s">
        <v>739</v>
      </c>
      <c r="D1582" t="s">
        <v>740</v>
      </c>
      <c r="E1582" t="s">
        <v>743</v>
      </c>
      <c r="F1582" s="34">
        <v>270</v>
      </c>
      <c r="G1582" s="34" t="s">
        <v>196</v>
      </c>
      <c r="H1582" s="36">
        <v>24331</v>
      </c>
      <c r="I1582" s="58">
        <v>245440</v>
      </c>
      <c r="J1582">
        <f>IFERROR(VLOOKUP(G1582,'LEAID Match'!$A$2:$B$526,2,FALSE),"")</f>
        <v>2923190</v>
      </c>
      <c r="K1582" s="68">
        <f t="shared" si="49"/>
        <v>8</v>
      </c>
    </row>
    <row r="1583" spans="1:11" x14ac:dyDescent="0.2">
      <c r="A1583">
        <f t="shared" si="48"/>
        <v>2923190</v>
      </c>
      <c r="B1583">
        <v>2020</v>
      </c>
      <c r="C1583" t="s">
        <v>739</v>
      </c>
      <c r="D1583" t="s">
        <v>740</v>
      </c>
      <c r="E1583" t="s">
        <v>743</v>
      </c>
      <c r="F1583" s="34">
        <v>270</v>
      </c>
      <c r="G1583" s="34" t="s">
        <v>196</v>
      </c>
      <c r="H1583" s="36">
        <v>21806</v>
      </c>
      <c r="I1583" s="58">
        <v>252378</v>
      </c>
      <c r="J1583">
        <f>IFERROR(VLOOKUP(G1583,'LEAID Match'!$A$2:$B$526,2,FALSE),"")</f>
        <v>2923190</v>
      </c>
      <c r="K1583" s="68">
        <f t="shared" si="49"/>
        <v>8</v>
      </c>
    </row>
    <row r="1584" spans="1:11" x14ac:dyDescent="0.2">
      <c r="A1584">
        <f t="shared" si="48"/>
        <v>2923190</v>
      </c>
      <c r="B1584">
        <v>2021</v>
      </c>
      <c r="C1584" t="s">
        <v>739</v>
      </c>
      <c r="D1584" t="s">
        <v>740</v>
      </c>
      <c r="E1584" t="s">
        <v>743</v>
      </c>
      <c r="F1584" s="34">
        <v>270</v>
      </c>
      <c r="G1584" s="34" t="s">
        <v>196</v>
      </c>
      <c r="H1584" s="36">
        <v>22980</v>
      </c>
      <c r="I1584" s="58">
        <v>258376</v>
      </c>
      <c r="J1584">
        <f>IFERROR(VLOOKUP(G1584,'LEAID Match'!$A$2:$B$526,2,FALSE),"")</f>
        <v>2923190</v>
      </c>
      <c r="K1584" s="68">
        <f t="shared" si="49"/>
        <v>8</v>
      </c>
    </row>
    <row r="1585" spans="1:11" x14ac:dyDescent="0.2">
      <c r="A1585">
        <f t="shared" si="48"/>
        <v>2923190</v>
      </c>
      <c r="B1585">
        <v>2022</v>
      </c>
      <c r="C1585" t="s">
        <v>739</v>
      </c>
      <c r="D1585" t="s">
        <v>740</v>
      </c>
      <c r="E1585" t="s">
        <v>743</v>
      </c>
      <c r="F1585" s="34">
        <v>270</v>
      </c>
      <c r="G1585" s="34" t="s">
        <v>196</v>
      </c>
      <c r="H1585" s="36">
        <v>29577</v>
      </c>
      <c r="I1585" s="58">
        <v>253514</v>
      </c>
      <c r="J1585">
        <f>IFERROR(VLOOKUP(G1585,'LEAID Match'!$A$2:$B$526,2,FALSE),"")</f>
        <v>2923190</v>
      </c>
      <c r="K1585" s="68">
        <f t="shared" si="49"/>
        <v>8</v>
      </c>
    </row>
    <row r="1586" spans="1:11" x14ac:dyDescent="0.2">
      <c r="A1586" t="str">
        <f t="shared" si="48"/>
        <v/>
      </c>
      <c r="B1586">
        <v>2015</v>
      </c>
      <c r="C1586" t="s">
        <v>739</v>
      </c>
      <c r="D1586" t="s">
        <v>740</v>
      </c>
      <c r="E1586" t="s">
        <v>743</v>
      </c>
      <c r="F1586" s="37">
        <v>271</v>
      </c>
      <c r="G1586" s="39" t="s">
        <v>197</v>
      </c>
      <c r="H1586" s="40">
        <v>25595</v>
      </c>
      <c r="I1586" s="58">
        <v>201376</v>
      </c>
      <c r="J1586" t="str">
        <f>IFERROR(VLOOKUP(G1586,'LEAID Match'!$A$2:$B$526,2,FALSE),"")</f>
        <v/>
      </c>
      <c r="K1586" s="68">
        <f t="shared" si="49"/>
        <v>216</v>
      </c>
    </row>
    <row r="1587" spans="1:11" x14ac:dyDescent="0.2">
      <c r="A1587" t="str">
        <f t="shared" si="48"/>
        <v/>
      </c>
      <c r="B1587">
        <v>2016</v>
      </c>
      <c r="C1587" t="s">
        <v>739</v>
      </c>
      <c r="D1587" t="s">
        <v>740</v>
      </c>
      <c r="E1587" t="s">
        <v>743</v>
      </c>
      <c r="F1587" s="34">
        <v>271</v>
      </c>
      <c r="G1587" s="34" t="s">
        <v>197</v>
      </c>
      <c r="H1587" s="36">
        <v>26996</v>
      </c>
      <c r="I1587" s="60">
        <v>213400</v>
      </c>
      <c r="J1587" t="str">
        <f>IFERROR(VLOOKUP(G1587,'LEAID Match'!$A$2:$B$526,2,FALSE),"")</f>
        <v/>
      </c>
      <c r="K1587" s="68">
        <f t="shared" si="49"/>
        <v>216</v>
      </c>
    </row>
    <row r="1588" spans="1:11" x14ac:dyDescent="0.2">
      <c r="A1588" t="str">
        <f t="shared" si="48"/>
        <v/>
      </c>
      <c r="B1588">
        <v>2017</v>
      </c>
      <c r="C1588" t="s">
        <v>739</v>
      </c>
      <c r="D1588" t="s">
        <v>740</v>
      </c>
      <c r="E1588" t="s">
        <v>743</v>
      </c>
      <c r="F1588" s="34">
        <v>271</v>
      </c>
      <c r="G1588" s="34" t="s">
        <v>197</v>
      </c>
      <c r="H1588" s="36">
        <v>30550</v>
      </c>
      <c r="I1588" s="58">
        <v>210678</v>
      </c>
      <c r="J1588" t="str">
        <f>IFERROR(VLOOKUP(G1588,'LEAID Match'!$A$2:$B$526,2,FALSE),"")</f>
        <v/>
      </c>
      <c r="K1588" s="68">
        <f t="shared" si="49"/>
        <v>216</v>
      </c>
    </row>
    <row r="1589" spans="1:11" x14ac:dyDescent="0.2">
      <c r="A1589" t="str">
        <f t="shared" si="48"/>
        <v/>
      </c>
      <c r="B1589">
        <v>2018</v>
      </c>
      <c r="C1589" t="s">
        <v>739</v>
      </c>
      <c r="D1589" t="s">
        <v>740</v>
      </c>
      <c r="E1589" t="s">
        <v>743</v>
      </c>
      <c r="F1589" s="34">
        <v>271</v>
      </c>
      <c r="G1589" s="34" t="s">
        <v>197</v>
      </c>
      <c r="H1589" s="36">
        <v>26381</v>
      </c>
      <c r="I1589" s="58">
        <v>219224</v>
      </c>
      <c r="J1589" t="str">
        <f>IFERROR(VLOOKUP(G1589,'LEAID Match'!$A$2:$B$526,2,FALSE),"")</f>
        <v/>
      </c>
      <c r="K1589" s="68">
        <f t="shared" si="49"/>
        <v>216</v>
      </c>
    </row>
    <row r="1590" spans="1:11" x14ac:dyDescent="0.2">
      <c r="A1590" t="str">
        <f t="shared" si="48"/>
        <v/>
      </c>
      <c r="B1590">
        <v>2019</v>
      </c>
      <c r="C1590" t="s">
        <v>739</v>
      </c>
      <c r="D1590" t="s">
        <v>740</v>
      </c>
      <c r="E1590" t="s">
        <v>743</v>
      </c>
      <c r="F1590" s="34">
        <v>271</v>
      </c>
      <c r="G1590" s="34" t="s">
        <v>197</v>
      </c>
      <c r="H1590" s="36">
        <v>33567</v>
      </c>
      <c r="I1590" s="58">
        <v>244412</v>
      </c>
      <c r="J1590" t="str">
        <f>IFERROR(VLOOKUP(G1590,'LEAID Match'!$A$2:$B$526,2,FALSE),"")</f>
        <v/>
      </c>
      <c r="K1590" s="68">
        <f t="shared" si="49"/>
        <v>216</v>
      </c>
    </row>
    <row r="1591" spans="1:11" x14ac:dyDescent="0.2">
      <c r="A1591" t="str">
        <f t="shared" si="48"/>
        <v/>
      </c>
      <c r="B1591">
        <v>2020</v>
      </c>
      <c r="C1591" t="s">
        <v>739</v>
      </c>
      <c r="D1591" t="s">
        <v>740</v>
      </c>
      <c r="E1591" t="s">
        <v>743</v>
      </c>
      <c r="F1591" s="34">
        <v>271</v>
      </c>
      <c r="G1591" s="34" t="s">
        <v>197</v>
      </c>
      <c r="H1591" s="36">
        <v>32180</v>
      </c>
      <c r="I1591" s="58">
        <v>248805</v>
      </c>
      <c r="J1591" t="str">
        <f>IFERROR(VLOOKUP(G1591,'LEAID Match'!$A$2:$B$526,2,FALSE),"")</f>
        <v/>
      </c>
      <c r="K1591" s="68">
        <f t="shared" si="49"/>
        <v>216</v>
      </c>
    </row>
    <row r="1592" spans="1:11" x14ac:dyDescent="0.2">
      <c r="A1592" t="str">
        <f t="shared" si="48"/>
        <v/>
      </c>
      <c r="B1592">
        <v>2021</v>
      </c>
      <c r="C1592" t="s">
        <v>739</v>
      </c>
      <c r="D1592" t="s">
        <v>740</v>
      </c>
      <c r="E1592" t="s">
        <v>743</v>
      </c>
      <c r="F1592" s="34">
        <v>271</v>
      </c>
      <c r="G1592" s="34" t="s">
        <v>197</v>
      </c>
      <c r="H1592" s="36">
        <v>31005</v>
      </c>
      <c r="I1592" s="58">
        <v>255551</v>
      </c>
      <c r="J1592" t="str">
        <f>IFERROR(VLOOKUP(G1592,'LEAID Match'!$A$2:$B$526,2,FALSE),"")</f>
        <v/>
      </c>
      <c r="K1592" s="68">
        <f t="shared" si="49"/>
        <v>216</v>
      </c>
    </row>
    <row r="1593" spans="1:11" x14ac:dyDescent="0.2">
      <c r="A1593" t="str">
        <f t="shared" si="48"/>
        <v/>
      </c>
      <c r="B1593">
        <v>2022</v>
      </c>
      <c r="C1593" t="s">
        <v>739</v>
      </c>
      <c r="D1593" t="s">
        <v>740</v>
      </c>
      <c r="E1593" t="s">
        <v>743</v>
      </c>
      <c r="F1593" s="34">
        <v>271</v>
      </c>
      <c r="G1593" s="34" t="s">
        <v>197</v>
      </c>
      <c r="H1593" s="36">
        <v>39534</v>
      </c>
      <c r="I1593" s="58">
        <v>268007</v>
      </c>
      <c r="J1593" t="str">
        <f>IFERROR(VLOOKUP(G1593,'LEAID Match'!$A$2:$B$526,2,FALSE),"")</f>
        <v/>
      </c>
      <c r="K1593" s="68">
        <f t="shared" si="49"/>
        <v>216</v>
      </c>
    </row>
    <row r="1594" spans="1:11" x14ac:dyDescent="0.2">
      <c r="A1594">
        <f t="shared" si="48"/>
        <v>2910260</v>
      </c>
      <c r="B1594">
        <v>2015</v>
      </c>
      <c r="C1594" t="s">
        <v>739</v>
      </c>
      <c r="D1594" t="s">
        <v>740</v>
      </c>
      <c r="E1594" t="s">
        <v>743</v>
      </c>
      <c r="F1594" s="37">
        <v>272</v>
      </c>
      <c r="G1594" s="39" t="s">
        <v>198</v>
      </c>
      <c r="H1594" s="40">
        <v>11496</v>
      </c>
      <c r="I1594" s="58">
        <v>98768</v>
      </c>
      <c r="J1594">
        <f>IFERROR(VLOOKUP(G1594,'LEAID Match'!$A$2:$B$526,2,FALSE),"")</f>
        <v>2910260</v>
      </c>
      <c r="K1594" s="68">
        <f t="shared" si="49"/>
        <v>8</v>
      </c>
    </row>
    <row r="1595" spans="1:11" x14ac:dyDescent="0.2">
      <c r="A1595">
        <f t="shared" si="48"/>
        <v>2910260</v>
      </c>
      <c r="B1595">
        <v>2016</v>
      </c>
      <c r="C1595" t="s">
        <v>739</v>
      </c>
      <c r="D1595" t="s">
        <v>740</v>
      </c>
      <c r="E1595" t="s">
        <v>743</v>
      </c>
      <c r="F1595" s="34">
        <v>272</v>
      </c>
      <c r="G1595" s="34" t="s">
        <v>198</v>
      </c>
      <c r="H1595" s="36">
        <v>11566</v>
      </c>
      <c r="I1595" s="60">
        <v>102650</v>
      </c>
      <c r="J1595">
        <f>IFERROR(VLOOKUP(G1595,'LEAID Match'!$A$2:$B$526,2,FALSE),"")</f>
        <v>2910260</v>
      </c>
      <c r="K1595" s="68">
        <f t="shared" si="49"/>
        <v>8</v>
      </c>
    </row>
    <row r="1596" spans="1:11" x14ac:dyDescent="0.2">
      <c r="A1596">
        <f t="shared" si="48"/>
        <v>2910260</v>
      </c>
      <c r="B1596">
        <v>2017</v>
      </c>
      <c r="C1596" t="s">
        <v>739</v>
      </c>
      <c r="D1596" t="s">
        <v>740</v>
      </c>
      <c r="E1596" t="s">
        <v>743</v>
      </c>
      <c r="F1596" s="34">
        <v>272</v>
      </c>
      <c r="G1596" s="34" t="s">
        <v>198</v>
      </c>
      <c r="H1596" s="36">
        <v>9349</v>
      </c>
      <c r="I1596" s="58">
        <v>107041</v>
      </c>
      <c r="J1596">
        <f>IFERROR(VLOOKUP(G1596,'LEAID Match'!$A$2:$B$526,2,FALSE),"")</f>
        <v>2910260</v>
      </c>
      <c r="K1596" s="68">
        <f t="shared" si="49"/>
        <v>8</v>
      </c>
    </row>
    <row r="1597" spans="1:11" x14ac:dyDescent="0.2">
      <c r="A1597">
        <f t="shared" si="48"/>
        <v>2910260</v>
      </c>
      <c r="B1597">
        <v>2018</v>
      </c>
      <c r="C1597" t="s">
        <v>739</v>
      </c>
      <c r="D1597" t="s">
        <v>740</v>
      </c>
      <c r="E1597" t="s">
        <v>743</v>
      </c>
      <c r="F1597" s="34">
        <v>272</v>
      </c>
      <c r="G1597" s="34" t="s">
        <v>198</v>
      </c>
      <c r="H1597" s="36">
        <v>9605</v>
      </c>
      <c r="I1597" s="58">
        <v>104981</v>
      </c>
      <c r="J1597">
        <f>IFERROR(VLOOKUP(G1597,'LEAID Match'!$A$2:$B$526,2,FALSE),"")</f>
        <v>2910260</v>
      </c>
      <c r="K1597" s="68">
        <f t="shared" si="49"/>
        <v>8</v>
      </c>
    </row>
    <row r="1598" spans="1:11" x14ac:dyDescent="0.2">
      <c r="A1598">
        <f t="shared" si="48"/>
        <v>2910260</v>
      </c>
      <c r="B1598">
        <v>2019</v>
      </c>
      <c r="C1598" t="s">
        <v>739</v>
      </c>
      <c r="D1598" t="s">
        <v>740</v>
      </c>
      <c r="E1598" t="s">
        <v>743</v>
      </c>
      <c r="F1598" s="34">
        <v>272</v>
      </c>
      <c r="G1598" s="34" t="s">
        <v>198</v>
      </c>
      <c r="H1598" s="36">
        <v>9340</v>
      </c>
      <c r="I1598" s="58">
        <v>110794</v>
      </c>
      <c r="J1598">
        <f>IFERROR(VLOOKUP(G1598,'LEAID Match'!$A$2:$B$526,2,FALSE),"")</f>
        <v>2910260</v>
      </c>
      <c r="K1598" s="68">
        <f t="shared" si="49"/>
        <v>8</v>
      </c>
    </row>
    <row r="1599" spans="1:11" x14ac:dyDescent="0.2">
      <c r="A1599">
        <f t="shared" si="48"/>
        <v>2910260</v>
      </c>
      <c r="B1599">
        <v>2020</v>
      </c>
      <c r="C1599" t="s">
        <v>739</v>
      </c>
      <c r="D1599" t="s">
        <v>740</v>
      </c>
      <c r="E1599" t="s">
        <v>743</v>
      </c>
      <c r="F1599" s="34">
        <v>272</v>
      </c>
      <c r="G1599" s="34" t="s">
        <v>198</v>
      </c>
      <c r="H1599" s="36">
        <v>10817</v>
      </c>
      <c r="I1599" s="58">
        <v>117368</v>
      </c>
      <c r="J1599">
        <f>IFERROR(VLOOKUP(G1599,'LEAID Match'!$A$2:$B$526,2,FALSE),"")</f>
        <v>2910260</v>
      </c>
      <c r="K1599" s="68">
        <f t="shared" si="49"/>
        <v>8</v>
      </c>
    </row>
    <row r="1600" spans="1:11" x14ac:dyDescent="0.2">
      <c r="A1600">
        <f t="shared" si="48"/>
        <v>2910260</v>
      </c>
      <c r="B1600">
        <v>2021</v>
      </c>
      <c r="C1600" t="s">
        <v>739</v>
      </c>
      <c r="D1600" t="s">
        <v>740</v>
      </c>
      <c r="E1600" t="s">
        <v>743</v>
      </c>
      <c r="F1600" s="34">
        <v>272</v>
      </c>
      <c r="G1600" s="34" t="s">
        <v>198</v>
      </c>
      <c r="H1600" s="36">
        <v>8231</v>
      </c>
      <c r="I1600" s="58">
        <v>107517</v>
      </c>
      <c r="J1600">
        <f>IFERROR(VLOOKUP(G1600,'LEAID Match'!$A$2:$B$526,2,FALSE),"")</f>
        <v>2910260</v>
      </c>
      <c r="K1600" s="68">
        <f t="shared" si="49"/>
        <v>8</v>
      </c>
    </row>
    <row r="1601" spans="1:11" x14ac:dyDescent="0.2">
      <c r="A1601">
        <f t="shared" si="48"/>
        <v>2910260</v>
      </c>
      <c r="B1601">
        <v>2022</v>
      </c>
      <c r="C1601" t="s">
        <v>739</v>
      </c>
      <c r="D1601" t="s">
        <v>740</v>
      </c>
      <c r="E1601" t="s">
        <v>743</v>
      </c>
      <c r="F1601" s="34">
        <v>272</v>
      </c>
      <c r="G1601" s="34" t="s">
        <v>198</v>
      </c>
      <c r="H1601" s="36">
        <v>10841</v>
      </c>
      <c r="I1601" s="58">
        <v>117294</v>
      </c>
      <c r="J1601">
        <f>IFERROR(VLOOKUP(G1601,'LEAID Match'!$A$2:$B$526,2,FALSE),"")</f>
        <v>2910260</v>
      </c>
      <c r="K1601" s="68">
        <f t="shared" si="49"/>
        <v>8</v>
      </c>
    </row>
    <row r="1602" spans="1:11" x14ac:dyDescent="0.2">
      <c r="A1602">
        <f t="shared" si="48"/>
        <v>2921940</v>
      </c>
      <c r="B1602">
        <v>2015</v>
      </c>
      <c r="C1602" t="s">
        <v>739</v>
      </c>
      <c r="D1602" t="s">
        <v>740</v>
      </c>
      <c r="E1602" t="s">
        <v>743</v>
      </c>
      <c r="F1602" s="37">
        <v>273</v>
      </c>
      <c r="G1602" s="39" t="s">
        <v>199</v>
      </c>
      <c r="H1602" s="40">
        <v>38571</v>
      </c>
      <c r="I1602" s="58">
        <v>265452</v>
      </c>
      <c r="J1602">
        <f>IFERROR(VLOOKUP(G1602,'LEAID Match'!$A$2:$B$526,2,FALSE),"")</f>
        <v>2921940</v>
      </c>
      <c r="K1602" s="68">
        <f t="shared" si="49"/>
        <v>8</v>
      </c>
    </row>
    <row r="1603" spans="1:11" x14ac:dyDescent="0.2">
      <c r="A1603">
        <f t="shared" ref="A1603:A1666" si="50">J1603</f>
        <v>2921940</v>
      </c>
      <c r="B1603">
        <v>2016</v>
      </c>
      <c r="C1603" t="s">
        <v>739</v>
      </c>
      <c r="D1603" t="s">
        <v>740</v>
      </c>
      <c r="E1603" t="s">
        <v>743</v>
      </c>
      <c r="F1603" s="34">
        <v>273</v>
      </c>
      <c r="G1603" s="34" t="s">
        <v>199</v>
      </c>
      <c r="H1603" s="36">
        <v>39693</v>
      </c>
      <c r="I1603" s="60">
        <v>279264</v>
      </c>
      <c r="J1603">
        <f>IFERROR(VLOOKUP(G1603,'LEAID Match'!$A$2:$B$526,2,FALSE),"")</f>
        <v>2921940</v>
      </c>
      <c r="K1603" s="68">
        <f t="shared" ref="K1603:K1666" si="51">COUNTIF($J$2:$J$4295,J1603)</f>
        <v>8</v>
      </c>
    </row>
    <row r="1604" spans="1:11" x14ac:dyDescent="0.2">
      <c r="A1604">
        <f t="shared" si="50"/>
        <v>2921940</v>
      </c>
      <c r="B1604">
        <v>2017</v>
      </c>
      <c r="C1604" t="s">
        <v>739</v>
      </c>
      <c r="D1604" t="s">
        <v>740</v>
      </c>
      <c r="E1604" t="s">
        <v>743</v>
      </c>
      <c r="F1604" s="34">
        <v>273</v>
      </c>
      <c r="G1604" s="34" t="s">
        <v>199</v>
      </c>
      <c r="H1604" s="36">
        <v>41586</v>
      </c>
      <c r="I1604" s="58">
        <v>291583</v>
      </c>
      <c r="J1604">
        <f>IFERROR(VLOOKUP(G1604,'LEAID Match'!$A$2:$B$526,2,FALSE),"")</f>
        <v>2921940</v>
      </c>
      <c r="K1604" s="68">
        <f t="shared" si="51"/>
        <v>8</v>
      </c>
    </row>
    <row r="1605" spans="1:11" x14ac:dyDescent="0.2">
      <c r="A1605">
        <f t="shared" si="50"/>
        <v>2921940</v>
      </c>
      <c r="B1605">
        <v>2018</v>
      </c>
      <c r="C1605" t="s">
        <v>739</v>
      </c>
      <c r="D1605" t="s">
        <v>740</v>
      </c>
      <c r="E1605" t="s">
        <v>743</v>
      </c>
      <c r="F1605" s="34">
        <v>273</v>
      </c>
      <c r="G1605" s="34" t="s">
        <v>199</v>
      </c>
      <c r="H1605" s="36">
        <v>50245</v>
      </c>
      <c r="I1605" s="58">
        <v>299504</v>
      </c>
      <c r="J1605">
        <f>IFERROR(VLOOKUP(G1605,'LEAID Match'!$A$2:$B$526,2,FALSE),"")</f>
        <v>2921940</v>
      </c>
      <c r="K1605" s="68">
        <f t="shared" si="51"/>
        <v>8</v>
      </c>
    </row>
    <row r="1606" spans="1:11" x14ac:dyDescent="0.2">
      <c r="A1606">
        <f t="shared" si="50"/>
        <v>2921940</v>
      </c>
      <c r="B1606">
        <v>2019</v>
      </c>
      <c r="C1606" t="s">
        <v>739</v>
      </c>
      <c r="D1606" t="s">
        <v>740</v>
      </c>
      <c r="E1606" t="s">
        <v>743</v>
      </c>
      <c r="F1606" s="34">
        <v>273</v>
      </c>
      <c r="G1606" s="34" t="s">
        <v>199</v>
      </c>
      <c r="H1606" s="36">
        <v>51944</v>
      </c>
      <c r="I1606" s="58">
        <v>333160</v>
      </c>
      <c r="J1606">
        <f>IFERROR(VLOOKUP(G1606,'LEAID Match'!$A$2:$B$526,2,FALSE),"")</f>
        <v>2921940</v>
      </c>
      <c r="K1606" s="68">
        <f t="shared" si="51"/>
        <v>8</v>
      </c>
    </row>
    <row r="1607" spans="1:11" x14ac:dyDescent="0.2">
      <c r="A1607">
        <f t="shared" si="50"/>
        <v>2921940</v>
      </c>
      <c r="B1607">
        <v>2020</v>
      </c>
      <c r="C1607" t="s">
        <v>739</v>
      </c>
      <c r="D1607" t="s">
        <v>740</v>
      </c>
      <c r="E1607" t="s">
        <v>743</v>
      </c>
      <c r="F1607" s="34">
        <v>273</v>
      </c>
      <c r="G1607" s="34" t="s">
        <v>199</v>
      </c>
      <c r="H1607" s="36">
        <v>51066</v>
      </c>
      <c r="I1607" s="58">
        <v>318977</v>
      </c>
      <c r="J1607">
        <f>IFERROR(VLOOKUP(G1607,'LEAID Match'!$A$2:$B$526,2,FALSE),"")</f>
        <v>2921940</v>
      </c>
      <c r="K1607" s="68">
        <f t="shared" si="51"/>
        <v>8</v>
      </c>
    </row>
    <row r="1608" spans="1:11" x14ac:dyDescent="0.2">
      <c r="A1608">
        <f t="shared" si="50"/>
        <v>2921940</v>
      </c>
      <c r="B1608">
        <v>2021</v>
      </c>
      <c r="C1608" t="s">
        <v>739</v>
      </c>
      <c r="D1608" t="s">
        <v>740</v>
      </c>
      <c r="E1608" t="s">
        <v>743</v>
      </c>
      <c r="F1608" s="34">
        <v>273</v>
      </c>
      <c r="G1608" s="34" t="s">
        <v>199</v>
      </c>
      <c r="H1608" s="36">
        <v>50352</v>
      </c>
      <c r="I1608" s="58">
        <v>331832</v>
      </c>
      <c r="J1608">
        <f>IFERROR(VLOOKUP(G1608,'LEAID Match'!$A$2:$B$526,2,FALSE),"")</f>
        <v>2921940</v>
      </c>
      <c r="K1608" s="68">
        <f t="shared" si="51"/>
        <v>8</v>
      </c>
    </row>
    <row r="1609" spans="1:11" x14ac:dyDescent="0.2">
      <c r="A1609">
        <f t="shared" si="50"/>
        <v>2921940</v>
      </c>
      <c r="B1609">
        <v>2022</v>
      </c>
      <c r="C1609" t="s">
        <v>739</v>
      </c>
      <c r="D1609" t="s">
        <v>740</v>
      </c>
      <c r="E1609" t="s">
        <v>743</v>
      </c>
      <c r="F1609" s="34">
        <v>273</v>
      </c>
      <c r="G1609" s="34" t="s">
        <v>199</v>
      </c>
      <c r="H1609" s="36">
        <v>46562</v>
      </c>
      <c r="I1609" s="58">
        <v>346021</v>
      </c>
      <c r="J1609">
        <f>IFERROR(VLOOKUP(G1609,'LEAID Match'!$A$2:$B$526,2,FALSE),"")</f>
        <v>2921940</v>
      </c>
      <c r="K1609" s="68">
        <f t="shared" si="51"/>
        <v>8</v>
      </c>
    </row>
    <row r="1610" spans="1:11" x14ac:dyDescent="0.2">
      <c r="A1610" t="str">
        <f t="shared" si="50"/>
        <v/>
      </c>
      <c r="B1610">
        <v>2015</v>
      </c>
      <c r="C1610" t="s">
        <v>739</v>
      </c>
      <c r="D1610" t="s">
        <v>740</v>
      </c>
      <c r="E1610" t="s">
        <v>743</v>
      </c>
      <c r="F1610" s="37">
        <v>274</v>
      </c>
      <c r="G1610" s="39" t="s">
        <v>200</v>
      </c>
      <c r="H1610" s="40">
        <v>25795</v>
      </c>
      <c r="I1610" s="58">
        <v>220405</v>
      </c>
      <c r="J1610" t="str">
        <f>IFERROR(VLOOKUP(G1610,'LEAID Match'!$A$2:$B$526,2,FALSE),"")</f>
        <v/>
      </c>
      <c r="K1610" s="68">
        <f t="shared" si="51"/>
        <v>216</v>
      </c>
    </row>
    <row r="1611" spans="1:11" x14ac:dyDescent="0.2">
      <c r="A1611" t="str">
        <f t="shared" si="50"/>
        <v/>
      </c>
      <c r="B1611">
        <v>2016</v>
      </c>
      <c r="C1611" t="s">
        <v>739</v>
      </c>
      <c r="D1611" t="s">
        <v>740</v>
      </c>
      <c r="E1611" t="s">
        <v>743</v>
      </c>
      <c r="F1611" s="34">
        <v>274</v>
      </c>
      <c r="G1611" s="34" t="s">
        <v>200</v>
      </c>
      <c r="H1611" s="36">
        <v>28785</v>
      </c>
      <c r="I1611" s="60">
        <v>227039</v>
      </c>
      <c r="J1611" t="str">
        <f>IFERROR(VLOOKUP(G1611,'LEAID Match'!$A$2:$B$526,2,FALSE),"")</f>
        <v/>
      </c>
      <c r="K1611" s="68">
        <f t="shared" si="51"/>
        <v>216</v>
      </c>
    </row>
    <row r="1612" spans="1:11" x14ac:dyDescent="0.2">
      <c r="A1612" t="str">
        <f t="shared" si="50"/>
        <v/>
      </c>
      <c r="B1612">
        <v>2017</v>
      </c>
      <c r="C1612" t="s">
        <v>739</v>
      </c>
      <c r="D1612" t="s">
        <v>740</v>
      </c>
      <c r="E1612" t="s">
        <v>743</v>
      </c>
      <c r="F1612" s="34">
        <v>274</v>
      </c>
      <c r="G1612" s="34" t="s">
        <v>200</v>
      </c>
      <c r="H1612" s="36">
        <v>24621</v>
      </c>
      <c r="I1612" s="58">
        <v>247446</v>
      </c>
      <c r="J1612" t="str">
        <f>IFERROR(VLOOKUP(G1612,'LEAID Match'!$A$2:$B$526,2,FALSE),"")</f>
        <v/>
      </c>
      <c r="K1612" s="68">
        <f t="shared" si="51"/>
        <v>216</v>
      </c>
    </row>
    <row r="1613" spans="1:11" x14ac:dyDescent="0.2">
      <c r="A1613" t="str">
        <f t="shared" si="50"/>
        <v/>
      </c>
      <c r="B1613">
        <v>2018</v>
      </c>
      <c r="C1613" t="s">
        <v>739</v>
      </c>
      <c r="D1613" t="s">
        <v>740</v>
      </c>
      <c r="E1613" t="s">
        <v>743</v>
      </c>
      <c r="F1613" s="34">
        <v>274</v>
      </c>
      <c r="G1613" s="34" t="s">
        <v>200</v>
      </c>
      <c r="H1613" s="36">
        <v>29390</v>
      </c>
      <c r="I1613" s="58">
        <v>246702</v>
      </c>
      <c r="J1613" t="str">
        <f>IFERROR(VLOOKUP(G1613,'LEAID Match'!$A$2:$B$526,2,FALSE),"")</f>
        <v/>
      </c>
      <c r="K1613" s="68">
        <f t="shared" si="51"/>
        <v>216</v>
      </c>
    </row>
    <row r="1614" spans="1:11" x14ac:dyDescent="0.2">
      <c r="A1614" t="str">
        <f t="shared" si="50"/>
        <v/>
      </c>
      <c r="B1614">
        <v>2019</v>
      </c>
      <c r="C1614" t="s">
        <v>739</v>
      </c>
      <c r="D1614" t="s">
        <v>740</v>
      </c>
      <c r="E1614" t="s">
        <v>743</v>
      </c>
      <c r="F1614" s="34">
        <v>274</v>
      </c>
      <c r="G1614" s="34" t="s">
        <v>200</v>
      </c>
      <c r="H1614" s="36">
        <v>28873</v>
      </c>
      <c r="I1614" s="58">
        <v>249661</v>
      </c>
      <c r="J1614" t="str">
        <f>IFERROR(VLOOKUP(G1614,'LEAID Match'!$A$2:$B$526,2,FALSE),"")</f>
        <v/>
      </c>
      <c r="K1614" s="68">
        <f t="shared" si="51"/>
        <v>216</v>
      </c>
    </row>
    <row r="1615" spans="1:11" x14ac:dyDescent="0.2">
      <c r="A1615" t="str">
        <f t="shared" si="50"/>
        <v/>
      </c>
      <c r="B1615">
        <v>2020</v>
      </c>
      <c r="C1615" t="s">
        <v>739</v>
      </c>
      <c r="D1615" t="s">
        <v>740</v>
      </c>
      <c r="E1615" t="s">
        <v>743</v>
      </c>
      <c r="F1615" s="34">
        <v>274</v>
      </c>
      <c r="G1615" s="34" t="s">
        <v>200</v>
      </c>
      <c r="H1615" s="36">
        <v>30064</v>
      </c>
      <c r="I1615" s="58">
        <v>258269</v>
      </c>
      <c r="J1615" t="str">
        <f>IFERROR(VLOOKUP(G1615,'LEAID Match'!$A$2:$B$526,2,FALSE),"")</f>
        <v/>
      </c>
      <c r="K1615" s="68">
        <f t="shared" si="51"/>
        <v>216</v>
      </c>
    </row>
    <row r="1616" spans="1:11" x14ac:dyDescent="0.2">
      <c r="A1616" t="str">
        <f t="shared" si="50"/>
        <v/>
      </c>
      <c r="B1616">
        <v>2021</v>
      </c>
      <c r="C1616" t="s">
        <v>739</v>
      </c>
      <c r="D1616" t="s">
        <v>740</v>
      </c>
      <c r="E1616" t="s">
        <v>743</v>
      </c>
      <c r="F1616" s="34">
        <v>274</v>
      </c>
      <c r="G1616" s="34" t="s">
        <v>200</v>
      </c>
      <c r="H1616" s="36">
        <v>29672</v>
      </c>
      <c r="I1616" s="58">
        <v>260319</v>
      </c>
      <c r="J1616" t="str">
        <f>IFERROR(VLOOKUP(G1616,'LEAID Match'!$A$2:$B$526,2,FALSE),"")</f>
        <v/>
      </c>
      <c r="K1616" s="68">
        <f t="shared" si="51"/>
        <v>216</v>
      </c>
    </row>
    <row r="1617" spans="1:11" x14ac:dyDescent="0.2">
      <c r="A1617" t="str">
        <f t="shared" si="50"/>
        <v/>
      </c>
      <c r="B1617">
        <v>2022</v>
      </c>
      <c r="C1617" t="s">
        <v>739</v>
      </c>
      <c r="D1617" t="s">
        <v>740</v>
      </c>
      <c r="E1617" t="s">
        <v>743</v>
      </c>
      <c r="F1617" s="34">
        <v>274</v>
      </c>
      <c r="G1617" s="34" t="s">
        <v>200</v>
      </c>
      <c r="H1617" s="36">
        <v>32915</v>
      </c>
      <c r="I1617" s="58">
        <v>243080</v>
      </c>
      <c r="J1617" t="str">
        <f>IFERROR(VLOOKUP(G1617,'LEAID Match'!$A$2:$B$526,2,FALSE),"")</f>
        <v/>
      </c>
      <c r="K1617" s="68">
        <f t="shared" si="51"/>
        <v>216</v>
      </c>
    </row>
    <row r="1618" spans="1:11" x14ac:dyDescent="0.2">
      <c r="A1618">
        <f t="shared" si="50"/>
        <v>2911990</v>
      </c>
      <c r="B1618">
        <v>2015</v>
      </c>
      <c r="C1618" t="s">
        <v>739</v>
      </c>
      <c r="D1618" t="s">
        <v>740</v>
      </c>
      <c r="E1618" t="s">
        <v>743</v>
      </c>
      <c r="F1618" s="37">
        <v>275</v>
      </c>
      <c r="G1618" s="39" t="s">
        <v>201</v>
      </c>
      <c r="H1618" s="40">
        <v>51771</v>
      </c>
      <c r="I1618" s="58">
        <v>416173</v>
      </c>
      <c r="J1618">
        <f>IFERROR(VLOOKUP(G1618,'LEAID Match'!$A$2:$B$526,2,FALSE),"")</f>
        <v>2911990</v>
      </c>
      <c r="K1618" s="68">
        <f t="shared" si="51"/>
        <v>8</v>
      </c>
    </row>
    <row r="1619" spans="1:11" x14ac:dyDescent="0.2">
      <c r="A1619">
        <f t="shared" si="50"/>
        <v>2911990</v>
      </c>
      <c r="B1619">
        <v>2016</v>
      </c>
      <c r="C1619" t="s">
        <v>739</v>
      </c>
      <c r="D1619" t="s">
        <v>740</v>
      </c>
      <c r="E1619" t="s">
        <v>743</v>
      </c>
      <c r="F1619" s="34">
        <v>275</v>
      </c>
      <c r="G1619" s="34" t="s">
        <v>201</v>
      </c>
      <c r="H1619" s="36">
        <v>52716</v>
      </c>
      <c r="I1619" s="60">
        <v>424675</v>
      </c>
      <c r="J1619">
        <f>IFERROR(VLOOKUP(G1619,'LEAID Match'!$A$2:$B$526,2,FALSE),"")</f>
        <v>2911990</v>
      </c>
      <c r="K1619" s="68">
        <f t="shared" si="51"/>
        <v>8</v>
      </c>
    </row>
    <row r="1620" spans="1:11" x14ac:dyDescent="0.2">
      <c r="A1620">
        <f t="shared" si="50"/>
        <v>2911990</v>
      </c>
      <c r="B1620">
        <v>2017</v>
      </c>
      <c r="C1620" t="s">
        <v>739</v>
      </c>
      <c r="D1620" t="s">
        <v>740</v>
      </c>
      <c r="E1620" t="s">
        <v>743</v>
      </c>
      <c r="F1620" s="34">
        <v>275</v>
      </c>
      <c r="G1620" s="34" t="s">
        <v>201</v>
      </c>
      <c r="H1620" s="36">
        <v>49470</v>
      </c>
      <c r="I1620" s="58">
        <v>449376</v>
      </c>
      <c r="J1620">
        <f>IFERROR(VLOOKUP(G1620,'LEAID Match'!$A$2:$B$526,2,FALSE),"")</f>
        <v>2911990</v>
      </c>
      <c r="K1620" s="68">
        <f t="shared" si="51"/>
        <v>8</v>
      </c>
    </row>
    <row r="1621" spans="1:11" x14ac:dyDescent="0.2">
      <c r="A1621">
        <f t="shared" si="50"/>
        <v>2911990</v>
      </c>
      <c r="B1621">
        <v>2018</v>
      </c>
      <c r="C1621" t="s">
        <v>739</v>
      </c>
      <c r="D1621" t="s">
        <v>740</v>
      </c>
      <c r="E1621" t="s">
        <v>743</v>
      </c>
      <c r="F1621" s="34">
        <v>275</v>
      </c>
      <c r="G1621" s="34" t="s">
        <v>201</v>
      </c>
      <c r="H1621" s="36">
        <v>41599</v>
      </c>
      <c r="I1621" s="58">
        <v>442835</v>
      </c>
      <c r="J1621">
        <f>IFERROR(VLOOKUP(G1621,'LEAID Match'!$A$2:$B$526,2,FALSE),"")</f>
        <v>2911990</v>
      </c>
      <c r="K1621" s="68">
        <f t="shared" si="51"/>
        <v>8</v>
      </c>
    </row>
    <row r="1622" spans="1:11" x14ac:dyDescent="0.2">
      <c r="A1622">
        <f t="shared" si="50"/>
        <v>2911990</v>
      </c>
      <c r="B1622">
        <v>2019</v>
      </c>
      <c r="C1622" t="s">
        <v>739</v>
      </c>
      <c r="D1622" t="s">
        <v>740</v>
      </c>
      <c r="E1622" t="s">
        <v>743</v>
      </c>
      <c r="F1622" s="34">
        <v>275</v>
      </c>
      <c r="G1622" s="34" t="s">
        <v>201</v>
      </c>
      <c r="H1622" s="36">
        <v>35898</v>
      </c>
      <c r="I1622" s="58">
        <v>423977</v>
      </c>
      <c r="J1622">
        <f>IFERROR(VLOOKUP(G1622,'LEAID Match'!$A$2:$B$526,2,FALSE),"")</f>
        <v>2911990</v>
      </c>
      <c r="K1622" s="68">
        <f t="shared" si="51"/>
        <v>8</v>
      </c>
    </row>
    <row r="1623" spans="1:11" x14ac:dyDescent="0.2">
      <c r="A1623">
        <f t="shared" si="50"/>
        <v>2911990</v>
      </c>
      <c r="B1623">
        <v>2020</v>
      </c>
      <c r="C1623" t="s">
        <v>739</v>
      </c>
      <c r="D1623" t="s">
        <v>740</v>
      </c>
      <c r="E1623" t="s">
        <v>743</v>
      </c>
      <c r="F1623" s="34">
        <v>275</v>
      </c>
      <c r="G1623" s="34" t="s">
        <v>201</v>
      </c>
      <c r="H1623" s="36">
        <v>43175</v>
      </c>
      <c r="I1623" s="58">
        <v>412669</v>
      </c>
      <c r="J1623">
        <f>IFERROR(VLOOKUP(G1623,'LEAID Match'!$A$2:$B$526,2,FALSE),"")</f>
        <v>2911990</v>
      </c>
      <c r="K1623" s="68">
        <f t="shared" si="51"/>
        <v>8</v>
      </c>
    </row>
    <row r="1624" spans="1:11" x14ac:dyDescent="0.2">
      <c r="A1624">
        <f t="shared" si="50"/>
        <v>2911990</v>
      </c>
      <c r="B1624">
        <v>2021</v>
      </c>
      <c r="C1624" t="s">
        <v>739</v>
      </c>
      <c r="D1624" t="s">
        <v>740</v>
      </c>
      <c r="E1624" t="s">
        <v>743</v>
      </c>
      <c r="F1624" s="34">
        <v>275</v>
      </c>
      <c r="G1624" s="34" t="s">
        <v>201</v>
      </c>
      <c r="H1624" s="36">
        <v>44857</v>
      </c>
      <c r="I1624" s="58">
        <v>437773</v>
      </c>
      <c r="J1624">
        <f>IFERROR(VLOOKUP(G1624,'LEAID Match'!$A$2:$B$526,2,FALSE),"")</f>
        <v>2911990</v>
      </c>
      <c r="K1624" s="68">
        <f t="shared" si="51"/>
        <v>8</v>
      </c>
    </row>
    <row r="1625" spans="1:11" x14ac:dyDescent="0.2">
      <c r="A1625">
        <f t="shared" si="50"/>
        <v>2911990</v>
      </c>
      <c r="B1625">
        <v>2022</v>
      </c>
      <c r="C1625" t="s">
        <v>739</v>
      </c>
      <c r="D1625" t="s">
        <v>740</v>
      </c>
      <c r="E1625" t="s">
        <v>743</v>
      </c>
      <c r="F1625" s="34">
        <v>275</v>
      </c>
      <c r="G1625" s="34" t="s">
        <v>201</v>
      </c>
      <c r="H1625" s="36">
        <v>58927</v>
      </c>
      <c r="I1625" s="58">
        <v>435270</v>
      </c>
      <c r="J1625">
        <f>IFERROR(VLOOKUP(G1625,'LEAID Match'!$A$2:$B$526,2,FALSE),"")</f>
        <v>2911990</v>
      </c>
      <c r="K1625" s="68">
        <f t="shared" si="51"/>
        <v>8</v>
      </c>
    </row>
    <row r="1626" spans="1:11" x14ac:dyDescent="0.2">
      <c r="A1626">
        <f t="shared" si="50"/>
        <v>2915210</v>
      </c>
      <c r="B1626">
        <v>2015</v>
      </c>
      <c r="C1626" t="s">
        <v>739</v>
      </c>
      <c r="D1626" t="s">
        <v>740</v>
      </c>
      <c r="E1626" t="s">
        <v>743</v>
      </c>
      <c r="F1626" s="37">
        <v>276</v>
      </c>
      <c r="G1626" s="39" t="s">
        <v>202</v>
      </c>
      <c r="H1626" s="40">
        <v>20484</v>
      </c>
      <c r="I1626" s="58">
        <v>135380</v>
      </c>
      <c r="J1626">
        <f>IFERROR(VLOOKUP(G1626,'LEAID Match'!$A$2:$B$526,2,FALSE),"")</f>
        <v>2915210</v>
      </c>
      <c r="K1626" s="68">
        <f t="shared" si="51"/>
        <v>8</v>
      </c>
    </row>
    <row r="1627" spans="1:11" x14ac:dyDescent="0.2">
      <c r="A1627">
        <f t="shared" si="50"/>
        <v>2915210</v>
      </c>
      <c r="B1627">
        <v>2016</v>
      </c>
      <c r="C1627" t="s">
        <v>739</v>
      </c>
      <c r="D1627" t="s">
        <v>740</v>
      </c>
      <c r="E1627" t="s">
        <v>743</v>
      </c>
      <c r="F1627" s="34">
        <v>276</v>
      </c>
      <c r="G1627" s="34" t="s">
        <v>202</v>
      </c>
      <c r="H1627" s="36">
        <v>19982</v>
      </c>
      <c r="I1627" s="60">
        <v>141927</v>
      </c>
      <c r="J1627">
        <f>IFERROR(VLOOKUP(G1627,'LEAID Match'!$A$2:$B$526,2,FALSE),"")</f>
        <v>2915210</v>
      </c>
      <c r="K1627" s="68">
        <f t="shared" si="51"/>
        <v>8</v>
      </c>
    </row>
    <row r="1628" spans="1:11" x14ac:dyDescent="0.2">
      <c r="A1628">
        <f t="shared" si="50"/>
        <v>2915210</v>
      </c>
      <c r="B1628">
        <v>2017</v>
      </c>
      <c r="C1628" t="s">
        <v>739</v>
      </c>
      <c r="D1628" t="s">
        <v>740</v>
      </c>
      <c r="E1628" t="s">
        <v>743</v>
      </c>
      <c r="F1628" s="34">
        <v>276</v>
      </c>
      <c r="G1628" s="34" t="s">
        <v>202</v>
      </c>
      <c r="H1628" s="36">
        <v>20919</v>
      </c>
      <c r="I1628" s="58">
        <v>147074</v>
      </c>
      <c r="J1628">
        <f>IFERROR(VLOOKUP(G1628,'LEAID Match'!$A$2:$B$526,2,FALSE),"")</f>
        <v>2915210</v>
      </c>
      <c r="K1628" s="68">
        <f t="shared" si="51"/>
        <v>8</v>
      </c>
    </row>
    <row r="1629" spans="1:11" x14ac:dyDescent="0.2">
      <c r="A1629">
        <f t="shared" si="50"/>
        <v>2915210</v>
      </c>
      <c r="B1629">
        <v>2018</v>
      </c>
      <c r="C1629" t="s">
        <v>739</v>
      </c>
      <c r="D1629" t="s">
        <v>740</v>
      </c>
      <c r="E1629" t="s">
        <v>743</v>
      </c>
      <c r="F1629" s="34">
        <v>276</v>
      </c>
      <c r="G1629" s="34" t="s">
        <v>202</v>
      </c>
      <c r="H1629" s="36">
        <v>22445</v>
      </c>
      <c r="I1629" s="58">
        <v>153719</v>
      </c>
      <c r="J1629">
        <f>IFERROR(VLOOKUP(G1629,'LEAID Match'!$A$2:$B$526,2,FALSE),"")</f>
        <v>2915210</v>
      </c>
      <c r="K1629" s="68">
        <f t="shared" si="51"/>
        <v>8</v>
      </c>
    </row>
    <row r="1630" spans="1:11" x14ac:dyDescent="0.2">
      <c r="A1630">
        <f t="shared" si="50"/>
        <v>2915210</v>
      </c>
      <c r="B1630">
        <v>2019</v>
      </c>
      <c r="C1630" t="s">
        <v>739</v>
      </c>
      <c r="D1630" t="s">
        <v>740</v>
      </c>
      <c r="E1630" t="s">
        <v>743</v>
      </c>
      <c r="F1630" s="34">
        <v>276</v>
      </c>
      <c r="G1630" s="34" t="s">
        <v>202</v>
      </c>
      <c r="H1630" s="36">
        <v>25041</v>
      </c>
      <c r="I1630" s="58">
        <v>143506</v>
      </c>
      <c r="J1630">
        <f>IFERROR(VLOOKUP(G1630,'LEAID Match'!$A$2:$B$526,2,FALSE),"")</f>
        <v>2915210</v>
      </c>
      <c r="K1630" s="68">
        <f t="shared" si="51"/>
        <v>8</v>
      </c>
    </row>
    <row r="1631" spans="1:11" x14ac:dyDescent="0.2">
      <c r="A1631">
        <f t="shared" si="50"/>
        <v>2915210</v>
      </c>
      <c r="B1631">
        <v>2020</v>
      </c>
      <c r="C1631" t="s">
        <v>739</v>
      </c>
      <c r="D1631" t="s">
        <v>740</v>
      </c>
      <c r="E1631" t="s">
        <v>743</v>
      </c>
      <c r="F1631" s="34">
        <v>276</v>
      </c>
      <c r="G1631" s="34" t="s">
        <v>202</v>
      </c>
      <c r="H1631" s="36">
        <v>22321</v>
      </c>
      <c r="I1631" s="58">
        <v>146490</v>
      </c>
      <c r="J1631">
        <f>IFERROR(VLOOKUP(G1631,'LEAID Match'!$A$2:$B$526,2,FALSE),"")</f>
        <v>2915210</v>
      </c>
      <c r="K1631" s="68">
        <f t="shared" si="51"/>
        <v>8</v>
      </c>
    </row>
    <row r="1632" spans="1:11" x14ac:dyDescent="0.2">
      <c r="A1632">
        <f t="shared" si="50"/>
        <v>2915210</v>
      </c>
      <c r="B1632">
        <v>2021</v>
      </c>
      <c r="C1632" t="s">
        <v>739</v>
      </c>
      <c r="D1632" t="s">
        <v>740</v>
      </c>
      <c r="E1632" t="s">
        <v>743</v>
      </c>
      <c r="F1632" s="34">
        <v>276</v>
      </c>
      <c r="G1632" s="34" t="s">
        <v>202</v>
      </c>
      <c r="H1632" s="36">
        <v>26078</v>
      </c>
      <c r="I1632" s="58">
        <v>154282</v>
      </c>
      <c r="J1632">
        <f>IFERROR(VLOOKUP(G1632,'LEAID Match'!$A$2:$B$526,2,FALSE),"")</f>
        <v>2915210</v>
      </c>
      <c r="K1632" s="68">
        <f t="shared" si="51"/>
        <v>8</v>
      </c>
    </row>
    <row r="1633" spans="1:11" x14ac:dyDescent="0.2">
      <c r="A1633">
        <f t="shared" si="50"/>
        <v>2915210</v>
      </c>
      <c r="B1633">
        <v>2022</v>
      </c>
      <c r="C1633" t="s">
        <v>739</v>
      </c>
      <c r="D1633" t="s">
        <v>740</v>
      </c>
      <c r="E1633" t="s">
        <v>743</v>
      </c>
      <c r="F1633" s="34">
        <v>276</v>
      </c>
      <c r="G1633" s="34" t="s">
        <v>202</v>
      </c>
      <c r="H1633" s="36">
        <v>26362</v>
      </c>
      <c r="I1633" s="58">
        <v>166091</v>
      </c>
      <c r="J1633">
        <f>IFERROR(VLOOKUP(G1633,'LEAID Match'!$A$2:$B$526,2,FALSE),"")</f>
        <v>2915210</v>
      </c>
      <c r="K1633" s="68">
        <f t="shared" si="51"/>
        <v>8</v>
      </c>
    </row>
    <row r="1634" spans="1:11" x14ac:dyDescent="0.2">
      <c r="A1634">
        <f t="shared" si="50"/>
        <v>2921540</v>
      </c>
      <c r="B1634">
        <v>2015</v>
      </c>
      <c r="C1634" t="s">
        <v>739</v>
      </c>
      <c r="D1634" t="s">
        <v>740</v>
      </c>
      <c r="E1634" t="s">
        <v>743</v>
      </c>
      <c r="F1634" s="37">
        <v>277</v>
      </c>
      <c r="G1634" s="39" t="s">
        <v>203</v>
      </c>
      <c r="H1634" s="40">
        <v>102846</v>
      </c>
      <c r="I1634" s="58">
        <v>748048</v>
      </c>
      <c r="J1634">
        <f>IFERROR(VLOOKUP(G1634,'LEAID Match'!$A$2:$B$526,2,FALSE),"")</f>
        <v>2921540</v>
      </c>
      <c r="K1634" s="68">
        <f t="shared" si="51"/>
        <v>8</v>
      </c>
    </row>
    <row r="1635" spans="1:11" x14ac:dyDescent="0.2">
      <c r="A1635">
        <f t="shared" si="50"/>
        <v>2921540</v>
      </c>
      <c r="B1635">
        <v>2016</v>
      </c>
      <c r="C1635" t="s">
        <v>739</v>
      </c>
      <c r="D1635" t="s">
        <v>740</v>
      </c>
      <c r="E1635" t="s">
        <v>743</v>
      </c>
      <c r="F1635" s="34">
        <v>277</v>
      </c>
      <c r="G1635" s="34" t="s">
        <v>203</v>
      </c>
      <c r="H1635" s="36">
        <v>92675</v>
      </c>
      <c r="I1635" s="60">
        <v>712921</v>
      </c>
      <c r="J1635">
        <f>IFERROR(VLOOKUP(G1635,'LEAID Match'!$A$2:$B$526,2,FALSE),"")</f>
        <v>2921540</v>
      </c>
      <c r="K1635" s="68">
        <f t="shared" si="51"/>
        <v>8</v>
      </c>
    </row>
    <row r="1636" spans="1:11" x14ac:dyDescent="0.2">
      <c r="A1636">
        <f t="shared" si="50"/>
        <v>2921540</v>
      </c>
      <c r="B1636">
        <v>2017</v>
      </c>
      <c r="C1636" t="s">
        <v>739</v>
      </c>
      <c r="D1636" t="s">
        <v>740</v>
      </c>
      <c r="E1636" t="s">
        <v>743</v>
      </c>
      <c r="F1636" s="34">
        <v>277</v>
      </c>
      <c r="G1636" s="34" t="s">
        <v>203</v>
      </c>
      <c r="H1636" s="36">
        <v>95494</v>
      </c>
      <c r="I1636" s="58">
        <v>707698</v>
      </c>
      <c r="J1636">
        <f>IFERROR(VLOOKUP(G1636,'LEAID Match'!$A$2:$B$526,2,FALSE),"")</f>
        <v>2921540</v>
      </c>
      <c r="K1636" s="68">
        <f t="shared" si="51"/>
        <v>8</v>
      </c>
    </row>
    <row r="1637" spans="1:11" x14ac:dyDescent="0.2">
      <c r="A1637">
        <f t="shared" si="50"/>
        <v>2921540</v>
      </c>
      <c r="B1637">
        <v>2018</v>
      </c>
      <c r="C1637" t="s">
        <v>739</v>
      </c>
      <c r="D1637" t="s">
        <v>740</v>
      </c>
      <c r="E1637" t="s">
        <v>743</v>
      </c>
      <c r="F1637" s="34">
        <v>277</v>
      </c>
      <c r="G1637" s="34" t="s">
        <v>203</v>
      </c>
      <c r="H1637" s="36">
        <v>95729</v>
      </c>
      <c r="I1637" s="58">
        <v>727713</v>
      </c>
      <c r="J1637">
        <f>IFERROR(VLOOKUP(G1637,'LEAID Match'!$A$2:$B$526,2,FALSE),"")</f>
        <v>2921540</v>
      </c>
      <c r="K1637" s="68">
        <f t="shared" si="51"/>
        <v>8</v>
      </c>
    </row>
    <row r="1638" spans="1:11" x14ac:dyDescent="0.2">
      <c r="A1638">
        <f t="shared" si="50"/>
        <v>2921540</v>
      </c>
      <c r="B1638">
        <v>2019</v>
      </c>
      <c r="C1638" t="s">
        <v>739</v>
      </c>
      <c r="D1638" t="s">
        <v>740</v>
      </c>
      <c r="E1638" t="s">
        <v>743</v>
      </c>
      <c r="F1638" s="34">
        <v>277</v>
      </c>
      <c r="G1638" s="34" t="s">
        <v>203</v>
      </c>
      <c r="H1638" s="36">
        <v>101996</v>
      </c>
      <c r="I1638" s="58">
        <v>756756</v>
      </c>
      <c r="J1638">
        <f>IFERROR(VLOOKUP(G1638,'LEAID Match'!$A$2:$B$526,2,FALSE),"")</f>
        <v>2921540</v>
      </c>
      <c r="K1638" s="68">
        <f t="shared" si="51"/>
        <v>8</v>
      </c>
    </row>
    <row r="1639" spans="1:11" x14ac:dyDescent="0.2">
      <c r="A1639">
        <f t="shared" si="50"/>
        <v>2921540</v>
      </c>
      <c r="B1639">
        <v>2020</v>
      </c>
      <c r="C1639" t="s">
        <v>739</v>
      </c>
      <c r="D1639" t="s">
        <v>740</v>
      </c>
      <c r="E1639" t="s">
        <v>743</v>
      </c>
      <c r="F1639" s="34">
        <v>277</v>
      </c>
      <c r="G1639" s="34" t="s">
        <v>203</v>
      </c>
      <c r="H1639" s="36">
        <v>101666</v>
      </c>
      <c r="I1639" s="58">
        <v>770956</v>
      </c>
      <c r="J1639">
        <f>IFERROR(VLOOKUP(G1639,'LEAID Match'!$A$2:$B$526,2,FALSE),"")</f>
        <v>2921540</v>
      </c>
      <c r="K1639" s="68">
        <f t="shared" si="51"/>
        <v>8</v>
      </c>
    </row>
    <row r="1640" spans="1:11" x14ac:dyDescent="0.2">
      <c r="A1640">
        <f t="shared" si="50"/>
        <v>2921540</v>
      </c>
      <c r="B1640">
        <v>2021</v>
      </c>
      <c r="C1640" t="s">
        <v>739</v>
      </c>
      <c r="D1640" t="s">
        <v>740</v>
      </c>
      <c r="E1640" t="s">
        <v>743</v>
      </c>
      <c r="F1640" s="34">
        <v>277</v>
      </c>
      <c r="G1640" s="34" t="s">
        <v>203</v>
      </c>
      <c r="H1640" s="36">
        <v>113101</v>
      </c>
      <c r="I1640" s="58">
        <v>783824</v>
      </c>
      <c r="J1640">
        <f>IFERROR(VLOOKUP(G1640,'LEAID Match'!$A$2:$B$526,2,FALSE),"")</f>
        <v>2921540</v>
      </c>
      <c r="K1640" s="68">
        <f t="shared" si="51"/>
        <v>8</v>
      </c>
    </row>
    <row r="1641" spans="1:11" x14ac:dyDescent="0.2">
      <c r="A1641">
        <f t="shared" si="50"/>
        <v>2921540</v>
      </c>
      <c r="B1641">
        <v>2022</v>
      </c>
      <c r="C1641" t="s">
        <v>739</v>
      </c>
      <c r="D1641" t="s">
        <v>740</v>
      </c>
      <c r="E1641" t="s">
        <v>743</v>
      </c>
      <c r="F1641" s="34">
        <v>277</v>
      </c>
      <c r="G1641" s="34" t="s">
        <v>203</v>
      </c>
      <c r="H1641" s="36">
        <v>124413</v>
      </c>
      <c r="I1641" s="58">
        <v>843521</v>
      </c>
      <c r="J1641">
        <f>IFERROR(VLOOKUP(G1641,'LEAID Match'!$A$2:$B$526,2,FALSE),"")</f>
        <v>2921540</v>
      </c>
      <c r="K1641" s="68">
        <f t="shared" si="51"/>
        <v>8</v>
      </c>
    </row>
    <row r="1642" spans="1:11" x14ac:dyDescent="0.2">
      <c r="A1642">
        <f t="shared" si="50"/>
        <v>2932070</v>
      </c>
      <c r="B1642">
        <v>2015</v>
      </c>
      <c r="C1642" t="s">
        <v>739</v>
      </c>
      <c r="D1642" t="s">
        <v>740</v>
      </c>
      <c r="E1642" t="s">
        <v>743</v>
      </c>
      <c r="F1642" s="37">
        <v>278</v>
      </c>
      <c r="G1642" s="39" t="s">
        <v>204</v>
      </c>
      <c r="H1642" s="40">
        <v>99064</v>
      </c>
      <c r="I1642" s="58">
        <v>892806</v>
      </c>
      <c r="J1642">
        <f>IFERROR(VLOOKUP(G1642,'LEAID Match'!$A$2:$B$526,2,FALSE),"")</f>
        <v>2932070</v>
      </c>
      <c r="K1642" s="68">
        <f t="shared" si="51"/>
        <v>8</v>
      </c>
    </row>
    <row r="1643" spans="1:11" x14ac:dyDescent="0.2">
      <c r="A1643">
        <f t="shared" si="50"/>
        <v>2932070</v>
      </c>
      <c r="B1643">
        <v>2016</v>
      </c>
      <c r="C1643" t="s">
        <v>739</v>
      </c>
      <c r="D1643" t="s">
        <v>740</v>
      </c>
      <c r="E1643" t="s">
        <v>743</v>
      </c>
      <c r="F1643" s="34">
        <v>278</v>
      </c>
      <c r="G1643" s="34" t="s">
        <v>204</v>
      </c>
      <c r="H1643" s="36">
        <v>113514</v>
      </c>
      <c r="I1643" s="60">
        <v>909069</v>
      </c>
      <c r="J1643">
        <f>IFERROR(VLOOKUP(G1643,'LEAID Match'!$A$2:$B$526,2,FALSE),"")</f>
        <v>2932070</v>
      </c>
      <c r="K1643" s="68">
        <f t="shared" si="51"/>
        <v>8</v>
      </c>
    </row>
    <row r="1644" spans="1:11" x14ac:dyDescent="0.2">
      <c r="A1644">
        <f t="shared" si="50"/>
        <v>2932070</v>
      </c>
      <c r="B1644">
        <v>2017</v>
      </c>
      <c r="C1644" t="s">
        <v>739</v>
      </c>
      <c r="D1644" t="s">
        <v>740</v>
      </c>
      <c r="E1644" t="s">
        <v>743</v>
      </c>
      <c r="F1644" s="34">
        <v>278</v>
      </c>
      <c r="G1644" s="34" t="s">
        <v>204</v>
      </c>
      <c r="H1644" s="36">
        <v>111738</v>
      </c>
      <c r="I1644" s="58">
        <v>939318</v>
      </c>
      <c r="J1644">
        <f>IFERROR(VLOOKUP(G1644,'LEAID Match'!$A$2:$B$526,2,FALSE),"")</f>
        <v>2932070</v>
      </c>
      <c r="K1644" s="68">
        <f t="shared" si="51"/>
        <v>8</v>
      </c>
    </row>
    <row r="1645" spans="1:11" x14ac:dyDescent="0.2">
      <c r="A1645">
        <f t="shared" si="50"/>
        <v>2932070</v>
      </c>
      <c r="B1645">
        <v>2018</v>
      </c>
      <c r="C1645" t="s">
        <v>739</v>
      </c>
      <c r="D1645" t="s">
        <v>740</v>
      </c>
      <c r="E1645" t="s">
        <v>743</v>
      </c>
      <c r="F1645" s="34">
        <v>278</v>
      </c>
      <c r="G1645" s="34" t="s">
        <v>204</v>
      </c>
      <c r="H1645" s="36">
        <v>114287</v>
      </c>
      <c r="I1645" s="58">
        <v>948587</v>
      </c>
      <c r="J1645">
        <f>IFERROR(VLOOKUP(G1645,'LEAID Match'!$A$2:$B$526,2,FALSE),"")</f>
        <v>2932070</v>
      </c>
      <c r="K1645" s="68">
        <f t="shared" si="51"/>
        <v>8</v>
      </c>
    </row>
    <row r="1646" spans="1:11" x14ac:dyDescent="0.2">
      <c r="A1646">
        <f t="shared" si="50"/>
        <v>2932070</v>
      </c>
      <c r="B1646">
        <v>2019</v>
      </c>
      <c r="C1646" t="s">
        <v>739</v>
      </c>
      <c r="D1646" t="s">
        <v>740</v>
      </c>
      <c r="E1646" t="s">
        <v>743</v>
      </c>
      <c r="F1646" s="34">
        <v>278</v>
      </c>
      <c r="G1646" s="34" t="s">
        <v>204</v>
      </c>
      <c r="H1646" s="36">
        <v>121713</v>
      </c>
      <c r="I1646" s="58">
        <v>961450</v>
      </c>
      <c r="J1646">
        <f>IFERROR(VLOOKUP(G1646,'LEAID Match'!$A$2:$B$526,2,FALSE),"")</f>
        <v>2932070</v>
      </c>
      <c r="K1646" s="68">
        <f t="shared" si="51"/>
        <v>8</v>
      </c>
    </row>
    <row r="1647" spans="1:11" x14ac:dyDescent="0.2">
      <c r="A1647">
        <f t="shared" si="50"/>
        <v>2932070</v>
      </c>
      <c r="B1647">
        <v>2020</v>
      </c>
      <c r="C1647" t="s">
        <v>739</v>
      </c>
      <c r="D1647" t="s">
        <v>740</v>
      </c>
      <c r="E1647" t="s">
        <v>743</v>
      </c>
      <c r="F1647" s="34">
        <v>278</v>
      </c>
      <c r="G1647" s="34" t="s">
        <v>204</v>
      </c>
      <c r="H1647" s="36">
        <v>124412</v>
      </c>
      <c r="I1647" s="58">
        <v>935807</v>
      </c>
      <c r="J1647">
        <f>IFERROR(VLOOKUP(G1647,'LEAID Match'!$A$2:$B$526,2,FALSE),"")</f>
        <v>2932070</v>
      </c>
      <c r="K1647" s="68">
        <f t="shared" si="51"/>
        <v>8</v>
      </c>
    </row>
    <row r="1648" spans="1:11" x14ac:dyDescent="0.2">
      <c r="A1648">
        <f t="shared" si="50"/>
        <v>2932070</v>
      </c>
      <c r="B1648">
        <v>2021</v>
      </c>
      <c r="C1648" t="s">
        <v>739</v>
      </c>
      <c r="D1648" t="s">
        <v>740</v>
      </c>
      <c r="E1648" t="s">
        <v>743</v>
      </c>
      <c r="F1648" s="34">
        <v>278</v>
      </c>
      <c r="G1648" s="34" t="s">
        <v>204</v>
      </c>
      <c r="H1648" s="36">
        <v>126322</v>
      </c>
      <c r="I1648" s="58">
        <v>963279</v>
      </c>
      <c r="J1648">
        <f>IFERROR(VLOOKUP(G1648,'LEAID Match'!$A$2:$B$526,2,FALSE),"")</f>
        <v>2932070</v>
      </c>
      <c r="K1648" s="68">
        <f t="shared" si="51"/>
        <v>8</v>
      </c>
    </row>
    <row r="1649" spans="1:11" x14ac:dyDescent="0.2">
      <c r="A1649">
        <f t="shared" si="50"/>
        <v>2932070</v>
      </c>
      <c r="B1649">
        <v>2022</v>
      </c>
      <c r="C1649" t="s">
        <v>739</v>
      </c>
      <c r="D1649" t="s">
        <v>740</v>
      </c>
      <c r="E1649" t="s">
        <v>743</v>
      </c>
      <c r="F1649" s="34">
        <v>278</v>
      </c>
      <c r="G1649" s="34" t="s">
        <v>204</v>
      </c>
      <c r="H1649" s="36">
        <v>140936</v>
      </c>
      <c r="I1649" s="58">
        <v>993434</v>
      </c>
      <c r="J1649">
        <f>IFERROR(VLOOKUP(G1649,'LEAID Match'!$A$2:$B$526,2,FALSE),"")</f>
        <v>2932070</v>
      </c>
      <c r="K1649" s="68">
        <f t="shared" si="51"/>
        <v>8</v>
      </c>
    </row>
    <row r="1650" spans="1:11" x14ac:dyDescent="0.2">
      <c r="A1650">
        <f t="shared" si="50"/>
        <v>2926370</v>
      </c>
      <c r="B1650">
        <v>2015</v>
      </c>
      <c r="C1650" t="s">
        <v>739</v>
      </c>
      <c r="D1650" t="s">
        <v>740</v>
      </c>
      <c r="E1650" t="s">
        <v>743</v>
      </c>
      <c r="F1650" s="37">
        <v>279</v>
      </c>
      <c r="G1650" s="39" t="s">
        <v>205</v>
      </c>
      <c r="H1650" s="40">
        <v>25695</v>
      </c>
      <c r="I1650" s="58">
        <v>229213</v>
      </c>
      <c r="J1650">
        <f>IFERROR(VLOOKUP(G1650,'LEAID Match'!$A$2:$B$526,2,FALSE),"")</f>
        <v>2926370</v>
      </c>
      <c r="K1650" s="68">
        <f t="shared" si="51"/>
        <v>8</v>
      </c>
    </row>
    <row r="1651" spans="1:11" x14ac:dyDescent="0.2">
      <c r="A1651">
        <f t="shared" si="50"/>
        <v>2926370</v>
      </c>
      <c r="B1651">
        <v>2016</v>
      </c>
      <c r="C1651" t="s">
        <v>739</v>
      </c>
      <c r="D1651" t="s">
        <v>740</v>
      </c>
      <c r="E1651" t="s">
        <v>743</v>
      </c>
      <c r="F1651" s="34">
        <v>279</v>
      </c>
      <c r="G1651" s="34" t="s">
        <v>205</v>
      </c>
      <c r="H1651" s="36">
        <v>28354</v>
      </c>
      <c r="I1651" s="60">
        <v>241198</v>
      </c>
      <c r="J1651">
        <f>IFERROR(VLOOKUP(G1651,'LEAID Match'!$A$2:$B$526,2,FALSE),"")</f>
        <v>2926370</v>
      </c>
      <c r="K1651" s="68">
        <f t="shared" si="51"/>
        <v>8</v>
      </c>
    </row>
    <row r="1652" spans="1:11" x14ac:dyDescent="0.2">
      <c r="A1652">
        <f t="shared" si="50"/>
        <v>2926370</v>
      </c>
      <c r="B1652">
        <v>2017</v>
      </c>
      <c r="C1652" t="s">
        <v>739</v>
      </c>
      <c r="D1652" t="s">
        <v>740</v>
      </c>
      <c r="E1652" t="s">
        <v>743</v>
      </c>
      <c r="F1652" s="34">
        <v>279</v>
      </c>
      <c r="G1652" s="34" t="s">
        <v>205</v>
      </c>
      <c r="H1652" s="36">
        <v>29027</v>
      </c>
      <c r="I1652" s="58">
        <v>226371</v>
      </c>
      <c r="J1652">
        <f>IFERROR(VLOOKUP(G1652,'LEAID Match'!$A$2:$B$526,2,FALSE),"")</f>
        <v>2926370</v>
      </c>
      <c r="K1652" s="68">
        <f t="shared" si="51"/>
        <v>8</v>
      </c>
    </row>
    <row r="1653" spans="1:11" x14ac:dyDescent="0.2">
      <c r="A1653">
        <f t="shared" si="50"/>
        <v>2926370</v>
      </c>
      <c r="B1653">
        <v>2018</v>
      </c>
      <c r="C1653" t="s">
        <v>739</v>
      </c>
      <c r="D1653" t="s">
        <v>740</v>
      </c>
      <c r="E1653" t="s">
        <v>743</v>
      </c>
      <c r="F1653" s="34">
        <v>279</v>
      </c>
      <c r="G1653" s="34" t="s">
        <v>205</v>
      </c>
      <c r="H1653" s="36">
        <v>32632</v>
      </c>
      <c r="I1653" s="58">
        <v>207118</v>
      </c>
      <c r="J1653">
        <f>IFERROR(VLOOKUP(G1653,'LEAID Match'!$A$2:$B$526,2,FALSE),"")</f>
        <v>2926370</v>
      </c>
      <c r="K1653" s="68">
        <f t="shared" si="51"/>
        <v>8</v>
      </c>
    </row>
    <row r="1654" spans="1:11" x14ac:dyDescent="0.2">
      <c r="A1654">
        <f t="shared" si="50"/>
        <v>2926370</v>
      </c>
      <c r="B1654">
        <v>2019</v>
      </c>
      <c r="C1654" t="s">
        <v>739</v>
      </c>
      <c r="D1654" t="s">
        <v>740</v>
      </c>
      <c r="E1654" t="s">
        <v>743</v>
      </c>
      <c r="F1654" s="34">
        <v>279</v>
      </c>
      <c r="G1654" s="34" t="s">
        <v>205</v>
      </c>
      <c r="H1654" s="36">
        <v>36199</v>
      </c>
      <c r="I1654" s="58">
        <v>223173</v>
      </c>
      <c r="J1654">
        <f>IFERROR(VLOOKUP(G1654,'LEAID Match'!$A$2:$B$526,2,FALSE),"")</f>
        <v>2926370</v>
      </c>
      <c r="K1654" s="68">
        <f t="shared" si="51"/>
        <v>8</v>
      </c>
    </row>
    <row r="1655" spans="1:11" x14ac:dyDescent="0.2">
      <c r="A1655">
        <f t="shared" si="50"/>
        <v>2926370</v>
      </c>
      <c r="B1655">
        <v>2020</v>
      </c>
      <c r="C1655" t="s">
        <v>739</v>
      </c>
      <c r="D1655" t="s">
        <v>740</v>
      </c>
      <c r="E1655" t="s">
        <v>743</v>
      </c>
      <c r="F1655" s="34">
        <v>279</v>
      </c>
      <c r="G1655" s="34" t="s">
        <v>205</v>
      </c>
      <c r="H1655" s="36">
        <v>35744</v>
      </c>
      <c r="I1655" s="58">
        <v>217967</v>
      </c>
      <c r="J1655">
        <f>IFERROR(VLOOKUP(G1655,'LEAID Match'!$A$2:$B$526,2,FALSE),"")</f>
        <v>2926370</v>
      </c>
      <c r="K1655" s="68">
        <f t="shared" si="51"/>
        <v>8</v>
      </c>
    </row>
    <row r="1656" spans="1:11" x14ac:dyDescent="0.2">
      <c r="A1656">
        <f t="shared" si="50"/>
        <v>2926370</v>
      </c>
      <c r="B1656">
        <v>2021</v>
      </c>
      <c r="C1656" t="s">
        <v>739</v>
      </c>
      <c r="D1656" t="s">
        <v>740</v>
      </c>
      <c r="E1656" t="s">
        <v>743</v>
      </c>
      <c r="F1656" s="34">
        <v>279</v>
      </c>
      <c r="G1656" s="34" t="s">
        <v>205</v>
      </c>
      <c r="H1656" s="36">
        <v>39682</v>
      </c>
      <c r="I1656" s="58">
        <v>217757</v>
      </c>
      <c r="J1656">
        <f>IFERROR(VLOOKUP(G1656,'LEAID Match'!$A$2:$B$526,2,FALSE),"")</f>
        <v>2926370</v>
      </c>
      <c r="K1656" s="68">
        <f t="shared" si="51"/>
        <v>8</v>
      </c>
    </row>
    <row r="1657" spans="1:11" x14ac:dyDescent="0.2">
      <c r="A1657">
        <f t="shared" si="50"/>
        <v>2926370</v>
      </c>
      <c r="B1657">
        <v>2022</v>
      </c>
      <c r="C1657" t="s">
        <v>739</v>
      </c>
      <c r="D1657" t="s">
        <v>740</v>
      </c>
      <c r="E1657" t="s">
        <v>743</v>
      </c>
      <c r="F1657" s="34">
        <v>279</v>
      </c>
      <c r="G1657" s="34" t="s">
        <v>205</v>
      </c>
      <c r="H1657" s="36">
        <v>40309</v>
      </c>
      <c r="I1657" s="58">
        <v>228341</v>
      </c>
      <c r="J1657">
        <f>IFERROR(VLOOKUP(G1657,'LEAID Match'!$A$2:$B$526,2,FALSE),"")</f>
        <v>2926370</v>
      </c>
      <c r="K1657" s="68">
        <f t="shared" si="51"/>
        <v>8</v>
      </c>
    </row>
    <row r="1658" spans="1:11" x14ac:dyDescent="0.2">
      <c r="A1658">
        <f t="shared" si="50"/>
        <v>2931680</v>
      </c>
      <c r="B1658">
        <v>2015</v>
      </c>
      <c r="C1658" t="s">
        <v>739</v>
      </c>
      <c r="D1658" t="s">
        <v>740</v>
      </c>
      <c r="E1658" t="s">
        <v>743</v>
      </c>
      <c r="F1658" s="37">
        <v>280</v>
      </c>
      <c r="G1658" s="39" t="s">
        <v>206</v>
      </c>
      <c r="H1658" s="40">
        <v>257092</v>
      </c>
      <c r="I1658" s="58">
        <v>1730990</v>
      </c>
      <c r="J1658">
        <f>IFERROR(VLOOKUP(G1658,'LEAID Match'!$A$2:$B$526,2,FALSE),"")</f>
        <v>2931680</v>
      </c>
      <c r="K1658" s="68">
        <f t="shared" si="51"/>
        <v>8</v>
      </c>
    </row>
    <row r="1659" spans="1:11" x14ac:dyDescent="0.2">
      <c r="A1659">
        <f t="shared" si="50"/>
        <v>2931680</v>
      </c>
      <c r="B1659">
        <v>2016</v>
      </c>
      <c r="C1659" t="s">
        <v>739</v>
      </c>
      <c r="D1659" t="s">
        <v>740</v>
      </c>
      <c r="E1659" t="s">
        <v>743</v>
      </c>
      <c r="F1659" s="34">
        <v>280</v>
      </c>
      <c r="G1659" s="34" t="s">
        <v>206</v>
      </c>
      <c r="H1659" s="36">
        <v>260204</v>
      </c>
      <c r="I1659" s="60">
        <v>1745214</v>
      </c>
      <c r="J1659">
        <f>IFERROR(VLOOKUP(G1659,'LEAID Match'!$A$2:$B$526,2,FALSE),"")</f>
        <v>2931680</v>
      </c>
      <c r="K1659" s="68">
        <f t="shared" si="51"/>
        <v>8</v>
      </c>
    </row>
    <row r="1660" spans="1:11" x14ac:dyDescent="0.2">
      <c r="A1660">
        <f t="shared" si="50"/>
        <v>2931680</v>
      </c>
      <c r="B1660">
        <v>2017</v>
      </c>
      <c r="C1660" t="s">
        <v>739</v>
      </c>
      <c r="D1660" t="s">
        <v>740</v>
      </c>
      <c r="E1660" t="s">
        <v>743</v>
      </c>
      <c r="F1660" s="34">
        <v>280</v>
      </c>
      <c r="G1660" s="34" t="s">
        <v>206</v>
      </c>
      <c r="H1660" s="36">
        <v>270054</v>
      </c>
      <c r="I1660" s="58">
        <v>1753240</v>
      </c>
      <c r="J1660">
        <f>IFERROR(VLOOKUP(G1660,'LEAID Match'!$A$2:$B$526,2,FALSE),"")</f>
        <v>2931680</v>
      </c>
      <c r="K1660" s="68">
        <f t="shared" si="51"/>
        <v>8</v>
      </c>
    </row>
    <row r="1661" spans="1:11" x14ac:dyDescent="0.2">
      <c r="A1661">
        <f t="shared" si="50"/>
        <v>2931680</v>
      </c>
      <c r="B1661">
        <v>2018</v>
      </c>
      <c r="C1661" t="s">
        <v>739</v>
      </c>
      <c r="D1661" t="s">
        <v>740</v>
      </c>
      <c r="E1661" t="s">
        <v>743</v>
      </c>
      <c r="F1661" s="34">
        <v>280</v>
      </c>
      <c r="G1661" s="34" t="s">
        <v>206</v>
      </c>
      <c r="H1661" s="36">
        <v>275339</v>
      </c>
      <c r="I1661" s="58">
        <v>1766924</v>
      </c>
      <c r="J1661">
        <f>IFERROR(VLOOKUP(G1661,'LEAID Match'!$A$2:$B$526,2,FALSE),"")</f>
        <v>2931680</v>
      </c>
      <c r="K1661" s="68">
        <f t="shared" si="51"/>
        <v>8</v>
      </c>
    </row>
    <row r="1662" spans="1:11" x14ac:dyDescent="0.2">
      <c r="A1662">
        <f t="shared" si="50"/>
        <v>2931680</v>
      </c>
      <c r="B1662">
        <v>2019</v>
      </c>
      <c r="C1662" t="s">
        <v>739</v>
      </c>
      <c r="D1662" t="s">
        <v>740</v>
      </c>
      <c r="E1662" t="s">
        <v>743</v>
      </c>
      <c r="F1662" s="34">
        <v>280</v>
      </c>
      <c r="G1662" s="34" t="s">
        <v>206</v>
      </c>
      <c r="H1662" s="36">
        <v>300517</v>
      </c>
      <c r="I1662" s="58">
        <v>1831653</v>
      </c>
      <c r="J1662">
        <f>IFERROR(VLOOKUP(G1662,'LEAID Match'!$A$2:$B$526,2,FALSE),"")</f>
        <v>2931680</v>
      </c>
      <c r="K1662" s="68">
        <f t="shared" si="51"/>
        <v>8</v>
      </c>
    </row>
    <row r="1663" spans="1:11" x14ac:dyDescent="0.2">
      <c r="A1663">
        <f t="shared" si="50"/>
        <v>2931680</v>
      </c>
      <c r="B1663">
        <v>2020</v>
      </c>
      <c r="C1663" t="s">
        <v>739</v>
      </c>
      <c r="D1663" t="s">
        <v>740</v>
      </c>
      <c r="E1663" t="s">
        <v>743</v>
      </c>
      <c r="F1663" s="34">
        <v>280</v>
      </c>
      <c r="G1663" s="34" t="s">
        <v>206</v>
      </c>
      <c r="H1663" s="36">
        <v>307381</v>
      </c>
      <c r="I1663" s="58">
        <v>1844666</v>
      </c>
      <c r="J1663">
        <f>IFERROR(VLOOKUP(G1663,'LEAID Match'!$A$2:$B$526,2,FALSE),"")</f>
        <v>2931680</v>
      </c>
      <c r="K1663" s="68">
        <f t="shared" si="51"/>
        <v>8</v>
      </c>
    </row>
    <row r="1664" spans="1:11" x14ac:dyDescent="0.2">
      <c r="A1664">
        <f t="shared" si="50"/>
        <v>2931680</v>
      </c>
      <c r="B1664">
        <v>2021</v>
      </c>
      <c r="C1664" t="s">
        <v>739</v>
      </c>
      <c r="D1664" t="s">
        <v>740</v>
      </c>
      <c r="E1664" t="s">
        <v>743</v>
      </c>
      <c r="F1664" s="34">
        <v>280</v>
      </c>
      <c r="G1664" s="34" t="s">
        <v>206</v>
      </c>
      <c r="H1664" s="36">
        <v>314835</v>
      </c>
      <c r="I1664" s="58">
        <v>1904629</v>
      </c>
      <c r="J1664">
        <f>IFERROR(VLOOKUP(G1664,'LEAID Match'!$A$2:$B$526,2,FALSE),"")</f>
        <v>2931680</v>
      </c>
      <c r="K1664" s="68">
        <f t="shared" si="51"/>
        <v>8</v>
      </c>
    </row>
    <row r="1665" spans="1:11" x14ac:dyDescent="0.2">
      <c r="A1665">
        <f t="shared" si="50"/>
        <v>2931680</v>
      </c>
      <c r="B1665">
        <v>2022</v>
      </c>
      <c r="C1665" t="s">
        <v>739</v>
      </c>
      <c r="D1665" t="s">
        <v>740</v>
      </c>
      <c r="E1665" t="s">
        <v>743</v>
      </c>
      <c r="F1665" s="34">
        <v>280</v>
      </c>
      <c r="G1665" s="34" t="s">
        <v>206</v>
      </c>
      <c r="H1665" s="36">
        <v>340406</v>
      </c>
      <c r="I1665" s="58">
        <v>1900157</v>
      </c>
      <c r="J1665">
        <f>IFERROR(VLOOKUP(G1665,'LEAID Match'!$A$2:$B$526,2,FALSE),"")</f>
        <v>2931680</v>
      </c>
      <c r="K1665" s="68">
        <f t="shared" si="51"/>
        <v>8</v>
      </c>
    </row>
    <row r="1666" spans="1:11" x14ac:dyDescent="0.2">
      <c r="A1666">
        <f t="shared" si="50"/>
        <v>2915180</v>
      </c>
      <c r="B1666">
        <v>2015</v>
      </c>
      <c r="C1666" t="s">
        <v>739</v>
      </c>
      <c r="D1666" t="s">
        <v>740</v>
      </c>
      <c r="E1666" t="s">
        <v>743</v>
      </c>
      <c r="F1666" s="37">
        <v>281</v>
      </c>
      <c r="G1666" s="39" t="s">
        <v>207</v>
      </c>
      <c r="H1666" s="40">
        <v>17641</v>
      </c>
      <c r="I1666" s="58">
        <v>157995</v>
      </c>
      <c r="J1666">
        <f>IFERROR(VLOOKUP(G1666,'LEAID Match'!$A$2:$B$526,2,FALSE),"")</f>
        <v>2915180</v>
      </c>
      <c r="K1666" s="68">
        <f t="shared" si="51"/>
        <v>8</v>
      </c>
    </row>
    <row r="1667" spans="1:11" x14ac:dyDescent="0.2">
      <c r="A1667">
        <f t="shared" ref="A1667:A1730" si="52">J1667</f>
        <v>2915180</v>
      </c>
      <c r="B1667">
        <v>2016</v>
      </c>
      <c r="C1667" t="s">
        <v>739</v>
      </c>
      <c r="D1667" t="s">
        <v>740</v>
      </c>
      <c r="E1667" t="s">
        <v>743</v>
      </c>
      <c r="F1667" s="34">
        <v>281</v>
      </c>
      <c r="G1667" s="34" t="s">
        <v>207</v>
      </c>
      <c r="H1667" s="36">
        <v>20557</v>
      </c>
      <c r="I1667" s="60">
        <v>170620</v>
      </c>
      <c r="J1667">
        <f>IFERROR(VLOOKUP(G1667,'LEAID Match'!$A$2:$B$526,2,FALSE),"")</f>
        <v>2915180</v>
      </c>
      <c r="K1667" s="68">
        <f t="shared" ref="K1667:K1730" si="53">COUNTIF($J$2:$J$4295,J1667)</f>
        <v>8</v>
      </c>
    </row>
    <row r="1668" spans="1:11" x14ac:dyDescent="0.2">
      <c r="A1668">
        <f t="shared" si="52"/>
        <v>2915180</v>
      </c>
      <c r="B1668">
        <v>2017</v>
      </c>
      <c r="C1668" t="s">
        <v>739</v>
      </c>
      <c r="D1668" t="s">
        <v>740</v>
      </c>
      <c r="E1668" t="s">
        <v>743</v>
      </c>
      <c r="F1668" s="34">
        <v>281</v>
      </c>
      <c r="G1668" s="34" t="s">
        <v>207</v>
      </c>
      <c r="H1668" s="36">
        <v>20429</v>
      </c>
      <c r="I1668" s="58">
        <v>174855</v>
      </c>
      <c r="J1668">
        <f>IFERROR(VLOOKUP(G1668,'LEAID Match'!$A$2:$B$526,2,FALSE),"")</f>
        <v>2915180</v>
      </c>
      <c r="K1668" s="68">
        <f t="shared" si="53"/>
        <v>8</v>
      </c>
    </row>
    <row r="1669" spans="1:11" x14ac:dyDescent="0.2">
      <c r="A1669">
        <f t="shared" si="52"/>
        <v>2915180</v>
      </c>
      <c r="B1669">
        <v>2018</v>
      </c>
      <c r="C1669" t="s">
        <v>739</v>
      </c>
      <c r="D1669" t="s">
        <v>740</v>
      </c>
      <c r="E1669" t="s">
        <v>743</v>
      </c>
      <c r="F1669" s="34">
        <v>281</v>
      </c>
      <c r="G1669" s="34" t="s">
        <v>207</v>
      </c>
      <c r="H1669" s="36">
        <v>19726</v>
      </c>
      <c r="I1669" s="58">
        <v>185554</v>
      </c>
      <c r="J1669">
        <f>IFERROR(VLOOKUP(G1669,'LEAID Match'!$A$2:$B$526,2,FALSE),"")</f>
        <v>2915180</v>
      </c>
      <c r="K1669" s="68">
        <f t="shared" si="53"/>
        <v>8</v>
      </c>
    </row>
    <row r="1670" spans="1:11" x14ac:dyDescent="0.2">
      <c r="A1670">
        <f t="shared" si="52"/>
        <v>2915180</v>
      </c>
      <c r="B1670">
        <v>2019</v>
      </c>
      <c r="C1670" t="s">
        <v>739</v>
      </c>
      <c r="D1670" t="s">
        <v>740</v>
      </c>
      <c r="E1670" t="s">
        <v>743</v>
      </c>
      <c r="F1670" s="34">
        <v>281</v>
      </c>
      <c r="G1670" s="34" t="s">
        <v>207</v>
      </c>
      <c r="H1670" s="36">
        <v>19035</v>
      </c>
      <c r="I1670" s="58">
        <v>191665</v>
      </c>
      <c r="J1670">
        <f>IFERROR(VLOOKUP(G1670,'LEAID Match'!$A$2:$B$526,2,FALSE),"")</f>
        <v>2915180</v>
      </c>
      <c r="K1670" s="68">
        <f t="shared" si="53"/>
        <v>8</v>
      </c>
    </row>
    <row r="1671" spans="1:11" x14ac:dyDescent="0.2">
      <c r="A1671">
        <f t="shared" si="52"/>
        <v>2915180</v>
      </c>
      <c r="B1671">
        <v>2020</v>
      </c>
      <c r="C1671" t="s">
        <v>739</v>
      </c>
      <c r="D1671" t="s">
        <v>740</v>
      </c>
      <c r="E1671" t="s">
        <v>743</v>
      </c>
      <c r="F1671" s="34">
        <v>281</v>
      </c>
      <c r="G1671" s="34" t="s">
        <v>207</v>
      </c>
      <c r="H1671" s="36">
        <v>19447</v>
      </c>
      <c r="I1671" s="58">
        <v>195665</v>
      </c>
      <c r="J1671">
        <f>IFERROR(VLOOKUP(G1671,'LEAID Match'!$A$2:$B$526,2,FALSE),"")</f>
        <v>2915180</v>
      </c>
      <c r="K1671" s="68">
        <f t="shared" si="53"/>
        <v>8</v>
      </c>
    </row>
    <row r="1672" spans="1:11" x14ac:dyDescent="0.2">
      <c r="A1672">
        <f t="shared" si="52"/>
        <v>2915180</v>
      </c>
      <c r="B1672">
        <v>2021</v>
      </c>
      <c r="C1672" t="s">
        <v>739</v>
      </c>
      <c r="D1672" t="s">
        <v>740</v>
      </c>
      <c r="E1672" t="s">
        <v>743</v>
      </c>
      <c r="F1672" s="34">
        <v>281</v>
      </c>
      <c r="G1672" s="34" t="s">
        <v>207</v>
      </c>
      <c r="H1672" s="36">
        <v>20593</v>
      </c>
      <c r="I1672" s="58">
        <v>188230</v>
      </c>
      <c r="J1672">
        <f>IFERROR(VLOOKUP(G1672,'LEAID Match'!$A$2:$B$526,2,FALSE),"")</f>
        <v>2915180</v>
      </c>
      <c r="K1672" s="68">
        <f t="shared" si="53"/>
        <v>8</v>
      </c>
    </row>
    <row r="1673" spans="1:11" x14ac:dyDescent="0.2">
      <c r="A1673">
        <f t="shared" si="52"/>
        <v>2915180</v>
      </c>
      <c r="B1673">
        <v>2022</v>
      </c>
      <c r="C1673" t="s">
        <v>739</v>
      </c>
      <c r="D1673" t="s">
        <v>740</v>
      </c>
      <c r="E1673" t="s">
        <v>743</v>
      </c>
      <c r="F1673" s="34">
        <v>281</v>
      </c>
      <c r="G1673" s="34" t="s">
        <v>207</v>
      </c>
      <c r="H1673" s="36">
        <v>22242</v>
      </c>
      <c r="I1673" s="58">
        <v>187440</v>
      </c>
      <c r="J1673">
        <f>IFERROR(VLOOKUP(G1673,'LEAID Match'!$A$2:$B$526,2,FALSE),"")</f>
        <v>2915180</v>
      </c>
      <c r="K1673" s="68">
        <f t="shared" si="53"/>
        <v>8</v>
      </c>
    </row>
    <row r="1674" spans="1:11" x14ac:dyDescent="0.2">
      <c r="A1674">
        <f t="shared" si="52"/>
        <v>2911850</v>
      </c>
      <c r="B1674">
        <v>2015</v>
      </c>
      <c r="C1674" t="s">
        <v>739</v>
      </c>
      <c r="D1674" t="s">
        <v>740</v>
      </c>
      <c r="E1674" t="s">
        <v>743</v>
      </c>
      <c r="F1674" s="37">
        <v>282</v>
      </c>
      <c r="G1674" s="39" t="s">
        <v>208</v>
      </c>
      <c r="H1674" s="40">
        <v>38674</v>
      </c>
      <c r="I1674" s="58">
        <v>333769</v>
      </c>
      <c r="J1674">
        <f>IFERROR(VLOOKUP(G1674,'LEAID Match'!$A$2:$B$526,2,FALSE),"")</f>
        <v>2911850</v>
      </c>
      <c r="K1674" s="68">
        <f t="shared" si="53"/>
        <v>8</v>
      </c>
    </row>
    <row r="1675" spans="1:11" x14ac:dyDescent="0.2">
      <c r="A1675">
        <f t="shared" si="52"/>
        <v>2911850</v>
      </c>
      <c r="B1675">
        <v>2016</v>
      </c>
      <c r="C1675" t="s">
        <v>739</v>
      </c>
      <c r="D1675" t="s">
        <v>740</v>
      </c>
      <c r="E1675" t="s">
        <v>743</v>
      </c>
      <c r="F1675" s="34">
        <v>282</v>
      </c>
      <c r="G1675" s="34" t="s">
        <v>208</v>
      </c>
      <c r="H1675" s="36">
        <v>40322</v>
      </c>
      <c r="I1675" s="60">
        <v>339177</v>
      </c>
      <c r="J1675">
        <f>IFERROR(VLOOKUP(G1675,'LEAID Match'!$A$2:$B$526,2,FALSE),"")</f>
        <v>2911850</v>
      </c>
      <c r="K1675" s="68">
        <f t="shared" si="53"/>
        <v>8</v>
      </c>
    </row>
    <row r="1676" spans="1:11" x14ac:dyDescent="0.2">
      <c r="A1676">
        <f t="shared" si="52"/>
        <v>2911850</v>
      </c>
      <c r="B1676">
        <v>2017</v>
      </c>
      <c r="C1676" t="s">
        <v>739</v>
      </c>
      <c r="D1676" t="s">
        <v>740</v>
      </c>
      <c r="E1676" t="s">
        <v>743</v>
      </c>
      <c r="F1676" s="34">
        <v>282</v>
      </c>
      <c r="G1676" s="34" t="s">
        <v>208</v>
      </c>
      <c r="H1676" s="36">
        <v>41984</v>
      </c>
      <c r="I1676" s="58">
        <v>327195</v>
      </c>
      <c r="J1676">
        <f>IFERROR(VLOOKUP(G1676,'LEAID Match'!$A$2:$B$526,2,FALSE),"")</f>
        <v>2911850</v>
      </c>
      <c r="K1676" s="68">
        <f t="shared" si="53"/>
        <v>8</v>
      </c>
    </row>
    <row r="1677" spans="1:11" x14ac:dyDescent="0.2">
      <c r="A1677">
        <f t="shared" si="52"/>
        <v>2911850</v>
      </c>
      <c r="B1677">
        <v>2018</v>
      </c>
      <c r="C1677" t="s">
        <v>739</v>
      </c>
      <c r="D1677" t="s">
        <v>740</v>
      </c>
      <c r="E1677" t="s">
        <v>743</v>
      </c>
      <c r="F1677" s="34">
        <v>282</v>
      </c>
      <c r="G1677" s="34" t="s">
        <v>208</v>
      </c>
      <c r="H1677" s="36">
        <v>44108</v>
      </c>
      <c r="I1677" s="58">
        <v>333407</v>
      </c>
      <c r="J1677">
        <f>IFERROR(VLOOKUP(G1677,'LEAID Match'!$A$2:$B$526,2,FALSE),"")</f>
        <v>2911850</v>
      </c>
      <c r="K1677" s="68">
        <f t="shared" si="53"/>
        <v>8</v>
      </c>
    </row>
    <row r="1678" spans="1:11" x14ac:dyDescent="0.2">
      <c r="A1678">
        <f t="shared" si="52"/>
        <v>2911850</v>
      </c>
      <c r="B1678">
        <v>2019</v>
      </c>
      <c r="C1678" t="s">
        <v>739</v>
      </c>
      <c r="D1678" t="s">
        <v>740</v>
      </c>
      <c r="E1678" t="s">
        <v>743</v>
      </c>
      <c r="F1678" s="34">
        <v>282</v>
      </c>
      <c r="G1678" s="34" t="s">
        <v>208</v>
      </c>
      <c r="H1678" s="36">
        <v>48946</v>
      </c>
      <c r="I1678" s="58">
        <v>333424</v>
      </c>
      <c r="J1678">
        <f>IFERROR(VLOOKUP(G1678,'LEAID Match'!$A$2:$B$526,2,FALSE),"")</f>
        <v>2911850</v>
      </c>
      <c r="K1678" s="68">
        <f t="shared" si="53"/>
        <v>8</v>
      </c>
    </row>
    <row r="1679" spans="1:11" x14ac:dyDescent="0.2">
      <c r="A1679">
        <f t="shared" si="52"/>
        <v>2911850</v>
      </c>
      <c r="B1679">
        <v>2020</v>
      </c>
      <c r="C1679" t="s">
        <v>739</v>
      </c>
      <c r="D1679" t="s">
        <v>740</v>
      </c>
      <c r="E1679" t="s">
        <v>743</v>
      </c>
      <c r="F1679" s="34">
        <v>282</v>
      </c>
      <c r="G1679" s="34" t="s">
        <v>208</v>
      </c>
      <c r="H1679" s="36">
        <v>50141</v>
      </c>
      <c r="I1679" s="58">
        <v>324767</v>
      </c>
      <c r="J1679">
        <f>IFERROR(VLOOKUP(G1679,'LEAID Match'!$A$2:$B$526,2,FALSE),"")</f>
        <v>2911850</v>
      </c>
      <c r="K1679" s="68">
        <f t="shared" si="53"/>
        <v>8</v>
      </c>
    </row>
    <row r="1680" spans="1:11" x14ac:dyDescent="0.2">
      <c r="A1680">
        <f t="shared" si="52"/>
        <v>2911850</v>
      </c>
      <c r="B1680">
        <v>2021</v>
      </c>
      <c r="C1680" t="s">
        <v>739</v>
      </c>
      <c r="D1680" t="s">
        <v>740</v>
      </c>
      <c r="E1680" t="s">
        <v>743</v>
      </c>
      <c r="F1680" s="34">
        <v>282</v>
      </c>
      <c r="G1680" s="34" t="s">
        <v>208</v>
      </c>
      <c r="H1680" s="36">
        <v>52428</v>
      </c>
      <c r="I1680" s="58">
        <v>348530</v>
      </c>
      <c r="J1680">
        <f>IFERROR(VLOOKUP(G1680,'LEAID Match'!$A$2:$B$526,2,FALSE),"")</f>
        <v>2911850</v>
      </c>
      <c r="K1680" s="68">
        <f t="shared" si="53"/>
        <v>8</v>
      </c>
    </row>
    <row r="1681" spans="1:11" x14ac:dyDescent="0.2">
      <c r="A1681">
        <f t="shared" si="52"/>
        <v>2911850</v>
      </c>
      <c r="B1681">
        <v>2022</v>
      </c>
      <c r="C1681" t="s">
        <v>739</v>
      </c>
      <c r="D1681" t="s">
        <v>740</v>
      </c>
      <c r="E1681" t="s">
        <v>743</v>
      </c>
      <c r="F1681" s="34">
        <v>282</v>
      </c>
      <c r="G1681" s="34" t="s">
        <v>208</v>
      </c>
      <c r="H1681" s="36">
        <v>60542</v>
      </c>
      <c r="I1681" s="58">
        <v>350074</v>
      </c>
      <c r="J1681">
        <f>IFERROR(VLOOKUP(G1681,'LEAID Match'!$A$2:$B$526,2,FALSE),"")</f>
        <v>2911850</v>
      </c>
      <c r="K1681" s="68">
        <f t="shared" si="53"/>
        <v>8</v>
      </c>
    </row>
    <row r="1682" spans="1:11" x14ac:dyDescent="0.2">
      <c r="A1682">
        <f t="shared" si="52"/>
        <v>2915060</v>
      </c>
      <c r="B1682">
        <v>2015</v>
      </c>
      <c r="C1682" t="s">
        <v>739</v>
      </c>
      <c r="D1682" t="s">
        <v>740</v>
      </c>
      <c r="E1682" t="s">
        <v>743</v>
      </c>
      <c r="F1682" s="37">
        <v>284</v>
      </c>
      <c r="G1682" s="39" t="s">
        <v>209</v>
      </c>
      <c r="H1682" s="40">
        <v>24051</v>
      </c>
      <c r="I1682" s="58">
        <v>133735</v>
      </c>
      <c r="J1682">
        <f>IFERROR(VLOOKUP(G1682,'LEAID Match'!$A$2:$B$526,2,FALSE),"")</f>
        <v>2915060</v>
      </c>
      <c r="K1682" s="68">
        <f t="shared" si="53"/>
        <v>8</v>
      </c>
    </row>
    <row r="1683" spans="1:11" x14ac:dyDescent="0.2">
      <c r="A1683">
        <f t="shared" si="52"/>
        <v>2915060</v>
      </c>
      <c r="B1683">
        <v>2016</v>
      </c>
      <c r="C1683" t="s">
        <v>739</v>
      </c>
      <c r="D1683" t="s">
        <v>740</v>
      </c>
      <c r="E1683" t="s">
        <v>743</v>
      </c>
      <c r="F1683" s="34">
        <v>284</v>
      </c>
      <c r="G1683" s="34" t="s">
        <v>209</v>
      </c>
      <c r="H1683" s="36">
        <v>23217</v>
      </c>
      <c r="I1683" s="60">
        <v>133288</v>
      </c>
      <c r="J1683">
        <f>IFERROR(VLOOKUP(G1683,'LEAID Match'!$A$2:$B$526,2,FALSE),"")</f>
        <v>2915060</v>
      </c>
      <c r="K1683" s="68">
        <f t="shared" si="53"/>
        <v>8</v>
      </c>
    </row>
    <row r="1684" spans="1:11" x14ac:dyDescent="0.2">
      <c r="A1684">
        <f t="shared" si="52"/>
        <v>2915060</v>
      </c>
      <c r="B1684">
        <v>2017</v>
      </c>
      <c r="C1684" t="s">
        <v>739</v>
      </c>
      <c r="D1684" t="s">
        <v>740</v>
      </c>
      <c r="E1684" t="s">
        <v>743</v>
      </c>
      <c r="F1684" s="34">
        <v>284</v>
      </c>
      <c r="G1684" s="34" t="s">
        <v>209</v>
      </c>
      <c r="H1684" s="36">
        <v>24575</v>
      </c>
      <c r="I1684" s="58">
        <v>135382</v>
      </c>
      <c r="J1684">
        <f>IFERROR(VLOOKUP(G1684,'LEAID Match'!$A$2:$B$526,2,FALSE),"")</f>
        <v>2915060</v>
      </c>
      <c r="K1684" s="68">
        <f t="shared" si="53"/>
        <v>8</v>
      </c>
    </row>
    <row r="1685" spans="1:11" x14ac:dyDescent="0.2">
      <c r="A1685">
        <f t="shared" si="52"/>
        <v>2915060</v>
      </c>
      <c r="B1685">
        <v>2018</v>
      </c>
      <c r="C1685" t="s">
        <v>739</v>
      </c>
      <c r="D1685" t="s">
        <v>740</v>
      </c>
      <c r="E1685" t="s">
        <v>743</v>
      </c>
      <c r="F1685" s="34">
        <v>284</v>
      </c>
      <c r="G1685" s="34" t="s">
        <v>209</v>
      </c>
      <c r="H1685" s="36">
        <v>29122</v>
      </c>
      <c r="I1685" s="58">
        <v>139321</v>
      </c>
      <c r="J1685">
        <f>IFERROR(VLOOKUP(G1685,'LEAID Match'!$A$2:$B$526,2,FALSE),"")</f>
        <v>2915060</v>
      </c>
      <c r="K1685" s="68">
        <f t="shared" si="53"/>
        <v>8</v>
      </c>
    </row>
    <row r="1686" spans="1:11" x14ac:dyDescent="0.2">
      <c r="A1686">
        <f t="shared" si="52"/>
        <v>2915060</v>
      </c>
      <c r="B1686">
        <v>2019</v>
      </c>
      <c r="C1686" t="s">
        <v>739</v>
      </c>
      <c r="D1686" t="s">
        <v>740</v>
      </c>
      <c r="E1686" t="s">
        <v>743</v>
      </c>
      <c r="F1686" s="34">
        <v>284</v>
      </c>
      <c r="G1686" s="34" t="s">
        <v>209</v>
      </c>
      <c r="H1686" s="36">
        <v>30418</v>
      </c>
      <c r="I1686" s="58">
        <v>149875</v>
      </c>
      <c r="J1686">
        <f>IFERROR(VLOOKUP(G1686,'LEAID Match'!$A$2:$B$526,2,FALSE),"")</f>
        <v>2915060</v>
      </c>
      <c r="K1686" s="68">
        <f t="shared" si="53"/>
        <v>8</v>
      </c>
    </row>
    <row r="1687" spans="1:11" x14ac:dyDescent="0.2">
      <c r="A1687">
        <f t="shared" si="52"/>
        <v>2915060</v>
      </c>
      <c r="B1687">
        <v>2020</v>
      </c>
      <c r="C1687" t="s">
        <v>739</v>
      </c>
      <c r="D1687" t="s">
        <v>740</v>
      </c>
      <c r="E1687" t="s">
        <v>743</v>
      </c>
      <c r="F1687" s="34">
        <v>284</v>
      </c>
      <c r="G1687" s="34" t="s">
        <v>209</v>
      </c>
      <c r="H1687" s="36">
        <v>33650</v>
      </c>
      <c r="I1687" s="58">
        <v>146998</v>
      </c>
      <c r="J1687">
        <f>IFERROR(VLOOKUP(G1687,'LEAID Match'!$A$2:$B$526,2,FALSE),"")</f>
        <v>2915060</v>
      </c>
      <c r="K1687" s="68">
        <f t="shared" si="53"/>
        <v>8</v>
      </c>
    </row>
    <row r="1688" spans="1:11" x14ac:dyDescent="0.2">
      <c r="A1688">
        <f t="shared" si="52"/>
        <v>2915060</v>
      </c>
      <c r="B1688">
        <v>2021</v>
      </c>
      <c r="C1688" t="s">
        <v>739</v>
      </c>
      <c r="D1688" t="s">
        <v>740</v>
      </c>
      <c r="E1688" t="s">
        <v>743</v>
      </c>
      <c r="F1688" s="34">
        <v>284</v>
      </c>
      <c r="G1688" s="34" t="s">
        <v>209</v>
      </c>
      <c r="H1688" s="36">
        <v>33635</v>
      </c>
      <c r="I1688" s="58">
        <v>159049</v>
      </c>
      <c r="J1688">
        <f>IFERROR(VLOOKUP(G1688,'LEAID Match'!$A$2:$B$526,2,FALSE),"")</f>
        <v>2915060</v>
      </c>
      <c r="K1688" s="68">
        <f t="shared" si="53"/>
        <v>8</v>
      </c>
    </row>
    <row r="1689" spans="1:11" x14ac:dyDescent="0.2">
      <c r="A1689">
        <f t="shared" si="52"/>
        <v>2915060</v>
      </c>
      <c r="B1689">
        <v>2022</v>
      </c>
      <c r="C1689" t="s">
        <v>739</v>
      </c>
      <c r="D1689" t="s">
        <v>740</v>
      </c>
      <c r="E1689" t="s">
        <v>743</v>
      </c>
      <c r="F1689" s="34">
        <v>284</v>
      </c>
      <c r="G1689" s="34" t="s">
        <v>209</v>
      </c>
      <c r="H1689" s="36">
        <v>35425</v>
      </c>
      <c r="I1689" s="58">
        <v>160284</v>
      </c>
      <c r="J1689">
        <f>IFERROR(VLOOKUP(G1689,'LEAID Match'!$A$2:$B$526,2,FALSE),"")</f>
        <v>2915060</v>
      </c>
      <c r="K1689" s="68">
        <f t="shared" si="53"/>
        <v>8</v>
      </c>
    </row>
    <row r="1690" spans="1:11" x14ac:dyDescent="0.2">
      <c r="A1690">
        <f t="shared" si="52"/>
        <v>2928470</v>
      </c>
      <c r="B1690">
        <v>2015</v>
      </c>
      <c r="C1690" t="s">
        <v>739</v>
      </c>
      <c r="D1690" t="s">
        <v>740</v>
      </c>
      <c r="E1690" t="s">
        <v>743</v>
      </c>
      <c r="F1690" s="37">
        <v>285</v>
      </c>
      <c r="G1690" s="39" t="s">
        <v>210</v>
      </c>
      <c r="H1690" s="40">
        <v>38889</v>
      </c>
      <c r="I1690" s="58">
        <v>221312</v>
      </c>
      <c r="J1690">
        <f>IFERROR(VLOOKUP(G1690,'LEAID Match'!$A$2:$B$526,2,FALSE),"")</f>
        <v>2928470</v>
      </c>
      <c r="K1690" s="68">
        <f t="shared" si="53"/>
        <v>8</v>
      </c>
    </row>
    <row r="1691" spans="1:11" x14ac:dyDescent="0.2">
      <c r="A1691">
        <f t="shared" si="52"/>
        <v>2928470</v>
      </c>
      <c r="B1691">
        <v>2016</v>
      </c>
      <c r="C1691" t="s">
        <v>739</v>
      </c>
      <c r="D1691" t="s">
        <v>740</v>
      </c>
      <c r="E1691" t="s">
        <v>743</v>
      </c>
      <c r="F1691" s="34">
        <v>285</v>
      </c>
      <c r="G1691" s="34" t="s">
        <v>210</v>
      </c>
      <c r="H1691" s="36">
        <v>41301</v>
      </c>
      <c r="I1691" s="60">
        <v>213433</v>
      </c>
      <c r="J1691">
        <f>IFERROR(VLOOKUP(G1691,'LEAID Match'!$A$2:$B$526,2,FALSE),"")</f>
        <v>2928470</v>
      </c>
      <c r="K1691" s="68">
        <f t="shared" si="53"/>
        <v>8</v>
      </c>
    </row>
    <row r="1692" spans="1:11" x14ac:dyDescent="0.2">
      <c r="A1692">
        <f t="shared" si="52"/>
        <v>2928470</v>
      </c>
      <c r="B1692">
        <v>2017</v>
      </c>
      <c r="C1692" t="s">
        <v>739</v>
      </c>
      <c r="D1692" t="s">
        <v>740</v>
      </c>
      <c r="E1692" t="s">
        <v>743</v>
      </c>
      <c r="F1692" s="34">
        <v>285</v>
      </c>
      <c r="G1692" s="34" t="s">
        <v>210</v>
      </c>
      <c r="H1692" s="36">
        <v>34398</v>
      </c>
      <c r="I1692" s="58">
        <v>218734</v>
      </c>
      <c r="J1692">
        <f>IFERROR(VLOOKUP(G1692,'LEAID Match'!$A$2:$B$526,2,FALSE),"")</f>
        <v>2928470</v>
      </c>
      <c r="K1692" s="68">
        <f t="shared" si="53"/>
        <v>8</v>
      </c>
    </row>
    <row r="1693" spans="1:11" x14ac:dyDescent="0.2">
      <c r="A1693">
        <f t="shared" si="52"/>
        <v>2928470</v>
      </c>
      <c r="B1693">
        <v>2018</v>
      </c>
      <c r="C1693" t="s">
        <v>739</v>
      </c>
      <c r="D1693" t="s">
        <v>740</v>
      </c>
      <c r="E1693" t="s">
        <v>743</v>
      </c>
      <c r="F1693" s="34">
        <v>285</v>
      </c>
      <c r="G1693" s="34" t="s">
        <v>210</v>
      </c>
      <c r="H1693" s="36">
        <v>35278</v>
      </c>
      <c r="I1693" s="58">
        <v>200435</v>
      </c>
      <c r="J1693">
        <f>IFERROR(VLOOKUP(G1693,'LEAID Match'!$A$2:$B$526,2,FALSE),"")</f>
        <v>2928470</v>
      </c>
      <c r="K1693" s="68">
        <f t="shared" si="53"/>
        <v>8</v>
      </c>
    </row>
    <row r="1694" spans="1:11" x14ac:dyDescent="0.2">
      <c r="A1694">
        <f t="shared" si="52"/>
        <v>2928470</v>
      </c>
      <c r="B1694">
        <v>2019</v>
      </c>
      <c r="C1694" t="s">
        <v>739</v>
      </c>
      <c r="D1694" t="s">
        <v>740</v>
      </c>
      <c r="E1694" t="s">
        <v>743</v>
      </c>
      <c r="F1694" s="34">
        <v>285</v>
      </c>
      <c r="G1694" s="34" t="s">
        <v>210</v>
      </c>
      <c r="H1694" s="36">
        <v>42718</v>
      </c>
      <c r="I1694" s="58">
        <v>211282</v>
      </c>
      <c r="J1694">
        <f>IFERROR(VLOOKUP(G1694,'LEAID Match'!$A$2:$B$526,2,FALSE),"")</f>
        <v>2928470</v>
      </c>
      <c r="K1694" s="68">
        <f t="shared" si="53"/>
        <v>8</v>
      </c>
    </row>
    <row r="1695" spans="1:11" x14ac:dyDescent="0.2">
      <c r="A1695">
        <f t="shared" si="52"/>
        <v>2928470</v>
      </c>
      <c r="B1695">
        <v>2020</v>
      </c>
      <c r="C1695" t="s">
        <v>739</v>
      </c>
      <c r="D1695" t="s">
        <v>740</v>
      </c>
      <c r="E1695" t="s">
        <v>743</v>
      </c>
      <c r="F1695" s="34">
        <v>285</v>
      </c>
      <c r="G1695" s="34" t="s">
        <v>210</v>
      </c>
      <c r="H1695" s="36">
        <v>41988</v>
      </c>
      <c r="I1695" s="58">
        <v>224907</v>
      </c>
      <c r="J1695">
        <f>IFERROR(VLOOKUP(G1695,'LEAID Match'!$A$2:$B$526,2,FALSE),"")</f>
        <v>2928470</v>
      </c>
      <c r="K1695" s="68">
        <f t="shared" si="53"/>
        <v>8</v>
      </c>
    </row>
    <row r="1696" spans="1:11" x14ac:dyDescent="0.2">
      <c r="A1696">
        <f t="shared" si="52"/>
        <v>2928470</v>
      </c>
      <c r="B1696">
        <v>2021</v>
      </c>
      <c r="C1696" t="s">
        <v>739</v>
      </c>
      <c r="D1696" t="s">
        <v>740</v>
      </c>
      <c r="E1696" t="s">
        <v>743</v>
      </c>
      <c r="F1696" s="34">
        <v>285</v>
      </c>
      <c r="G1696" s="34" t="s">
        <v>210</v>
      </c>
      <c r="H1696" s="36">
        <v>47679</v>
      </c>
      <c r="I1696" s="58">
        <v>216859</v>
      </c>
      <c r="J1696">
        <f>IFERROR(VLOOKUP(G1696,'LEAID Match'!$A$2:$B$526,2,FALSE),"")</f>
        <v>2928470</v>
      </c>
      <c r="K1696" s="68">
        <f t="shared" si="53"/>
        <v>8</v>
      </c>
    </row>
    <row r="1697" spans="1:11" x14ac:dyDescent="0.2">
      <c r="A1697">
        <f t="shared" si="52"/>
        <v>2928470</v>
      </c>
      <c r="B1697">
        <v>2022</v>
      </c>
      <c r="C1697" t="s">
        <v>739</v>
      </c>
      <c r="D1697" t="s">
        <v>740</v>
      </c>
      <c r="E1697" t="s">
        <v>743</v>
      </c>
      <c r="F1697" s="34">
        <v>285</v>
      </c>
      <c r="G1697" s="34" t="s">
        <v>210</v>
      </c>
      <c r="H1697" s="36">
        <v>49560</v>
      </c>
      <c r="I1697" s="58">
        <v>244670</v>
      </c>
      <c r="J1697">
        <f>IFERROR(VLOOKUP(G1697,'LEAID Match'!$A$2:$B$526,2,FALSE),"")</f>
        <v>2928470</v>
      </c>
      <c r="K1697" s="68">
        <f t="shared" si="53"/>
        <v>8</v>
      </c>
    </row>
    <row r="1698" spans="1:11" x14ac:dyDescent="0.2">
      <c r="A1698">
        <f t="shared" si="52"/>
        <v>2903150</v>
      </c>
      <c r="B1698">
        <v>2015</v>
      </c>
      <c r="C1698" t="s">
        <v>739</v>
      </c>
      <c r="D1698" t="s">
        <v>740</v>
      </c>
      <c r="E1698" t="s">
        <v>743</v>
      </c>
      <c r="F1698" s="37">
        <v>286</v>
      </c>
      <c r="G1698" s="39" t="s">
        <v>211</v>
      </c>
      <c r="H1698" s="40">
        <v>94445</v>
      </c>
      <c r="I1698" s="58">
        <v>754600</v>
      </c>
      <c r="J1698">
        <f>IFERROR(VLOOKUP(G1698,'LEAID Match'!$A$2:$B$526,2,FALSE),"")</f>
        <v>2903150</v>
      </c>
      <c r="K1698" s="68">
        <f t="shared" si="53"/>
        <v>8</v>
      </c>
    </row>
    <row r="1699" spans="1:11" x14ac:dyDescent="0.2">
      <c r="A1699">
        <f t="shared" si="52"/>
        <v>2903150</v>
      </c>
      <c r="B1699">
        <v>2016</v>
      </c>
      <c r="C1699" t="s">
        <v>739</v>
      </c>
      <c r="D1699" t="s">
        <v>740</v>
      </c>
      <c r="E1699" t="s">
        <v>743</v>
      </c>
      <c r="F1699" s="34">
        <v>286</v>
      </c>
      <c r="G1699" s="34" t="s">
        <v>211</v>
      </c>
      <c r="H1699" s="36">
        <v>100665</v>
      </c>
      <c r="I1699" s="60">
        <v>772794</v>
      </c>
      <c r="J1699">
        <f>IFERROR(VLOOKUP(G1699,'LEAID Match'!$A$2:$B$526,2,FALSE),"")</f>
        <v>2903150</v>
      </c>
      <c r="K1699" s="68">
        <f t="shared" si="53"/>
        <v>8</v>
      </c>
    </row>
    <row r="1700" spans="1:11" x14ac:dyDescent="0.2">
      <c r="A1700">
        <f t="shared" si="52"/>
        <v>2903150</v>
      </c>
      <c r="B1700">
        <v>2017</v>
      </c>
      <c r="C1700" t="s">
        <v>739</v>
      </c>
      <c r="D1700" t="s">
        <v>740</v>
      </c>
      <c r="E1700" t="s">
        <v>743</v>
      </c>
      <c r="F1700" s="34">
        <v>286</v>
      </c>
      <c r="G1700" s="34" t="s">
        <v>211</v>
      </c>
      <c r="H1700" s="36">
        <v>106019</v>
      </c>
      <c r="I1700" s="58">
        <v>793024</v>
      </c>
      <c r="J1700">
        <f>IFERROR(VLOOKUP(G1700,'LEAID Match'!$A$2:$B$526,2,FALSE),"")</f>
        <v>2903150</v>
      </c>
      <c r="K1700" s="68">
        <f t="shared" si="53"/>
        <v>8</v>
      </c>
    </row>
    <row r="1701" spans="1:11" x14ac:dyDescent="0.2">
      <c r="A1701">
        <f t="shared" si="52"/>
        <v>2903150</v>
      </c>
      <c r="B1701">
        <v>2018</v>
      </c>
      <c r="C1701" t="s">
        <v>739</v>
      </c>
      <c r="D1701" t="s">
        <v>740</v>
      </c>
      <c r="E1701" t="s">
        <v>743</v>
      </c>
      <c r="F1701" s="34">
        <v>286</v>
      </c>
      <c r="G1701" s="34" t="s">
        <v>211</v>
      </c>
      <c r="H1701" s="36">
        <v>108372</v>
      </c>
      <c r="I1701" s="58">
        <v>811268</v>
      </c>
      <c r="J1701">
        <f>IFERROR(VLOOKUP(G1701,'LEAID Match'!$A$2:$B$526,2,FALSE),"")</f>
        <v>2903150</v>
      </c>
      <c r="K1701" s="68">
        <f t="shared" si="53"/>
        <v>8</v>
      </c>
    </row>
    <row r="1702" spans="1:11" x14ac:dyDescent="0.2">
      <c r="A1702">
        <f t="shared" si="52"/>
        <v>2903150</v>
      </c>
      <c r="B1702">
        <v>2019</v>
      </c>
      <c r="C1702" t="s">
        <v>739</v>
      </c>
      <c r="D1702" t="s">
        <v>740</v>
      </c>
      <c r="E1702" t="s">
        <v>743</v>
      </c>
      <c r="F1702" s="34">
        <v>286</v>
      </c>
      <c r="G1702" s="34" t="s">
        <v>211</v>
      </c>
      <c r="H1702" s="36">
        <v>113649</v>
      </c>
      <c r="I1702" s="58">
        <v>791585</v>
      </c>
      <c r="J1702">
        <f>IFERROR(VLOOKUP(G1702,'LEAID Match'!$A$2:$B$526,2,FALSE),"")</f>
        <v>2903150</v>
      </c>
      <c r="K1702" s="68">
        <f t="shared" si="53"/>
        <v>8</v>
      </c>
    </row>
    <row r="1703" spans="1:11" x14ac:dyDescent="0.2">
      <c r="A1703">
        <f t="shared" si="52"/>
        <v>2903150</v>
      </c>
      <c r="B1703">
        <v>2020</v>
      </c>
      <c r="C1703" t="s">
        <v>739</v>
      </c>
      <c r="D1703" t="s">
        <v>740</v>
      </c>
      <c r="E1703" t="s">
        <v>743</v>
      </c>
      <c r="F1703" s="34">
        <v>286</v>
      </c>
      <c r="G1703" s="34" t="s">
        <v>211</v>
      </c>
      <c r="H1703" s="36">
        <v>107255</v>
      </c>
      <c r="I1703" s="58">
        <v>817011</v>
      </c>
      <c r="J1703">
        <f>IFERROR(VLOOKUP(G1703,'LEAID Match'!$A$2:$B$526,2,FALSE),"")</f>
        <v>2903150</v>
      </c>
      <c r="K1703" s="68">
        <f t="shared" si="53"/>
        <v>8</v>
      </c>
    </row>
    <row r="1704" spans="1:11" x14ac:dyDescent="0.2">
      <c r="A1704">
        <f t="shared" si="52"/>
        <v>2903150</v>
      </c>
      <c r="B1704">
        <v>2021</v>
      </c>
      <c r="C1704" t="s">
        <v>739</v>
      </c>
      <c r="D1704" t="s">
        <v>740</v>
      </c>
      <c r="E1704" t="s">
        <v>743</v>
      </c>
      <c r="F1704" s="34">
        <v>286</v>
      </c>
      <c r="G1704" s="34" t="s">
        <v>211</v>
      </c>
      <c r="H1704" s="36">
        <v>107357</v>
      </c>
      <c r="I1704" s="58">
        <v>849540</v>
      </c>
      <c r="J1704">
        <f>IFERROR(VLOOKUP(G1704,'LEAID Match'!$A$2:$B$526,2,FALSE),"")</f>
        <v>2903150</v>
      </c>
      <c r="K1704" s="68">
        <f t="shared" si="53"/>
        <v>8</v>
      </c>
    </row>
    <row r="1705" spans="1:11" x14ac:dyDescent="0.2">
      <c r="A1705">
        <f t="shared" si="52"/>
        <v>2903150</v>
      </c>
      <c r="B1705">
        <v>2022</v>
      </c>
      <c r="C1705" t="s">
        <v>739</v>
      </c>
      <c r="D1705" t="s">
        <v>740</v>
      </c>
      <c r="E1705" t="s">
        <v>743</v>
      </c>
      <c r="F1705" s="34">
        <v>286</v>
      </c>
      <c r="G1705" s="34" t="s">
        <v>211</v>
      </c>
      <c r="H1705" s="36">
        <v>114652</v>
      </c>
      <c r="I1705" s="58">
        <v>906395</v>
      </c>
      <c r="J1705">
        <f>IFERROR(VLOOKUP(G1705,'LEAID Match'!$A$2:$B$526,2,FALSE),"")</f>
        <v>2903150</v>
      </c>
      <c r="K1705" s="68">
        <f t="shared" si="53"/>
        <v>8</v>
      </c>
    </row>
    <row r="1706" spans="1:11" x14ac:dyDescent="0.2">
      <c r="A1706">
        <f t="shared" si="52"/>
        <v>2904590</v>
      </c>
      <c r="B1706">
        <v>2015</v>
      </c>
      <c r="C1706" t="s">
        <v>739</v>
      </c>
      <c r="D1706" t="s">
        <v>740</v>
      </c>
      <c r="E1706" t="s">
        <v>743</v>
      </c>
      <c r="F1706" s="37">
        <v>287</v>
      </c>
      <c r="G1706" s="39" t="s">
        <v>212</v>
      </c>
      <c r="H1706" s="40">
        <v>17190</v>
      </c>
      <c r="I1706" s="58">
        <v>76630</v>
      </c>
      <c r="J1706">
        <f>IFERROR(VLOOKUP(G1706,'LEAID Match'!$A$2:$B$526,2,FALSE),"")</f>
        <v>2904590</v>
      </c>
      <c r="K1706" s="68">
        <f t="shared" si="53"/>
        <v>8</v>
      </c>
    </row>
    <row r="1707" spans="1:11" x14ac:dyDescent="0.2">
      <c r="A1707">
        <f t="shared" si="52"/>
        <v>2904590</v>
      </c>
      <c r="B1707">
        <v>2016</v>
      </c>
      <c r="C1707" t="s">
        <v>739</v>
      </c>
      <c r="D1707" t="s">
        <v>740</v>
      </c>
      <c r="E1707" t="s">
        <v>743</v>
      </c>
      <c r="F1707" s="34">
        <v>287</v>
      </c>
      <c r="G1707" s="34" t="s">
        <v>212</v>
      </c>
      <c r="H1707" s="36">
        <v>18473</v>
      </c>
      <c r="I1707" s="60">
        <v>83261</v>
      </c>
      <c r="J1707">
        <f>IFERROR(VLOOKUP(G1707,'LEAID Match'!$A$2:$B$526,2,FALSE),"")</f>
        <v>2904590</v>
      </c>
      <c r="K1707" s="68">
        <f t="shared" si="53"/>
        <v>8</v>
      </c>
    </row>
    <row r="1708" spans="1:11" x14ac:dyDescent="0.2">
      <c r="A1708">
        <f t="shared" si="52"/>
        <v>2904590</v>
      </c>
      <c r="B1708">
        <v>2017</v>
      </c>
      <c r="C1708" t="s">
        <v>739</v>
      </c>
      <c r="D1708" t="s">
        <v>740</v>
      </c>
      <c r="E1708" t="s">
        <v>743</v>
      </c>
      <c r="F1708" s="34">
        <v>287</v>
      </c>
      <c r="G1708" s="34" t="s">
        <v>212</v>
      </c>
      <c r="H1708" s="36">
        <v>17352</v>
      </c>
      <c r="I1708" s="58">
        <v>81314</v>
      </c>
      <c r="J1708">
        <f>IFERROR(VLOOKUP(G1708,'LEAID Match'!$A$2:$B$526,2,FALSE),"")</f>
        <v>2904590</v>
      </c>
      <c r="K1708" s="68">
        <f t="shared" si="53"/>
        <v>8</v>
      </c>
    </row>
    <row r="1709" spans="1:11" x14ac:dyDescent="0.2">
      <c r="A1709">
        <f t="shared" si="52"/>
        <v>2904590</v>
      </c>
      <c r="B1709">
        <v>2018</v>
      </c>
      <c r="C1709" t="s">
        <v>739</v>
      </c>
      <c r="D1709" t="s">
        <v>740</v>
      </c>
      <c r="E1709" t="s">
        <v>743</v>
      </c>
      <c r="F1709" s="34">
        <v>287</v>
      </c>
      <c r="G1709" s="34" t="s">
        <v>212</v>
      </c>
      <c r="H1709" s="36">
        <v>17924</v>
      </c>
      <c r="I1709" s="58">
        <v>82084</v>
      </c>
      <c r="J1709">
        <f>IFERROR(VLOOKUP(G1709,'LEAID Match'!$A$2:$B$526,2,FALSE),"")</f>
        <v>2904590</v>
      </c>
      <c r="K1709" s="68">
        <f t="shared" si="53"/>
        <v>8</v>
      </c>
    </row>
    <row r="1710" spans="1:11" x14ac:dyDescent="0.2">
      <c r="A1710">
        <f t="shared" si="52"/>
        <v>2904590</v>
      </c>
      <c r="B1710">
        <v>2019</v>
      </c>
      <c r="C1710" t="s">
        <v>739</v>
      </c>
      <c r="D1710" t="s">
        <v>740</v>
      </c>
      <c r="E1710" t="s">
        <v>743</v>
      </c>
      <c r="F1710" s="34">
        <v>287</v>
      </c>
      <c r="G1710" s="34" t="s">
        <v>212</v>
      </c>
      <c r="H1710" s="36">
        <v>19793</v>
      </c>
      <c r="I1710" s="58">
        <v>82681</v>
      </c>
      <c r="J1710">
        <f>IFERROR(VLOOKUP(G1710,'LEAID Match'!$A$2:$B$526,2,FALSE),"")</f>
        <v>2904590</v>
      </c>
      <c r="K1710" s="68">
        <f t="shared" si="53"/>
        <v>8</v>
      </c>
    </row>
    <row r="1711" spans="1:11" x14ac:dyDescent="0.2">
      <c r="A1711">
        <f t="shared" si="52"/>
        <v>2904590</v>
      </c>
      <c r="B1711">
        <v>2020</v>
      </c>
      <c r="C1711" t="s">
        <v>739</v>
      </c>
      <c r="D1711" t="s">
        <v>740</v>
      </c>
      <c r="E1711" t="s">
        <v>743</v>
      </c>
      <c r="F1711" s="34">
        <v>287</v>
      </c>
      <c r="G1711" s="34" t="s">
        <v>212</v>
      </c>
      <c r="H1711" s="36">
        <v>17504</v>
      </c>
      <c r="I1711" s="58">
        <v>83358</v>
      </c>
      <c r="J1711">
        <f>IFERROR(VLOOKUP(G1711,'LEAID Match'!$A$2:$B$526,2,FALSE),"")</f>
        <v>2904590</v>
      </c>
      <c r="K1711" s="68">
        <f t="shared" si="53"/>
        <v>8</v>
      </c>
    </row>
    <row r="1712" spans="1:11" x14ac:dyDescent="0.2">
      <c r="A1712">
        <f t="shared" si="52"/>
        <v>2904590</v>
      </c>
      <c r="B1712">
        <v>2021</v>
      </c>
      <c r="C1712" t="s">
        <v>739</v>
      </c>
      <c r="D1712" t="s">
        <v>740</v>
      </c>
      <c r="E1712" t="s">
        <v>743</v>
      </c>
      <c r="F1712" s="34">
        <v>287</v>
      </c>
      <c r="G1712" s="34" t="s">
        <v>212</v>
      </c>
      <c r="H1712" s="36">
        <v>20708</v>
      </c>
      <c r="I1712" s="58">
        <v>65223</v>
      </c>
      <c r="J1712">
        <f>IFERROR(VLOOKUP(G1712,'LEAID Match'!$A$2:$B$526,2,FALSE),"")</f>
        <v>2904590</v>
      </c>
      <c r="K1712" s="68">
        <f t="shared" si="53"/>
        <v>8</v>
      </c>
    </row>
    <row r="1713" spans="1:11" x14ac:dyDescent="0.2">
      <c r="A1713">
        <f t="shared" si="52"/>
        <v>2904590</v>
      </c>
      <c r="B1713">
        <v>2022</v>
      </c>
      <c r="C1713" t="s">
        <v>739</v>
      </c>
      <c r="D1713" t="s">
        <v>740</v>
      </c>
      <c r="E1713" t="s">
        <v>743</v>
      </c>
      <c r="F1713" s="34">
        <v>287</v>
      </c>
      <c r="G1713" s="34" t="s">
        <v>212</v>
      </c>
      <c r="H1713" s="36">
        <v>16237</v>
      </c>
      <c r="I1713" s="58">
        <v>79504</v>
      </c>
      <c r="J1713">
        <f>IFERROR(VLOOKUP(G1713,'LEAID Match'!$A$2:$B$526,2,FALSE),"")</f>
        <v>2904590</v>
      </c>
      <c r="K1713" s="68">
        <f t="shared" si="53"/>
        <v>8</v>
      </c>
    </row>
    <row r="1714" spans="1:11" x14ac:dyDescent="0.2">
      <c r="A1714">
        <f t="shared" si="52"/>
        <v>2915510</v>
      </c>
      <c r="B1714">
        <v>2015</v>
      </c>
      <c r="C1714" t="s">
        <v>739</v>
      </c>
      <c r="D1714" t="s">
        <v>740</v>
      </c>
      <c r="E1714" t="s">
        <v>743</v>
      </c>
      <c r="F1714" s="37">
        <v>288</v>
      </c>
      <c r="G1714" s="39" t="s">
        <v>213</v>
      </c>
      <c r="H1714" s="40">
        <v>48524</v>
      </c>
      <c r="I1714" s="58">
        <v>298883</v>
      </c>
      <c r="J1714">
        <f>IFERROR(VLOOKUP(G1714,'LEAID Match'!$A$2:$B$526,2,FALSE),"")</f>
        <v>2915510</v>
      </c>
      <c r="K1714" s="68">
        <f t="shared" si="53"/>
        <v>8</v>
      </c>
    </row>
    <row r="1715" spans="1:11" x14ac:dyDescent="0.2">
      <c r="A1715">
        <f t="shared" si="52"/>
        <v>2915510</v>
      </c>
      <c r="B1715">
        <v>2016</v>
      </c>
      <c r="C1715" t="s">
        <v>739</v>
      </c>
      <c r="D1715" t="s">
        <v>740</v>
      </c>
      <c r="E1715" t="s">
        <v>743</v>
      </c>
      <c r="F1715" s="34">
        <v>288</v>
      </c>
      <c r="G1715" s="34" t="s">
        <v>213</v>
      </c>
      <c r="H1715" s="36">
        <v>52201</v>
      </c>
      <c r="I1715" s="60">
        <v>301164</v>
      </c>
      <c r="J1715">
        <f>IFERROR(VLOOKUP(G1715,'LEAID Match'!$A$2:$B$526,2,FALSE),"")</f>
        <v>2915510</v>
      </c>
      <c r="K1715" s="68">
        <f t="shared" si="53"/>
        <v>8</v>
      </c>
    </row>
    <row r="1716" spans="1:11" x14ac:dyDescent="0.2">
      <c r="A1716">
        <f t="shared" si="52"/>
        <v>2915510</v>
      </c>
      <c r="B1716">
        <v>2017</v>
      </c>
      <c r="C1716" t="s">
        <v>739</v>
      </c>
      <c r="D1716" t="s">
        <v>740</v>
      </c>
      <c r="E1716" t="s">
        <v>743</v>
      </c>
      <c r="F1716" s="34">
        <v>288</v>
      </c>
      <c r="G1716" s="34" t="s">
        <v>213</v>
      </c>
      <c r="H1716" s="36">
        <v>57037</v>
      </c>
      <c r="I1716" s="58">
        <v>308304</v>
      </c>
      <c r="J1716">
        <f>IFERROR(VLOOKUP(G1716,'LEAID Match'!$A$2:$B$526,2,FALSE),"")</f>
        <v>2915510</v>
      </c>
      <c r="K1716" s="68">
        <f t="shared" si="53"/>
        <v>8</v>
      </c>
    </row>
    <row r="1717" spans="1:11" x14ac:dyDescent="0.2">
      <c r="A1717">
        <f t="shared" si="52"/>
        <v>2915510</v>
      </c>
      <c r="B1717">
        <v>2018</v>
      </c>
      <c r="C1717" t="s">
        <v>739</v>
      </c>
      <c r="D1717" t="s">
        <v>740</v>
      </c>
      <c r="E1717" t="s">
        <v>743</v>
      </c>
      <c r="F1717" s="34">
        <v>288</v>
      </c>
      <c r="G1717" s="34" t="s">
        <v>213</v>
      </c>
      <c r="H1717" s="36">
        <v>52811</v>
      </c>
      <c r="I1717" s="58">
        <v>315012</v>
      </c>
      <c r="J1717">
        <f>IFERROR(VLOOKUP(G1717,'LEAID Match'!$A$2:$B$526,2,FALSE),"")</f>
        <v>2915510</v>
      </c>
      <c r="K1717" s="68">
        <f t="shared" si="53"/>
        <v>8</v>
      </c>
    </row>
    <row r="1718" spans="1:11" x14ac:dyDescent="0.2">
      <c r="A1718">
        <f t="shared" si="52"/>
        <v>2915510</v>
      </c>
      <c r="B1718">
        <v>2019</v>
      </c>
      <c r="C1718" t="s">
        <v>739</v>
      </c>
      <c r="D1718" t="s">
        <v>740</v>
      </c>
      <c r="E1718" t="s">
        <v>743</v>
      </c>
      <c r="F1718" s="34">
        <v>288</v>
      </c>
      <c r="G1718" s="34" t="s">
        <v>213</v>
      </c>
      <c r="H1718" s="36">
        <v>55032</v>
      </c>
      <c r="I1718" s="58">
        <v>309608</v>
      </c>
      <c r="J1718">
        <f>IFERROR(VLOOKUP(G1718,'LEAID Match'!$A$2:$B$526,2,FALSE),"")</f>
        <v>2915510</v>
      </c>
      <c r="K1718" s="68">
        <f t="shared" si="53"/>
        <v>8</v>
      </c>
    </row>
    <row r="1719" spans="1:11" x14ac:dyDescent="0.2">
      <c r="A1719">
        <f t="shared" si="52"/>
        <v>2915510</v>
      </c>
      <c r="B1719">
        <v>2020</v>
      </c>
      <c r="C1719" t="s">
        <v>739</v>
      </c>
      <c r="D1719" t="s">
        <v>740</v>
      </c>
      <c r="E1719" t="s">
        <v>743</v>
      </c>
      <c r="F1719" s="34">
        <v>288</v>
      </c>
      <c r="G1719" s="34" t="s">
        <v>213</v>
      </c>
      <c r="H1719" s="36">
        <v>42025</v>
      </c>
      <c r="I1719" s="58">
        <v>253840</v>
      </c>
      <c r="J1719">
        <f>IFERROR(VLOOKUP(G1719,'LEAID Match'!$A$2:$B$526,2,FALSE),"")</f>
        <v>2915510</v>
      </c>
      <c r="K1719" s="68">
        <f t="shared" si="53"/>
        <v>8</v>
      </c>
    </row>
    <row r="1720" spans="1:11" x14ac:dyDescent="0.2">
      <c r="A1720">
        <f t="shared" si="52"/>
        <v>2915510</v>
      </c>
      <c r="B1720">
        <v>2021</v>
      </c>
      <c r="C1720" t="s">
        <v>739</v>
      </c>
      <c r="D1720" t="s">
        <v>740</v>
      </c>
      <c r="E1720" t="s">
        <v>743</v>
      </c>
      <c r="F1720" s="34">
        <v>288</v>
      </c>
      <c r="G1720" s="34" t="s">
        <v>213</v>
      </c>
      <c r="H1720" s="36">
        <v>43244</v>
      </c>
      <c r="I1720" s="58">
        <v>250647</v>
      </c>
      <c r="J1720">
        <f>IFERROR(VLOOKUP(G1720,'LEAID Match'!$A$2:$B$526,2,FALSE),"")</f>
        <v>2915510</v>
      </c>
      <c r="K1720" s="68">
        <f t="shared" si="53"/>
        <v>8</v>
      </c>
    </row>
    <row r="1721" spans="1:11" x14ac:dyDescent="0.2">
      <c r="A1721">
        <f t="shared" si="52"/>
        <v>2915510</v>
      </c>
      <c r="B1721">
        <v>2022</v>
      </c>
      <c r="C1721" t="s">
        <v>739</v>
      </c>
      <c r="D1721" t="s">
        <v>740</v>
      </c>
      <c r="E1721" t="s">
        <v>743</v>
      </c>
      <c r="F1721" s="34">
        <v>288</v>
      </c>
      <c r="G1721" s="34" t="s">
        <v>213</v>
      </c>
      <c r="H1721" s="36">
        <v>48076</v>
      </c>
      <c r="I1721" s="58">
        <v>266117</v>
      </c>
      <c r="J1721">
        <f>IFERROR(VLOOKUP(G1721,'LEAID Match'!$A$2:$B$526,2,FALSE),"")</f>
        <v>2915510</v>
      </c>
      <c r="K1721" s="68">
        <f t="shared" si="53"/>
        <v>8</v>
      </c>
    </row>
    <row r="1722" spans="1:11" x14ac:dyDescent="0.2">
      <c r="A1722">
        <f t="shared" si="52"/>
        <v>2912290</v>
      </c>
      <c r="B1722">
        <v>2015</v>
      </c>
      <c r="C1722" t="s">
        <v>739</v>
      </c>
      <c r="D1722" t="s">
        <v>740</v>
      </c>
      <c r="E1722" t="s">
        <v>743</v>
      </c>
      <c r="F1722" s="37">
        <v>289</v>
      </c>
      <c r="G1722" s="34" t="s">
        <v>214</v>
      </c>
      <c r="H1722" s="40">
        <v>686089</v>
      </c>
      <c r="I1722" s="58">
        <v>3733928</v>
      </c>
      <c r="J1722">
        <f>IFERROR(VLOOKUP(G1722,'LEAID Match'!$A$2:$B$526,2,FALSE),"")</f>
        <v>2912290</v>
      </c>
      <c r="K1722" s="68">
        <f t="shared" si="53"/>
        <v>8</v>
      </c>
    </row>
    <row r="1723" spans="1:11" x14ac:dyDescent="0.2">
      <c r="A1723">
        <f t="shared" si="52"/>
        <v>2912290</v>
      </c>
      <c r="B1723">
        <v>2016</v>
      </c>
      <c r="C1723" t="s">
        <v>739</v>
      </c>
      <c r="D1723" t="s">
        <v>740</v>
      </c>
      <c r="E1723" t="s">
        <v>743</v>
      </c>
      <c r="F1723" s="34">
        <v>289</v>
      </c>
      <c r="G1723" s="34" t="s">
        <v>214</v>
      </c>
      <c r="H1723" s="36">
        <v>736053</v>
      </c>
      <c r="I1723" s="60">
        <v>3847781</v>
      </c>
      <c r="J1723">
        <f>IFERROR(VLOOKUP(G1723,'LEAID Match'!$A$2:$B$526,2,FALSE),"")</f>
        <v>2912290</v>
      </c>
      <c r="K1723" s="68">
        <f t="shared" si="53"/>
        <v>8</v>
      </c>
    </row>
    <row r="1724" spans="1:11" x14ac:dyDescent="0.2">
      <c r="A1724">
        <f t="shared" si="52"/>
        <v>2912290</v>
      </c>
      <c r="B1724">
        <v>2017</v>
      </c>
      <c r="C1724" t="s">
        <v>739</v>
      </c>
      <c r="D1724" t="s">
        <v>740</v>
      </c>
      <c r="E1724" t="s">
        <v>743</v>
      </c>
      <c r="F1724" s="34">
        <v>289</v>
      </c>
      <c r="G1724" s="34" t="s">
        <v>214</v>
      </c>
      <c r="H1724" s="36">
        <v>751542</v>
      </c>
      <c r="I1724" s="58">
        <v>3925170</v>
      </c>
      <c r="J1724">
        <f>IFERROR(VLOOKUP(G1724,'LEAID Match'!$A$2:$B$526,2,FALSE),"")</f>
        <v>2912290</v>
      </c>
      <c r="K1724" s="68">
        <f t="shared" si="53"/>
        <v>8</v>
      </c>
    </row>
    <row r="1725" spans="1:11" x14ac:dyDescent="0.2">
      <c r="A1725">
        <f t="shared" si="52"/>
        <v>2912290</v>
      </c>
      <c r="B1725">
        <v>2018</v>
      </c>
      <c r="C1725" t="s">
        <v>739</v>
      </c>
      <c r="D1725" t="s">
        <v>740</v>
      </c>
      <c r="E1725" t="s">
        <v>743</v>
      </c>
      <c r="F1725" s="34">
        <v>289</v>
      </c>
      <c r="G1725" s="34" t="s">
        <v>214</v>
      </c>
      <c r="H1725" s="36">
        <v>762237</v>
      </c>
      <c r="I1725" s="58">
        <v>3917195</v>
      </c>
      <c r="J1725">
        <f>IFERROR(VLOOKUP(G1725,'LEAID Match'!$A$2:$B$526,2,FALSE),"")</f>
        <v>2912290</v>
      </c>
      <c r="K1725" s="68">
        <f t="shared" si="53"/>
        <v>8</v>
      </c>
    </row>
    <row r="1726" spans="1:11" x14ac:dyDescent="0.2">
      <c r="A1726">
        <f t="shared" si="52"/>
        <v>2912290</v>
      </c>
      <c r="B1726">
        <v>2019</v>
      </c>
      <c r="C1726" t="s">
        <v>739</v>
      </c>
      <c r="D1726" t="s">
        <v>740</v>
      </c>
      <c r="E1726" t="s">
        <v>743</v>
      </c>
      <c r="F1726" s="34">
        <v>289</v>
      </c>
      <c r="G1726" s="34" t="s">
        <v>214</v>
      </c>
      <c r="H1726" s="36">
        <v>761840</v>
      </c>
      <c r="I1726" s="58">
        <v>3960304</v>
      </c>
      <c r="J1726">
        <f>IFERROR(VLOOKUP(G1726,'LEAID Match'!$A$2:$B$526,2,FALSE),"")</f>
        <v>2912290</v>
      </c>
      <c r="K1726" s="68">
        <f t="shared" si="53"/>
        <v>8</v>
      </c>
    </row>
    <row r="1727" spans="1:11" x14ac:dyDescent="0.2">
      <c r="A1727">
        <f t="shared" si="52"/>
        <v>2912290</v>
      </c>
      <c r="B1727">
        <v>2020</v>
      </c>
      <c r="C1727" t="s">
        <v>739</v>
      </c>
      <c r="D1727" t="s">
        <v>740</v>
      </c>
      <c r="E1727" t="s">
        <v>743</v>
      </c>
      <c r="F1727" s="34">
        <v>289</v>
      </c>
      <c r="G1727" s="34" t="s">
        <v>214</v>
      </c>
      <c r="H1727" s="36">
        <v>747870</v>
      </c>
      <c r="I1727" s="58">
        <v>3947798</v>
      </c>
      <c r="J1727">
        <f>IFERROR(VLOOKUP(G1727,'LEAID Match'!$A$2:$B$526,2,FALSE),"")</f>
        <v>2912290</v>
      </c>
      <c r="K1727" s="68">
        <f t="shared" si="53"/>
        <v>8</v>
      </c>
    </row>
    <row r="1728" spans="1:11" x14ac:dyDescent="0.2">
      <c r="A1728">
        <f t="shared" si="52"/>
        <v>2912290</v>
      </c>
      <c r="B1728">
        <v>2021</v>
      </c>
      <c r="C1728" t="s">
        <v>739</v>
      </c>
      <c r="D1728" t="s">
        <v>740</v>
      </c>
      <c r="E1728" t="s">
        <v>743</v>
      </c>
      <c r="F1728" s="34">
        <v>289</v>
      </c>
      <c r="G1728" s="34" t="s">
        <v>214</v>
      </c>
      <c r="H1728" s="36">
        <v>724658</v>
      </c>
      <c r="I1728" s="58">
        <v>4018590</v>
      </c>
      <c r="J1728">
        <f>IFERROR(VLOOKUP(G1728,'LEAID Match'!$A$2:$B$526,2,FALSE),"")</f>
        <v>2912290</v>
      </c>
      <c r="K1728" s="68">
        <f t="shared" si="53"/>
        <v>8</v>
      </c>
    </row>
    <row r="1729" spans="1:11" x14ac:dyDescent="0.2">
      <c r="A1729">
        <f t="shared" si="52"/>
        <v>2912290</v>
      </c>
      <c r="B1729">
        <v>2022</v>
      </c>
      <c r="C1729" t="s">
        <v>739</v>
      </c>
      <c r="D1729" t="s">
        <v>740</v>
      </c>
      <c r="E1729" t="s">
        <v>743</v>
      </c>
      <c r="F1729" s="34">
        <v>289</v>
      </c>
      <c r="G1729" s="34" t="s">
        <v>214</v>
      </c>
      <c r="H1729" s="36">
        <v>759526</v>
      </c>
      <c r="I1729" s="58">
        <v>4126821</v>
      </c>
      <c r="J1729">
        <f>IFERROR(VLOOKUP(G1729,'LEAID Match'!$A$2:$B$526,2,FALSE),"")</f>
        <v>2912290</v>
      </c>
      <c r="K1729" s="68">
        <f t="shared" si="53"/>
        <v>8</v>
      </c>
    </row>
    <row r="1730" spans="1:11" x14ac:dyDescent="0.2">
      <c r="A1730">
        <f t="shared" si="52"/>
        <v>2905310</v>
      </c>
      <c r="B1730">
        <v>2015</v>
      </c>
      <c r="C1730" t="s">
        <v>739</v>
      </c>
      <c r="D1730" t="s">
        <v>740</v>
      </c>
      <c r="E1730" t="s">
        <v>743</v>
      </c>
      <c r="F1730" s="37">
        <v>290</v>
      </c>
      <c r="G1730" s="39" t="s">
        <v>217</v>
      </c>
      <c r="H1730" s="40">
        <v>1793387</v>
      </c>
      <c r="I1730" s="58">
        <v>10595425</v>
      </c>
      <c r="J1730">
        <f>IFERROR(VLOOKUP(G1730,'LEAID Match'!$A$2:$B$526,2,FALSE),"")</f>
        <v>2905310</v>
      </c>
      <c r="K1730" s="68">
        <f t="shared" si="53"/>
        <v>8</v>
      </c>
    </row>
    <row r="1731" spans="1:11" x14ac:dyDescent="0.2">
      <c r="A1731">
        <f t="shared" ref="A1731:A1794" si="54">J1731</f>
        <v>2905310</v>
      </c>
      <c r="B1731">
        <v>2016</v>
      </c>
      <c r="C1731" t="s">
        <v>739</v>
      </c>
      <c r="D1731" t="s">
        <v>740</v>
      </c>
      <c r="E1731" t="s">
        <v>743</v>
      </c>
      <c r="F1731" s="34">
        <v>290</v>
      </c>
      <c r="G1731" s="34" t="s">
        <v>217</v>
      </c>
      <c r="H1731" s="36">
        <v>1807690</v>
      </c>
      <c r="I1731" s="60">
        <v>10821660</v>
      </c>
      <c r="J1731">
        <f>IFERROR(VLOOKUP(G1731,'LEAID Match'!$A$2:$B$526,2,FALSE),"")</f>
        <v>2905310</v>
      </c>
      <c r="K1731" s="68">
        <f t="shared" ref="K1731:K1794" si="55">COUNTIF($J$2:$J$4295,J1731)</f>
        <v>8</v>
      </c>
    </row>
    <row r="1732" spans="1:11" x14ac:dyDescent="0.2">
      <c r="A1732">
        <f t="shared" si="54"/>
        <v>2905310</v>
      </c>
      <c r="B1732">
        <v>2017</v>
      </c>
      <c r="C1732" t="s">
        <v>739</v>
      </c>
      <c r="D1732" t="s">
        <v>740</v>
      </c>
      <c r="E1732" t="s">
        <v>743</v>
      </c>
      <c r="F1732" s="34">
        <v>290</v>
      </c>
      <c r="G1732" s="34" t="s">
        <v>217</v>
      </c>
      <c r="H1732" s="36">
        <v>1787958</v>
      </c>
      <c r="I1732" s="58">
        <v>10735098</v>
      </c>
      <c r="J1732">
        <f>IFERROR(VLOOKUP(G1732,'LEAID Match'!$A$2:$B$526,2,FALSE),"")</f>
        <v>2905310</v>
      </c>
      <c r="K1732" s="68">
        <f t="shared" si="55"/>
        <v>8</v>
      </c>
    </row>
    <row r="1733" spans="1:11" x14ac:dyDescent="0.2">
      <c r="A1733">
        <f t="shared" si="54"/>
        <v>2905310</v>
      </c>
      <c r="B1733">
        <v>2018</v>
      </c>
      <c r="C1733" t="s">
        <v>739</v>
      </c>
      <c r="D1733" t="s">
        <v>740</v>
      </c>
      <c r="E1733" t="s">
        <v>743</v>
      </c>
      <c r="F1733" s="34">
        <v>290</v>
      </c>
      <c r="G1733" s="34" t="s">
        <v>217</v>
      </c>
      <c r="H1733" s="36">
        <v>1798705</v>
      </c>
      <c r="I1733" s="58">
        <v>10772205</v>
      </c>
      <c r="J1733">
        <f>IFERROR(VLOOKUP(G1733,'LEAID Match'!$A$2:$B$526,2,FALSE),"")</f>
        <v>2905310</v>
      </c>
      <c r="K1733" s="68">
        <f t="shared" si="55"/>
        <v>8</v>
      </c>
    </row>
    <row r="1734" spans="1:11" x14ac:dyDescent="0.2">
      <c r="A1734">
        <f t="shared" si="54"/>
        <v>2905310</v>
      </c>
      <c r="B1734">
        <v>2019</v>
      </c>
      <c r="C1734" t="s">
        <v>739</v>
      </c>
      <c r="D1734" t="s">
        <v>740</v>
      </c>
      <c r="E1734" t="s">
        <v>743</v>
      </c>
      <c r="F1734" s="34">
        <v>290</v>
      </c>
      <c r="G1734" s="34" t="s">
        <v>217</v>
      </c>
      <c r="H1734" s="36">
        <v>1908343</v>
      </c>
      <c r="I1734" s="58">
        <v>11070519</v>
      </c>
      <c r="J1734">
        <f>IFERROR(VLOOKUP(G1734,'LEAID Match'!$A$2:$B$526,2,FALSE),"")</f>
        <v>2905310</v>
      </c>
      <c r="K1734" s="68">
        <f t="shared" si="55"/>
        <v>8</v>
      </c>
    </row>
    <row r="1735" spans="1:11" x14ac:dyDescent="0.2">
      <c r="A1735">
        <f t="shared" si="54"/>
        <v>2905310</v>
      </c>
      <c r="B1735">
        <v>2020</v>
      </c>
      <c r="C1735" t="s">
        <v>739</v>
      </c>
      <c r="D1735" t="s">
        <v>740</v>
      </c>
      <c r="E1735" t="s">
        <v>743</v>
      </c>
      <c r="F1735" s="34">
        <v>290</v>
      </c>
      <c r="G1735" s="34" t="s">
        <v>217</v>
      </c>
      <c r="H1735" s="36">
        <v>1966235</v>
      </c>
      <c r="I1735" s="58">
        <v>11341768</v>
      </c>
      <c r="J1735">
        <f>IFERROR(VLOOKUP(G1735,'LEAID Match'!$A$2:$B$526,2,FALSE),"")</f>
        <v>2905310</v>
      </c>
      <c r="K1735" s="68">
        <f t="shared" si="55"/>
        <v>8</v>
      </c>
    </row>
    <row r="1736" spans="1:11" x14ac:dyDescent="0.2">
      <c r="A1736">
        <f t="shared" si="54"/>
        <v>2905310</v>
      </c>
      <c r="B1736">
        <v>2021</v>
      </c>
      <c r="C1736" t="s">
        <v>739</v>
      </c>
      <c r="D1736" t="s">
        <v>740</v>
      </c>
      <c r="E1736" t="s">
        <v>743</v>
      </c>
      <c r="F1736" s="34">
        <v>290</v>
      </c>
      <c r="G1736" s="34" t="s">
        <v>217</v>
      </c>
      <c r="H1736" s="36">
        <v>1961097</v>
      </c>
      <c r="I1736" s="58">
        <v>11748965</v>
      </c>
      <c r="J1736">
        <f>IFERROR(VLOOKUP(G1736,'LEAID Match'!$A$2:$B$526,2,FALSE),"")</f>
        <v>2905310</v>
      </c>
      <c r="K1736" s="68">
        <f t="shared" si="55"/>
        <v>8</v>
      </c>
    </row>
    <row r="1737" spans="1:11" x14ac:dyDescent="0.2">
      <c r="A1737">
        <f t="shared" si="54"/>
        <v>2905310</v>
      </c>
      <c r="B1737">
        <v>2022</v>
      </c>
      <c r="C1737" t="s">
        <v>739</v>
      </c>
      <c r="D1737" t="s">
        <v>740</v>
      </c>
      <c r="E1737" t="s">
        <v>743</v>
      </c>
      <c r="F1737" s="34">
        <v>290</v>
      </c>
      <c r="G1737" s="34" t="s">
        <v>217</v>
      </c>
      <c r="H1737" s="36">
        <v>2072420</v>
      </c>
      <c r="I1737" s="58">
        <v>12048069</v>
      </c>
      <c r="J1737">
        <f>IFERROR(VLOOKUP(G1737,'LEAID Match'!$A$2:$B$526,2,FALSE),"")</f>
        <v>2905310</v>
      </c>
      <c r="K1737" s="68">
        <f t="shared" si="55"/>
        <v>8</v>
      </c>
    </row>
    <row r="1738" spans="1:11" x14ac:dyDescent="0.2">
      <c r="A1738">
        <f t="shared" si="54"/>
        <v>2913080</v>
      </c>
      <c r="B1738">
        <v>2015</v>
      </c>
      <c r="C1738" t="s">
        <v>739</v>
      </c>
      <c r="D1738" t="s">
        <v>740</v>
      </c>
      <c r="E1738" t="s">
        <v>743</v>
      </c>
      <c r="F1738" s="37">
        <v>291</v>
      </c>
      <c r="G1738" s="39" t="s">
        <v>218</v>
      </c>
      <c r="H1738" s="40">
        <v>419159</v>
      </c>
      <c r="I1738" s="58">
        <v>2679285</v>
      </c>
      <c r="J1738">
        <f>IFERROR(VLOOKUP(G1738,'LEAID Match'!$A$2:$B$526,2,FALSE),"")</f>
        <v>2913080</v>
      </c>
      <c r="K1738" s="68">
        <f t="shared" si="55"/>
        <v>8</v>
      </c>
    </row>
    <row r="1739" spans="1:11" x14ac:dyDescent="0.2">
      <c r="A1739">
        <f t="shared" si="54"/>
        <v>2913080</v>
      </c>
      <c r="B1739">
        <v>2016</v>
      </c>
      <c r="C1739" t="s">
        <v>739</v>
      </c>
      <c r="D1739" t="s">
        <v>740</v>
      </c>
      <c r="E1739" t="s">
        <v>743</v>
      </c>
      <c r="F1739" s="34">
        <v>291</v>
      </c>
      <c r="G1739" s="34" t="s">
        <v>218</v>
      </c>
      <c r="H1739" s="36">
        <v>448989</v>
      </c>
      <c r="I1739" s="60">
        <v>2812957</v>
      </c>
      <c r="J1739">
        <f>IFERROR(VLOOKUP(G1739,'LEAID Match'!$A$2:$B$526,2,FALSE),"")</f>
        <v>2913080</v>
      </c>
      <c r="K1739" s="68">
        <f t="shared" si="55"/>
        <v>8</v>
      </c>
    </row>
    <row r="1740" spans="1:11" x14ac:dyDescent="0.2">
      <c r="A1740">
        <f t="shared" si="54"/>
        <v>2913080</v>
      </c>
      <c r="B1740">
        <v>2017</v>
      </c>
      <c r="C1740" t="s">
        <v>739</v>
      </c>
      <c r="D1740" t="s">
        <v>740</v>
      </c>
      <c r="E1740" t="s">
        <v>743</v>
      </c>
      <c r="F1740" s="34">
        <v>291</v>
      </c>
      <c r="G1740" s="34" t="s">
        <v>218</v>
      </c>
      <c r="H1740" s="36">
        <v>484143</v>
      </c>
      <c r="I1740" s="58">
        <v>2964364</v>
      </c>
      <c r="J1740">
        <f>IFERROR(VLOOKUP(G1740,'LEAID Match'!$A$2:$B$526,2,FALSE),"")</f>
        <v>2913080</v>
      </c>
      <c r="K1740" s="68">
        <f t="shared" si="55"/>
        <v>8</v>
      </c>
    </row>
    <row r="1741" spans="1:11" x14ac:dyDescent="0.2">
      <c r="A1741">
        <f t="shared" si="54"/>
        <v>2913080</v>
      </c>
      <c r="B1741">
        <v>2018</v>
      </c>
      <c r="C1741" t="s">
        <v>739</v>
      </c>
      <c r="D1741" t="s">
        <v>740</v>
      </c>
      <c r="E1741" t="s">
        <v>743</v>
      </c>
      <c r="F1741" s="34">
        <v>291</v>
      </c>
      <c r="G1741" s="34" t="s">
        <v>218</v>
      </c>
      <c r="H1741" s="36">
        <v>521473</v>
      </c>
      <c r="I1741" s="58">
        <v>3171890</v>
      </c>
      <c r="J1741">
        <f>IFERROR(VLOOKUP(G1741,'LEAID Match'!$A$2:$B$526,2,FALSE),"")</f>
        <v>2913080</v>
      </c>
      <c r="K1741" s="68">
        <f t="shared" si="55"/>
        <v>8</v>
      </c>
    </row>
    <row r="1742" spans="1:11" x14ac:dyDescent="0.2">
      <c r="A1742">
        <f t="shared" si="54"/>
        <v>2913080</v>
      </c>
      <c r="B1742">
        <v>2019</v>
      </c>
      <c r="C1742" t="s">
        <v>739</v>
      </c>
      <c r="D1742" t="s">
        <v>740</v>
      </c>
      <c r="E1742" t="s">
        <v>743</v>
      </c>
      <c r="F1742" s="34">
        <v>291</v>
      </c>
      <c r="G1742" s="34" t="s">
        <v>218</v>
      </c>
      <c r="H1742" s="36">
        <v>557078</v>
      </c>
      <c r="I1742" s="58">
        <v>3260311</v>
      </c>
      <c r="J1742">
        <f>IFERROR(VLOOKUP(G1742,'LEAID Match'!$A$2:$B$526,2,FALSE),"")</f>
        <v>2913080</v>
      </c>
      <c r="K1742" s="68">
        <f t="shared" si="55"/>
        <v>8</v>
      </c>
    </row>
    <row r="1743" spans="1:11" x14ac:dyDescent="0.2">
      <c r="A1743">
        <f t="shared" si="54"/>
        <v>2913080</v>
      </c>
      <c r="B1743">
        <v>2020</v>
      </c>
      <c r="C1743" t="s">
        <v>739</v>
      </c>
      <c r="D1743" t="s">
        <v>740</v>
      </c>
      <c r="E1743" t="s">
        <v>743</v>
      </c>
      <c r="F1743" s="34">
        <v>291</v>
      </c>
      <c r="G1743" s="34" t="s">
        <v>218</v>
      </c>
      <c r="H1743" s="36">
        <v>590556</v>
      </c>
      <c r="I1743" s="58">
        <v>3345131</v>
      </c>
      <c r="J1743">
        <f>IFERROR(VLOOKUP(G1743,'LEAID Match'!$A$2:$B$526,2,FALSE),"")</f>
        <v>2913080</v>
      </c>
      <c r="K1743" s="68">
        <f t="shared" si="55"/>
        <v>8</v>
      </c>
    </row>
    <row r="1744" spans="1:11" x14ac:dyDescent="0.2">
      <c r="A1744">
        <f t="shared" si="54"/>
        <v>2913080</v>
      </c>
      <c r="B1744">
        <v>2021</v>
      </c>
      <c r="C1744" t="s">
        <v>739</v>
      </c>
      <c r="D1744" t="s">
        <v>740</v>
      </c>
      <c r="E1744" t="s">
        <v>743</v>
      </c>
      <c r="F1744" s="34">
        <v>291</v>
      </c>
      <c r="G1744" s="34" t="s">
        <v>218</v>
      </c>
      <c r="H1744" s="36">
        <v>594572</v>
      </c>
      <c r="I1744" s="58">
        <v>3430580</v>
      </c>
      <c r="J1744">
        <f>IFERROR(VLOOKUP(G1744,'LEAID Match'!$A$2:$B$526,2,FALSE),"")</f>
        <v>2913080</v>
      </c>
      <c r="K1744" s="68">
        <f t="shared" si="55"/>
        <v>8</v>
      </c>
    </row>
    <row r="1745" spans="1:11" x14ac:dyDescent="0.2">
      <c r="A1745">
        <f t="shared" si="54"/>
        <v>2913080</v>
      </c>
      <c r="B1745">
        <v>2022</v>
      </c>
      <c r="C1745" t="s">
        <v>739</v>
      </c>
      <c r="D1745" t="s">
        <v>740</v>
      </c>
      <c r="E1745" t="s">
        <v>743</v>
      </c>
      <c r="F1745" s="34">
        <v>291</v>
      </c>
      <c r="G1745" s="34" t="s">
        <v>218</v>
      </c>
      <c r="H1745" s="36">
        <v>637417</v>
      </c>
      <c r="I1745" s="58">
        <v>3489615</v>
      </c>
      <c r="J1745">
        <f>IFERROR(VLOOKUP(G1745,'LEAID Match'!$A$2:$B$526,2,FALSE),"")</f>
        <v>2913080</v>
      </c>
      <c r="K1745" s="68">
        <f t="shared" si="55"/>
        <v>8</v>
      </c>
    </row>
    <row r="1746" spans="1:11" x14ac:dyDescent="0.2">
      <c r="A1746">
        <f t="shared" si="54"/>
        <v>2923010</v>
      </c>
      <c r="B1746">
        <v>2015</v>
      </c>
      <c r="C1746" t="s">
        <v>739</v>
      </c>
      <c r="D1746" t="s">
        <v>740</v>
      </c>
      <c r="E1746" t="s">
        <v>743</v>
      </c>
      <c r="F1746" s="37">
        <v>292</v>
      </c>
      <c r="G1746" s="39" t="s">
        <v>219</v>
      </c>
      <c r="H1746" s="40">
        <v>136461</v>
      </c>
      <c r="I1746" s="58">
        <v>1365001</v>
      </c>
      <c r="J1746">
        <f>IFERROR(VLOOKUP(G1746,'LEAID Match'!$A$2:$B$526,2,FALSE),"")</f>
        <v>2923010</v>
      </c>
      <c r="K1746" s="68">
        <f t="shared" si="55"/>
        <v>8</v>
      </c>
    </row>
    <row r="1747" spans="1:11" x14ac:dyDescent="0.2">
      <c r="A1747">
        <f t="shared" si="54"/>
        <v>2923010</v>
      </c>
      <c r="B1747">
        <v>2016</v>
      </c>
      <c r="C1747" t="s">
        <v>739</v>
      </c>
      <c r="D1747" t="s">
        <v>740</v>
      </c>
      <c r="E1747" t="s">
        <v>743</v>
      </c>
      <c r="F1747" s="34">
        <v>292</v>
      </c>
      <c r="G1747" s="34" t="s">
        <v>219</v>
      </c>
      <c r="H1747" s="36">
        <v>138317</v>
      </c>
      <c r="I1747" s="60">
        <v>1386086</v>
      </c>
      <c r="J1747">
        <f>IFERROR(VLOOKUP(G1747,'LEAID Match'!$A$2:$B$526,2,FALSE),"")</f>
        <v>2923010</v>
      </c>
      <c r="K1747" s="68">
        <f t="shared" si="55"/>
        <v>8</v>
      </c>
    </row>
    <row r="1748" spans="1:11" x14ac:dyDescent="0.2">
      <c r="A1748">
        <f t="shared" si="54"/>
        <v>2923010</v>
      </c>
      <c r="B1748">
        <v>2017</v>
      </c>
      <c r="C1748" t="s">
        <v>739</v>
      </c>
      <c r="D1748" t="s">
        <v>740</v>
      </c>
      <c r="E1748" t="s">
        <v>743</v>
      </c>
      <c r="F1748" s="34">
        <v>292</v>
      </c>
      <c r="G1748" s="34" t="s">
        <v>219</v>
      </c>
      <c r="H1748" s="36">
        <v>141154</v>
      </c>
      <c r="I1748" s="58">
        <v>1411399</v>
      </c>
      <c r="J1748">
        <f>IFERROR(VLOOKUP(G1748,'LEAID Match'!$A$2:$B$526,2,FALSE),"")</f>
        <v>2923010</v>
      </c>
      <c r="K1748" s="68">
        <f t="shared" si="55"/>
        <v>8</v>
      </c>
    </row>
    <row r="1749" spans="1:11" x14ac:dyDescent="0.2">
      <c r="A1749">
        <f t="shared" si="54"/>
        <v>2923010</v>
      </c>
      <c r="B1749">
        <v>2018</v>
      </c>
      <c r="C1749" t="s">
        <v>739</v>
      </c>
      <c r="D1749" t="s">
        <v>740</v>
      </c>
      <c r="E1749" t="s">
        <v>743</v>
      </c>
      <c r="F1749" s="34">
        <v>292</v>
      </c>
      <c r="G1749" s="34" t="s">
        <v>219</v>
      </c>
      <c r="H1749" s="36">
        <v>134450</v>
      </c>
      <c r="I1749" s="58">
        <v>1417607</v>
      </c>
      <c r="J1749">
        <f>IFERROR(VLOOKUP(G1749,'LEAID Match'!$A$2:$B$526,2,FALSE),"")</f>
        <v>2923010</v>
      </c>
      <c r="K1749" s="68">
        <f t="shared" si="55"/>
        <v>8</v>
      </c>
    </row>
    <row r="1750" spans="1:11" x14ac:dyDescent="0.2">
      <c r="A1750">
        <f t="shared" si="54"/>
        <v>2923010</v>
      </c>
      <c r="B1750">
        <v>2019</v>
      </c>
      <c r="C1750" t="s">
        <v>739</v>
      </c>
      <c r="D1750" t="s">
        <v>740</v>
      </c>
      <c r="E1750" t="s">
        <v>743</v>
      </c>
      <c r="F1750" s="34">
        <v>292</v>
      </c>
      <c r="G1750" s="34" t="s">
        <v>219</v>
      </c>
      <c r="H1750" s="36">
        <v>145501</v>
      </c>
      <c r="I1750" s="58">
        <v>1442865</v>
      </c>
      <c r="J1750">
        <f>IFERROR(VLOOKUP(G1750,'LEAID Match'!$A$2:$B$526,2,FALSE),"")</f>
        <v>2923010</v>
      </c>
      <c r="K1750" s="68">
        <f t="shared" si="55"/>
        <v>8</v>
      </c>
    </row>
    <row r="1751" spans="1:11" x14ac:dyDescent="0.2">
      <c r="A1751">
        <f t="shared" si="54"/>
        <v>2923010</v>
      </c>
      <c r="B1751">
        <v>2020</v>
      </c>
      <c r="C1751" t="s">
        <v>739</v>
      </c>
      <c r="D1751" t="s">
        <v>740</v>
      </c>
      <c r="E1751" t="s">
        <v>743</v>
      </c>
      <c r="F1751" s="34">
        <v>292</v>
      </c>
      <c r="G1751" s="34" t="s">
        <v>219</v>
      </c>
      <c r="H1751" s="36">
        <v>148759</v>
      </c>
      <c r="I1751" s="58">
        <v>1456071</v>
      </c>
      <c r="J1751">
        <f>IFERROR(VLOOKUP(G1751,'LEAID Match'!$A$2:$B$526,2,FALSE),"")</f>
        <v>2923010</v>
      </c>
      <c r="K1751" s="68">
        <f t="shared" si="55"/>
        <v>8</v>
      </c>
    </row>
    <row r="1752" spans="1:11" x14ac:dyDescent="0.2">
      <c r="A1752">
        <f t="shared" si="54"/>
        <v>2923010</v>
      </c>
      <c r="B1752">
        <v>2021</v>
      </c>
      <c r="C1752" t="s">
        <v>739</v>
      </c>
      <c r="D1752" t="s">
        <v>740</v>
      </c>
      <c r="E1752" t="s">
        <v>743</v>
      </c>
      <c r="F1752" s="34">
        <v>292</v>
      </c>
      <c r="G1752" s="34" t="s">
        <v>219</v>
      </c>
      <c r="H1752" s="36">
        <v>150450</v>
      </c>
      <c r="I1752" s="58">
        <v>1518546</v>
      </c>
      <c r="J1752">
        <f>IFERROR(VLOOKUP(G1752,'LEAID Match'!$A$2:$B$526,2,FALSE),"")</f>
        <v>2923010</v>
      </c>
      <c r="K1752" s="68">
        <f t="shared" si="55"/>
        <v>8</v>
      </c>
    </row>
    <row r="1753" spans="1:11" x14ac:dyDescent="0.2">
      <c r="A1753">
        <f t="shared" si="54"/>
        <v>2923010</v>
      </c>
      <c r="B1753">
        <v>2022</v>
      </c>
      <c r="C1753" t="s">
        <v>739</v>
      </c>
      <c r="D1753" t="s">
        <v>740</v>
      </c>
      <c r="E1753" t="s">
        <v>743</v>
      </c>
      <c r="F1753" s="34">
        <v>292</v>
      </c>
      <c r="G1753" s="34" t="s">
        <v>219</v>
      </c>
      <c r="H1753" s="36">
        <v>149971</v>
      </c>
      <c r="I1753" s="58">
        <v>1545942</v>
      </c>
      <c r="J1753">
        <f>IFERROR(VLOOKUP(G1753,'LEAID Match'!$A$2:$B$526,2,FALSE),"")</f>
        <v>2923010</v>
      </c>
      <c r="K1753" s="68">
        <f t="shared" si="55"/>
        <v>8</v>
      </c>
    </row>
    <row r="1754" spans="1:11" x14ac:dyDescent="0.2">
      <c r="A1754">
        <f t="shared" si="54"/>
        <v>2918300</v>
      </c>
      <c r="B1754">
        <v>2015</v>
      </c>
      <c r="C1754" t="s">
        <v>739</v>
      </c>
      <c r="D1754" t="s">
        <v>740</v>
      </c>
      <c r="E1754" t="s">
        <v>743</v>
      </c>
      <c r="F1754" s="37">
        <v>293</v>
      </c>
      <c r="G1754" s="39" t="s">
        <v>220</v>
      </c>
      <c r="H1754" s="40">
        <v>2659349</v>
      </c>
      <c r="I1754" s="58">
        <v>13410559</v>
      </c>
      <c r="J1754">
        <f>IFERROR(VLOOKUP(G1754,'LEAID Match'!$A$2:$B$526,2,FALSE),"")</f>
        <v>2918300</v>
      </c>
      <c r="K1754" s="68">
        <f t="shared" si="55"/>
        <v>8</v>
      </c>
    </row>
    <row r="1755" spans="1:11" x14ac:dyDescent="0.2">
      <c r="A1755">
        <f t="shared" si="54"/>
        <v>2918300</v>
      </c>
      <c r="B1755">
        <v>2016</v>
      </c>
      <c r="C1755" t="s">
        <v>739</v>
      </c>
      <c r="D1755" t="s">
        <v>740</v>
      </c>
      <c r="E1755" t="s">
        <v>743</v>
      </c>
      <c r="F1755" s="34">
        <v>293</v>
      </c>
      <c r="G1755" s="34" t="s">
        <v>220</v>
      </c>
      <c r="H1755" s="36">
        <v>2782564</v>
      </c>
      <c r="I1755" s="60">
        <v>13900185</v>
      </c>
      <c r="J1755">
        <f>IFERROR(VLOOKUP(G1755,'LEAID Match'!$A$2:$B$526,2,FALSE),"")</f>
        <v>2918300</v>
      </c>
      <c r="K1755" s="68">
        <f t="shared" si="55"/>
        <v>8</v>
      </c>
    </row>
    <row r="1756" spans="1:11" x14ac:dyDescent="0.2">
      <c r="A1756">
        <f t="shared" si="54"/>
        <v>2918300</v>
      </c>
      <c r="B1756">
        <v>2017</v>
      </c>
      <c r="C1756" t="s">
        <v>739</v>
      </c>
      <c r="D1756" t="s">
        <v>740</v>
      </c>
      <c r="E1756" t="s">
        <v>743</v>
      </c>
      <c r="F1756" s="34">
        <v>293</v>
      </c>
      <c r="G1756" s="34" t="s">
        <v>220</v>
      </c>
      <c r="H1756" s="36">
        <v>2869157</v>
      </c>
      <c r="I1756" s="58">
        <v>14276795</v>
      </c>
      <c r="J1756">
        <f>IFERROR(VLOOKUP(G1756,'LEAID Match'!$A$2:$B$526,2,FALSE),"")</f>
        <v>2918300</v>
      </c>
      <c r="K1756" s="68">
        <f t="shared" si="55"/>
        <v>8</v>
      </c>
    </row>
    <row r="1757" spans="1:11" x14ac:dyDescent="0.2">
      <c r="A1757">
        <f t="shared" si="54"/>
        <v>2918300</v>
      </c>
      <c r="B1757">
        <v>2018</v>
      </c>
      <c r="C1757" t="s">
        <v>739</v>
      </c>
      <c r="D1757" t="s">
        <v>740</v>
      </c>
      <c r="E1757" t="s">
        <v>743</v>
      </c>
      <c r="F1757" s="34">
        <v>293</v>
      </c>
      <c r="G1757" s="34" t="s">
        <v>220</v>
      </c>
      <c r="H1757" s="36">
        <v>3058463</v>
      </c>
      <c r="I1757" s="58">
        <v>14845663</v>
      </c>
      <c r="J1757">
        <f>IFERROR(VLOOKUP(G1757,'LEAID Match'!$A$2:$B$526,2,FALSE),"")</f>
        <v>2918300</v>
      </c>
      <c r="K1757" s="68">
        <f t="shared" si="55"/>
        <v>8</v>
      </c>
    </row>
    <row r="1758" spans="1:11" x14ac:dyDescent="0.2">
      <c r="A1758">
        <f t="shared" si="54"/>
        <v>2918300</v>
      </c>
      <c r="B1758">
        <v>2019</v>
      </c>
      <c r="C1758" t="s">
        <v>739</v>
      </c>
      <c r="D1758" t="s">
        <v>740</v>
      </c>
      <c r="E1758" t="s">
        <v>743</v>
      </c>
      <c r="F1758" s="34">
        <v>293</v>
      </c>
      <c r="G1758" s="34" t="s">
        <v>220</v>
      </c>
      <c r="H1758" s="36">
        <v>3173653</v>
      </c>
      <c r="I1758" s="58">
        <v>15289949</v>
      </c>
      <c r="J1758">
        <f>IFERROR(VLOOKUP(G1758,'LEAID Match'!$A$2:$B$526,2,FALSE),"")</f>
        <v>2918300</v>
      </c>
      <c r="K1758" s="68">
        <f t="shared" si="55"/>
        <v>8</v>
      </c>
    </row>
    <row r="1759" spans="1:11" x14ac:dyDescent="0.2">
      <c r="A1759">
        <f t="shared" si="54"/>
        <v>2918300</v>
      </c>
      <c r="B1759">
        <v>2020</v>
      </c>
      <c r="C1759" t="s">
        <v>739</v>
      </c>
      <c r="D1759" t="s">
        <v>740</v>
      </c>
      <c r="E1759" t="s">
        <v>743</v>
      </c>
      <c r="F1759" s="34">
        <v>293</v>
      </c>
      <c r="G1759" s="34" t="s">
        <v>220</v>
      </c>
      <c r="H1759" s="36">
        <v>3244117</v>
      </c>
      <c r="I1759" s="58">
        <v>15639385</v>
      </c>
      <c r="J1759">
        <f>IFERROR(VLOOKUP(G1759,'LEAID Match'!$A$2:$B$526,2,FALSE),"")</f>
        <v>2918300</v>
      </c>
      <c r="K1759" s="68">
        <f t="shared" si="55"/>
        <v>8</v>
      </c>
    </row>
    <row r="1760" spans="1:11" x14ac:dyDescent="0.2">
      <c r="A1760">
        <f t="shared" si="54"/>
        <v>2918300</v>
      </c>
      <c r="B1760">
        <v>2021</v>
      </c>
      <c r="C1760" t="s">
        <v>739</v>
      </c>
      <c r="D1760" t="s">
        <v>740</v>
      </c>
      <c r="E1760" t="s">
        <v>743</v>
      </c>
      <c r="F1760" s="34">
        <v>293</v>
      </c>
      <c r="G1760" s="34" t="s">
        <v>220</v>
      </c>
      <c r="H1760" s="36">
        <v>3232853</v>
      </c>
      <c r="I1760" s="58">
        <v>16172867</v>
      </c>
      <c r="J1760">
        <f>IFERROR(VLOOKUP(G1760,'LEAID Match'!$A$2:$B$526,2,FALSE),"")</f>
        <v>2918300</v>
      </c>
      <c r="K1760" s="68">
        <f t="shared" si="55"/>
        <v>8</v>
      </c>
    </row>
    <row r="1761" spans="1:11" x14ac:dyDescent="0.2">
      <c r="A1761">
        <f t="shared" si="54"/>
        <v>2918300</v>
      </c>
      <c r="B1761">
        <v>2022</v>
      </c>
      <c r="C1761" t="s">
        <v>739</v>
      </c>
      <c r="D1761" t="s">
        <v>740</v>
      </c>
      <c r="E1761" t="s">
        <v>743</v>
      </c>
      <c r="F1761" s="34">
        <v>293</v>
      </c>
      <c r="G1761" s="34" t="s">
        <v>220</v>
      </c>
      <c r="H1761" s="36">
        <v>3401771</v>
      </c>
      <c r="I1761" s="58">
        <v>16730046</v>
      </c>
      <c r="J1761">
        <f>IFERROR(VLOOKUP(G1761,'LEAID Match'!$A$2:$B$526,2,FALSE),"")</f>
        <v>2918300</v>
      </c>
      <c r="K1761" s="68">
        <f t="shared" si="55"/>
        <v>8</v>
      </c>
    </row>
    <row r="1762" spans="1:11" x14ac:dyDescent="0.2">
      <c r="A1762">
        <f t="shared" si="54"/>
        <v>2914340</v>
      </c>
      <c r="B1762">
        <v>2015</v>
      </c>
      <c r="C1762" t="s">
        <v>739</v>
      </c>
      <c r="D1762" t="s">
        <v>740</v>
      </c>
      <c r="E1762" t="s">
        <v>743</v>
      </c>
      <c r="F1762" s="37">
        <v>294</v>
      </c>
      <c r="G1762" s="39" t="s">
        <v>221</v>
      </c>
      <c r="H1762" s="40">
        <v>762425</v>
      </c>
      <c r="I1762" s="58">
        <v>4564382</v>
      </c>
      <c r="J1762">
        <f>IFERROR(VLOOKUP(G1762,'LEAID Match'!$A$2:$B$526,2,FALSE),"")</f>
        <v>2914340</v>
      </c>
      <c r="K1762" s="68">
        <f t="shared" si="55"/>
        <v>8</v>
      </c>
    </row>
    <row r="1763" spans="1:11" x14ac:dyDescent="0.2">
      <c r="A1763">
        <f t="shared" si="54"/>
        <v>2914340</v>
      </c>
      <c r="B1763">
        <v>2016</v>
      </c>
      <c r="C1763" t="s">
        <v>739</v>
      </c>
      <c r="D1763" t="s">
        <v>740</v>
      </c>
      <c r="E1763" t="s">
        <v>743</v>
      </c>
      <c r="F1763" s="34">
        <v>294</v>
      </c>
      <c r="G1763" s="34" t="s">
        <v>221</v>
      </c>
      <c r="H1763" s="36">
        <v>789722</v>
      </c>
      <c r="I1763" s="60">
        <v>4627230</v>
      </c>
      <c r="J1763">
        <f>IFERROR(VLOOKUP(G1763,'LEAID Match'!$A$2:$B$526,2,FALSE),"")</f>
        <v>2914340</v>
      </c>
      <c r="K1763" s="68">
        <f t="shared" si="55"/>
        <v>8</v>
      </c>
    </row>
    <row r="1764" spans="1:11" x14ac:dyDescent="0.2">
      <c r="A1764">
        <f t="shared" si="54"/>
        <v>2914340</v>
      </c>
      <c r="B1764">
        <v>2017</v>
      </c>
      <c r="C1764" t="s">
        <v>739</v>
      </c>
      <c r="D1764" t="s">
        <v>740</v>
      </c>
      <c r="E1764" t="s">
        <v>743</v>
      </c>
      <c r="F1764" s="34">
        <v>294</v>
      </c>
      <c r="G1764" s="34" t="s">
        <v>221</v>
      </c>
      <c r="H1764" s="36">
        <v>879078</v>
      </c>
      <c r="I1764" s="58">
        <v>4620007</v>
      </c>
      <c r="J1764">
        <f>IFERROR(VLOOKUP(G1764,'LEAID Match'!$A$2:$B$526,2,FALSE),"")</f>
        <v>2914340</v>
      </c>
      <c r="K1764" s="68">
        <f t="shared" si="55"/>
        <v>8</v>
      </c>
    </row>
    <row r="1765" spans="1:11" x14ac:dyDescent="0.2">
      <c r="A1765">
        <f t="shared" si="54"/>
        <v>2914340</v>
      </c>
      <c r="B1765">
        <v>2018</v>
      </c>
      <c r="C1765" t="s">
        <v>739</v>
      </c>
      <c r="D1765" t="s">
        <v>740</v>
      </c>
      <c r="E1765" t="s">
        <v>743</v>
      </c>
      <c r="F1765" s="34">
        <v>294</v>
      </c>
      <c r="G1765" s="34" t="s">
        <v>221</v>
      </c>
      <c r="H1765" s="36">
        <v>904123</v>
      </c>
      <c r="I1765" s="58">
        <v>4571732</v>
      </c>
      <c r="J1765">
        <f>IFERROR(VLOOKUP(G1765,'LEAID Match'!$A$2:$B$526,2,FALSE),"")</f>
        <v>2914340</v>
      </c>
      <c r="K1765" s="68">
        <f t="shared" si="55"/>
        <v>8</v>
      </c>
    </row>
    <row r="1766" spans="1:11" x14ac:dyDescent="0.2">
      <c r="A1766">
        <f t="shared" si="54"/>
        <v>2914340</v>
      </c>
      <c r="B1766">
        <v>2019</v>
      </c>
      <c r="C1766" t="s">
        <v>739</v>
      </c>
      <c r="D1766" t="s">
        <v>740</v>
      </c>
      <c r="E1766" t="s">
        <v>743</v>
      </c>
      <c r="F1766" s="34">
        <v>294</v>
      </c>
      <c r="G1766" s="34" t="s">
        <v>221</v>
      </c>
      <c r="H1766" s="36">
        <v>884587</v>
      </c>
      <c r="I1766" s="58">
        <v>4492282</v>
      </c>
      <c r="J1766">
        <f>IFERROR(VLOOKUP(G1766,'LEAID Match'!$A$2:$B$526,2,FALSE),"")</f>
        <v>2914340</v>
      </c>
      <c r="K1766" s="68">
        <f t="shared" si="55"/>
        <v>8</v>
      </c>
    </row>
    <row r="1767" spans="1:11" x14ac:dyDescent="0.2">
      <c r="A1767">
        <f t="shared" si="54"/>
        <v>2914340</v>
      </c>
      <c r="B1767">
        <v>2020</v>
      </c>
      <c r="C1767" t="s">
        <v>739</v>
      </c>
      <c r="D1767" t="s">
        <v>740</v>
      </c>
      <c r="E1767" t="s">
        <v>743</v>
      </c>
      <c r="F1767" s="34">
        <v>294</v>
      </c>
      <c r="G1767" s="34" t="s">
        <v>221</v>
      </c>
      <c r="H1767" s="36">
        <v>858844</v>
      </c>
      <c r="I1767" s="58">
        <v>4249244</v>
      </c>
      <c r="J1767">
        <f>IFERROR(VLOOKUP(G1767,'LEAID Match'!$A$2:$B$526,2,FALSE),"")</f>
        <v>2914340</v>
      </c>
      <c r="K1767" s="68">
        <f t="shared" si="55"/>
        <v>8</v>
      </c>
    </row>
    <row r="1768" spans="1:11" x14ac:dyDescent="0.2">
      <c r="A1768">
        <f t="shared" si="54"/>
        <v>2914340</v>
      </c>
      <c r="B1768">
        <v>2021</v>
      </c>
      <c r="C1768" t="s">
        <v>739</v>
      </c>
      <c r="D1768" t="s">
        <v>740</v>
      </c>
      <c r="E1768" t="s">
        <v>743</v>
      </c>
      <c r="F1768" s="34">
        <v>294</v>
      </c>
      <c r="G1768" s="34" t="s">
        <v>221</v>
      </c>
      <c r="H1768" s="36">
        <v>797115</v>
      </c>
      <c r="I1768" s="58">
        <v>4347594</v>
      </c>
      <c r="J1768">
        <f>IFERROR(VLOOKUP(G1768,'LEAID Match'!$A$2:$B$526,2,FALSE),"")</f>
        <v>2914340</v>
      </c>
      <c r="K1768" s="68">
        <f t="shared" si="55"/>
        <v>8</v>
      </c>
    </row>
    <row r="1769" spans="1:11" x14ac:dyDescent="0.2">
      <c r="A1769">
        <f t="shared" si="54"/>
        <v>2914340</v>
      </c>
      <c r="B1769">
        <v>2022</v>
      </c>
      <c r="C1769" t="s">
        <v>739</v>
      </c>
      <c r="D1769" t="s">
        <v>740</v>
      </c>
      <c r="E1769" t="s">
        <v>743</v>
      </c>
      <c r="F1769" s="34">
        <v>294</v>
      </c>
      <c r="G1769" s="34" t="s">
        <v>221</v>
      </c>
      <c r="H1769" s="36">
        <v>849707</v>
      </c>
      <c r="I1769" s="58">
        <v>4409093</v>
      </c>
      <c r="J1769">
        <f>IFERROR(VLOOKUP(G1769,'LEAID Match'!$A$2:$B$526,2,FALSE),"")</f>
        <v>2914340</v>
      </c>
      <c r="K1769" s="68">
        <f t="shared" si="55"/>
        <v>8</v>
      </c>
    </row>
    <row r="1770" spans="1:11" x14ac:dyDescent="0.2">
      <c r="A1770">
        <f t="shared" si="54"/>
        <v>2926070</v>
      </c>
      <c r="B1770">
        <v>2015</v>
      </c>
      <c r="C1770" t="s">
        <v>739</v>
      </c>
      <c r="D1770" t="s">
        <v>740</v>
      </c>
      <c r="E1770" t="s">
        <v>743</v>
      </c>
      <c r="F1770" s="37">
        <v>295</v>
      </c>
      <c r="G1770" s="39" t="s">
        <v>222</v>
      </c>
      <c r="H1770" s="40">
        <v>1197834</v>
      </c>
      <c r="I1770" s="58">
        <v>6388876</v>
      </c>
      <c r="J1770">
        <f>IFERROR(VLOOKUP(G1770,'LEAID Match'!$A$2:$B$526,2,FALSE),"")</f>
        <v>2926070</v>
      </c>
      <c r="K1770" s="68">
        <f t="shared" si="55"/>
        <v>8</v>
      </c>
    </row>
    <row r="1771" spans="1:11" x14ac:dyDescent="0.2">
      <c r="A1771">
        <f t="shared" si="54"/>
        <v>2926070</v>
      </c>
      <c r="B1771">
        <v>2016</v>
      </c>
      <c r="C1771" t="s">
        <v>739</v>
      </c>
      <c r="D1771" t="s">
        <v>740</v>
      </c>
      <c r="E1771" t="s">
        <v>743</v>
      </c>
      <c r="F1771" s="34">
        <v>295</v>
      </c>
      <c r="G1771" s="34" t="s">
        <v>222</v>
      </c>
      <c r="H1771" s="36">
        <v>1309408</v>
      </c>
      <c r="I1771" s="60">
        <v>6754449</v>
      </c>
      <c r="J1771">
        <f>IFERROR(VLOOKUP(G1771,'LEAID Match'!$A$2:$B$526,2,FALSE),"")</f>
        <v>2926070</v>
      </c>
      <c r="K1771" s="68">
        <f t="shared" si="55"/>
        <v>8</v>
      </c>
    </row>
    <row r="1772" spans="1:11" x14ac:dyDescent="0.2">
      <c r="A1772">
        <f t="shared" si="54"/>
        <v>2926070</v>
      </c>
      <c r="B1772">
        <v>2017</v>
      </c>
      <c r="C1772" t="s">
        <v>739</v>
      </c>
      <c r="D1772" t="s">
        <v>740</v>
      </c>
      <c r="E1772" t="s">
        <v>743</v>
      </c>
      <c r="F1772" s="34">
        <v>295</v>
      </c>
      <c r="G1772" s="34" t="s">
        <v>222</v>
      </c>
      <c r="H1772" s="36">
        <v>1426657</v>
      </c>
      <c r="I1772" s="58">
        <v>7099331</v>
      </c>
      <c r="J1772">
        <f>IFERROR(VLOOKUP(G1772,'LEAID Match'!$A$2:$B$526,2,FALSE),"")</f>
        <v>2926070</v>
      </c>
      <c r="K1772" s="68">
        <f t="shared" si="55"/>
        <v>8</v>
      </c>
    </row>
    <row r="1773" spans="1:11" x14ac:dyDescent="0.2">
      <c r="A1773">
        <f t="shared" si="54"/>
        <v>2926070</v>
      </c>
      <c r="B1773">
        <v>2018</v>
      </c>
      <c r="C1773" t="s">
        <v>739</v>
      </c>
      <c r="D1773" t="s">
        <v>740</v>
      </c>
      <c r="E1773" t="s">
        <v>743</v>
      </c>
      <c r="F1773" s="34">
        <v>295</v>
      </c>
      <c r="G1773" s="34" t="s">
        <v>222</v>
      </c>
      <c r="H1773" s="36">
        <v>1488372</v>
      </c>
      <c r="I1773" s="58">
        <v>7329086</v>
      </c>
      <c r="J1773">
        <f>IFERROR(VLOOKUP(G1773,'LEAID Match'!$A$2:$B$526,2,FALSE),"")</f>
        <v>2926070</v>
      </c>
      <c r="K1773" s="68">
        <f t="shared" si="55"/>
        <v>8</v>
      </c>
    </row>
    <row r="1774" spans="1:11" x14ac:dyDescent="0.2">
      <c r="A1774">
        <f t="shared" si="54"/>
        <v>2926070</v>
      </c>
      <c r="B1774">
        <v>2019</v>
      </c>
      <c r="C1774" t="s">
        <v>739</v>
      </c>
      <c r="D1774" t="s">
        <v>740</v>
      </c>
      <c r="E1774" t="s">
        <v>743</v>
      </c>
      <c r="F1774" s="34">
        <v>295</v>
      </c>
      <c r="G1774" s="34" t="s">
        <v>222</v>
      </c>
      <c r="H1774" s="36">
        <v>1503732</v>
      </c>
      <c r="I1774" s="58">
        <v>7411749</v>
      </c>
      <c r="J1774">
        <f>IFERROR(VLOOKUP(G1774,'LEAID Match'!$A$2:$B$526,2,FALSE),"")</f>
        <v>2926070</v>
      </c>
      <c r="K1774" s="68">
        <f t="shared" si="55"/>
        <v>8</v>
      </c>
    </row>
    <row r="1775" spans="1:11" x14ac:dyDescent="0.2">
      <c r="A1775">
        <f t="shared" si="54"/>
        <v>2926070</v>
      </c>
      <c r="B1775">
        <v>2020</v>
      </c>
      <c r="C1775" t="s">
        <v>739</v>
      </c>
      <c r="D1775" t="s">
        <v>740</v>
      </c>
      <c r="E1775" t="s">
        <v>743</v>
      </c>
      <c r="F1775" s="34">
        <v>295</v>
      </c>
      <c r="G1775" s="34" t="s">
        <v>222</v>
      </c>
      <c r="H1775" s="36">
        <v>1461700</v>
      </c>
      <c r="I1775" s="58">
        <v>7176639</v>
      </c>
      <c r="J1775">
        <f>IFERROR(VLOOKUP(G1775,'LEAID Match'!$A$2:$B$526,2,FALSE),"")</f>
        <v>2926070</v>
      </c>
      <c r="K1775" s="68">
        <f t="shared" si="55"/>
        <v>8</v>
      </c>
    </row>
    <row r="1776" spans="1:11" x14ac:dyDescent="0.2">
      <c r="A1776">
        <f t="shared" si="54"/>
        <v>2926070</v>
      </c>
      <c r="B1776">
        <v>2021</v>
      </c>
      <c r="C1776" t="s">
        <v>739</v>
      </c>
      <c r="D1776" t="s">
        <v>740</v>
      </c>
      <c r="E1776" t="s">
        <v>743</v>
      </c>
      <c r="F1776" s="34">
        <v>295</v>
      </c>
      <c r="G1776" s="34" t="s">
        <v>222</v>
      </c>
      <c r="H1776" s="36">
        <v>1516121</v>
      </c>
      <c r="I1776" s="58">
        <v>7595221</v>
      </c>
      <c r="J1776">
        <f>IFERROR(VLOOKUP(G1776,'LEAID Match'!$A$2:$B$526,2,FALSE),"")</f>
        <v>2926070</v>
      </c>
      <c r="K1776" s="68">
        <f t="shared" si="55"/>
        <v>8</v>
      </c>
    </row>
    <row r="1777" spans="1:11" x14ac:dyDescent="0.2">
      <c r="A1777">
        <f t="shared" si="54"/>
        <v>2926070</v>
      </c>
      <c r="B1777">
        <v>2022</v>
      </c>
      <c r="C1777" t="s">
        <v>739</v>
      </c>
      <c r="D1777" t="s">
        <v>740</v>
      </c>
      <c r="E1777" t="s">
        <v>743</v>
      </c>
      <c r="F1777" s="34">
        <v>295</v>
      </c>
      <c r="G1777" s="34" t="s">
        <v>222</v>
      </c>
      <c r="H1777" s="36">
        <v>1668499</v>
      </c>
      <c r="I1777" s="58">
        <v>8020763</v>
      </c>
      <c r="J1777">
        <f>IFERROR(VLOOKUP(G1777,'LEAID Match'!$A$2:$B$526,2,FALSE),"")</f>
        <v>2926070</v>
      </c>
      <c r="K1777" s="68">
        <f t="shared" si="55"/>
        <v>8</v>
      </c>
    </row>
    <row r="1778" spans="1:11" x14ac:dyDescent="0.2">
      <c r="A1778">
        <f t="shared" si="54"/>
        <v>2913140</v>
      </c>
      <c r="B1778">
        <v>2015</v>
      </c>
      <c r="C1778" t="s">
        <v>739</v>
      </c>
      <c r="D1778" t="s">
        <v>740</v>
      </c>
      <c r="E1778" t="s">
        <v>743</v>
      </c>
      <c r="F1778" s="37">
        <v>296</v>
      </c>
      <c r="G1778" s="39" t="s">
        <v>223</v>
      </c>
      <c r="H1778" s="40">
        <v>633971</v>
      </c>
      <c r="I1778" s="58">
        <v>3606981</v>
      </c>
      <c r="J1778">
        <f>IFERROR(VLOOKUP(G1778,'LEAID Match'!$A$2:$B$526,2,FALSE),"")</f>
        <v>2913140</v>
      </c>
      <c r="K1778" s="68">
        <f t="shared" si="55"/>
        <v>8</v>
      </c>
    </row>
    <row r="1779" spans="1:11" x14ac:dyDescent="0.2">
      <c r="A1779">
        <f t="shared" si="54"/>
        <v>2913140</v>
      </c>
      <c r="B1779">
        <v>2016</v>
      </c>
      <c r="C1779" t="s">
        <v>739</v>
      </c>
      <c r="D1779" t="s">
        <v>740</v>
      </c>
      <c r="E1779" t="s">
        <v>743</v>
      </c>
      <c r="F1779" s="34">
        <v>296</v>
      </c>
      <c r="G1779" s="34" t="s">
        <v>223</v>
      </c>
      <c r="H1779" s="36">
        <v>631750</v>
      </c>
      <c r="I1779" s="60">
        <v>3470901</v>
      </c>
      <c r="J1779">
        <f>IFERROR(VLOOKUP(G1779,'LEAID Match'!$A$2:$B$526,2,FALSE),"")</f>
        <v>2913140</v>
      </c>
      <c r="K1779" s="68">
        <f t="shared" si="55"/>
        <v>8</v>
      </c>
    </row>
    <row r="1780" spans="1:11" x14ac:dyDescent="0.2">
      <c r="A1780">
        <f t="shared" si="54"/>
        <v>2913140</v>
      </c>
      <c r="B1780">
        <v>2017</v>
      </c>
      <c r="C1780" t="s">
        <v>739</v>
      </c>
      <c r="D1780" t="s">
        <v>740</v>
      </c>
      <c r="E1780" t="s">
        <v>743</v>
      </c>
      <c r="F1780" s="34">
        <v>296</v>
      </c>
      <c r="G1780" s="34" t="s">
        <v>223</v>
      </c>
      <c r="H1780" s="36">
        <v>641723</v>
      </c>
      <c r="I1780" s="58">
        <v>3634799</v>
      </c>
      <c r="J1780">
        <f>IFERROR(VLOOKUP(G1780,'LEAID Match'!$A$2:$B$526,2,FALSE),"")</f>
        <v>2913140</v>
      </c>
      <c r="K1780" s="68">
        <f t="shared" si="55"/>
        <v>8</v>
      </c>
    </row>
    <row r="1781" spans="1:11" x14ac:dyDescent="0.2">
      <c r="A1781">
        <f t="shared" si="54"/>
        <v>2913140</v>
      </c>
      <c r="B1781">
        <v>2018</v>
      </c>
      <c r="C1781" t="s">
        <v>739</v>
      </c>
      <c r="D1781" t="s">
        <v>740</v>
      </c>
      <c r="E1781" t="s">
        <v>743</v>
      </c>
      <c r="F1781" s="34">
        <v>296</v>
      </c>
      <c r="G1781" s="34" t="s">
        <v>223</v>
      </c>
      <c r="H1781" s="36">
        <v>665222</v>
      </c>
      <c r="I1781" s="58">
        <v>3726712</v>
      </c>
      <c r="J1781">
        <f>IFERROR(VLOOKUP(G1781,'LEAID Match'!$A$2:$B$526,2,FALSE),"")</f>
        <v>2913140</v>
      </c>
      <c r="K1781" s="68">
        <f t="shared" si="55"/>
        <v>8</v>
      </c>
    </row>
    <row r="1782" spans="1:11" x14ac:dyDescent="0.2">
      <c r="A1782">
        <f t="shared" si="54"/>
        <v>2913140</v>
      </c>
      <c r="B1782">
        <v>2019</v>
      </c>
      <c r="C1782" t="s">
        <v>739</v>
      </c>
      <c r="D1782" t="s">
        <v>740</v>
      </c>
      <c r="E1782" t="s">
        <v>743</v>
      </c>
      <c r="F1782" s="34">
        <v>296</v>
      </c>
      <c r="G1782" s="34" t="s">
        <v>223</v>
      </c>
      <c r="H1782" s="36">
        <v>661199</v>
      </c>
      <c r="I1782" s="58">
        <v>3783673</v>
      </c>
      <c r="J1782">
        <f>IFERROR(VLOOKUP(G1782,'LEAID Match'!$A$2:$B$526,2,FALSE),"")</f>
        <v>2913140</v>
      </c>
      <c r="K1782" s="68">
        <f t="shared" si="55"/>
        <v>8</v>
      </c>
    </row>
    <row r="1783" spans="1:11" x14ac:dyDescent="0.2">
      <c r="A1783">
        <f t="shared" si="54"/>
        <v>2913140</v>
      </c>
      <c r="B1783">
        <v>2020</v>
      </c>
      <c r="C1783" t="s">
        <v>739</v>
      </c>
      <c r="D1783" t="s">
        <v>740</v>
      </c>
      <c r="E1783" t="s">
        <v>743</v>
      </c>
      <c r="F1783" s="34">
        <v>296</v>
      </c>
      <c r="G1783" s="34" t="s">
        <v>223</v>
      </c>
      <c r="H1783" s="36">
        <v>663575</v>
      </c>
      <c r="I1783" s="58">
        <v>3810667</v>
      </c>
      <c r="J1783">
        <f>IFERROR(VLOOKUP(G1783,'LEAID Match'!$A$2:$B$526,2,FALSE),"")</f>
        <v>2913140</v>
      </c>
      <c r="K1783" s="68">
        <f t="shared" si="55"/>
        <v>8</v>
      </c>
    </row>
    <row r="1784" spans="1:11" x14ac:dyDescent="0.2">
      <c r="A1784">
        <f t="shared" si="54"/>
        <v>2913140</v>
      </c>
      <c r="B1784">
        <v>2021</v>
      </c>
      <c r="C1784" t="s">
        <v>739</v>
      </c>
      <c r="D1784" t="s">
        <v>740</v>
      </c>
      <c r="E1784" t="s">
        <v>743</v>
      </c>
      <c r="F1784" s="34">
        <v>296</v>
      </c>
      <c r="G1784" s="34" t="s">
        <v>223</v>
      </c>
      <c r="H1784" s="36">
        <v>613014</v>
      </c>
      <c r="I1784" s="58">
        <v>3768991</v>
      </c>
      <c r="J1784">
        <f>IFERROR(VLOOKUP(G1784,'LEAID Match'!$A$2:$B$526,2,FALSE),"")</f>
        <v>2913140</v>
      </c>
      <c r="K1784" s="68">
        <f t="shared" si="55"/>
        <v>8</v>
      </c>
    </row>
    <row r="1785" spans="1:11" x14ac:dyDescent="0.2">
      <c r="A1785">
        <f t="shared" si="54"/>
        <v>2913140</v>
      </c>
      <c r="B1785">
        <v>2022</v>
      </c>
      <c r="C1785" t="s">
        <v>739</v>
      </c>
      <c r="D1785" t="s">
        <v>740</v>
      </c>
      <c r="E1785" t="s">
        <v>743</v>
      </c>
      <c r="F1785" s="34">
        <v>296</v>
      </c>
      <c r="G1785" s="34" t="s">
        <v>223</v>
      </c>
      <c r="H1785" s="36">
        <v>638628</v>
      </c>
      <c r="I1785" s="58">
        <v>3887471</v>
      </c>
      <c r="J1785">
        <f>IFERROR(VLOOKUP(G1785,'LEAID Match'!$A$2:$B$526,2,FALSE),"")</f>
        <v>2913140</v>
      </c>
      <c r="K1785" s="68">
        <f t="shared" si="55"/>
        <v>8</v>
      </c>
    </row>
    <row r="1786" spans="1:11" x14ac:dyDescent="0.2">
      <c r="A1786">
        <f t="shared" si="54"/>
        <v>2919230</v>
      </c>
      <c r="B1786">
        <v>2015</v>
      </c>
      <c r="C1786" t="s">
        <v>739</v>
      </c>
      <c r="D1786" t="s">
        <v>740</v>
      </c>
      <c r="E1786" t="s">
        <v>743</v>
      </c>
      <c r="F1786" s="37">
        <v>297</v>
      </c>
      <c r="G1786" s="39" t="s">
        <v>224</v>
      </c>
      <c r="H1786" s="40">
        <v>58138</v>
      </c>
      <c r="I1786" s="58">
        <v>401291</v>
      </c>
      <c r="J1786">
        <f>IFERROR(VLOOKUP(G1786,'LEAID Match'!$A$2:$B$526,2,FALSE),"")</f>
        <v>2919230</v>
      </c>
      <c r="K1786" s="68">
        <f t="shared" si="55"/>
        <v>8</v>
      </c>
    </row>
    <row r="1787" spans="1:11" x14ac:dyDescent="0.2">
      <c r="A1787">
        <f t="shared" si="54"/>
        <v>2919230</v>
      </c>
      <c r="B1787">
        <v>2016</v>
      </c>
      <c r="C1787" t="s">
        <v>739</v>
      </c>
      <c r="D1787" t="s">
        <v>740</v>
      </c>
      <c r="E1787" t="s">
        <v>743</v>
      </c>
      <c r="F1787" s="34">
        <v>297</v>
      </c>
      <c r="G1787" s="34" t="s">
        <v>224</v>
      </c>
      <c r="H1787" s="36">
        <v>62752</v>
      </c>
      <c r="I1787" s="60">
        <v>421106</v>
      </c>
      <c r="J1787">
        <f>IFERROR(VLOOKUP(G1787,'LEAID Match'!$A$2:$B$526,2,FALSE),"")</f>
        <v>2919230</v>
      </c>
      <c r="K1787" s="68">
        <f t="shared" si="55"/>
        <v>8</v>
      </c>
    </row>
    <row r="1788" spans="1:11" x14ac:dyDescent="0.2">
      <c r="A1788">
        <f t="shared" si="54"/>
        <v>2919230</v>
      </c>
      <c r="B1788">
        <v>2017</v>
      </c>
      <c r="C1788" t="s">
        <v>739</v>
      </c>
      <c r="D1788" t="s">
        <v>740</v>
      </c>
      <c r="E1788" t="s">
        <v>743</v>
      </c>
      <c r="F1788" s="34">
        <v>297</v>
      </c>
      <c r="G1788" s="34" t="s">
        <v>224</v>
      </c>
      <c r="H1788" s="36">
        <v>64061</v>
      </c>
      <c r="I1788" s="58">
        <v>441181</v>
      </c>
      <c r="J1788">
        <f>IFERROR(VLOOKUP(G1788,'LEAID Match'!$A$2:$B$526,2,FALSE),"")</f>
        <v>2919230</v>
      </c>
      <c r="K1788" s="68">
        <f t="shared" si="55"/>
        <v>8</v>
      </c>
    </row>
    <row r="1789" spans="1:11" x14ac:dyDescent="0.2">
      <c r="A1789">
        <f t="shared" si="54"/>
        <v>2919230</v>
      </c>
      <c r="B1789">
        <v>2018</v>
      </c>
      <c r="C1789" t="s">
        <v>739</v>
      </c>
      <c r="D1789" t="s">
        <v>740</v>
      </c>
      <c r="E1789" t="s">
        <v>743</v>
      </c>
      <c r="F1789" s="34">
        <v>297</v>
      </c>
      <c r="G1789" s="34" t="s">
        <v>224</v>
      </c>
      <c r="H1789" s="36">
        <v>64392</v>
      </c>
      <c r="I1789" s="58">
        <v>438931</v>
      </c>
      <c r="J1789">
        <f>IFERROR(VLOOKUP(G1789,'LEAID Match'!$A$2:$B$526,2,FALSE),"")</f>
        <v>2919230</v>
      </c>
      <c r="K1789" s="68">
        <f t="shared" si="55"/>
        <v>8</v>
      </c>
    </row>
    <row r="1790" spans="1:11" x14ac:dyDescent="0.2">
      <c r="A1790">
        <f t="shared" si="54"/>
        <v>2919230</v>
      </c>
      <c r="B1790">
        <v>2019</v>
      </c>
      <c r="C1790" t="s">
        <v>739</v>
      </c>
      <c r="D1790" t="s">
        <v>740</v>
      </c>
      <c r="E1790" t="s">
        <v>743</v>
      </c>
      <c r="F1790" s="34">
        <v>297</v>
      </c>
      <c r="G1790" s="34" t="s">
        <v>224</v>
      </c>
      <c r="H1790" s="36">
        <v>64080</v>
      </c>
      <c r="I1790" s="58">
        <v>460662</v>
      </c>
      <c r="J1790">
        <f>IFERROR(VLOOKUP(G1790,'LEAID Match'!$A$2:$B$526,2,FALSE),"")</f>
        <v>2919230</v>
      </c>
      <c r="K1790" s="68">
        <f t="shared" si="55"/>
        <v>8</v>
      </c>
    </row>
    <row r="1791" spans="1:11" x14ac:dyDescent="0.2">
      <c r="A1791">
        <f t="shared" si="54"/>
        <v>2919230</v>
      </c>
      <c r="B1791">
        <v>2020</v>
      </c>
      <c r="C1791" t="s">
        <v>739</v>
      </c>
      <c r="D1791" t="s">
        <v>740</v>
      </c>
      <c r="E1791" t="s">
        <v>743</v>
      </c>
      <c r="F1791" s="34">
        <v>297</v>
      </c>
      <c r="G1791" s="34" t="s">
        <v>224</v>
      </c>
      <c r="H1791" s="36">
        <v>60363</v>
      </c>
      <c r="I1791" s="58">
        <v>477368</v>
      </c>
      <c r="J1791">
        <f>IFERROR(VLOOKUP(G1791,'LEAID Match'!$A$2:$B$526,2,FALSE),"")</f>
        <v>2919230</v>
      </c>
      <c r="K1791" s="68">
        <f t="shared" si="55"/>
        <v>8</v>
      </c>
    </row>
    <row r="1792" spans="1:11" x14ac:dyDescent="0.2">
      <c r="A1792">
        <f t="shared" si="54"/>
        <v>2919230</v>
      </c>
      <c r="B1792">
        <v>2021</v>
      </c>
      <c r="C1792" t="s">
        <v>739</v>
      </c>
      <c r="D1792" t="s">
        <v>740</v>
      </c>
      <c r="E1792" t="s">
        <v>743</v>
      </c>
      <c r="F1792" s="34">
        <v>297</v>
      </c>
      <c r="G1792" s="34" t="s">
        <v>224</v>
      </c>
      <c r="H1792" s="36">
        <v>63752</v>
      </c>
      <c r="I1792" s="58">
        <v>507370</v>
      </c>
      <c r="J1792">
        <f>IFERROR(VLOOKUP(G1792,'LEAID Match'!$A$2:$B$526,2,FALSE),"")</f>
        <v>2919230</v>
      </c>
      <c r="K1792" s="68">
        <f t="shared" si="55"/>
        <v>8</v>
      </c>
    </row>
    <row r="1793" spans="1:11" x14ac:dyDescent="0.2">
      <c r="A1793">
        <f t="shared" si="54"/>
        <v>2919230</v>
      </c>
      <c r="B1793">
        <v>2022</v>
      </c>
      <c r="C1793" t="s">
        <v>739</v>
      </c>
      <c r="D1793" t="s">
        <v>740</v>
      </c>
      <c r="E1793" t="s">
        <v>743</v>
      </c>
      <c r="F1793" s="34">
        <v>297</v>
      </c>
      <c r="G1793" s="34" t="s">
        <v>224</v>
      </c>
      <c r="H1793" s="36">
        <v>62602</v>
      </c>
      <c r="I1793" s="58">
        <v>522880</v>
      </c>
      <c r="J1793">
        <f>IFERROR(VLOOKUP(G1793,'LEAID Match'!$A$2:$B$526,2,FALSE),"")</f>
        <v>2919230</v>
      </c>
      <c r="K1793" s="68">
        <f t="shared" si="55"/>
        <v>8</v>
      </c>
    </row>
    <row r="1794" spans="1:11" x14ac:dyDescent="0.2">
      <c r="A1794">
        <f t="shared" si="54"/>
        <v>2915480</v>
      </c>
      <c r="B1794">
        <v>2015</v>
      </c>
      <c r="C1794" t="s">
        <v>739</v>
      </c>
      <c r="D1794" t="s">
        <v>740</v>
      </c>
      <c r="E1794" t="s">
        <v>743</v>
      </c>
      <c r="F1794" s="37">
        <v>298</v>
      </c>
      <c r="G1794" s="39" t="s">
        <v>225</v>
      </c>
      <c r="H1794" s="40">
        <v>2209998</v>
      </c>
      <c r="I1794" s="58">
        <v>10172910</v>
      </c>
      <c r="J1794">
        <f>IFERROR(VLOOKUP(G1794,'LEAID Match'!$A$2:$B$526,2,FALSE),"")</f>
        <v>2915480</v>
      </c>
      <c r="K1794" s="68">
        <f t="shared" si="55"/>
        <v>8</v>
      </c>
    </row>
    <row r="1795" spans="1:11" x14ac:dyDescent="0.2">
      <c r="A1795">
        <f t="shared" ref="A1795:A1858" si="56">J1795</f>
        <v>2915480</v>
      </c>
      <c r="B1795">
        <v>2016</v>
      </c>
      <c r="C1795" t="s">
        <v>739</v>
      </c>
      <c r="D1795" t="s">
        <v>740</v>
      </c>
      <c r="E1795" t="s">
        <v>743</v>
      </c>
      <c r="F1795" s="34">
        <v>298</v>
      </c>
      <c r="G1795" s="34" t="s">
        <v>225</v>
      </c>
      <c r="H1795" s="36">
        <v>2259462</v>
      </c>
      <c r="I1795" s="60">
        <v>10391115</v>
      </c>
      <c r="J1795">
        <f>IFERROR(VLOOKUP(G1795,'LEAID Match'!$A$2:$B$526,2,FALSE),"")</f>
        <v>2915480</v>
      </c>
      <c r="K1795" s="68">
        <f t="shared" ref="K1795:K1858" si="57">COUNTIF($J$2:$J$4295,J1795)</f>
        <v>8</v>
      </c>
    </row>
    <row r="1796" spans="1:11" x14ac:dyDescent="0.2">
      <c r="A1796">
        <f t="shared" si="56"/>
        <v>2915480</v>
      </c>
      <c r="B1796">
        <v>2017</v>
      </c>
      <c r="C1796" t="s">
        <v>739</v>
      </c>
      <c r="D1796" t="s">
        <v>740</v>
      </c>
      <c r="E1796" t="s">
        <v>743</v>
      </c>
      <c r="F1796" s="34">
        <v>298</v>
      </c>
      <c r="G1796" s="34" t="s">
        <v>225</v>
      </c>
      <c r="H1796" s="36">
        <v>2355134</v>
      </c>
      <c r="I1796" s="58">
        <v>10582890</v>
      </c>
      <c r="J1796">
        <f>IFERROR(VLOOKUP(G1796,'LEAID Match'!$A$2:$B$526,2,FALSE),"")</f>
        <v>2915480</v>
      </c>
      <c r="K1796" s="68">
        <f t="shared" si="57"/>
        <v>8</v>
      </c>
    </row>
    <row r="1797" spans="1:11" x14ac:dyDescent="0.2">
      <c r="A1797">
        <f t="shared" si="56"/>
        <v>2915480</v>
      </c>
      <c r="B1797">
        <v>2018</v>
      </c>
      <c r="C1797" t="s">
        <v>739</v>
      </c>
      <c r="D1797" t="s">
        <v>740</v>
      </c>
      <c r="E1797" t="s">
        <v>743</v>
      </c>
      <c r="F1797" s="34">
        <v>298</v>
      </c>
      <c r="G1797" s="34" t="s">
        <v>225</v>
      </c>
      <c r="H1797" s="36">
        <v>2446376</v>
      </c>
      <c r="I1797" s="58">
        <v>10586793</v>
      </c>
      <c r="J1797">
        <f>IFERROR(VLOOKUP(G1797,'LEAID Match'!$A$2:$B$526,2,FALSE),"")</f>
        <v>2915480</v>
      </c>
      <c r="K1797" s="68">
        <f t="shared" si="57"/>
        <v>8</v>
      </c>
    </row>
    <row r="1798" spans="1:11" x14ac:dyDescent="0.2">
      <c r="A1798">
        <f t="shared" si="56"/>
        <v>2915480</v>
      </c>
      <c r="B1798">
        <v>2019</v>
      </c>
      <c r="C1798" t="s">
        <v>739</v>
      </c>
      <c r="D1798" t="s">
        <v>740</v>
      </c>
      <c r="E1798" t="s">
        <v>743</v>
      </c>
      <c r="F1798" s="34">
        <v>298</v>
      </c>
      <c r="G1798" s="34" t="s">
        <v>225</v>
      </c>
      <c r="H1798" s="36">
        <v>2508589</v>
      </c>
      <c r="I1798" s="58">
        <v>10709025</v>
      </c>
      <c r="J1798">
        <f>IFERROR(VLOOKUP(G1798,'LEAID Match'!$A$2:$B$526,2,FALSE),"")</f>
        <v>2915480</v>
      </c>
      <c r="K1798" s="68">
        <f t="shared" si="57"/>
        <v>8</v>
      </c>
    </row>
    <row r="1799" spans="1:11" x14ac:dyDescent="0.2">
      <c r="A1799">
        <f t="shared" si="56"/>
        <v>2915480</v>
      </c>
      <c r="B1799">
        <v>2020</v>
      </c>
      <c r="C1799" t="s">
        <v>739</v>
      </c>
      <c r="D1799" t="s">
        <v>740</v>
      </c>
      <c r="E1799" t="s">
        <v>743</v>
      </c>
      <c r="F1799" s="34">
        <v>298</v>
      </c>
      <c r="G1799" s="34" t="s">
        <v>225</v>
      </c>
      <c r="H1799" s="36">
        <v>2550390</v>
      </c>
      <c r="I1799" s="58">
        <v>10898758</v>
      </c>
      <c r="J1799">
        <f>IFERROR(VLOOKUP(G1799,'LEAID Match'!$A$2:$B$526,2,FALSE),"")</f>
        <v>2915480</v>
      </c>
      <c r="K1799" s="68">
        <f t="shared" si="57"/>
        <v>8</v>
      </c>
    </row>
    <row r="1800" spans="1:11" x14ac:dyDescent="0.2">
      <c r="A1800">
        <f t="shared" si="56"/>
        <v>2915480</v>
      </c>
      <c r="B1800">
        <v>2021</v>
      </c>
      <c r="C1800" t="s">
        <v>739</v>
      </c>
      <c r="D1800" t="s">
        <v>740</v>
      </c>
      <c r="E1800" t="s">
        <v>743</v>
      </c>
      <c r="F1800" s="34">
        <v>298</v>
      </c>
      <c r="G1800" s="34" t="s">
        <v>225</v>
      </c>
      <c r="H1800" s="36">
        <v>2459591</v>
      </c>
      <c r="I1800" s="58">
        <v>11048731</v>
      </c>
      <c r="J1800">
        <f>IFERROR(VLOOKUP(G1800,'LEAID Match'!$A$2:$B$526,2,FALSE),"")</f>
        <v>2915480</v>
      </c>
      <c r="K1800" s="68">
        <f t="shared" si="57"/>
        <v>8</v>
      </c>
    </row>
    <row r="1801" spans="1:11" x14ac:dyDescent="0.2">
      <c r="A1801">
        <f t="shared" si="56"/>
        <v>2915480</v>
      </c>
      <c r="B1801">
        <v>2022</v>
      </c>
      <c r="C1801" t="s">
        <v>739</v>
      </c>
      <c r="D1801" t="s">
        <v>740</v>
      </c>
      <c r="E1801" t="s">
        <v>743</v>
      </c>
      <c r="F1801" s="34">
        <v>298</v>
      </c>
      <c r="G1801" s="34" t="s">
        <v>225</v>
      </c>
      <c r="H1801" s="36">
        <v>2621457</v>
      </c>
      <c r="I1801" s="58">
        <v>11382750</v>
      </c>
      <c r="J1801">
        <f>IFERROR(VLOOKUP(G1801,'LEAID Match'!$A$2:$B$526,2,FALSE),"")</f>
        <v>2915480</v>
      </c>
      <c r="K1801" s="68">
        <f t="shared" si="57"/>
        <v>8</v>
      </c>
    </row>
    <row r="1802" spans="1:11" x14ac:dyDescent="0.2">
      <c r="A1802">
        <f t="shared" si="56"/>
        <v>2908250</v>
      </c>
      <c r="B1802">
        <v>2015</v>
      </c>
      <c r="C1802" t="s">
        <v>739</v>
      </c>
      <c r="D1802" t="s">
        <v>740</v>
      </c>
      <c r="E1802" t="s">
        <v>743</v>
      </c>
      <c r="F1802" s="37">
        <v>299</v>
      </c>
      <c r="G1802" s="39" t="s">
        <v>226</v>
      </c>
      <c r="H1802" s="40">
        <v>405592</v>
      </c>
      <c r="I1802" s="58">
        <v>2355385</v>
      </c>
      <c r="J1802">
        <f>IFERROR(VLOOKUP(G1802,'LEAID Match'!$A$2:$B$526,2,FALSE),"")</f>
        <v>2908250</v>
      </c>
      <c r="K1802" s="68">
        <f t="shared" si="57"/>
        <v>8</v>
      </c>
    </row>
    <row r="1803" spans="1:11" x14ac:dyDescent="0.2">
      <c r="A1803">
        <f t="shared" si="56"/>
        <v>2908250</v>
      </c>
      <c r="B1803">
        <v>2016</v>
      </c>
      <c r="C1803" t="s">
        <v>739</v>
      </c>
      <c r="D1803" t="s">
        <v>740</v>
      </c>
      <c r="E1803" t="s">
        <v>743</v>
      </c>
      <c r="F1803" s="34">
        <v>299</v>
      </c>
      <c r="G1803" s="34" t="s">
        <v>226</v>
      </c>
      <c r="H1803" s="36">
        <v>429118</v>
      </c>
      <c r="I1803" s="60">
        <v>2304951</v>
      </c>
      <c r="J1803">
        <f>IFERROR(VLOOKUP(G1803,'LEAID Match'!$A$2:$B$526,2,FALSE),"")</f>
        <v>2908250</v>
      </c>
      <c r="K1803" s="68">
        <f t="shared" si="57"/>
        <v>8</v>
      </c>
    </row>
    <row r="1804" spans="1:11" x14ac:dyDescent="0.2">
      <c r="A1804">
        <f t="shared" si="56"/>
        <v>2908250</v>
      </c>
      <c r="B1804">
        <v>2017</v>
      </c>
      <c r="C1804" t="s">
        <v>739</v>
      </c>
      <c r="D1804" t="s">
        <v>740</v>
      </c>
      <c r="E1804" t="s">
        <v>743</v>
      </c>
      <c r="F1804" s="34">
        <v>299</v>
      </c>
      <c r="G1804" s="34" t="s">
        <v>226</v>
      </c>
      <c r="H1804" s="36">
        <v>450508</v>
      </c>
      <c r="I1804" s="58">
        <v>2351356</v>
      </c>
      <c r="J1804">
        <f>IFERROR(VLOOKUP(G1804,'LEAID Match'!$A$2:$B$526,2,FALSE),"")</f>
        <v>2908250</v>
      </c>
      <c r="K1804" s="68">
        <f t="shared" si="57"/>
        <v>8</v>
      </c>
    </row>
    <row r="1805" spans="1:11" x14ac:dyDescent="0.2">
      <c r="A1805">
        <f t="shared" si="56"/>
        <v>2908250</v>
      </c>
      <c r="B1805">
        <v>2018</v>
      </c>
      <c r="C1805" t="s">
        <v>739</v>
      </c>
      <c r="D1805" t="s">
        <v>740</v>
      </c>
      <c r="E1805" t="s">
        <v>743</v>
      </c>
      <c r="F1805" s="34">
        <v>299</v>
      </c>
      <c r="G1805" s="34" t="s">
        <v>226</v>
      </c>
      <c r="H1805" s="36">
        <v>474320</v>
      </c>
      <c r="I1805" s="58">
        <v>2511502</v>
      </c>
      <c r="J1805">
        <f>IFERROR(VLOOKUP(G1805,'LEAID Match'!$A$2:$B$526,2,FALSE),"")</f>
        <v>2908250</v>
      </c>
      <c r="K1805" s="68">
        <f t="shared" si="57"/>
        <v>8</v>
      </c>
    </row>
    <row r="1806" spans="1:11" x14ac:dyDescent="0.2">
      <c r="A1806">
        <f t="shared" si="56"/>
        <v>2908250</v>
      </c>
      <c r="B1806">
        <v>2019</v>
      </c>
      <c r="C1806" t="s">
        <v>739</v>
      </c>
      <c r="D1806" t="s">
        <v>740</v>
      </c>
      <c r="E1806" t="s">
        <v>743</v>
      </c>
      <c r="F1806" s="34">
        <v>299</v>
      </c>
      <c r="G1806" s="34" t="s">
        <v>226</v>
      </c>
      <c r="H1806" s="36">
        <v>467720</v>
      </c>
      <c r="I1806" s="58">
        <v>2542172</v>
      </c>
      <c r="J1806">
        <f>IFERROR(VLOOKUP(G1806,'LEAID Match'!$A$2:$B$526,2,FALSE),"")</f>
        <v>2908250</v>
      </c>
      <c r="K1806" s="68">
        <f t="shared" si="57"/>
        <v>8</v>
      </c>
    </row>
    <row r="1807" spans="1:11" x14ac:dyDescent="0.2">
      <c r="A1807">
        <f t="shared" si="56"/>
        <v>2908250</v>
      </c>
      <c r="B1807">
        <v>2020</v>
      </c>
      <c r="C1807" t="s">
        <v>739</v>
      </c>
      <c r="D1807" t="s">
        <v>740</v>
      </c>
      <c r="E1807" t="s">
        <v>743</v>
      </c>
      <c r="F1807" s="34">
        <v>299</v>
      </c>
      <c r="G1807" s="34" t="s">
        <v>226</v>
      </c>
      <c r="H1807" s="36">
        <v>488002</v>
      </c>
      <c r="I1807" s="58">
        <v>2528481</v>
      </c>
      <c r="J1807">
        <f>IFERROR(VLOOKUP(G1807,'LEAID Match'!$A$2:$B$526,2,FALSE),"")</f>
        <v>2908250</v>
      </c>
      <c r="K1807" s="68">
        <f t="shared" si="57"/>
        <v>8</v>
      </c>
    </row>
    <row r="1808" spans="1:11" x14ac:dyDescent="0.2">
      <c r="A1808">
        <f t="shared" si="56"/>
        <v>2908250</v>
      </c>
      <c r="B1808">
        <v>2021</v>
      </c>
      <c r="C1808" t="s">
        <v>739</v>
      </c>
      <c r="D1808" t="s">
        <v>740</v>
      </c>
      <c r="E1808" t="s">
        <v>743</v>
      </c>
      <c r="F1808" s="34">
        <v>299</v>
      </c>
      <c r="G1808" s="34" t="s">
        <v>226</v>
      </c>
      <c r="H1808" s="36">
        <v>514581</v>
      </c>
      <c r="I1808" s="58">
        <v>2647220</v>
      </c>
      <c r="J1808">
        <f>IFERROR(VLOOKUP(G1808,'LEAID Match'!$A$2:$B$526,2,FALSE),"")</f>
        <v>2908250</v>
      </c>
      <c r="K1808" s="68">
        <f t="shared" si="57"/>
        <v>8</v>
      </c>
    </row>
    <row r="1809" spans="1:11" x14ac:dyDescent="0.2">
      <c r="A1809">
        <f t="shared" si="56"/>
        <v>2908250</v>
      </c>
      <c r="B1809">
        <v>2022</v>
      </c>
      <c r="C1809" t="s">
        <v>739</v>
      </c>
      <c r="D1809" t="s">
        <v>740</v>
      </c>
      <c r="E1809" t="s">
        <v>743</v>
      </c>
      <c r="F1809" s="34">
        <v>299</v>
      </c>
      <c r="G1809" s="34" t="s">
        <v>226</v>
      </c>
      <c r="H1809" s="36">
        <v>534239</v>
      </c>
      <c r="I1809" s="58">
        <v>2805449</v>
      </c>
      <c r="J1809">
        <f>IFERROR(VLOOKUP(G1809,'LEAID Match'!$A$2:$B$526,2,FALSE),"")</f>
        <v>2908250</v>
      </c>
      <c r="K1809" s="68">
        <f t="shared" si="57"/>
        <v>8</v>
      </c>
    </row>
    <row r="1810" spans="1:11" x14ac:dyDescent="0.2">
      <c r="A1810">
        <f t="shared" si="56"/>
        <v>2907350</v>
      </c>
      <c r="B1810">
        <v>2015</v>
      </c>
      <c r="C1810" t="s">
        <v>739</v>
      </c>
      <c r="D1810" t="s">
        <v>740</v>
      </c>
      <c r="E1810" t="s">
        <v>743</v>
      </c>
      <c r="F1810" s="37">
        <v>302</v>
      </c>
      <c r="G1810" s="39" t="s">
        <v>227</v>
      </c>
      <c r="H1810" s="40">
        <v>289586</v>
      </c>
      <c r="I1810" s="58">
        <v>1999659</v>
      </c>
      <c r="J1810">
        <f>IFERROR(VLOOKUP(G1810,'LEAID Match'!$A$2:$B$526,2,FALSE),"")</f>
        <v>2907350</v>
      </c>
      <c r="K1810" s="68">
        <f t="shared" si="57"/>
        <v>8</v>
      </c>
    </row>
    <row r="1811" spans="1:11" x14ac:dyDescent="0.2">
      <c r="A1811">
        <f t="shared" si="56"/>
        <v>2907350</v>
      </c>
      <c r="B1811">
        <v>2016</v>
      </c>
      <c r="C1811" t="s">
        <v>739</v>
      </c>
      <c r="D1811" t="s">
        <v>740</v>
      </c>
      <c r="E1811" t="s">
        <v>743</v>
      </c>
      <c r="F1811" s="34">
        <v>302</v>
      </c>
      <c r="G1811" s="34" t="s">
        <v>227</v>
      </c>
      <c r="H1811" s="36">
        <v>298992</v>
      </c>
      <c r="I1811" s="60">
        <v>2011946</v>
      </c>
      <c r="J1811">
        <f>IFERROR(VLOOKUP(G1811,'LEAID Match'!$A$2:$B$526,2,FALSE),"")</f>
        <v>2907350</v>
      </c>
      <c r="K1811" s="68">
        <f t="shared" si="57"/>
        <v>8</v>
      </c>
    </row>
    <row r="1812" spans="1:11" x14ac:dyDescent="0.2">
      <c r="A1812">
        <f t="shared" si="56"/>
        <v>2907350</v>
      </c>
      <c r="B1812">
        <v>2017</v>
      </c>
      <c r="C1812" t="s">
        <v>739</v>
      </c>
      <c r="D1812" t="s">
        <v>740</v>
      </c>
      <c r="E1812" t="s">
        <v>743</v>
      </c>
      <c r="F1812" s="34">
        <v>302</v>
      </c>
      <c r="G1812" s="34" t="s">
        <v>227</v>
      </c>
      <c r="H1812" s="36">
        <v>292958</v>
      </c>
      <c r="I1812" s="58">
        <v>2112927</v>
      </c>
      <c r="J1812">
        <f>IFERROR(VLOOKUP(G1812,'LEAID Match'!$A$2:$B$526,2,FALSE),"")</f>
        <v>2907350</v>
      </c>
      <c r="K1812" s="68">
        <f t="shared" si="57"/>
        <v>8</v>
      </c>
    </row>
    <row r="1813" spans="1:11" x14ac:dyDescent="0.2">
      <c r="A1813">
        <f t="shared" si="56"/>
        <v>2907350</v>
      </c>
      <c r="B1813">
        <v>2018</v>
      </c>
      <c r="C1813" t="s">
        <v>739</v>
      </c>
      <c r="D1813" t="s">
        <v>740</v>
      </c>
      <c r="E1813" t="s">
        <v>743</v>
      </c>
      <c r="F1813" s="34">
        <v>302</v>
      </c>
      <c r="G1813" s="34" t="s">
        <v>227</v>
      </c>
      <c r="H1813" s="36">
        <v>292384</v>
      </c>
      <c r="I1813" s="58">
        <v>2116196</v>
      </c>
      <c r="J1813">
        <f>IFERROR(VLOOKUP(G1813,'LEAID Match'!$A$2:$B$526,2,FALSE),"")</f>
        <v>2907350</v>
      </c>
      <c r="K1813" s="68">
        <f t="shared" si="57"/>
        <v>8</v>
      </c>
    </row>
    <row r="1814" spans="1:11" x14ac:dyDescent="0.2">
      <c r="A1814">
        <f t="shared" si="56"/>
        <v>2907350</v>
      </c>
      <c r="B1814">
        <v>2019</v>
      </c>
      <c r="C1814" t="s">
        <v>739</v>
      </c>
      <c r="D1814" t="s">
        <v>740</v>
      </c>
      <c r="E1814" t="s">
        <v>743</v>
      </c>
      <c r="F1814" s="34">
        <v>302</v>
      </c>
      <c r="G1814" s="34" t="s">
        <v>227</v>
      </c>
      <c r="H1814" s="36">
        <v>294590</v>
      </c>
      <c r="I1814" s="58">
        <v>2081856</v>
      </c>
      <c r="J1814">
        <f>IFERROR(VLOOKUP(G1814,'LEAID Match'!$A$2:$B$526,2,FALSE),"")</f>
        <v>2907350</v>
      </c>
      <c r="K1814" s="68">
        <f t="shared" si="57"/>
        <v>8</v>
      </c>
    </row>
    <row r="1815" spans="1:11" x14ac:dyDescent="0.2">
      <c r="A1815">
        <f t="shared" si="56"/>
        <v>2907350</v>
      </c>
      <c r="B1815">
        <v>2020</v>
      </c>
      <c r="C1815" t="s">
        <v>739</v>
      </c>
      <c r="D1815" t="s">
        <v>740</v>
      </c>
      <c r="E1815" t="s">
        <v>743</v>
      </c>
      <c r="F1815" s="34">
        <v>302</v>
      </c>
      <c r="G1815" s="34" t="s">
        <v>227</v>
      </c>
      <c r="H1815" s="36">
        <v>309313</v>
      </c>
      <c r="I1815" s="58">
        <v>2086133</v>
      </c>
      <c r="J1815">
        <f>IFERROR(VLOOKUP(G1815,'LEAID Match'!$A$2:$B$526,2,FALSE),"")</f>
        <v>2907350</v>
      </c>
      <c r="K1815" s="68">
        <f t="shared" si="57"/>
        <v>8</v>
      </c>
    </row>
    <row r="1816" spans="1:11" x14ac:dyDescent="0.2">
      <c r="A1816">
        <f t="shared" si="56"/>
        <v>2907350</v>
      </c>
      <c r="B1816">
        <v>2021</v>
      </c>
      <c r="C1816" t="s">
        <v>739</v>
      </c>
      <c r="D1816" t="s">
        <v>740</v>
      </c>
      <c r="E1816" t="s">
        <v>743</v>
      </c>
      <c r="F1816" s="34">
        <v>302</v>
      </c>
      <c r="G1816" s="34" t="s">
        <v>227</v>
      </c>
      <c r="H1816" s="36">
        <v>350380</v>
      </c>
      <c r="I1816" s="58">
        <v>2132906</v>
      </c>
      <c r="J1816">
        <f>IFERROR(VLOOKUP(G1816,'LEAID Match'!$A$2:$B$526,2,FALSE),"")</f>
        <v>2907350</v>
      </c>
      <c r="K1816" s="68">
        <f t="shared" si="57"/>
        <v>8</v>
      </c>
    </row>
    <row r="1817" spans="1:11" x14ac:dyDescent="0.2">
      <c r="A1817">
        <f t="shared" si="56"/>
        <v>2907350</v>
      </c>
      <c r="B1817">
        <v>2022</v>
      </c>
      <c r="C1817" t="s">
        <v>739</v>
      </c>
      <c r="D1817" t="s">
        <v>740</v>
      </c>
      <c r="E1817" t="s">
        <v>743</v>
      </c>
      <c r="F1817" s="34">
        <v>302</v>
      </c>
      <c r="G1817" s="34" t="s">
        <v>227</v>
      </c>
      <c r="H1817" s="36">
        <v>362867</v>
      </c>
      <c r="I1817" s="58">
        <v>2260772</v>
      </c>
      <c r="J1817">
        <f>IFERROR(VLOOKUP(G1817,'LEAID Match'!$A$2:$B$526,2,FALSE),"")</f>
        <v>2907350</v>
      </c>
      <c r="K1817" s="68">
        <f t="shared" si="57"/>
        <v>8</v>
      </c>
    </row>
    <row r="1818" spans="1:11" x14ac:dyDescent="0.2">
      <c r="A1818">
        <f t="shared" si="56"/>
        <v>2927540</v>
      </c>
      <c r="B1818">
        <v>2015</v>
      </c>
      <c r="C1818" t="s">
        <v>739</v>
      </c>
      <c r="D1818" t="s">
        <v>740</v>
      </c>
      <c r="E1818" t="s">
        <v>743</v>
      </c>
      <c r="F1818" s="37">
        <v>303</v>
      </c>
      <c r="G1818" s="34" t="s">
        <v>556</v>
      </c>
      <c r="H1818" s="40">
        <v>80642</v>
      </c>
      <c r="I1818" s="58">
        <v>452849</v>
      </c>
      <c r="J1818">
        <f>IFERROR(VLOOKUP(G1818,'LEAID Match'!$A$2:$B$526,2,FALSE),"")</f>
        <v>2927540</v>
      </c>
      <c r="K1818" s="68">
        <f t="shared" si="57"/>
        <v>8</v>
      </c>
    </row>
    <row r="1819" spans="1:11" x14ac:dyDescent="0.2">
      <c r="A1819">
        <f t="shared" si="56"/>
        <v>2927540</v>
      </c>
      <c r="B1819">
        <v>2016</v>
      </c>
      <c r="C1819" t="s">
        <v>739</v>
      </c>
      <c r="D1819" t="s">
        <v>740</v>
      </c>
      <c r="E1819" t="s">
        <v>743</v>
      </c>
      <c r="F1819" s="34">
        <v>303</v>
      </c>
      <c r="G1819" s="34" t="s">
        <v>556</v>
      </c>
      <c r="H1819" s="36">
        <v>84891</v>
      </c>
      <c r="I1819" s="60">
        <v>472603</v>
      </c>
      <c r="J1819">
        <f>IFERROR(VLOOKUP(G1819,'LEAID Match'!$A$2:$B$526,2,FALSE),"")</f>
        <v>2927540</v>
      </c>
      <c r="K1819" s="68">
        <f t="shared" si="57"/>
        <v>8</v>
      </c>
    </row>
    <row r="1820" spans="1:11" x14ac:dyDescent="0.2">
      <c r="A1820">
        <f t="shared" si="56"/>
        <v>2927540</v>
      </c>
      <c r="B1820">
        <v>2017</v>
      </c>
      <c r="C1820" t="s">
        <v>739</v>
      </c>
      <c r="D1820" t="s">
        <v>740</v>
      </c>
      <c r="E1820" t="s">
        <v>743</v>
      </c>
      <c r="F1820" s="34">
        <v>303</v>
      </c>
      <c r="G1820" s="34" t="s">
        <v>556</v>
      </c>
      <c r="H1820" s="36">
        <v>90218</v>
      </c>
      <c r="I1820" s="58">
        <v>487130</v>
      </c>
      <c r="J1820">
        <f>IFERROR(VLOOKUP(G1820,'LEAID Match'!$A$2:$B$526,2,FALSE),"")</f>
        <v>2927540</v>
      </c>
      <c r="K1820" s="68">
        <f t="shared" si="57"/>
        <v>8</v>
      </c>
    </row>
    <row r="1821" spans="1:11" x14ac:dyDescent="0.2">
      <c r="A1821">
        <f t="shared" si="56"/>
        <v>2927540</v>
      </c>
      <c r="B1821">
        <v>2018</v>
      </c>
      <c r="C1821" t="s">
        <v>739</v>
      </c>
      <c r="D1821" t="s">
        <v>740</v>
      </c>
      <c r="E1821" t="s">
        <v>743</v>
      </c>
      <c r="F1821" s="34">
        <v>303</v>
      </c>
      <c r="G1821" s="34" t="s">
        <v>556</v>
      </c>
      <c r="H1821" s="36">
        <v>101511</v>
      </c>
      <c r="I1821" s="58">
        <v>502905</v>
      </c>
      <c r="J1821">
        <f>IFERROR(VLOOKUP(G1821,'LEAID Match'!$A$2:$B$526,2,FALSE),"")</f>
        <v>2927540</v>
      </c>
      <c r="K1821" s="68">
        <f t="shared" si="57"/>
        <v>8</v>
      </c>
    </row>
    <row r="1822" spans="1:11" x14ac:dyDescent="0.2">
      <c r="A1822">
        <f t="shared" si="56"/>
        <v>2927540</v>
      </c>
      <c r="B1822">
        <v>2019</v>
      </c>
      <c r="C1822" t="s">
        <v>739</v>
      </c>
      <c r="D1822" t="s">
        <v>740</v>
      </c>
      <c r="E1822" t="s">
        <v>743</v>
      </c>
      <c r="F1822" s="34">
        <v>303</v>
      </c>
      <c r="G1822" s="34" t="s">
        <v>556</v>
      </c>
      <c r="H1822" s="36">
        <v>110410</v>
      </c>
      <c r="I1822" s="58">
        <v>492514</v>
      </c>
      <c r="J1822">
        <f>IFERROR(VLOOKUP(G1822,'LEAID Match'!$A$2:$B$526,2,FALSE),"")</f>
        <v>2927540</v>
      </c>
      <c r="K1822" s="68">
        <f t="shared" si="57"/>
        <v>8</v>
      </c>
    </row>
    <row r="1823" spans="1:11" x14ac:dyDescent="0.2">
      <c r="A1823">
        <f t="shared" si="56"/>
        <v>2927540</v>
      </c>
      <c r="B1823">
        <v>2020</v>
      </c>
      <c r="C1823" t="s">
        <v>739</v>
      </c>
      <c r="D1823" t="s">
        <v>740</v>
      </c>
      <c r="E1823" t="s">
        <v>743</v>
      </c>
      <c r="F1823" s="34">
        <v>303</v>
      </c>
      <c r="G1823" s="34" t="s">
        <v>556</v>
      </c>
      <c r="H1823" s="36">
        <v>107959</v>
      </c>
      <c r="I1823" s="58">
        <v>492133</v>
      </c>
      <c r="J1823">
        <f>IFERROR(VLOOKUP(G1823,'LEAID Match'!$A$2:$B$526,2,FALSE),"")</f>
        <v>2927540</v>
      </c>
      <c r="K1823" s="68">
        <f t="shared" si="57"/>
        <v>8</v>
      </c>
    </row>
    <row r="1824" spans="1:11" x14ac:dyDescent="0.2">
      <c r="A1824">
        <f t="shared" si="56"/>
        <v>2927540</v>
      </c>
      <c r="B1824">
        <v>2021</v>
      </c>
      <c r="C1824" t="s">
        <v>739</v>
      </c>
      <c r="D1824" t="s">
        <v>740</v>
      </c>
      <c r="E1824" t="s">
        <v>743</v>
      </c>
      <c r="F1824" s="34">
        <v>303</v>
      </c>
      <c r="G1824" s="34" t="s">
        <v>556</v>
      </c>
      <c r="H1824" s="36">
        <v>111735</v>
      </c>
      <c r="I1824" s="58">
        <v>501474</v>
      </c>
      <c r="J1824">
        <f>IFERROR(VLOOKUP(G1824,'LEAID Match'!$A$2:$B$526,2,FALSE),"")</f>
        <v>2927540</v>
      </c>
      <c r="K1824" s="68">
        <f t="shared" si="57"/>
        <v>8</v>
      </c>
    </row>
    <row r="1825" spans="1:11" x14ac:dyDescent="0.2">
      <c r="A1825">
        <f t="shared" si="56"/>
        <v>2927540</v>
      </c>
      <c r="B1825">
        <v>2022</v>
      </c>
      <c r="C1825" t="s">
        <v>739</v>
      </c>
      <c r="D1825" t="s">
        <v>740</v>
      </c>
      <c r="E1825" t="s">
        <v>743</v>
      </c>
      <c r="F1825" s="34">
        <v>303</v>
      </c>
      <c r="G1825" s="34" t="s">
        <v>556</v>
      </c>
      <c r="H1825" s="36">
        <v>134432</v>
      </c>
      <c r="I1825" s="58">
        <v>514773</v>
      </c>
      <c r="J1825">
        <f>IFERROR(VLOOKUP(G1825,'LEAID Match'!$A$2:$B$526,2,FALSE),"")</f>
        <v>2927540</v>
      </c>
      <c r="K1825" s="68">
        <f t="shared" si="57"/>
        <v>8</v>
      </c>
    </row>
    <row r="1826" spans="1:11" x14ac:dyDescent="0.2">
      <c r="A1826">
        <f t="shared" si="56"/>
        <v>2916140</v>
      </c>
      <c r="B1826">
        <v>2015</v>
      </c>
      <c r="C1826" t="s">
        <v>739</v>
      </c>
      <c r="D1826" t="s">
        <v>740</v>
      </c>
      <c r="E1826" t="s">
        <v>743</v>
      </c>
      <c r="F1826" s="37">
        <v>304</v>
      </c>
      <c r="G1826" s="39" t="s">
        <v>229</v>
      </c>
      <c r="H1826" s="40">
        <v>42897</v>
      </c>
      <c r="I1826" s="58">
        <v>307464</v>
      </c>
      <c r="J1826">
        <f>IFERROR(VLOOKUP(G1826,'LEAID Match'!$A$2:$B$526,2,FALSE),"")</f>
        <v>2916140</v>
      </c>
      <c r="K1826" s="68">
        <f t="shared" si="57"/>
        <v>8</v>
      </c>
    </row>
    <row r="1827" spans="1:11" x14ac:dyDescent="0.2">
      <c r="A1827">
        <f t="shared" si="56"/>
        <v>2916140</v>
      </c>
      <c r="B1827">
        <v>2016</v>
      </c>
      <c r="C1827" t="s">
        <v>739</v>
      </c>
      <c r="D1827" t="s">
        <v>740</v>
      </c>
      <c r="E1827" t="s">
        <v>743</v>
      </c>
      <c r="F1827" s="34">
        <v>304</v>
      </c>
      <c r="G1827" s="34" t="s">
        <v>229</v>
      </c>
      <c r="H1827" s="36">
        <v>43500</v>
      </c>
      <c r="I1827" s="60">
        <v>305880</v>
      </c>
      <c r="J1827">
        <f>IFERROR(VLOOKUP(G1827,'LEAID Match'!$A$2:$B$526,2,FALSE),"")</f>
        <v>2916140</v>
      </c>
      <c r="K1827" s="68">
        <f t="shared" si="57"/>
        <v>8</v>
      </c>
    </row>
    <row r="1828" spans="1:11" x14ac:dyDescent="0.2">
      <c r="A1828">
        <f t="shared" si="56"/>
        <v>2916140</v>
      </c>
      <c r="B1828">
        <v>2017</v>
      </c>
      <c r="C1828" t="s">
        <v>739</v>
      </c>
      <c r="D1828" t="s">
        <v>740</v>
      </c>
      <c r="E1828" t="s">
        <v>743</v>
      </c>
      <c r="F1828" s="34">
        <v>304</v>
      </c>
      <c r="G1828" s="34" t="s">
        <v>229</v>
      </c>
      <c r="H1828" s="36">
        <v>29801</v>
      </c>
      <c r="I1828" s="58">
        <v>278905</v>
      </c>
      <c r="J1828">
        <f>IFERROR(VLOOKUP(G1828,'LEAID Match'!$A$2:$B$526,2,FALSE),"")</f>
        <v>2916140</v>
      </c>
      <c r="K1828" s="68">
        <f t="shared" si="57"/>
        <v>8</v>
      </c>
    </row>
    <row r="1829" spans="1:11" x14ac:dyDescent="0.2">
      <c r="A1829">
        <f t="shared" si="56"/>
        <v>2916140</v>
      </c>
      <c r="B1829">
        <v>2018</v>
      </c>
      <c r="C1829" t="s">
        <v>739</v>
      </c>
      <c r="D1829" t="s">
        <v>740</v>
      </c>
      <c r="E1829" t="s">
        <v>743</v>
      </c>
      <c r="F1829" s="34">
        <v>304</v>
      </c>
      <c r="G1829" s="34" t="s">
        <v>229</v>
      </c>
      <c r="H1829" s="36">
        <v>35141</v>
      </c>
      <c r="I1829" s="58">
        <v>283306</v>
      </c>
      <c r="J1829">
        <f>IFERROR(VLOOKUP(G1829,'LEAID Match'!$A$2:$B$526,2,FALSE),"")</f>
        <v>2916140</v>
      </c>
      <c r="K1829" s="68">
        <f t="shared" si="57"/>
        <v>8</v>
      </c>
    </row>
    <row r="1830" spans="1:11" x14ac:dyDescent="0.2">
      <c r="A1830">
        <f t="shared" si="56"/>
        <v>2916140</v>
      </c>
      <c r="B1830">
        <v>2019</v>
      </c>
      <c r="C1830" t="s">
        <v>739</v>
      </c>
      <c r="D1830" t="s">
        <v>740</v>
      </c>
      <c r="E1830" t="s">
        <v>743</v>
      </c>
      <c r="F1830" s="34">
        <v>304</v>
      </c>
      <c r="G1830" s="34" t="s">
        <v>229</v>
      </c>
      <c r="H1830" s="36">
        <v>35809</v>
      </c>
      <c r="I1830" s="58">
        <v>301913</v>
      </c>
      <c r="J1830">
        <f>IFERROR(VLOOKUP(G1830,'LEAID Match'!$A$2:$B$526,2,FALSE),"")</f>
        <v>2916140</v>
      </c>
      <c r="K1830" s="68">
        <f t="shared" si="57"/>
        <v>8</v>
      </c>
    </row>
    <row r="1831" spans="1:11" x14ac:dyDescent="0.2">
      <c r="A1831">
        <f t="shared" si="56"/>
        <v>2916140</v>
      </c>
      <c r="B1831">
        <v>2020</v>
      </c>
      <c r="C1831" t="s">
        <v>739</v>
      </c>
      <c r="D1831" t="s">
        <v>740</v>
      </c>
      <c r="E1831" t="s">
        <v>743</v>
      </c>
      <c r="F1831" s="34">
        <v>304</v>
      </c>
      <c r="G1831" s="34" t="s">
        <v>229</v>
      </c>
      <c r="H1831" s="36">
        <v>45315</v>
      </c>
      <c r="I1831" s="58">
        <v>295782</v>
      </c>
      <c r="J1831">
        <f>IFERROR(VLOOKUP(G1831,'LEAID Match'!$A$2:$B$526,2,FALSE),"")</f>
        <v>2916140</v>
      </c>
      <c r="K1831" s="68">
        <f t="shared" si="57"/>
        <v>8</v>
      </c>
    </row>
    <row r="1832" spans="1:11" x14ac:dyDescent="0.2">
      <c r="A1832">
        <f t="shared" si="56"/>
        <v>2916140</v>
      </c>
      <c r="B1832">
        <v>2021</v>
      </c>
      <c r="C1832" t="s">
        <v>739</v>
      </c>
      <c r="D1832" t="s">
        <v>740</v>
      </c>
      <c r="E1832" t="s">
        <v>743</v>
      </c>
      <c r="F1832" s="34">
        <v>304</v>
      </c>
      <c r="G1832" s="34" t="s">
        <v>229</v>
      </c>
      <c r="H1832" s="36">
        <v>43740</v>
      </c>
      <c r="I1832" s="58">
        <v>319770</v>
      </c>
      <c r="J1832">
        <f>IFERROR(VLOOKUP(G1832,'LEAID Match'!$A$2:$B$526,2,FALSE),"")</f>
        <v>2916140</v>
      </c>
      <c r="K1832" s="68">
        <f t="shared" si="57"/>
        <v>8</v>
      </c>
    </row>
    <row r="1833" spans="1:11" x14ac:dyDescent="0.2">
      <c r="A1833">
        <f t="shared" si="56"/>
        <v>2916140</v>
      </c>
      <c r="B1833">
        <v>2022</v>
      </c>
      <c r="C1833" t="s">
        <v>739</v>
      </c>
      <c r="D1833" t="s">
        <v>740</v>
      </c>
      <c r="E1833" t="s">
        <v>743</v>
      </c>
      <c r="F1833" s="34">
        <v>304</v>
      </c>
      <c r="G1833" s="34" t="s">
        <v>229</v>
      </c>
      <c r="H1833" s="36">
        <v>42844</v>
      </c>
      <c r="I1833" s="58">
        <v>326589</v>
      </c>
      <c r="J1833">
        <f>IFERROR(VLOOKUP(G1833,'LEAID Match'!$A$2:$B$526,2,FALSE),"")</f>
        <v>2916140</v>
      </c>
      <c r="K1833" s="68">
        <f t="shared" si="57"/>
        <v>8</v>
      </c>
    </row>
    <row r="1834" spans="1:11" x14ac:dyDescent="0.2">
      <c r="A1834">
        <f t="shared" si="56"/>
        <v>2931500</v>
      </c>
      <c r="B1834">
        <v>2015</v>
      </c>
      <c r="C1834" t="s">
        <v>739</v>
      </c>
      <c r="D1834" t="s">
        <v>740</v>
      </c>
      <c r="E1834" t="s">
        <v>743</v>
      </c>
      <c r="F1834" s="37">
        <v>305</v>
      </c>
      <c r="G1834" s="39" t="s">
        <v>230</v>
      </c>
      <c r="H1834" s="40">
        <v>428612</v>
      </c>
      <c r="I1834" s="58">
        <v>2414385</v>
      </c>
      <c r="J1834">
        <f>IFERROR(VLOOKUP(G1834,'LEAID Match'!$A$2:$B$526,2,FALSE),"")</f>
        <v>2931500</v>
      </c>
      <c r="K1834" s="68">
        <f t="shared" si="57"/>
        <v>8</v>
      </c>
    </row>
    <row r="1835" spans="1:11" x14ac:dyDescent="0.2">
      <c r="A1835">
        <f t="shared" si="56"/>
        <v>2931500</v>
      </c>
      <c r="B1835">
        <v>2016</v>
      </c>
      <c r="C1835" t="s">
        <v>739</v>
      </c>
      <c r="D1835" t="s">
        <v>740</v>
      </c>
      <c r="E1835" t="s">
        <v>743</v>
      </c>
      <c r="F1835" s="34">
        <v>305</v>
      </c>
      <c r="G1835" s="34" t="s">
        <v>230</v>
      </c>
      <c r="H1835" s="36">
        <v>437064</v>
      </c>
      <c r="I1835" s="60">
        <v>2481717</v>
      </c>
      <c r="J1835">
        <f>IFERROR(VLOOKUP(G1835,'LEAID Match'!$A$2:$B$526,2,FALSE),"")</f>
        <v>2931500</v>
      </c>
      <c r="K1835" s="68">
        <f t="shared" si="57"/>
        <v>8</v>
      </c>
    </row>
    <row r="1836" spans="1:11" x14ac:dyDescent="0.2">
      <c r="A1836">
        <f t="shared" si="56"/>
        <v>2931500</v>
      </c>
      <c r="B1836">
        <v>2017</v>
      </c>
      <c r="C1836" t="s">
        <v>739</v>
      </c>
      <c r="D1836" t="s">
        <v>740</v>
      </c>
      <c r="E1836" t="s">
        <v>743</v>
      </c>
      <c r="F1836" s="34">
        <v>305</v>
      </c>
      <c r="G1836" s="34" t="s">
        <v>230</v>
      </c>
      <c r="H1836" s="36">
        <v>463783</v>
      </c>
      <c r="I1836" s="58">
        <v>2581999</v>
      </c>
      <c r="J1836">
        <f>IFERROR(VLOOKUP(G1836,'LEAID Match'!$A$2:$B$526,2,FALSE),"")</f>
        <v>2931500</v>
      </c>
      <c r="K1836" s="68">
        <f t="shared" si="57"/>
        <v>8</v>
      </c>
    </row>
    <row r="1837" spans="1:11" x14ac:dyDescent="0.2">
      <c r="A1837">
        <f t="shared" si="56"/>
        <v>2931500</v>
      </c>
      <c r="B1837">
        <v>2018</v>
      </c>
      <c r="C1837" t="s">
        <v>739</v>
      </c>
      <c r="D1837" t="s">
        <v>740</v>
      </c>
      <c r="E1837" t="s">
        <v>743</v>
      </c>
      <c r="F1837" s="34">
        <v>305</v>
      </c>
      <c r="G1837" s="34" t="s">
        <v>230</v>
      </c>
      <c r="H1837" s="36">
        <v>488236</v>
      </c>
      <c r="I1837" s="58">
        <v>2696217</v>
      </c>
      <c r="J1837">
        <f>IFERROR(VLOOKUP(G1837,'LEAID Match'!$A$2:$B$526,2,FALSE),"")</f>
        <v>2931500</v>
      </c>
      <c r="K1837" s="68">
        <f t="shared" si="57"/>
        <v>8</v>
      </c>
    </row>
    <row r="1838" spans="1:11" x14ac:dyDescent="0.2">
      <c r="A1838">
        <f t="shared" si="56"/>
        <v>2931500</v>
      </c>
      <c r="B1838">
        <v>2019</v>
      </c>
      <c r="C1838" t="s">
        <v>739</v>
      </c>
      <c r="D1838" t="s">
        <v>740</v>
      </c>
      <c r="E1838" t="s">
        <v>743</v>
      </c>
      <c r="F1838" s="34">
        <v>305</v>
      </c>
      <c r="G1838" s="34" t="s">
        <v>230</v>
      </c>
      <c r="H1838" s="36">
        <v>531701</v>
      </c>
      <c r="I1838" s="58">
        <v>2763558</v>
      </c>
      <c r="J1838">
        <f>IFERROR(VLOOKUP(G1838,'LEAID Match'!$A$2:$B$526,2,FALSE),"")</f>
        <v>2931500</v>
      </c>
      <c r="K1838" s="68">
        <f t="shared" si="57"/>
        <v>8</v>
      </c>
    </row>
    <row r="1839" spans="1:11" x14ac:dyDescent="0.2">
      <c r="A1839">
        <f t="shared" si="56"/>
        <v>2931500</v>
      </c>
      <c r="B1839">
        <v>2020</v>
      </c>
      <c r="C1839" t="s">
        <v>739</v>
      </c>
      <c r="D1839" t="s">
        <v>740</v>
      </c>
      <c r="E1839" t="s">
        <v>743</v>
      </c>
      <c r="F1839" s="34">
        <v>305</v>
      </c>
      <c r="G1839" s="34" t="s">
        <v>230</v>
      </c>
      <c r="H1839" s="36">
        <v>564390</v>
      </c>
      <c r="I1839" s="58">
        <v>2863505</v>
      </c>
      <c r="J1839">
        <f>IFERROR(VLOOKUP(G1839,'LEAID Match'!$A$2:$B$526,2,FALSE),"")</f>
        <v>2931500</v>
      </c>
      <c r="K1839" s="68">
        <f t="shared" si="57"/>
        <v>8</v>
      </c>
    </row>
    <row r="1840" spans="1:11" x14ac:dyDescent="0.2">
      <c r="A1840">
        <f t="shared" si="56"/>
        <v>2931500</v>
      </c>
      <c r="B1840">
        <v>2021</v>
      </c>
      <c r="C1840" t="s">
        <v>739</v>
      </c>
      <c r="D1840" t="s">
        <v>740</v>
      </c>
      <c r="E1840" t="s">
        <v>743</v>
      </c>
      <c r="F1840" s="34">
        <v>305</v>
      </c>
      <c r="G1840" s="34" t="s">
        <v>230</v>
      </c>
      <c r="H1840" s="36">
        <v>587222</v>
      </c>
      <c r="I1840" s="58">
        <v>2906321</v>
      </c>
      <c r="J1840">
        <f>IFERROR(VLOOKUP(G1840,'LEAID Match'!$A$2:$B$526,2,FALSE),"")</f>
        <v>2931500</v>
      </c>
      <c r="K1840" s="68">
        <f t="shared" si="57"/>
        <v>8</v>
      </c>
    </row>
    <row r="1841" spans="1:11" x14ac:dyDescent="0.2">
      <c r="A1841">
        <f t="shared" si="56"/>
        <v>2931500</v>
      </c>
      <c r="B1841">
        <v>2022</v>
      </c>
      <c r="C1841" t="s">
        <v>739</v>
      </c>
      <c r="D1841" t="s">
        <v>740</v>
      </c>
      <c r="E1841" t="s">
        <v>743</v>
      </c>
      <c r="F1841" s="34">
        <v>305</v>
      </c>
      <c r="G1841" s="34" t="s">
        <v>230</v>
      </c>
      <c r="H1841" s="36">
        <v>604659</v>
      </c>
      <c r="I1841" s="58">
        <v>3055886</v>
      </c>
      <c r="J1841">
        <f>IFERROR(VLOOKUP(G1841,'LEAID Match'!$A$2:$B$526,2,FALSE),"")</f>
        <v>2931500</v>
      </c>
      <c r="K1841" s="68">
        <f t="shared" si="57"/>
        <v>8</v>
      </c>
    </row>
    <row r="1842" spans="1:11" x14ac:dyDescent="0.2">
      <c r="A1842">
        <f t="shared" si="56"/>
        <v>2916350</v>
      </c>
      <c r="B1842">
        <v>2015</v>
      </c>
      <c r="C1842" t="s">
        <v>739</v>
      </c>
      <c r="D1842" t="s">
        <v>740</v>
      </c>
      <c r="E1842" t="s">
        <v>743</v>
      </c>
      <c r="F1842" s="37">
        <v>306</v>
      </c>
      <c r="G1842" s="39" t="s">
        <v>231</v>
      </c>
      <c r="H1842" s="40">
        <v>770483</v>
      </c>
      <c r="I1842" s="58">
        <v>4466084</v>
      </c>
      <c r="J1842">
        <f>IFERROR(VLOOKUP(G1842,'LEAID Match'!$A$2:$B$526,2,FALSE),"")</f>
        <v>2916350</v>
      </c>
      <c r="K1842" s="68">
        <f t="shared" si="57"/>
        <v>8</v>
      </c>
    </row>
    <row r="1843" spans="1:11" x14ac:dyDescent="0.2">
      <c r="A1843">
        <f t="shared" si="56"/>
        <v>2916350</v>
      </c>
      <c r="B1843">
        <v>2016</v>
      </c>
      <c r="C1843" t="s">
        <v>739</v>
      </c>
      <c r="D1843" t="s">
        <v>740</v>
      </c>
      <c r="E1843" t="s">
        <v>743</v>
      </c>
      <c r="F1843" s="34">
        <v>306</v>
      </c>
      <c r="G1843" s="34" t="s">
        <v>231</v>
      </c>
      <c r="H1843" s="36">
        <v>850987</v>
      </c>
      <c r="I1843" s="60">
        <v>4631938</v>
      </c>
      <c r="J1843">
        <f>IFERROR(VLOOKUP(G1843,'LEAID Match'!$A$2:$B$526,2,FALSE),"")</f>
        <v>2916350</v>
      </c>
      <c r="K1843" s="68">
        <f t="shared" si="57"/>
        <v>8</v>
      </c>
    </row>
    <row r="1844" spans="1:11" x14ac:dyDescent="0.2">
      <c r="A1844">
        <f t="shared" si="56"/>
        <v>2916350</v>
      </c>
      <c r="B1844">
        <v>2017</v>
      </c>
      <c r="C1844" t="s">
        <v>739</v>
      </c>
      <c r="D1844" t="s">
        <v>740</v>
      </c>
      <c r="E1844" t="s">
        <v>743</v>
      </c>
      <c r="F1844" s="34">
        <v>306</v>
      </c>
      <c r="G1844" s="34" t="s">
        <v>231</v>
      </c>
      <c r="H1844" s="36">
        <v>865462</v>
      </c>
      <c r="I1844" s="58">
        <v>4669219</v>
      </c>
      <c r="J1844">
        <f>IFERROR(VLOOKUP(G1844,'LEAID Match'!$A$2:$B$526,2,FALSE),"")</f>
        <v>2916350</v>
      </c>
      <c r="K1844" s="68">
        <f t="shared" si="57"/>
        <v>8</v>
      </c>
    </row>
    <row r="1845" spans="1:11" x14ac:dyDescent="0.2">
      <c r="A1845">
        <f t="shared" si="56"/>
        <v>2916350</v>
      </c>
      <c r="B1845">
        <v>2018</v>
      </c>
      <c r="C1845" t="s">
        <v>739</v>
      </c>
      <c r="D1845" t="s">
        <v>740</v>
      </c>
      <c r="E1845" t="s">
        <v>743</v>
      </c>
      <c r="F1845" s="34">
        <v>306</v>
      </c>
      <c r="G1845" s="34" t="s">
        <v>231</v>
      </c>
      <c r="H1845" s="36">
        <v>907203</v>
      </c>
      <c r="I1845" s="58">
        <v>4772796</v>
      </c>
      <c r="J1845">
        <f>IFERROR(VLOOKUP(G1845,'LEAID Match'!$A$2:$B$526,2,FALSE),"")</f>
        <v>2916350</v>
      </c>
      <c r="K1845" s="68">
        <f t="shared" si="57"/>
        <v>8</v>
      </c>
    </row>
    <row r="1846" spans="1:11" x14ac:dyDescent="0.2">
      <c r="A1846">
        <f t="shared" si="56"/>
        <v>2916350</v>
      </c>
      <c r="B1846">
        <v>2019</v>
      </c>
      <c r="C1846" t="s">
        <v>739</v>
      </c>
      <c r="D1846" t="s">
        <v>740</v>
      </c>
      <c r="E1846" t="s">
        <v>743</v>
      </c>
      <c r="F1846" s="34">
        <v>306</v>
      </c>
      <c r="G1846" s="34" t="s">
        <v>231</v>
      </c>
      <c r="H1846" s="36">
        <v>943175</v>
      </c>
      <c r="I1846" s="58">
        <v>4901769</v>
      </c>
      <c r="J1846">
        <f>IFERROR(VLOOKUP(G1846,'LEAID Match'!$A$2:$B$526,2,FALSE),"")</f>
        <v>2916350</v>
      </c>
      <c r="K1846" s="68">
        <f t="shared" si="57"/>
        <v>8</v>
      </c>
    </row>
    <row r="1847" spans="1:11" x14ac:dyDescent="0.2">
      <c r="A1847">
        <f t="shared" si="56"/>
        <v>2916350</v>
      </c>
      <c r="B1847">
        <v>2020</v>
      </c>
      <c r="C1847" t="s">
        <v>739</v>
      </c>
      <c r="D1847" t="s">
        <v>740</v>
      </c>
      <c r="E1847" t="s">
        <v>743</v>
      </c>
      <c r="F1847" s="34">
        <v>306</v>
      </c>
      <c r="G1847" s="34" t="s">
        <v>231</v>
      </c>
      <c r="H1847" s="36">
        <v>1018484</v>
      </c>
      <c r="I1847" s="58">
        <v>4975925</v>
      </c>
      <c r="J1847">
        <f>IFERROR(VLOOKUP(G1847,'LEAID Match'!$A$2:$B$526,2,FALSE),"")</f>
        <v>2916350</v>
      </c>
      <c r="K1847" s="68">
        <f t="shared" si="57"/>
        <v>8</v>
      </c>
    </row>
    <row r="1848" spans="1:11" x14ac:dyDescent="0.2">
      <c r="A1848">
        <f t="shared" si="56"/>
        <v>2916350</v>
      </c>
      <c r="B1848">
        <v>2021</v>
      </c>
      <c r="C1848" t="s">
        <v>739</v>
      </c>
      <c r="D1848" t="s">
        <v>740</v>
      </c>
      <c r="E1848" t="s">
        <v>743</v>
      </c>
      <c r="F1848" s="34">
        <v>306</v>
      </c>
      <c r="G1848" s="34" t="s">
        <v>231</v>
      </c>
      <c r="H1848" s="36">
        <v>1014753</v>
      </c>
      <c r="I1848" s="58">
        <v>5008021</v>
      </c>
      <c r="J1848">
        <f>IFERROR(VLOOKUP(G1848,'LEAID Match'!$A$2:$B$526,2,FALSE),"")</f>
        <v>2916350</v>
      </c>
      <c r="K1848" s="68">
        <f t="shared" si="57"/>
        <v>8</v>
      </c>
    </row>
    <row r="1849" spans="1:11" x14ac:dyDescent="0.2">
      <c r="A1849">
        <f t="shared" si="56"/>
        <v>2916350</v>
      </c>
      <c r="B1849">
        <v>2022</v>
      </c>
      <c r="C1849" t="s">
        <v>739</v>
      </c>
      <c r="D1849" t="s">
        <v>740</v>
      </c>
      <c r="E1849" t="s">
        <v>743</v>
      </c>
      <c r="F1849" s="34">
        <v>306</v>
      </c>
      <c r="G1849" s="34" t="s">
        <v>231</v>
      </c>
      <c r="H1849" s="36">
        <v>1197418</v>
      </c>
      <c r="I1849" s="58">
        <v>5456256</v>
      </c>
      <c r="J1849">
        <f>IFERROR(VLOOKUP(G1849,'LEAID Match'!$A$2:$B$526,2,FALSE),"")</f>
        <v>2916350</v>
      </c>
      <c r="K1849" s="68">
        <f t="shared" si="57"/>
        <v>8</v>
      </c>
    </row>
    <row r="1850" spans="1:11" x14ac:dyDescent="0.2">
      <c r="A1850">
        <f t="shared" si="56"/>
        <v>2907460</v>
      </c>
      <c r="B1850">
        <v>2015</v>
      </c>
      <c r="C1850" t="s">
        <v>739</v>
      </c>
      <c r="D1850" t="s">
        <v>740</v>
      </c>
      <c r="E1850" t="s">
        <v>743</v>
      </c>
      <c r="F1850" s="37">
        <v>307</v>
      </c>
      <c r="G1850" s="39" t="s">
        <v>232</v>
      </c>
      <c r="H1850" s="40">
        <v>377783</v>
      </c>
      <c r="I1850" s="58">
        <v>2986848</v>
      </c>
      <c r="J1850">
        <f>IFERROR(VLOOKUP(G1850,'LEAID Match'!$A$2:$B$526,2,FALSE),"")</f>
        <v>2907460</v>
      </c>
      <c r="K1850" s="68">
        <f t="shared" si="57"/>
        <v>8</v>
      </c>
    </row>
    <row r="1851" spans="1:11" x14ac:dyDescent="0.2">
      <c r="A1851">
        <f t="shared" si="56"/>
        <v>2907460</v>
      </c>
      <c r="B1851">
        <v>2016</v>
      </c>
      <c r="C1851" t="s">
        <v>739</v>
      </c>
      <c r="D1851" t="s">
        <v>740</v>
      </c>
      <c r="E1851" t="s">
        <v>743</v>
      </c>
      <c r="F1851" s="34">
        <v>307</v>
      </c>
      <c r="G1851" s="34" t="s">
        <v>232</v>
      </c>
      <c r="H1851" s="36">
        <v>399143</v>
      </c>
      <c r="I1851" s="60">
        <v>3059047</v>
      </c>
      <c r="J1851">
        <f>IFERROR(VLOOKUP(G1851,'LEAID Match'!$A$2:$B$526,2,FALSE),"")</f>
        <v>2907460</v>
      </c>
      <c r="K1851" s="68">
        <f t="shared" si="57"/>
        <v>8</v>
      </c>
    </row>
    <row r="1852" spans="1:11" x14ac:dyDescent="0.2">
      <c r="A1852">
        <f t="shared" si="56"/>
        <v>2907460</v>
      </c>
      <c r="B1852">
        <v>2017</v>
      </c>
      <c r="C1852" t="s">
        <v>739</v>
      </c>
      <c r="D1852" t="s">
        <v>740</v>
      </c>
      <c r="E1852" t="s">
        <v>743</v>
      </c>
      <c r="F1852" s="34">
        <v>307</v>
      </c>
      <c r="G1852" s="34" t="s">
        <v>232</v>
      </c>
      <c r="H1852" s="36">
        <v>416304</v>
      </c>
      <c r="I1852" s="58">
        <v>3073850</v>
      </c>
      <c r="J1852">
        <f>IFERROR(VLOOKUP(G1852,'LEAID Match'!$A$2:$B$526,2,FALSE),"")</f>
        <v>2907460</v>
      </c>
      <c r="K1852" s="68">
        <f t="shared" si="57"/>
        <v>8</v>
      </c>
    </row>
    <row r="1853" spans="1:11" x14ac:dyDescent="0.2">
      <c r="A1853">
        <f t="shared" si="56"/>
        <v>2907460</v>
      </c>
      <c r="B1853">
        <v>2018</v>
      </c>
      <c r="C1853" t="s">
        <v>739</v>
      </c>
      <c r="D1853" t="s">
        <v>740</v>
      </c>
      <c r="E1853" t="s">
        <v>743</v>
      </c>
      <c r="F1853" s="34">
        <v>307</v>
      </c>
      <c r="G1853" s="34" t="s">
        <v>232</v>
      </c>
      <c r="H1853" s="36">
        <v>441594</v>
      </c>
      <c r="I1853" s="58">
        <v>3175997</v>
      </c>
      <c r="J1853">
        <f>IFERROR(VLOOKUP(G1853,'LEAID Match'!$A$2:$B$526,2,FALSE),"")</f>
        <v>2907460</v>
      </c>
      <c r="K1853" s="68">
        <f t="shared" si="57"/>
        <v>8</v>
      </c>
    </row>
    <row r="1854" spans="1:11" x14ac:dyDescent="0.2">
      <c r="A1854">
        <f t="shared" si="56"/>
        <v>2907460</v>
      </c>
      <c r="B1854">
        <v>2019</v>
      </c>
      <c r="C1854" t="s">
        <v>739</v>
      </c>
      <c r="D1854" t="s">
        <v>740</v>
      </c>
      <c r="E1854" t="s">
        <v>743</v>
      </c>
      <c r="F1854" s="34">
        <v>307</v>
      </c>
      <c r="G1854" s="34" t="s">
        <v>232</v>
      </c>
      <c r="H1854" s="36">
        <v>458539</v>
      </c>
      <c r="I1854" s="58">
        <v>3305030</v>
      </c>
      <c r="J1854">
        <f>IFERROR(VLOOKUP(G1854,'LEAID Match'!$A$2:$B$526,2,FALSE),"")</f>
        <v>2907460</v>
      </c>
      <c r="K1854" s="68">
        <f t="shared" si="57"/>
        <v>8</v>
      </c>
    </row>
    <row r="1855" spans="1:11" x14ac:dyDescent="0.2">
      <c r="A1855">
        <f t="shared" si="56"/>
        <v>2907460</v>
      </c>
      <c r="B1855">
        <v>2020</v>
      </c>
      <c r="C1855" t="s">
        <v>739</v>
      </c>
      <c r="D1855" t="s">
        <v>740</v>
      </c>
      <c r="E1855" t="s">
        <v>743</v>
      </c>
      <c r="F1855" s="34">
        <v>307</v>
      </c>
      <c r="G1855" s="34" t="s">
        <v>232</v>
      </c>
      <c r="H1855" s="36">
        <v>515809</v>
      </c>
      <c r="I1855" s="58">
        <v>3467878</v>
      </c>
      <c r="J1855">
        <f>IFERROR(VLOOKUP(G1855,'LEAID Match'!$A$2:$B$526,2,FALSE),"")</f>
        <v>2907460</v>
      </c>
      <c r="K1855" s="68">
        <f t="shared" si="57"/>
        <v>8</v>
      </c>
    </row>
    <row r="1856" spans="1:11" x14ac:dyDescent="0.2">
      <c r="A1856">
        <f t="shared" si="56"/>
        <v>2907460</v>
      </c>
      <c r="B1856">
        <v>2021</v>
      </c>
      <c r="C1856" t="s">
        <v>739</v>
      </c>
      <c r="D1856" t="s">
        <v>740</v>
      </c>
      <c r="E1856" t="s">
        <v>743</v>
      </c>
      <c r="F1856" s="34">
        <v>307</v>
      </c>
      <c r="G1856" s="34" t="s">
        <v>232</v>
      </c>
      <c r="H1856" s="36">
        <v>567074</v>
      </c>
      <c r="I1856" s="58">
        <v>3654894</v>
      </c>
      <c r="J1856">
        <f>IFERROR(VLOOKUP(G1856,'LEAID Match'!$A$2:$B$526,2,FALSE),"")</f>
        <v>2907460</v>
      </c>
      <c r="K1856" s="68">
        <f t="shared" si="57"/>
        <v>8</v>
      </c>
    </row>
    <row r="1857" spans="1:11" x14ac:dyDescent="0.2">
      <c r="A1857">
        <f t="shared" si="56"/>
        <v>2907460</v>
      </c>
      <c r="B1857">
        <v>2022</v>
      </c>
      <c r="C1857" t="s">
        <v>739</v>
      </c>
      <c r="D1857" t="s">
        <v>740</v>
      </c>
      <c r="E1857" t="s">
        <v>743</v>
      </c>
      <c r="F1857" s="34">
        <v>307</v>
      </c>
      <c r="G1857" s="34" t="s">
        <v>232</v>
      </c>
      <c r="H1857" s="36">
        <v>652847</v>
      </c>
      <c r="I1857" s="58">
        <v>3864607</v>
      </c>
      <c r="J1857">
        <f>IFERROR(VLOOKUP(G1857,'LEAID Match'!$A$2:$B$526,2,FALSE),"")</f>
        <v>2907460</v>
      </c>
      <c r="K1857" s="68">
        <f t="shared" si="57"/>
        <v>8</v>
      </c>
    </row>
    <row r="1858" spans="1:11" x14ac:dyDescent="0.2">
      <c r="A1858">
        <f t="shared" si="56"/>
        <v>2904110</v>
      </c>
      <c r="B1858">
        <v>2015</v>
      </c>
      <c r="C1858" t="s">
        <v>739</v>
      </c>
      <c r="D1858" t="s">
        <v>740</v>
      </c>
      <c r="E1858" t="s">
        <v>743</v>
      </c>
      <c r="F1858" s="37">
        <v>308</v>
      </c>
      <c r="G1858" s="39" t="s">
        <v>233</v>
      </c>
      <c r="H1858" s="40">
        <v>18107</v>
      </c>
      <c r="I1858" s="58">
        <v>89707</v>
      </c>
      <c r="J1858">
        <f>IFERROR(VLOOKUP(G1858,'LEAID Match'!$A$2:$B$526,2,FALSE),"")</f>
        <v>2904110</v>
      </c>
      <c r="K1858" s="68">
        <f t="shared" si="57"/>
        <v>8</v>
      </c>
    </row>
    <row r="1859" spans="1:11" x14ac:dyDescent="0.2">
      <c r="A1859">
        <f t="shared" ref="A1859:A1922" si="58">J1859</f>
        <v>2904110</v>
      </c>
      <c r="B1859">
        <v>2016</v>
      </c>
      <c r="C1859" t="s">
        <v>739</v>
      </c>
      <c r="D1859" t="s">
        <v>740</v>
      </c>
      <c r="E1859" t="s">
        <v>743</v>
      </c>
      <c r="F1859" s="34">
        <v>308</v>
      </c>
      <c r="G1859" s="34" t="s">
        <v>233</v>
      </c>
      <c r="H1859" s="36">
        <v>17801</v>
      </c>
      <c r="I1859" s="60">
        <v>91024</v>
      </c>
      <c r="J1859">
        <f>IFERROR(VLOOKUP(G1859,'LEAID Match'!$A$2:$B$526,2,FALSE),"")</f>
        <v>2904110</v>
      </c>
      <c r="K1859" s="68">
        <f t="shared" ref="K1859:K1922" si="59">COUNTIF($J$2:$J$4295,J1859)</f>
        <v>8</v>
      </c>
    </row>
    <row r="1860" spans="1:11" x14ac:dyDescent="0.2">
      <c r="A1860">
        <f t="shared" si="58"/>
        <v>2904110</v>
      </c>
      <c r="B1860">
        <v>2017</v>
      </c>
      <c r="C1860" t="s">
        <v>739</v>
      </c>
      <c r="D1860" t="s">
        <v>740</v>
      </c>
      <c r="E1860" t="s">
        <v>743</v>
      </c>
      <c r="F1860" s="34">
        <v>308</v>
      </c>
      <c r="G1860" s="34" t="s">
        <v>233</v>
      </c>
      <c r="H1860" s="36">
        <v>19081</v>
      </c>
      <c r="I1860" s="58">
        <v>100200</v>
      </c>
      <c r="J1860">
        <f>IFERROR(VLOOKUP(G1860,'LEAID Match'!$A$2:$B$526,2,FALSE),"")</f>
        <v>2904110</v>
      </c>
      <c r="K1860" s="68">
        <f t="shared" si="59"/>
        <v>8</v>
      </c>
    </row>
    <row r="1861" spans="1:11" x14ac:dyDescent="0.2">
      <c r="A1861">
        <f t="shared" si="58"/>
        <v>2904110</v>
      </c>
      <c r="B1861">
        <v>2018</v>
      </c>
      <c r="C1861" t="s">
        <v>739</v>
      </c>
      <c r="D1861" t="s">
        <v>740</v>
      </c>
      <c r="E1861" t="s">
        <v>743</v>
      </c>
      <c r="F1861" s="34">
        <v>308</v>
      </c>
      <c r="G1861" s="34" t="s">
        <v>233</v>
      </c>
      <c r="H1861" s="36">
        <v>19809</v>
      </c>
      <c r="I1861" s="58">
        <v>95236</v>
      </c>
      <c r="J1861">
        <f>IFERROR(VLOOKUP(G1861,'LEAID Match'!$A$2:$B$526,2,FALSE),"")</f>
        <v>2904110</v>
      </c>
      <c r="K1861" s="68">
        <f t="shared" si="59"/>
        <v>8</v>
      </c>
    </row>
    <row r="1862" spans="1:11" x14ac:dyDescent="0.2">
      <c r="A1862">
        <f t="shared" si="58"/>
        <v>2904110</v>
      </c>
      <c r="B1862">
        <v>2019</v>
      </c>
      <c r="C1862" t="s">
        <v>739</v>
      </c>
      <c r="D1862" t="s">
        <v>740</v>
      </c>
      <c r="E1862" t="s">
        <v>743</v>
      </c>
      <c r="F1862" s="34">
        <v>308</v>
      </c>
      <c r="G1862" s="34" t="s">
        <v>233</v>
      </c>
      <c r="H1862" s="36">
        <v>19342</v>
      </c>
      <c r="I1862" s="58">
        <v>98633</v>
      </c>
      <c r="J1862">
        <f>IFERROR(VLOOKUP(G1862,'LEAID Match'!$A$2:$B$526,2,FALSE),"")</f>
        <v>2904110</v>
      </c>
      <c r="K1862" s="68">
        <f t="shared" si="59"/>
        <v>8</v>
      </c>
    </row>
    <row r="1863" spans="1:11" x14ac:dyDescent="0.2">
      <c r="A1863">
        <f t="shared" si="58"/>
        <v>2904110</v>
      </c>
      <c r="B1863">
        <v>2020</v>
      </c>
      <c r="C1863" t="s">
        <v>739</v>
      </c>
      <c r="D1863" t="s">
        <v>740</v>
      </c>
      <c r="E1863" t="s">
        <v>743</v>
      </c>
      <c r="F1863" s="34">
        <v>308</v>
      </c>
      <c r="G1863" s="34" t="s">
        <v>233</v>
      </c>
      <c r="H1863" s="36">
        <v>19618</v>
      </c>
      <c r="I1863" s="58">
        <v>105657</v>
      </c>
      <c r="J1863">
        <f>IFERROR(VLOOKUP(G1863,'LEAID Match'!$A$2:$B$526,2,FALSE),"")</f>
        <v>2904110</v>
      </c>
      <c r="K1863" s="68">
        <f t="shared" si="59"/>
        <v>8</v>
      </c>
    </row>
    <row r="1864" spans="1:11" x14ac:dyDescent="0.2">
      <c r="A1864">
        <f t="shared" si="58"/>
        <v>2904110</v>
      </c>
      <c r="B1864">
        <v>2021</v>
      </c>
      <c r="C1864" t="s">
        <v>739</v>
      </c>
      <c r="D1864" t="s">
        <v>740</v>
      </c>
      <c r="E1864" t="s">
        <v>743</v>
      </c>
      <c r="F1864" s="34">
        <v>308</v>
      </c>
      <c r="G1864" s="34" t="s">
        <v>233</v>
      </c>
      <c r="H1864" s="36">
        <v>20544</v>
      </c>
      <c r="I1864" s="58">
        <v>90034</v>
      </c>
      <c r="J1864">
        <f>IFERROR(VLOOKUP(G1864,'LEAID Match'!$A$2:$B$526,2,FALSE),"")</f>
        <v>2904110</v>
      </c>
      <c r="K1864" s="68">
        <f t="shared" si="59"/>
        <v>8</v>
      </c>
    </row>
    <row r="1865" spans="1:11" x14ac:dyDescent="0.2">
      <c r="A1865">
        <f t="shared" si="58"/>
        <v>2904110</v>
      </c>
      <c r="B1865">
        <v>2022</v>
      </c>
      <c r="C1865" t="s">
        <v>739</v>
      </c>
      <c r="D1865" t="s">
        <v>740</v>
      </c>
      <c r="E1865" t="s">
        <v>743</v>
      </c>
      <c r="F1865" s="34">
        <v>308</v>
      </c>
      <c r="G1865" s="34" t="s">
        <v>233</v>
      </c>
      <c r="H1865" s="36">
        <v>19048</v>
      </c>
      <c r="I1865" s="58">
        <v>103002</v>
      </c>
      <c r="J1865">
        <f>IFERROR(VLOOKUP(G1865,'LEAID Match'!$A$2:$B$526,2,FALSE),"")</f>
        <v>2904110</v>
      </c>
      <c r="K1865" s="68">
        <f t="shared" si="59"/>
        <v>8</v>
      </c>
    </row>
    <row r="1866" spans="1:11" x14ac:dyDescent="0.2">
      <c r="A1866">
        <f t="shared" si="58"/>
        <v>2922890</v>
      </c>
      <c r="B1866">
        <v>2015</v>
      </c>
      <c r="C1866" t="s">
        <v>739</v>
      </c>
      <c r="D1866" t="s">
        <v>740</v>
      </c>
      <c r="E1866" t="s">
        <v>743</v>
      </c>
      <c r="F1866" s="37">
        <v>313</v>
      </c>
      <c r="G1866" s="39" t="s">
        <v>234</v>
      </c>
      <c r="H1866" s="40">
        <v>598555</v>
      </c>
      <c r="I1866" s="58">
        <v>4722365</v>
      </c>
      <c r="J1866">
        <f>IFERROR(VLOOKUP(G1866,'LEAID Match'!$A$2:$B$526,2,FALSE),"")</f>
        <v>2922890</v>
      </c>
      <c r="K1866" s="68">
        <f t="shared" si="59"/>
        <v>8</v>
      </c>
    </row>
    <row r="1867" spans="1:11" x14ac:dyDescent="0.2">
      <c r="A1867">
        <f t="shared" si="58"/>
        <v>2922890</v>
      </c>
      <c r="B1867">
        <v>2016</v>
      </c>
      <c r="C1867" t="s">
        <v>739</v>
      </c>
      <c r="D1867" t="s">
        <v>740</v>
      </c>
      <c r="E1867" t="s">
        <v>743</v>
      </c>
      <c r="F1867" s="34">
        <v>313</v>
      </c>
      <c r="G1867" s="34" t="s">
        <v>234</v>
      </c>
      <c r="H1867" s="36">
        <v>584435</v>
      </c>
      <c r="I1867" s="60">
        <v>4669984</v>
      </c>
      <c r="J1867">
        <f>IFERROR(VLOOKUP(G1867,'LEAID Match'!$A$2:$B$526,2,FALSE),"")</f>
        <v>2922890</v>
      </c>
      <c r="K1867" s="68">
        <f t="shared" si="59"/>
        <v>8</v>
      </c>
    </row>
    <row r="1868" spans="1:11" x14ac:dyDescent="0.2">
      <c r="A1868">
        <f t="shared" si="58"/>
        <v>2922890</v>
      </c>
      <c r="B1868">
        <v>2017</v>
      </c>
      <c r="C1868" t="s">
        <v>739</v>
      </c>
      <c r="D1868" t="s">
        <v>740</v>
      </c>
      <c r="E1868" t="s">
        <v>743</v>
      </c>
      <c r="F1868" s="34">
        <v>313</v>
      </c>
      <c r="G1868" s="34" t="s">
        <v>234</v>
      </c>
      <c r="H1868" s="36">
        <v>596362</v>
      </c>
      <c r="I1868" s="58">
        <v>4560968</v>
      </c>
      <c r="J1868">
        <f>IFERROR(VLOOKUP(G1868,'LEAID Match'!$A$2:$B$526,2,FALSE),"")</f>
        <v>2922890</v>
      </c>
      <c r="K1868" s="68">
        <f t="shared" si="59"/>
        <v>8</v>
      </c>
    </row>
    <row r="1869" spans="1:11" x14ac:dyDescent="0.2">
      <c r="A1869">
        <f t="shared" si="58"/>
        <v>2922890</v>
      </c>
      <c r="B1869">
        <v>2018</v>
      </c>
      <c r="C1869" t="s">
        <v>739</v>
      </c>
      <c r="D1869" t="s">
        <v>740</v>
      </c>
      <c r="E1869" t="s">
        <v>743</v>
      </c>
      <c r="F1869" s="34">
        <v>313</v>
      </c>
      <c r="G1869" s="34" t="s">
        <v>234</v>
      </c>
      <c r="H1869" s="36">
        <v>601658</v>
      </c>
      <c r="I1869" s="58">
        <v>4517713</v>
      </c>
      <c r="J1869">
        <f>IFERROR(VLOOKUP(G1869,'LEAID Match'!$A$2:$B$526,2,FALSE),"")</f>
        <v>2922890</v>
      </c>
      <c r="K1869" s="68">
        <f t="shared" si="59"/>
        <v>8</v>
      </c>
    </row>
    <row r="1870" spans="1:11" x14ac:dyDescent="0.2">
      <c r="A1870">
        <f t="shared" si="58"/>
        <v>2922890</v>
      </c>
      <c r="B1870">
        <v>2019</v>
      </c>
      <c r="C1870" t="s">
        <v>739</v>
      </c>
      <c r="D1870" t="s">
        <v>740</v>
      </c>
      <c r="E1870" t="s">
        <v>743</v>
      </c>
      <c r="F1870" s="34">
        <v>313</v>
      </c>
      <c r="G1870" s="34" t="s">
        <v>234</v>
      </c>
      <c r="H1870" s="36">
        <v>608695</v>
      </c>
      <c r="I1870" s="58">
        <v>4581487</v>
      </c>
      <c r="J1870">
        <f>IFERROR(VLOOKUP(G1870,'LEAID Match'!$A$2:$B$526,2,FALSE),"")</f>
        <v>2922890</v>
      </c>
      <c r="K1870" s="68">
        <f t="shared" si="59"/>
        <v>8</v>
      </c>
    </row>
    <row r="1871" spans="1:11" x14ac:dyDescent="0.2">
      <c r="A1871">
        <f t="shared" si="58"/>
        <v>2922890</v>
      </c>
      <c r="B1871">
        <v>2020</v>
      </c>
      <c r="C1871" t="s">
        <v>739</v>
      </c>
      <c r="D1871" t="s">
        <v>740</v>
      </c>
      <c r="E1871" t="s">
        <v>743</v>
      </c>
      <c r="F1871" s="34">
        <v>313</v>
      </c>
      <c r="G1871" s="34" t="s">
        <v>234</v>
      </c>
      <c r="H1871" s="36">
        <v>636136</v>
      </c>
      <c r="I1871" s="58">
        <v>4625182</v>
      </c>
      <c r="J1871">
        <f>IFERROR(VLOOKUP(G1871,'LEAID Match'!$A$2:$B$526,2,FALSE),"")</f>
        <v>2922890</v>
      </c>
      <c r="K1871" s="68">
        <f t="shared" si="59"/>
        <v>8</v>
      </c>
    </row>
    <row r="1872" spans="1:11" x14ac:dyDescent="0.2">
      <c r="A1872">
        <f t="shared" si="58"/>
        <v>2922890</v>
      </c>
      <c r="B1872">
        <v>2021</v>
      </c>
      <c r="C1872" t="s">
        <v>739</v>
      </c>
      <c r="D1872" t="s">
        <v>740</v>
      </c>
      <c r="E1872" t="s">
        <v>743</v>
      </c>
      <c r="F1872" s="34">
        <v>313</v>
      </c>
      <c r="G1872" s="34" t="s">
        <v>234</v>
      </c>
      <c r="H1872" s="36">
        <v>668103</v>
      </c>
      <c r="I1872" s="58">
        <v>4831082</v>
      </c>
      <c r="J1872">
        <f>IFERROR(VLOOKUP(G1872,'LEAID Match'!$A$2:$B$526,2,FALSE),"")</f>
        <v>2922890</v>
      </c>
      <c r="K1872" s="68">
        <f t="shared" si="59"/>
        <v>8</v>
      </c>
    </row>
    <row r="1873" spans="1:11" x14ac:dyDescent="0.2">
      <c r="A1873">
        <f t="shared" si="58"/>
        <v>2922890</v>
      </c>
      <c r="B1873">
        <v>2022</v>
      </c>
      <c r="C1873" t="s">
        <v>739</v>
      </c>
      <c r="D1873" t="s">
        <v>740</v>
      </c>
      <c r="E1873" t="s">
        <v>743</v>
      </c>
      <c r="F1873" s="34">
        <v>313</v>
      </c>
      <c r="G1873" s="34" t="s">
        <v>234</v>
      </c>
      <c r="H1873" s="36">
        <v>683083</v>
      </c>
      <c r="I1873" s="58">
        <v>4922005</v>
      </c>
      <c r="J1873">
        <f>IFERROR(VLOOKUP(G1873,'LEAID Match'!$A$2:$B$526,2,FALSE),"")</f>
        <v>2922890</v>
      </c>
      <c r="K1873" s="68">
        <f t="shared" si="59"/>
        <v>8</v>
      </c>
    </row>
    <row r="1874" spans="1:11" x14ac:dyDescent="0.2">
      <c r="A1874">
        <f t="shared" si="58"/>
        <v>2913170</v>
      </c>
      <c r="B1874">
        <v>2015</v>
      </c>
      <c r="C1874" t="s">
        <v>739</v>
      </c>
      <c r="D1874" t="s">
        <v>740</v>
      </c>
      <c r="E1874" t="s">
        <v>743</v>
      </c>
      <c r="F1874" s="37">
        <v>314</v>
      </c>
      <c r="G1874" s="34" t="s">
        <v>557</v>
      </c>
      <c r="H1874" s="40">
        <v>85771</v>
      </c>
      <c r="I1874" s="58">
        <v>445603</v>
      </c>
      <c r="J1874">
        <f>IFERROR(VLOOKUP(G1874,'LEAID Match'!$A$2:$B$526,2,FALSE),"")</f>
        <v>2913170</v>
      </c>
      <c r="K1874" s="68">
        <f t="shared" si="59"/>
        <v>8</v>
      </c>
    </row>
    <row r="1875" spans="1:11" x14ac:dyDescent="0.2">
      <c r="A1875">
        <f t="shared" si="58"/>
        <v>2913170</v>
      </c>
      <c r="B1875">
        <v>2016</v>
      </c>
      <c r="C1875" t="s">
        <v>739</v>
      </c>
      <c r="D1875" t="s">
        <v>740</v>
      </c>
      <c r="E1875" t="s">
        <v>743</v>
      </c>
      <c r="F1875" s="34">
        <v>314</v>
      </c>
      <c r="G1875" s="34" t="s">
        <v>557</v>
      </c>
      <c r="H1875" s="36">
        <v>90805</v>
      </c>
      <c r="I1875" s="60">
        <v>493019</v>
      </c>
      <c r="J1875">
        <f>IFERROR(VLOOKUP(G1875,'LEAID Match'!$A$2:$B$526,2,FALSE),"")</f>
        <v>2913170</v>
      </c>
      <c r="K1875" s="68">
        <f t="shared" si="59"/>
        <v>8</v>
      </c>
    </row>
    <row r="1876" spans="1:11" x14ac:dyDescent="0.2">
      <c r="A1876">
        <f t="shared" si="58"/>
        <v>2913170</v>
      </c>
      <c r="B1876">
        <v>2017</v>
      </c>
      <c r="C1876" t="s">
        <v>739</v>
      </c>
      <c r="D1876" t="s">
        <v>740</v>
      </c>
      <c r="E1876" t="s">
        <v>743</v>
      </c>
      <c r="F1876" s="34">
        <v>314</v>
      </c>
      <c r="G1876" s="34" t="s">
        <v>557</v>
      </c>
      <c r="H1876" s="36">
        <v>78545</v>
      </c>
      <c r="I1876" s="58">
        <v>497334</v>
      </c>
      <c r="J1876">
        <f>IFERROR(VLOOKUP(G1876,'LEAID Match'!$A$2:$B$526,2,FALSE),"")</f>
        <v>2913170</v>
      </c>
      <c r="K1876" s="68">
        <f t="shared" si="59"/>
        <v>8</v>
      </c>
    </row>
    <row r="1877" spans="1:11" x14ac:dyDescent="0.2">
      <c r="A1877">
        <f t="shared" si="58"/>
        <v>2913170</v>
      </c>
      <c r="B1877">
        <v>2018</v>
      </c>
      <c r="C1877" t="s">
        <v>739</v>
      </c>
      <c r="D1877" t="s">
        <v>740</v>
      </c>
      <c r="E1877" t="s">
        <v>743</v>
      </c>
      <c r="F1877" s="34">
        <v>314</v>
      </c>
      <c r="G1877" s="34" t="s">
        <v>557</v>
      </c>
      <c r="H1877" s="36">
        <v>80233</v>
      </c>
      <c r="I1877" s="58">
        <v>506937</v>
      </c>
      <c r="J1877">
        <f>IFERROR(VLOOKUP(G1877,'LEAID Match'!$A$2:$B$526,2,FALSE),"")</f>
        <v>2913170</v>
      </c>
      <c r="K1877" s="68">
        <f t="shared" si="59"/>
        <v>8</v>
      </c>
    </row>
    <row r="1878" spans="1:11" x14ac:dyDescent="0.2">
      <c r="A1878">
        <f t="shared" si="58"/>
        <v>2913170</v>
      </c>
      <c r="B1878">
        <v>2019</v>
      </c>
      <c r="C1878" t="s">
        <v>739</v>
      </c>
      <c r="D1878" t="s">
        <v>740</v>
      </c>
      <c r="E1878" t="s">
        <v>743</v>
      </c>
      <c r="F1878" s="34">
        <v>314</v>
      </c>
      <c r="G1878" s="34" t="s">
        <v>557</v>
      </c>
      <c r="H1878" s="36">
        <v>86078</v>
      </c>
      <c r="I1878" s="58">
        <v>472116</v>
      </c>
      <c r="J1878">
        <f>IFERROR(VLOOKUP(G1878,'LEAID Match'!$A$2:$B$526,2,FALSE),"")</f>
        <v>2913170</v>
      </c>
      <c r="K1878" s="68">
        <f t="shared" si="59"/>
        <v>8</v>
      </c>
    </row>
    <row r="1879" spans="1:11" x14ac:dyDescent="0.2">
      <c r="A1879">
        <f t="shared" si="58"/>
        <v>2913170</v>
      </c>
      <c r="B1879">
        <v>2020</v>
      </c>
      <c r="C1879" t="s">
        <v>739</v>
      </c>
      <c r="D1879" t="s">
        <v>740</v>
      </c>
      <c r="E1879" t="s">
        <v>743</v>
      </c>
      <c r="F1879" s="34">
        <v>314</v>
      </c>
      <c r="G1879" s="34" t="s">
        <v>557</v>
      </c>
      <c r="H1879" s="36">
        <v>82093</v>
      </c>
      <c r="I1879" s="58">
        <v>468536</v>
      </c>
      <c r="J1879">
        <f>IFERROR(VLOOKUP(G1879,'LEAID Match'!$A$2:$B$526,2,FALSE),"")</f>
        <v>2913170</v>
      </c>
      <c r="K1879" s="68">
        <f t="shared" si="59"/>
        <v>8</v>
      </c>
    </row>
    <row r="1880" spans="1:11" x14ac:dyDescent="0.2">
      <c r="A1880">
        <f t="shared" si="58"/>
        <v>2913170</v>
      </c>
      <c r="B1880">
        <v>2021</v>
      </c>
      <c r="C1880" t="s">
        <v>739</v>
      </c>
      <c r="D1880" t="s">
        <v>740</v>
      </c>
      <c r="E1880" t="s">
        <v>743</v>
      </c>
      <c r="F1880" s="34">
        <v>314</v>
      </c>
      <c r="G1880" s="34" t="s">
        <v>557</v>
      </c>
      <c r="H1880" s="36">
        <v>79341</v>
      </c>
      <c r="I1880" s="58">
        <v>421206</v>
      </c>
      <c r="J1880">
        <f>IFERROR(VLOOKUP(G1880,'LEAID Match'!$A$2:$B$526,2,FALSE),"")</f>
        <v>2913170</v>
      </c>
      <c r="K1880" s="68">
        <f t="shared" si="59"/>
        <v>8</v>
      </c>
    </row>
    <row r="1881" spans="1:11" x14ac:dyDescent="0.2">
      <c r="A1881">
        <f t="shared" si="58"/>
        <v>2913170</v>
      </c>
      <c r="B1881">
        <v>2022</v>
      </c>
      <c r="C1881" t="s">
        <v>739</v>
      </c>
      <c r="D1881" t="s">
        <v>740</v>
      </c>
      <c r="E1881" t="s">
        <v>743</v>
      </c>
      <c r="F1881" s="34">
        <v>314</v>
      </c>
      <c r="G1881" s="34" t="s">
        <v>557</v>
      </c>
      <c r="H1881" s="36">
        <v>81399</v>
      </c>
      <c r="I1881" s="58">
        <v>465039</v>
      </c>
      <c r="J1881">
        <f>IFERROR(VLOOKUP(G1881,'LEAID Match'!$A$2:$B$526,2,FALSE),"")</f>
        <v>2913170</v>
      </c>
      <c r="K1881" s="68">
        <f t="shared" si="59"/>
        <v>8</v>
      </c>
    </row>
    <row r="1882" spans="1:11" x14ac:dyDescent="0.2">
      <c r="A1882">
        <f t="shared" si="58"/>
        <v>2914430</v>
      </c>
      <c r="B1882">
        <v>2015</v>
      </c>
      <c r="C1882" t="s">
        <v>739</v>
      </c>
      <c r="D1882" t="s">
        <v>740</v>
      </c>
      <c r="E1882" t="s">
        <v>743</v>
      </c>
      <c r="F1882" s="37">
        <v>315</v>
      </c>
      <c r="G1882" s="39" t="s">
        <v>236</v>
      </c>
      <c r="H1882" s="40">
        <v>407908</v>
      </c>
      <c r="I1882" s="58">
        <v>2356392</v>
      </c>
      <c r="J1882">
        <f>IFERROR(VLOOKUP(G1882,'LEAID Match'!$A$2:$B$526,2,FALSE),"")</f>
        <v>2914430</v>
      </c>
      <c r="K1882" s="68">
        <f t="shared" si="59"/>
        <v>8</v>
      </c>
    </row>
    <row r="1883" spans="1:11" x14ac:dyDescent="0.2">
      <c r="A1883">
        <f t="shared" si="58"/>
        <v>2914430</v>
      </c>
      <c r="B1883">
        <v>2016</v>
      </c>
      <c r="C1883" t="s">
        <v>739</v>
      </c>
      <c r="D1883" t="s">
        <v>740</v>
      </c>
      <c r="E1883" t="s">
        <v>743</v>
      </c>
      <c r="F1883" s="34">
        <v>315</v>
      </c>
      <c r="G1883" s="34" t="s">
        <v>236</v>
      </c>
      <c r="H1883" s="36">
        <v>414130</v>
      </c>
      <c r="I1883" s="60">
        <v>2445308</v>
      </c>
      <c r="J1883">
        <f>IFERROR(VLOOKUP(G1883,'LEAID Match'!$A$2:$B$526,2,FALSE),"")</f>
        <v>2914430</v>
      </c>
      <c r="K1883" s="68">
        <f t="shared" si="59"/>
        <v>8</v>
      </c>
    </row>
    <row r="1884" spans="1:11" x14ac:dyDescent="0.2">
      <c r="A1884">
        <f t="shared" si="58"/>
        <v>2914430</v>
      </c>
      <c r="B1884">
        <v>2017</v>
      </c>
      <c r="C1884" t="s">
        <v>739</v>
      </c>
      <c r="D1884" t="s">
        <v>740</v>
      </c>
      <c r="E1884" t="s">
        <v>743</v>
      </c>
      <c r="F1884" s="34">
        <v>315</v>
      </c>
      <c r="G1884" s="34" t="s">
        <v>236</v>
      </c>
      <c r="H1884" s="36">
        <v>414658</v>
      </c>
      <c r="I1884" s="58">
        <v>2363523</v>
      </c>
      <c r="J1884">
        <f>IFERROR(VLOOKUP(G1884,'LEAID Match'!$A$2:$B$526,2,FALSE),"")</f>
        <v>2914430</v>
      </c>
      <c r="K1884" s="68">
        <f t="shared" si="59"/>
        <v>8</v>
      </c>
    </row>
    <row r="1885" spans="1:11" x14ac:dyDescent="0.2">
      <c r="A1885">
        <f t="shared" si="58"/>
        <v>2914430</v>
      </c>
      <c r="B1885">
        <v>2018</v>
      </c>
      <c r="C1885" t="s">
        <v>739</v>
      </c>
      <c r="D1885" t="s">
        <v>740</v>
      </c>
      <c r="E1885" t="s">
        <v>743</v>
      </c>
      <c r="F1885" s="34">
        <v>315</v>
      </c>
      <c r="G1885" s="34" t="s">
        <v>236</v>
      </c>
      <c r="H1885" s="36">
        <v>410746</v>
      </c>
      <c r="I1885" s="58">
        <v>2416715</v>
      </c>
      <c r="J1885">
        <f>IFERROR(VLOOKUP(G1885,'LEAID Match'!$A$2:$B$526,2,FALSE),"")</f>
        <v>2914430</v>
      </c>
      <c r="K1885" s="68">
        <f t="shared" si="59"/>
        <v>8</v>
      </c>
    </row>
    <row r="1886" spans="1:11" x14ac:dyDescent="0.2">
      <c r="A1886">
        <f t="shared" si="58"/>
        <v>2914430</v>
      </c>
      <c r="B1886">
        <v>2019</v>
      </c>
      <c r="C1886" t="s">
        <v>739</v>
      </c>
      <c r="D1886" t="s">
        <v>740</v>
      </c>
      <c r="E1886" t="s">
        <v>743</v>
      </c>
      <c r="F1886" s="34">
        <v>315</v>
      </c>
      <c r="G1886" s="34" t="s">
        <v>236</v>
      </c>
      <c r="H1886" s="36">
        <v>402518</v>
      </c>
      <c r="I1886" s="58">
        <v>2373067</v>
      </c>
      <c r="J1886">
        <f>IFERROR(VLOOKUP(G1886,'LEAID Match'!$A$2:$B$526,2,FALSE),"")</f>
        <v>2914430</v>
      </c>
      <c r="K1886" s="68">
        <f t="shared" si="59"/>
        <v>8</v>
      </c>
    </row>
    <row r="1887" spans="1:11" x14ac:dyDescent="0.2">
      <c r="A1887">
        <f t="shared" si="58"/>
        <v>2914430</v>
      </c>
      <c r="B1887">
        <v>2020</v>
      </c>
      <c r="C1887" t="s">
        <v>739</v>
      </c>
      <c r="D1887" t="s">
        <v>740</v>
      </c>
      <c r="E1887" t="s">
        <v>743</v>
      </c>
      <c r="F1887" s="34">
        <v>315</v>
      </c>
      <c r="G1887" s="34" t="s">
        <v>236</v>
      </c>
      <c r="H1887" s="36">
        <v>385948</v>
      </c>
      <c r="I1887" s="58">
        <v>2370007</v>
      </c>
      <c r="J1887">
        <f>IFERROR(VLOOKUP(G1887,'LEAID Match'!$A$2:$B$526,2,FALSE),"")</f>
        <v>2914430</v>
      </c>
      <c r="K1887" s="68">
        <f t="shared" si="59"/>
        <v>8</v>
      </c>
    </row>
    <row r="1888" spans="1:11" x14ac:dyDescent="0.2">
      <c r="A1888">
        <f t="shared" si="58"/>
        <v>2914430</v>
      </c>
      <c r="B1888">
        <v>2021</v>
      </c>
      <c r="C1888" t="s">
        <v>739</v>
      </c>
      <c r="D1888" t="s">
        <v>740</v>
      </c>
      <c r="E1888" t="s">
        <v>743</v>
      </c>
      <c r="F1888" s="34">
        <v>315</v>
      </c>
      <c r="G1888" s="34" t="s">
        <v>236</v>
      </c>
      <c r="H1888" s="36">
        <v>364202</v>
      </c>
      <c r="I1888" s="58">
        <v>2378668</v>
      </c>
      <c r="J1888">
        <f>IFERROR(VLOOKUP(G1888,'LEAID Match'!$A$2:$B$526,2,FALSE),"")</f>
        <v>2914430</v>
      </c>
      <c r="K1888" s="68">
        <f t="shared" si="59"/>
        <v>8</v>
      </c>
    </row>
    <row r="1889" spans="1:11" x14ac:dyDescent="0.2">
      <c r="A1889">
        <f t="shared" si="58"/>
        <v>2914430</v>
      </c>
      <c r="B1889">
        <v>2022</v>
      </c>
      <c r="C1889" t="s">
        <v>739</v>
      </c>
      <c r="D1889" t="s">
        <v>740</v>
      </c>
      <c r="E1889" t="s">
        <v>743</v>
      </c>
      <c r="F1889" s="34">
        <v>315</v>
      </c>
      <c r="G1889" s="34" t="s">
        <v>236</v>
      </c>
      <c r="H1889" s="36">
        <v>391341</v>
      </c>
      <c r="I1889" s="58">
        <v>2514716</v>
      </c>
      <c r="J1889">
        <f>IFERROR(VLOOKUP(G1889,'LEAID Match'!$A$2:$B$526,2,FALSE),"")</f>
        <v>2914430</v>
      </c>
      <c r="K1889" s="68">
        <f t="shared" si="59"/>
        <v>8</v>
      </c>
    </row>
    <row r="1890" spans="1:11" x14ac:dyDescent="0.2">
      <c r="A1890">
        <f t="shared" si="58"/>
        <v>2914250</v>
      </c>
      <c r="B1890">
        <v>2015</v>
      </c>
      <c r="C1890" t="s">
        <v>739</v>
      </c>
      <c r="D1890" t="s">
        <v>740</v>
      </c>
      <c r="E1890" t="s">
        <v>743</v>
      </c>
      <c r="F1890" s="37">
        <v>317</v>
      </c>
      <c r="G1890" s="39" t="s">
        <v>237</v>
      </c>
      <c r="H1890" s="40">
        <v>156218</v>
      </c>
      <c r="I1890" s="58">
        <v>1039667</v>
      </c>
      <c r="J1890">
        <f>IFERROR(VLOOKUP(G1890,'LEAID Match'!$A$2:$B$526,2,FALSE),"")</f>
        <v>2914250</v>
      </c>
      <c r="K1890" s="68">
        <f t="shared" si="59"/>
        <v>8</v>
      </c>
    </row>
    <row r="1891" spans="1:11" x14ac:dyDescent="0.2">
      <c r="A1891">
        <f t="shared" si="58"/>
        <v>2914250</v>
      </c>
      <c r="B1891">
        <v>2016</v>
      </c>
      <c r="C1891" t="s">
        <v>739</v>
      </c>
      <c r="D1891" t="s">
        <v>740</v>
      </c>
      <c r="E1891" t="s">
        <v>743</v>
      </c>
      <c r="F1891" s="34">
        <v>317</v>
      </c>
      <c r="G1891" s="34" t="s">
        <v>237</v>
      </c>
      <c r="H1891" s="36">
        <v>179533</v>
      </c>
      <c r="I1891" s="60">
        <v>1097325</v>
      </c>
      <c r="J1891">
        <f>IFERROR(VLOOKUP(G1891,'LEAID Match'!$A$2:$B$526,2,FALSE),"")</f>
        <v>2914250</v>
      </c>
      <c r="K1891" s="68">
        <f t="shared" si="59"/>
        <v>8</v>
      </c>
    </row>
    <row r="1892" spans="1:11" x14ac:dyDescent="0.2">
      <c r="A1892">
        <f t="shared" si="58"/>
        <v>2914250</v>
      </c>
      <c r="B1892">
        <v>2017</v>
      </c>
      <c r="C1892" t="s">
        <v>739</v>
      </c>
      <c r="D1892" t="s">
        <v>740</v>
      </c>
      <c r="E1892" t="s">
        <v>743</v>
      </c>
      <c r="F1892" s="34">
        <v>317</v>
      </c>
      <c r="G1892" s="34" t="s">
        <v>237</v>
      </c>
      <c r="H1892" s="36">
        <v>206353</v>
      </c>
      <c r="I1892" s="58">
        <v>1185709</v>
      </c>
      <c r="J1892">
        <f>IFERROR(VLOOKUP(G1892,'LEAID Match'!$A$2:$B$526,2,FALSE),"")</f>
        <v>2914250</v>
      </c>
      <c r="K1892" s="68">
        <f t="shared" si="59"/>
        <v>8</v>
      </c>
    </row>
    <row r="1893" spans="1:11" x14ac:dyDescent="0.2">
      <c r="A1893">
        <f t="shared" si="58"/>
        <v>2914250</v>
      </c>
      <c r="B1893">
        <v>2018</v>
      </c>
      <c r="C1893" t="s">
        <v>739</v>
      </c>
      <c r="D1893" t="s">
        <v>740</v>
      </c>
      <c r="E1893" t="s">
        <v>743</v>
      </c>
      <c r="F1893" s="34">
        <v>317</v>
      </c>
      <c r="G1893" s="34" t="s">
        <v>237</v>
      </c>
      <c r="H1893" s="36">
        <v>216495</v>
      </c>
      <c r="I1893" s="58">
        <v>1227542</v>
      </c>
      <c r="J1893">
        <f>IFERROR(VLOOKUP(G1893,'LEAID Match'!$A$2:$B$526,2,FALSE),"")</f>
        <v>2914250</v>
      </c>
      <c r="K1893" s="68">
        <f t="shared" si="59"/>
        <v>8</v>
      </c>
    </row>
    <row r="1894" spans="1:11" x14ac:dyDescent="0.2">
      <c r="A1894">
        <f t="shared" si="58"/>
        <v>2914250</v>
      </c>
      <c r="B1894">
        <v>2019</v>
      </c>
      <c r="C1894" t="s">
        <v>739</v>
      </c>
      <c r="D1894" t="s">
        <v>740</v>
      </c>
      <c r="E1894" t="s">
        <v>743</v>
      </c>
      <c r="F1894" s="34">
        <v>317</v>
      </c>
      <c r="G1894" s="34" t="s">
        <v>237</v>
      </c>
      <c r="H1894" s="36">
        <v>224456</v>
      </c>
      <c r="I1894" s="58">
        <v>1235721</v>
      </c>
      <c r="J1894">
        <f>IFERROR(VLOOKUP(G1894,'LEAID Match'!$A$2:$B$526,2,FALSE),"")</f>
        <v>2914250</v>
      </c>
      <c r="K1894" s="68">
        <f t="shared" si="59"/>
        <v>8</v>
      </c>
    </row>
    <row r="1895" spans="1:11" x14ac:dyDescent="0.2">
      <c r="A1895">
        <f t="shared" si="58"/>
        <v>2914250</v>
      </c>
      <c r="B1895">
        <v>2020</v>
      </c>
      <c r="C1895" t="s">
        <v>739</v>
      </c>
      <c r="D1895" t="s">
        <v>740</v>
      </c>
      <c r="E1895" t="s">
        <v>743</v>
      </c>
      <c r="F1895" s="34">
        <v>317</v>
      </c>
      <c r="G1895" s="34" t="s">
        <v>237</v>
      </c>
      <c r="H1895" s="36">
        <v>224689</v>
      </c>
      <c r="I1895" s="58">
        <v>1213101</v>
      </c>
      <c r="J1895">
        <f>IFERROR(VLOOKUP(G1895,'LEAID Match'!$A$2:$B$526,2,FALSE),"")</f>
        <v>2914250</v>
      </c>
      <c r="K1895" s="68">
        <f t="shared" si="59"/>
        <v>8</v>
      </c>
    </row>
    <row r="1896" spans="1:11" x14ac:dyDescent="0.2">
      <c r="A1896">
        <f t="shared" si="58"/>
        <v>2914250</v>
      </c>
      <c r="B1896">
        <v>2021</v>
      </c>
      <c r="C1896" t="s">
        <v>739</v>
      </c>
      <c r="D1896" t="s">
        <v>740</v>
      </c>
      <c r="E1896" t="s">
        <v>743</v>
      </c>
      <c r="F1896" s="34">
        <v>317</v>
      </c>
      <c r="G1896" s="34" t="s">
        <v>237</v>
      </c>
      <c r="H1896" s="36">
        <v>247739</v>
      </c>
      <c r="I1896" s="58">
        <v>1247458</v>
      </c>
      <c r="J1896">
        <f>IFERROR(VLOOKUP(G1896,'LEAID Match'!$A$2:$B$526,2,FALSE),"")</f>
        <v>2914250</v>
      </c>
      <c r="K1896" s="68">
        <f t="shared" si="59"/>
        <v>8</v>
      </c>
    </row>
    <row r="1897" spans="1:11" x14ac:dyDescent="0.2">
      <c r="A1897">
        <f t="shared" si="58"/>
        <v>2914250</v>
      </c>
      <c r="B1897">
        <v>2022</v>
      </c>
      <c r="C1897" t="s">
        <v>739</v>
      </c>
      <c r="D1897" t="s">
        <v>740</v>
      </c>
      <c r="E1897" t="s">
        <v>743</v>
      </c>
      <c r="F1897" s="34">
        <v>317</v>
      </c>
      <c r="G1897" s="34" t="s">
        <v>237</v>
      </c>
      <c r="H1897" s="36">
        <v>279935</v>
      </c>
      <c r="I1897" s="58">
        <v>1334429</v>
      </c>
      <c r="J1897">
        <f>IFERROR(VLOOKUP(G1897,'LEAID Match'!$A$2:$B$526,2,FALSE),"")</f>
        <v>2914250</v>
      </c>
      <c r="K1897" s="68">
        <f t="shared" si="59"/>
        <v>8</v>
      </c>
    </row>
    <row r="1898" spans="1:11" x14ac:dyDescent="0.2">
      <c r="A1898">
        <f t="shared" si="58"/>
        <v>2912030</v>
      </c>
      <c r="B1898">
        <v>2015</v>
      </c>
      <c r="C1898" t="s">
        <v>739</v>
      </c>
      <c r="D1898" t="s">
        <v>740</v>
      </c>
      <c r="E1898" t="s">
        <v>743</v>
      </c>
      <c r="F1898" s="37">
        <v>318</v>
      </c>
      <c r="G1898" s="39" t="s">
        <v>238</v>
      </c>
      <c r="H1898" s="40">
        <v>215076</v>
      </c>
      <c r="I1898" s="58">
        <v>1999176</v>
      </c>
      <c r="J1898">
        <f>IFERROR(VLOOKUP(G1898,'LEAID Match'!$A$2:$B$526,2,FALSE),"")</f>
        <v>2912030</v>
      </c>
      <c r="K1898" s="68">
        <f t="shared" si="59"/>
        <v>8</v>
      </c>
    </row>
    <row r="1899" spans="1:11" x14ac:dyDescent="0.2">
      <c r="A1899">
        <f t="shared" si="58"/>
        <v>2912030</v>
      </c>
      <c r="B1899">
        <v>2016</v>
      </c>
      <c r="C1899" t="s">
        <v>739</v>
      </c>
      <c r="D1899" t="s">
        <v>740</v>
      </c>
      <c r="E1899" t="s">
        <v>743</v>
      </c>
      <c r="F1899" s="34">
        <v>318</v>
      </c>
      <c r="G1899" s="34" t="s">
        <v>238</v>
      </c>
      <c r="H1899" s="36">
        <v>240982</v>
      </c>
      <c r="I1899" s="60">
        <v>2004077</v>
      </c>
      <c r="J1899">
        <f>IFERROR(VLOOKUP(G1899,'LEAID Match'!$A$2:$B$526,2,FALSE),"")</f>
        <v>2912030</v>
      </c>
      <c r="K1899" s="68">
        <f t="shared" si="59"/>
        <v>8</v>
      </c>
    </row>
    <row r="1900" spans="1:11" x14ac:dyDescent="0.2">
      <c r="A1900">
        <f t="shared" si="58"/>
        <v>2912030</v>
      </c>
      <c r="B1900">
        <v>2017</v>
      </c>
      <c r="C1900" t="s">
        <v>739</v>
      </c>
      <c r="D1900" t="s">
        <v>740</v>
      </c>
      <c r="E1900" t="s">
        <v>743</v>
      </c>
      <c r="F1900" s="34">
        <v>318</v>
      </c>
      <c r="G1900" s="34" t="s">
        <v>238</v>
      </c>
      <c r="H1900" s="36">
        <v>246197</v>
      </c>
      <c r="I1900" s="58">
        <v>2089340</v>
      </c>
      <c r="J1900">
        <f>IFERROR(VLOOKUP(G1900,'LEAID Match'!$A$2:$B$526,2,FALSE),"")</f>
        <v>2912030</v>
      </c>
      <c r="K1900" s="68">
        <f t="shared" si="59"/>
        <v>8</v>
      </c>
    </row>
    <row r="1901" spans="1:11" x14ac:dyDescent="0.2">
      <c r="A1901">
        <f t="shared" si="58"/>
        <v>2912030</v>
      </c>
      <c r="B1901">
        <v>2018</v>
      </c>
      <c r="C1901" t="s">
        <v>739</v>
      </c>
      <c r="D1901" t="s">
        <v>740</v>
      </c>
      <c r="E1901" t="s">
        <v>743</v>
      </c>
      <c r="F1901" s="34">
        <v>318</v>
      </c>
      <c r="G1901" s="34" t="s">
        <v>238</v>
      </c>
      <c r="H1901" s="36">
        <v>263019</v>
      </c>
      <c r="I1901" s="58">
        <v>2141572</v>
      </c>
      <c r="J1901">
        <f>IFERROR(VLOOKUP(G1901,'LEAID Match'!$A$2:$B$526,2,FALSE),"")</f>
        <v>2912030</v>
      </c>
      <c r="K1901" s="68">
        <f t="shared" si="59"/>
        <v>8</v>
      </c>
    </row>
    <row r="1902" spans="1:11" x14ac:dyDescent="0.2">
      <c r="A1902">
        <f t="shared" si="58"/>
        <v>2912030</v>
      </c>
      <c r="B1902">
        <v>2019</v>
      </c>
      <c r="C1902" t="s">
        <v>739</v>
      </c>
      <c r="D1902" t="s">
        <v>740</v>
      </c>
      <c r="E1902" t="s">
        <v>743</v>
      </c>
      <c r="F1902" s="34">
        <v>318</v>
      </c>
      <c r="G1902" s="34" t="s">
        <v>238</v>
      </c>
      <c r="H1902" s="36">
        <v>293448</v>
      </c>
      <c r="I1902" s="58">
        <v>2193073</v>
      </c>
      <c r="J1902">
        <f>IFERROR(VLOOKUP(G1902,'LEAID Match'!$A$2:$B$526,2,FALSE),"")</f>
        <v>2912030</v>
      </c>
      <c r="K1902" s="68">
        <f t="shared" si="59"/>
        <v>8</v>
      </c>
    </row>
    <row r="1903" spans="1:11" x14ac:dyDescent="0.2">
      <c r="A1903">
        <f t="shared" si="58"/>
        <v>2912030</v>
      </c>
      <c r="B1903">
        <v>2020</v>
      </c>
      <c r="C1903" t="s">
        <v>739</v>
      </c>
      <c r="D1903" t="s">
        <v>740</v>
      </c>
      <c r="E1903" t="s">
        <v>743</v>
      </c>
      <c r="F1903" s="34">
        <v>318</v>
      </c>
      <c r="G1903" s="34" t="s">
        <v>238</v>
      </c>
      <c r="H1903" s="36">
        <v>314108</v>
      </c>
      <c r="I1903" s="58">
        <v>2252515</v>
      </c>
      <c r="J1903">
        <f>IFERROR(VLOOKUP(G1903,'LEAID Match'!$A$2:$B$526,2,FALSE),"")</f>
        <v>2912030</v>
      </c>
      <c r="K1903" s="68">
        <f t="shared" si="59"/>
        <v>8</v>
      </c>
    </row>
    <row r="1904" spans="1:11" x14ac:dyDescent="0.2">
      <c r="A1904">
        <f t="shared" si="58"/>
        <v>2912030</v>
      </c>
      <c r="B1904">
        <v>2021</v>
      </c>
      <c r="C1904" t="s">
        <v>739</v>
      </c>
      <c r="D1904" t="s">
        <v>740</v>
      </c>
      <c r="E1904" t="s">
        <v>743</v>
      </c>
      <c r="F1904" s="34">
        <v>318</v>
      </c>
      <c r="G1904" s="34" t="s">
        <v>238</v>
      </c>
      <c r="H1904" s="36">
        <v>321565</v>
      </c>
      <c r="I1904" s="58">
        <v>2354919</v>
      </c>
      <c r="J1904">
        <f>IFERROR(VLOOKUP(G1904,'LEAID Match'!$A$2:$B$526,2,FALSE),"")</f>
        <v>2912030</v>
      </c>
      <c r="K1904" s="68">
        <f t="shared" si="59"/>
        <v>8</v>
      </c>
    </row>
    <row r="1905" spans="1:11" x14ac:dyDescent="0.2">
      <c r="A1905">
        <f t="shared" si="58"/>
        <v>2912030</v>
      </c>
      <c r="B1905">
        <v>2022</v>
      </c>
      <c r="C1905" t="s">
        <v>739</v>
      </c>
      <c r="D1905" t="s">
        <v>740</v>
      </c>
      <c r="E1905" t="s">
        <v>743</v>
      </c>
      <c r="F1905" s="34">
        <v>318</v>
      </c>
      <c r="G1905" s="34" t="s">
        <v>238</v>
      </c>
      <c r="H1905" s="36">
        <v>319554</v>
      </c>
      <c r="I1905" s="58">
        <v>2459378</v>
      </c>
      <c r="J1905">
        <f>IFERROR(VLOOKUP(G1905,'LEAID Match'!$A$2:$B$526,2,FALSE),"")</f>
        <v>2912030</v>
      </c>
      <c r="K1905" s="68">
        <f t="shared" si="59"/>
        <v>8</v>
      </c>
    </row>
    <row r="1906" spans="1:11" x14ac:dyDescent="0.2">
      <c r="A1906">
        <f t="shared" si="58"/>
        <v>2916230</v>
      </c>
      <c r="B1906">
        <v>2015</v>
      </c>
      <c r="C1906" t="s">
        <v>739</v>
      </c>
      <c r="D1906" t="s">
        <v>740</v>
      </c>
      <c r="E1906" t="s">
        <v>743</v>
      </c>
      <c r="F1906" s="37">
        <v>319</v>
      </c>
      <c r="G1906" s="39" t="s">
        <v>239</v>
      </c>
      <c r="H1906" s="40">
        <v>125844</v>
      </c>
      <c r="I1906" s="58">
        <v>661077</v>
      </c>
      <c r="J1906">
        <f>IFERROR(VLOOKUP(G1906,'LEAID Match'!$A$2:$B$526,2,FALSE),"")</f>
        <v>2916230</v>
      </c>
      <c r="K1906" s="68">
        <f t="shared" si="59"/>
        <v>8</v>
      </c>
    </row>
    <row r="1907" spans="1:11" x14ac:dyDescent="0.2">
      <c r="A1907">
        <f t="shared" si="58"/>
        <v>2916230</v>
      </c>
      <c r="B1907">
        <v>2016</v>
      </c>
      <c r="C1907" t="s">
        <v>739</v>
      </c>
      <c r="D1907" t="s">
        <v>740</v>
      </c>
      <c r="E1907" t="s">
        <v>743</v>
      </c>
      <c r="F1907" s="34">
        <v>319</v>
      </c>
      <c r="G1907" s="34" t="s">
        <v>239</v>
      </c>
      <c r="H1907" s="36">
        <v>125886</v>
      </c>
      <c r="I1907" s="60">
        <v>709942</v>
      </c>
      <c r="J1907">
        <f>IFERROR(VLOOKUP(G1907,'LEAID Match'!$A$2:$B$526,2,FALSE),"")</f>
        <v>2916230</v>
      </c>
      <c r="K1907" s="68">
        <f t="shared" si="59"/>
        <v>8</v>
      </c>
    </row>
    <row r="1908" spans="1:11" x14ac:dyDescent="0.2">
      <c r="A1908">
        <f t="shared" si="58"/>
        <v>2916230</v>
      </c>
      <c r="B1908">
        <v>2017</v>
      </c>
      <c r="C1908" t="s">
        <v>739</v>
      </c>
      <c r="D1908" t="s">
        <v>740</v>
      </c>
      <c r="E1908" t="s">
        <v>743</v>
      </c>
      <c r="F1908" s="34">
        <v>319</v>
      </c>
      <c r="G1908" s="34" t="s">
        <v>239</v>
      </c>
      <c r="H1908" s="36">
        <v>130679</v>
      </c>
      <c r="I1908" s="58">
        <v>722436</v>
      </c>
      <c r="J1908">
        <f>IFERROR(VLOOKUP(G1908,'LEAID Match'!$A$2:$B$526,2,FALSE),"")</f>
        <v>2916230</v>
      </c>
      <c r="K1908" s="68">
        <f t="shared" si="59"/>
        <v>8</v>
      </c>
    </row>
    <row r="1909" spans="1:11" x14ac:dyDescent="0.2">
      <c r="A1909">
        <f t="shared" si="58"/>
        <v>2916230</v>
      </c>
      <c r="B1909">
        <v>2018</v>
      </c>
      <c r="C1909" t="s">
        <v>739</v>
      </c>
      <c r="D1909" t="s">
        <v>740</v>
      </c>
      <c r="E1909" t="s">
        <v>743</v>
      </c>
      <c r="F1909" s="34">
        <v>319</v>
      </c>
      <c r="G1909" s="34" t="s">
        <v>239</v>
      </c>
      <c r="H1909" s="36">
        <v>139038</v>
      </c>
      <c r="I1909" s="58">
        <v>737119</v>
      </c>
      <c r="J1909">
        <f>IFERROR(VLOOKUP(G1909,'LEAID Match'!$A$2:$B$526,2,FALSE),"")</f>
        <v>2916230</v>
      </c>
      <c r="K1909" s="68">
        <f t="shared" si="59"/>
        <v>8</v>
      </c>
    </row>
    <row r="1910" spans="1:11" x14ac:dyDescent="0.2">
      <c r="A1910">
        <f t="shared" si="58"/>
        <v>2916230</v>
      </c>
      <c r="B1910">
        <v>2019</v>
      </c>
      <c r="C1910" t="s">
        <v>739</v>
      </c>
      <c r="D1910" t="s">
        <v>740</v>
      </c>
      <c r="E1910" t="s">
        <v>743</v>
      </c>
      <c r="F1910" s="34">
        <v>319</v>
      </c>
      <c r="G1910" s="34" t="s">
        <v>239</v>
      </c>
      <c r="H1910" s="36">
        <v>145385</v>
      </c>
      <c r="I1910" s="58">
        <v>756303</v>
      </c>
      <c r="J1910">
        <f>IFERROR(VLOOKUP(G1910,'LEAID Match'!$A$2:$B$526,2,FALSE),"")</f>
        <v>2916230</v>
      </c>
      <c r="K1910" s="68">
        <f t="shared" si="59"/>
        <v>8</v>
      </c>
    </row>
    <row r="1911" spans="1:11" x14ac:dyDescent="0.2">
      <c r="A1911">
        <f t="shared" si="58"/>
        <v>2916230</v>
      </c>
      <c r="B1911">
        <v>2020</v>
      </c>
      <c r="C1911" t="s">
        <v>739</v>
      </c>
      <c r="D1911" t="s">
        <v>740</v>
      </c>
      <c r="E1911" t="s">
        <v>743</v>
      </c>
      <c r="F1911" s="34">
        <v>319</v>
      </c>
      <c r="G1911" s="34" t="s">
        <v>239</v>
      </c>
      <c r="H1911" s="36">
        <v>149497</v>
      </c>
      <c r="I1911" s="58">
        <v>802309</v>
      </c>
      <c r="J1911">
        <f>IFERROR(VLOOKUP(G1911,'LEAID Match'!$A$2:$B$526,2,FALSE),"")</f>
        <v>2916230</v>
      </c>
      <c r="K1911" s="68">
        <f t="shared" si="59"/>
        <v>8</v>
      </c>
    </row>
    <row r="1912" spans="1:11" x14ac:dyDescent="0.2">
      <c r="A1912">
        <f t="shared" si="58"/>
        <v>2916230</v>
      </c>
      <c r="B1912">
        <v>2021</v>
      </c>
      <c r="C1912" t="s">
        <v>739</v>
      </c>
      <c r="D1912" t="s">
        <v>740</v>
      </c>
      <c r="E1912" t="s">
        <v>743</v>
      </c>
      <c r="F1912" s="34">
        <v>319</v>
      </c>
      <c r="G1912" s="34" t="s">
        <v>239</v>
      </c>
      <c r="H1912" s="36">
        <v>148676</v>
      </c>
      <c r="I1912" s="58">
        <v>840063</v>
      </c>
      <c r="J1912">
        <f>IFERROR(VLOOKUP(G1912,'LEAID Match'!$A$2:$B$526,2,FALSE),"")</f>
        <v>2916230</v>
      </c>
      <c r="K1912" s="68">
        <f t="shared" si="59"/>
        <v>8</v>
      </c>
    </row>
    <row r="1913" spans="1:11" x14ac:dyDescent="0.2">
      <c r="A1913">
        <f t="shared" si="58"/>
        <v>2916230</v>
      </c>
      <c r="B1913">
        <v>2022</v>
      </c>
      <c r="C1913" t="s">
        <v>739</v>
      </c>
      <c r="D1913" t="s">
        <v>740</v>
      </c>
      <c r="E1913" t="s">
        <v>743</v>
      </c>
      <c r="F1913" s="34">
        <v>319</v>
      </c>
      <c r="G1913" s="34" t="s">
        <v>239</v>
      </c>
      <c r="H1913" s="36">
        <v>162391</v>
      </c>
      <c r="I1913" s="58">
        <v>859976</v>
      </c>
      <c r="J1913">
        <f>IFERROR(VLOOKUP(G1913,'LEAID Match'!$A$2:$B$526,2,FALSE),"")</f>
        <v>2916230</v>
      </c>
      <c r="K1913" s="68">
        <f t="shared" si="59"/>
        <v>8</v>
      </c>
    </row>
    <row r="1914" spans="1:11" x14ac:dyDescent="0.2">
      <c r="A1914">
        <f t="shared" si="58"/>
        <v>2929820</v>
      </c>
      <c r="B1914">
        <v>2015</v>
      </c>
      <c r="C1914" t="s">
        <v>739</v>
      </c>
      <c r="D1914" t="s">
        <v>740</v>
      </c>
      <c r="E1914" t="s">
        <v>743</v>
      </c>
      <c r="F1914" s="37">
        <v>321</v>
      </c>
      <c r="G1914" s="39" t="s">
        <v>240</v>
      </c>
      <c r="H1914" s="40">
        <v>33614</v>
      </c>
      <c r="I1914" s="58">
        <v>224849</v>
      </c>
      <c r="J1914">
        <f>IFERROR(VLOOKUP(G1914,'LEAID Match'!$A$2:$B$526,2,FALSE),"")</f>
        <v>2929820</v>
      </c>
      <c r="K1914" s="68">
        <f t="shared" si="59"/>
        <v>8</v>
      </c>
    </row>
    <row r="1915" spans="1:11" x14ac:dyDescent="0.2">
      <c r="A1915">
        <f t="shared" si="58"/>
        <v>2929820</v>
      </c>
      <c r="B1915">
        <v>2016</v>
      </c>
      <c r="C1915" t="s">
        <v>739</v>
      </c>
      <c r="D1915" t="s">
        <v>740</v>
      </c>
      <c r="E1915" t="s">
        <v>743</v>
      </c>
      <c r="F1915" s="34">
        <v>321</v>
      </c>
      <c r="G1915" s="34" t="s">
        <v>240</v>
      </c>
      <c r="H1915" s="36">
        <v>35847</v>
      </c>
      <c r="I1915" s="60">
        <v>218861</v>
      </c>
      <c r="J1915">
        <f>IFERROR(VLOOKUP(G1915,'LEAID Match'!$A$2:$B$526,2,FALSE),"")</f>
        <v>2929820</v>
      </c>
      <c r="K1915" s="68">
        <f t="shared" si="59"/>
        <v>8</v>
      </c>
    </row>
    <row r="1916" spans="1:11" x14ac:dyDescent="0.2">
      <c r="A1916">
        <f t="shared" si="58"/>
        <v>2929820</v>
      </c>
      <c r="B1916">
        <v>2017</v>
      </c>
      <c r="C1916" t="s">
        <v>739</v>
      </c>
      <c r="D1916" t="s">
        <v>740</v>
      </c>
      <c r="E1916" t="s">
        <v>743</v>
      </c>
      <c r="F1916" s="34">
        <v>321</v>
      </c>
      <c r="G1916" s="34" t="s">
        <v>240</v>
      </c>
      <c r="H1916" s="36">
        <v>35885</v>
      </c>
      <c r="I1916" s="58">
        <v>225047</v>
      </c>
      <c r="J1916">
        <f>IFERROR(VLOOKUP(G1916,'LEAID Match'!$A$2:$B$526,2,FALSE),"")</f>
        <v>2929820</v>
      </c>
      <c r="K1916" s="68">
        <f t="shared" si="59"/>
        <v>8</v>
      </c>
    </row>
    <row r="1917" spans="1:11" x14ac:dyDescent="0.2">
      <c r="A1917">
        <f t="shared" si="58"/>
        <v>2929820</v>
      </c>
      <c r="B1917">
        <v>2018</v>
      </c>
      <c r="C1917" t="s">
        <v>739</v>
      </c>
      <c r="D1917" t="s">
        <v>740</v>
      </c>
      <c r="E1917" t="s">
        <v>743</v>
      </c>
      <c r="F1917" s="34">
        <v>321</v>
      </c>
      <c r="G1917" s="34" t="s">
        <v>240</v>
      </c>
      <c r="H1917" s="36">
        <v>38243</v>
      </c>
      <c r="I1917" s="58">
        <v>219722</v>
      </c>
      <c r="J1917">
        <f>IFERROR(VLOOKUP(G1917,'LEAID Match'!$A$2:$B$526,2,FALSE),"")</f>
        <v>2929820</v>
      </c>
      <c r="K1917" s="68">
        <f t="shared" si="59"/>
        <v>8</v>
      </c>
    </row>
    <row r="1918" spans="1:11" x14ac:dyDescent="0.2">
      <c r="A1918">
        <f t="shared" si="58"/>
        <v>2929820</v>
      </c>
      <c r="B1918">
        <v>2019</v>
      </c>
      <c r="C1918" t="s">
        <v>739</v>
      </c>
      <c r="D1918" t="s">
        <v>740</v>
      </c>
      <c r="E1918" t="s">
        <v>743</v>
      </c>
      <c r="F1918" s="34">
        <v>321</v>
      </c>
      <c r="G1918" s="34" t="s">
        <v>240</v>
      </c>
      <c r="H1918" s="36">
        <v>44438</v>
      </c>
      <c r="I1918" s="58">
        <v>223141</v>
      </c>
      <c r="J1918">
        <f>IFERROR(VLOOKUP(G1918,'LEAID Match'!$A$2:$B$526,2,FALSE),"")</f>
        <v>2929820</v>
      </c>
      <c r="K1918" s="68">
        <f t="shared" si="59"/>
        <v>8</v>
      </c>
    </row>
    <row r="1919" spans="1:11" x14ac:dyDescent="0.2">
      <c r="A1919">
        <f t="shared" si="58"/>
        <v>2929820</v>
      </c>
      <c r="B1919">
        <v>2020</v>
      </c>
      <c r="C1919" t="s">
        <v>739</v>
      </c>
      <c r="D1919" t="s">
        <v>740</v>
      </c>
      <c r="E1919" t="s">
        <v>743</v>
      </c>
      <c r="F1919" s="34">
        <v>321</v>
      </c>
      <c r="G1919" s="34" t="s">
        <v>240</v>
      </c>
      <c r="H1919" s="36">
        <v>45551</v>
      </c>
      <c r="I1919" s="58">
        <v>224224</v>
      </c>
      <c r="J1919">
        <f>IFERROR(VLOOKUP(G1919,'LEAID Match'!$A$2:$B$526,2,FALSE),"")</f>
        <v>2929820</v>
      </c>
      <c r="K1919" s="68">
        <f t="shared" si="59"/>
        <v>8</v>
      </c>
    </row>
    <row r="1920" spans="1:11" x14ac:dyDescent="0.2">
      <c r="A1920">
        <f t="shared" si="58"/>
        <v>2929820</v>
      </c>
      <c r="B1920">
        <v>2021</v>
      </c>
      <c r="C1920" t="s">
        <v>739</v>
      </c>
      <c r="D1920" t="s">
        <v>740</v>
      </c>
      <c r="E1920" t="s">
        <v>743</v>
      </c>
      <c r="F1920" s="34">
        <v>321</v>
      </c>
      <c r="G1920" s="34" t="s">
        <v>240</v>
      </c>
      <c r="H1920" s="36">
        <v>53042</v>
      </c>
      <c r="I1920" s="58">
        <v>233857</v>
      </c>
      <c r="J1920">
        <f>IFERROR(VLOOKUP(G1920,'LEAID Match'!$A$2:$B$526,2,FALSE),"")</f>
        <v>2929820</v>
      </c>
      <c r="K1920" s="68">
        <f t="shared" si="59"/>
        <v>8</v>
      </c>
    </row>
    <row r="1921" spans="1:11" x14ac:dyDescent="0.2">
      <c r="A1921">
        <f t="shared" si="58"/>
        <v>2929820</v>
      </c>
      <c r="B1921">
        <v>2022</v>
      </c>
      <c r="C1921" t="s">
        <v>739</v>
      </c>
      <c r="D1921" t="s">
        <v>740</v>
      </c>
      <c r="E1921" t="s">
        <v>743</v>
      </c>
      <c r="F1921" s="34">
        <v>321</v>
      </c>
      <c r="G1921" s="34" t="s">
        <v>240</v>
      </c>
      <c r="H1921" s="36">
        <v>59273</v>
      </c>
      <c r="I1921" s="58">
        <v>235154</v>
      </c>
      <c r="J1921">
        <f>IFERROR(VLOOKUP(G1921,'LEAID Match'!$A$2:$B$526,2,FALSE),"")</f>
        <v>2929820</v>
      </c>
      <c r="K1921" s="68">
        <f t="shared" si="59"/>
        <v>8</v>
      </c>
    </row>
    <row r="1922" spans="1:11" x14ac:dyDescent="0.2">
      <c r="A1922">
        <f t="shared" si="58"/>
        <v>2932100</v>
      </c>
      <c r="B1922">
        <v>2015</v>
      </c>
      <c r="C1922" t="s">
        <v>739</v>
      </c>
      <c r="D1922" t="s">
        <v>740</v>
      </c>
      <c r="E1922" t="s">
        <v>743</v>
      </c>
      <c r="F1922" s="37">
        <v>322</v>
      </c>
      <c r="G1922" s="39" t="s">
        <v>241</v>
      </c>
      <c r="H1922" s="40">
        <v>301223</v>
      </c>
      <c r="I1922" s="58">
        <v>2008958</v>
      </c>
      <c r="J1922">
        <f>IFERROR(VLOOKUP(G1922,'LEAID Match'!$A$2:$B$526,2,FALSE),"")</f>
        <v>2932100</v>
      </c>
      <c r="K1922" s="68">
        <f t="shared" si="59"/>
        <v>8</v>
      </c>
    </row>
    <row r="1923" spans="1:11" x14ac:dyDescent="0.2">
      <c r="A1923">
        <f t="shared" ref="A1923:A1986" si="60">J1923</f>
        <v>2932100</v>
      </c>
      <c r="B1923">
        <v>2016</v>
      </c>
      <c r="C1923" t="s">
        <v>739</v>
      </c>
      <c r="D1923" t="s">
        <v>740</v>
      </c>
      <c r="E1923" t="s">
        <v>743</v>
      </c>
      <c r="F1923" s="34">
        <v>322</v>
      </c>
      <c r="G1923" s="34" t="s">
        <v>241</v>
      </c>
      <c r="H1923" s="36">
        <v>319032</v>
      </c>
      <c r="I1923" s="60">
        <v>2016355</v>
      </c>
      <c r="J1923">
        <f>IFERROR(VLOOKUP(G1923,'LEAID Match'!$A$2:$B$526,2,FALSE),"")</f>
        <v>2932100</v>
      </c>
      <c r="K1923" s="68">
        <f t="shared" ref="K1923:K1986" si="61">COUNTIF($J$2:$J$4295,J1923)</f>
        <v>8</v>
      </c>
    </row>
    <row r="1924" spans="1:11" x14ac:dyDescent="0.2">
      <c r="A1924">
        <f t="shared" si="60"/>
        <v>2932100</v>
      </c>
      <c r="B1924">
        <v>2017</v>
      </c>
      <c r="C1924" t="s">
        <v>739</v>
      </c>
      <c r="D1924" t="s">
        <v>740</v>
      </c>
      <c r="E1924" t="s">
        <v>743</v>
      </c>
      <c r="F1924" s="34">
        <v>322</v>
      </c>
      <c r="G1924" s="34" t="s">
        <v>241</v>
      </c>
      <c r="H1924" s="36">
        <v>317670</v>
      </c>
      <c r="I1924" s="58">
        <v>2066842</v>
      </c>
      <c r="J1924">
        <f>IFERROR(VLOOKUP(G1924,'LEAID Match'!$A$2:$B$526,2,FALSE),"")</f>
        <v>2932100</v>
      </c>
      <c r="K1924" s="68">
        <f t="shared" si="61"/>
        <v>8</v>
      </c>
    </row>
    <row r="1925" spans="1:11" x14ac:dyDescent="0.2">
      <c r="A1925">
        <f t="shared" si="60"/>
        <v>2932100</v>
      </c>
      <c r="B1925">
        <v>2018</v>
      </c>
      <c r="C1925" t="s">
        <v>739</v>
      </c>
      <c r="D1925" t="s">
        <v>740</v>
      </c>
      <c r="E1925" t="s">
        <v>743</v>
      </c>
      <c r="F1925" s="34">
        <v>322</v>
      </c>
      <c r="G1925" s="34" t="s">
        <v>241</v>
      </c>
      <c r="H1925" s="36">
        <v>341471</v>
      </c>
      <c r="I1925" s="58">
        <v>2163183</v>
      </c>
      <c r="J1925">
        <f>IFERROR(VLOOKUP(G1925,'LEAID Match'!$A$2:$B$526,2,FALSE),"")</f>
        <v>2932100</v>
      </c>
      <c r="K1925" s="68">
        <f t="shared" si="61"/>
        <v>8</v>
      </c>
    </row>
    <row r="1926" spans="1:11" x14ac:dyDescent="0.2">
      <c r="A1926">
        <f t="shared" si="60"/>
        <v>2932100</v>
      </c>
      <c r="B1926">
        <v>2019</v>
      </c>
      <c r="C1926" t="s">
        <v>739</v>
      </c>
      <c r="D1926" t="s">
        <v>740</v>
      </c>
      <c r="E1926" t="s">
        <v>743</v>
      </c>
      <c r="F1926" s="34">
        <v>322</v>
      </c>
      <c r="G1926" s="34" t="s">
        <v>241</v>
      </c>
      <c r="H1926" s="36">
        <v>341768</v>
      </c>
      <c r="I1926" s="58">
        <v>2201741</v>
      </c>
      <c r="J1926">
        <f>IFERROR(VLOOKUP(G1926,'LEAID Match'!$A$2:$B$526,2,FALSE),"")</f>
        <v>2932100</v>
      </c>
      <c r="K1926" s="68">
        <f t="shared" si="61"/>
        <v>8</v>
      </c>
    </row>
    <row r="1927" spans="1:11" x14ac:dyDescent="0.2">
      <c r="A1927">
        <f t="shared" si="60"/>
        <v>2932100</v>
      </c>
      <c r="B1927">
        <v>2020</v>
      </c>
      <c r="C1927" t="s">
        <v>739</v>
      </c>
      <c r="D1927" t="s">
        <v>740</v>
      </c>
      <c r="E1927" t="s">
        <v>743</v>
      </c>
      <c r="F1927" s="34">
        <v>322</v>
      </c>
      <c r="G1927" s="34" t="s">
        <v>241</v>
      </c>
      <c r="H1927" s="36">
        <v>320225</v>
      </c>
      <c r="I1927" s="58">
        <v>2147665</v>
      </c>
      <c r="J1927">
        <f>IFERROR(VLOOKUP(G1927,'LEAID Match'!$A$2:$B$526,2,FALSE),"")</f>
        <v>2932100</v>
      </c>
      <c r="K1927" s="68">
        <f t="shared" si="61"/>
        <v>8</v>
      </c>
    </row>
    <row r="1928" spans="1:11" x14ac:dyDescent="0.2">
      <c r="A1928">
        <f t="shared" si="60"/>
        <v>2932100</v>
      </c>
      <c r="B1928">
        <v>2021</v>
      </c>
      <c r="C1928" t="s">
        <v>739</v>
      </c>
      <c r="D1928" t="s">
        <v>740</v>
      </c>
      <c r="E1928" t="s">
        <v>743</v>
      </c>
      <c r="F1928" s="34">
        <v>322</v>
      </c>
      <c r="G1928" s="34" t="s">
        <v>241</v>
      </c>
      <c r="H1928" s="36">
        <v>322193</v>
      </c>
      <c r="I1928" s="58">
        <v>2253185</v>
      </c>
      <c r="J1928">
        <f>IFERROR(VLOOKUP(G1928,'LEAID Match'!$A$2:$B$526,2,FALSE),"")</f>
        <v>2932100</v>
      </c>
      <c r="K1928" s="68">
        <f t="shared" si="61"/>
        <v>8</v>
      </c>
    </row>
    <row r="1929" spans="1:11" x14ac:dyDescent="0.2">
      <c r="A1929">
        <f t="shared" si="60"/>
        <v>2932100</v>
      </c>
      <c r="B1929">
        <v>2022</v>
      </c>
      <c r="C1929" t="s">
        <v>739</v>
      </c>
      <c r="D1929" t="s">
        <v>740</v>
      </c>
      <c r="E1929" t="s">
        <v>743</v>
      </c>
      <c r="F1929" s="34">
        <v>322</v>
      </c>
      <c r="G1929" s="34" t="s">
        <v>241</v>
      </c>
      <c r="H1929" s="36">
        <v>348142</v>
      </c>
      <c r="I1929" s="58">
        <v>2309088</v>
      </c>
      <c r="J1929">
        <f>IFERROR(VLOOKUP(G1929,'LEAID Match'!$A$2:$B$526,2,FALSE),"")</f>
        <v>2932100</v>
      </c>
      <c r="K1929" s="68">
        <f t="shared" si="61"/>
        <v>8</v>
      </c>
    </row>
    <row r="1930" spans="1:11" x14ac:dyDescent="0.2">
      <c r="A1930">
        <f t="shared" si="60"/>
        <v>2912300</v>
      </c>
      <c r="B1930">
        <v>2015</v>
      </c>
      <c r="C1930" t="s">
        <v>739</v>
      </c>
      <c r="D1930" t="s">
        <v>740</v>
      </c>
      <c r="E1930" t="s">
        <v>743</v>
      </c>
      <c r="F1930" s="37">
        <v>323</v>
      </c>
      <c r="G1930" s="39" t="s">
        <v>242</v>
      </c>
      <c r="H1930" s="40">
        <v>1100187</v>
      </c>
      <c r="I1930" s="58">
        <v>8563001</v>
      </c>
      <c r="J1930">
        <f>IFERROR(VLOOKUP(G1930,'LEAID Match'!$A$2:$B$526,2,FALSE),"")</f>
        <v>2912300</v>
      </c>
      <c r="K1930" s="68">
        <f t="shared" si="61"/>
        <v>8</v>
      </c>
    </row>
    <row r="1931" spans="1:11" x14ac:dyDescent="0.2">
      <c r="A1931">
        <f t="shared" si="60"/>
        <v>2912300</v>
      </c>
      <c r="B1931">
        <v>2016</v>
      </c>
      <c r="C1931" t="s">
        <v>739</v>
      </c>
      <c r="D1931" t="s">
        <v>740</v>
      </c>
      <c r="E1931" t="s">
        <v>743</v>
      </c>
      <c r="F1931" s="34">
        <v>323</v>
      </c>
      <c r="G1931" s="34" t="s">
        <v>242</v>
      </c>
      <c r="H1931" s="36">
        <v>1100316</v>
      </c>
      <c r="I1931" s="60">
        <v>8788657</v>
      </c>
      <c r="J1931">
        <f>IFERROR(VLOOKUP(G1931,'LEAID Match'!$A$2:$B$526,2,FALSE),"")</f>
        <v>2912300</v>
      </c>
      <c r="K1931" s="68">
        <f t="shared" si="61"/>
        <v>8</v>
      </c>
    </row>
    <row r="1932" spans="1:11" x14ac:dyDescent="0.2">
      <c r="A1932">
        <f t="shared" si="60"/>
        <v>2912300</v>
      </c>
      <c r="B1932">
        <v>2017</v>
      </c>
      <c r="C1932" t="s">
        <v>739</v>
      </c>
      <c r="D1932" t="s">
        <v>740</v>
      </c>
      <c r="E1932" t="s">
        <v>743</v>
      </c>
      <c r="F1932" s="34">
        <v>323</v>
      </c>
      <c r="G1932" s="34" t="s">
        <v>242</v>
      </c>
      <c r="H1932" s="36">
        <v>1116568</v>
      </c>
      <c r="I1932" s="58">
        <v>9016495</v>
      </c>
      <c r="J1932">
        <f>IFERROR(VLOOKUP(G1932,'LEAID Match'!$A$2:$B$526,2,FALSE),"")</f>
        <v>2912300</v>
      </c>
      <c r="K1932" s="68">
        <f t="shared" si="61"/>
        <v>8</v>
      </c>
    </row>
    <row r="1933" spans="1:11" x14ac:dyDescent="0.2">
      <c r="A1933">
        <f t="shared" si="60"/>
        <v>2912300</v>
      </c>
      <c r="B1933">
        <v>2018</v>
      </c>
      <c r="C1933" t="s">
        <v>739</v>
      </c>
      <c r="D1933" t="s">
        <v>740</v>
      </c>
      <c r="E1933" t="s">
        <v>743</v>
      </c>
      <c r="F1933" s="34">
        <v>323</v>
      </c>
      <c r="G1933" s="34" t="s">
        <v>242</v>
      </c>
      <c r="H1933" s="36">
        <v>1174622</v>
      </c>
      <c r="I1933" s="58">
        <v>9379376</v>
      </c>
      <c r="J1933">
        <f>IFERROR(VLOOKUP(G1933,'LEAID Match'!$A$2:$B$526,2,FALSE),"")</f>
        <v>2912300</v>
      </c>
      <c r="K1933" s="68">
        <f t="shared" si="61"/>
        <v>8</v>
      </c>
    </row>
    <row r="1934" spans="1:11" x14ac:dyDescent="0.2">
      <c r="A1934">
        <f t="shared" si="60"/>
        <v>2912300</v>
      </c>
      <c r="B1934">
        <v>2019</v>
      </c>
      <c r="C1934" t="s">
        <v>739</v>
      </c>
      <c r="D1934" t="s">
        <v>740</v>
      </c>
      <c r="E1934" t="s">
        <v>743</v>
      </c>
      <c r="F1934" s="34">
        <v>323</v>
      </c>
      <c r="G1934" s="34" t="s">
        <v>242</v>
      </c>
      <c r="H1934" s="36">
        <v>1182327</v>
      </c>
      <c r="I1934" s="58">
        <v>9412237</v>
      </c>
      <c r="J1934">
        <f>IFERROR(VLOOKUP(G1934,'LEAID Match'!$A$2:$B$526,2,FALSE),"")</f>
        <v>2912300</v>
      </c>
      <c r="K1934" s="68">
        <f t="shared" si="61"/>
        <v>8</v>
      </c>
    </row>
    <row r="1935" spans="1:11" x14ac:dyDescent="0.2">
      <c r="A1935">
        <f t="shared" si="60"/>
        <v>2912300</v>
      </c>
      <c r="B1935">
        <v>2020</v>
      </c>
      <c r="C1935" t="s">
        <v>739</v>
      </c>
      <c r="D1935" t="s">
        <v>740</v>
      </c>
      <c r="E1935" t="s">
        <v>743</v>
      </c>
      <c r="F1935" s="34">
        <v>323</v>
      </c>
      <c r="G1935" s="34" t="s">
        <v>242</v>
      </c>
      <c r="H1935" s="36">
        <v>1185699</v>
      </c>
      <c r="I1935" s="58">
        <v>9280694</v>
      </c>
      <c r="J1935">
        <f>IFERROR(VLOOKUP(G1935,'LEAID Match'!$A$2:$B$526,2,FALSE),"")</f>
        <v>2912300</v>
      </c>
      <c r="K1935" s="68">
        <f t="shared" si="61"/>
        <v>8</v>
      </c>
    </row>
    <row r="1936" spans="1:11" x14ac:dyDescent="0.2">
      <c r="A1936">
        <f t="shared" si="60"/>
        <v>2912300</v>
      </c>
      <c r="B1936">
        <v>2021</v>
      </c>
      <c r="C1936" t="s">
        <v>739</v>
      </c>
      <c r="D1936" t="s">
        <v>740</v>
      </c>
      <c r="E1936" t="s">
        <v>743</v>
      </c>
      <c r="F1936" s="34">
        <v>323</v>
      </c>
      <c r="G1936" s="34" t="s">
        <v>242</v>
      </c>
      <c r="H1936" s="36">
        <v>1176626</v>
      </c>
      <c r="I1936" s="58">
        <v>9472601</v>
      </c>
      <c r="J1936">
        <f>IFERROR(VLOOKUP(G1936,'LEAID Match'!$A$2:$B$526,2,FALSE),"")</f>
        <v>2912300</v>
      </c>
      <c r="K1936" s="68">
        <f t="shared" si="61"/>
        <v>8</v>
      </c>
    </row>
    <row r="1937" spans="1:11" x14ac:dyDescent="0.2">
      <c r="A1937">
        <f t="shared" si="60"/>
        <v>2912300</v>
      </c>
      <c r="B1937">
        <v>2022</v>
      </c>
      <c r="C1937" t="s">
        <v>739</v>
      </c>
      <c r="D1937" t="s">
        <v>740</v>
      </c>
      <c r="E1937" t="s">
        <v>743</v>
      </c>
      <c r="F1937" s="34">
        <v>323</v>
      </c>
      <c r="G1937" s="34" t="s">
        <v>242</v>
      </c>
      <c r="H1937" s="36">
        <v>1244992</v>
      </c>
      <c r="I1937" s="58">
        <v>9452325</v>
      </c>
      <c r="J1937">
        <f>IFERROR(VLOOKUP(G1937,'LEAID Match'!$A$2:$B$526,2,FALSE),"")</f>
        <v>2912300</v>
      </c>
      <c r="K1937" s="68">
        <f t="shared" si="61"/>
        <v>8</v>
      </c>
    </row>
    <row r="1938" spans="1:11" x14ac:dyDescent="0.2">
      <c r="A1938">
        <f t="shared" si="60"/>
        <v>2910380</v>
      </c>
      <c r="B1938">
        <v>2015</v>
      </c>
      <c r="C1938" t="s">
        <v>739</v>
      </c>
      <c r="D1938" t="s">
        <v>740</v>
      </c>
      <c r="E1938" t="s">
        <v>743</v>
      </c>
      <c r="F1938" s="37">
        <v>324</v>
      </c>
      <c r="G1938" s="39" t="s">
        <v>243</v>
      </c>
      <c r="H1938" s="40">
        <v>37210</v>
      </c>
      <c r="I1938" s="58">
        <v>449893</v>
      </c>
      <c r="J1938">
        <f>IFERROR(VLOOKUP(G1938,'LEAID Match'!$A$2:$B$526,2,FALSE),"")</f>
        <v>2910380</v>
      </c>
      <c r="K1938" s="68">
        <f t="shared" si="61"/>
        <v>8</v>
      </c>
    </row>
    <row r="1939" spans="1:11" x14ac:dyDescent="0.2">
      <c r="A1939">
        <f t="shared" si="60"/>
        <v>2910380</v>
      </c>
      <c r="B1939">
        <v>2016</v>
      </c>
      <c r="C1939" t="s">
        <v>739</v>
      </c>
      <c r="D1939" t="s">
        <v>740</v>
      </c>
      <c r="E1939" t="s">
        <v>743</v>
      </c>
      <c r="F1939" s="34">
        <v>324</v>
      </c>
      <c r="G1939" s="34" t="s">
        <v>243</v>
      </c>
      <c r="H1939" s="36">
        <v>40180</v>
      </c>
      <c r="I1939" s="60">
        <v>445447</v>
      </c>
      <c r="J1939">
        <f>IFERROR(VLOOKUP(G1939,'LEAID Match'!$A$2:$B$526,2,FALSE),"")</f>
        <v>2910380</v>
      </c>
      <c r="K1939" s="68">
        <f t="shared" si="61"/>
        <v>8</v>
      </c>
    </row>
    <row r="1940" spans="1:11" x14ac:dyDescent="0.2">
      <c r="A1940">
        <f t="shared" si="60"/>
        <v>2910380</v>
      </c>
      <c r="B1940">
        <v>2017</v>
      </c>
      <c r="C1940" t="s">
        <v>739</v>
      </c>
      <c r="D1940" t="s">
        <v>740</v>
      </c>
      <c r="E1940" t="s">
        <v>743</v>
      </c>
      <c r="F1940" s="34">
        <v>324</v>
      </c>
      <c r="G1940" s="34" t="s">
        <v>243</v>
      </c>
      <c r="H1940" s="36">
        <v>38440</v>
      </c>
      <c r="I1940" s="58">
        <v>421679</v>
      </c>
      <c r="J1940">
        <f>IFERROR(VLOOKUP(G1940,'LEAID Match'!$A$2:$B$526,2,FALSE),"")</f>
        <v>2910380</v>
      </c>
      <c r="K1940" s="68">
        <f t="shared" si="61"/>
        <v>8</v>
      </c>
    </row>
    <row r="1941" spans="1:11" x14ac:dyDescent="0.2">
      <c r="A1941">
        <f t="shared" si="60"/>
        <v>2910380</v>
      </c>
      <c r="B1941">
        <v>2018</v>
      </c>
      <c r="C1941" t="s">
        <v>739</v>
      </c>
      <c r="D1941" t="s">
        <v>740</v>
      </c>
      <c r="E1941" t="s">
        <v>743</v>
      </c>
      <c r="F1941" s="34">
        <v>324</v>
      </c>
      <c r="G1941" s="34" t="s">
        <v>243</v>
      </c>
      <c r="H1941" s="36">
        <v>36795</v>
      </c>
      <c r="I1941" s="58">
        <v>426100</v>
      </c>
      <c r="J1941">
        <f>IFERROR(VLOOKUP(G1941,'LEAID Match'!$A$2:$B$526,2,FALSE),"")</f>
        <v>2910380</v>
      </c>
      <c r="K1941" s="68">
        <f t="shared" si="61"/>
        <v>8</v>
      </c>
    </row>
    <row r="1942" spans="1:11" x14ac:dyDescent="0.2">
      <c r="A1942">
        <f t="shared" si="60"/>
        <v>2910380</v>
      </c>
      <c r="B1942">
        <v>2019</v>
      </c>
      <c r="C1942" t="s">
        <v>739</v>
      </c>
      <c r="D1942" t="s">
        <v>740</v>
      </c>
      <c r="E1942" t="s">
        <v>743</v>
      </c>
      <c r="F1942" s="34">
        <v>324</v>
      </c>
      <c r="G1942" s="34" t="s">
        <v>243</v>
      </c>
      <c r="H1942" s="36">
        <v>41495</v>
      </c>
      <c r="I1942" s="58">
        <v>390376</v>
      </c>
      <c r="J1942">
        <f>IFERROR(VLOOKUP(G1942,'LEAID Match'!$A$2:$B$526,2,FALSE),"")</f>
        <v>2910380</v>
      </c>
      <c r="K1942" s="68">
        <f t="shared" si="61"/>
        <v>8</v>
      </c>
    </row>
    <row r="1943" spans="1:11" x14ac:dyDescent="0.2">
      <c r="A1943">
        <f t="shared" si="60"/>
        <v>2910380</v>
      </c>
      <c r="B1943">
        <v>2020</v>
      </c>
      <c r="C1943" t="s">
        <v>739</v>
      </c>
      <c r="D1943" t="s">
        <v>740</v>
      </c>
      <c r="E1943" t="s">
        <v>743</v>
      </c>
      <c r="F1943" s="34">
        <v>324</v>
      </c>
      <c r="G1943" s="34" t="s">
        <v>243</v>
      </c>
      <c r="H1943" s="36">
        <v>44679</v>
      </c>
      <c r="I1943" s="58">
        <v>394930</v>
      </c>
      <c r="J1943">
        <f>IFERROR(VLOOKUP(G1943,'LEAID Match'!$A$2:$B$526,2,FALSE),"")</f>
        <v>2910380</v>
      </c>
      <c r="K1943" s="68">
        <f t="shared" si="61"/>
        <v>8</v>
      </c>
    </row>
    <row r="1944" spans="1:11" x14ac:dyDescent="0.2">
      <c r="A1944">
        <f t="shared" si="60"/>
        <v>2910380</v>
      </c>
      <c r="B1944">
        <v>2021</v>
      </c>
      <c r="C1944" t="s">
        <v>739</v>
      </c>
      <c r="D1944" t="s">
        <v>740</v>
      </c>
      <c r="E1944" t="s">
        <v>743</v>
      </c>
      <c r="F1944" s="34">
        <v>324</v>
      </c>
      <c r="G1944" s="34" t="s">
        <v>243</v>
      </c>
      <c r="H1944" s="36">
        <v>45497</v>
      </c>
      <c r="I1944" s="58">
        <v>413648</v>
      </c>
      <c r="J1944">
        <f>IFERROR(VLOOKUP(G1944,'LEAID Match'!$A$2:$B$526,2,FALSE),"")</f>
        <v>2910380</v>
      </c>
      <c r="K1944" s="68">
        <f t="shared" si="61"/>
        <v>8</v>
      </c>
    </row>
    <row r="1945" spans="1:11" x14ac:dyDescent="0.2">
      <c r="A1945">
        <f t="shared" si="60"/>
        <v>2910380</v>
      </c>
      <c r="B1945">
        <v>2022</v>
      </c>
      <c r="C1945" t="s">
        <v>739</v>
      </c>
      <c r="D1945" t="s">
        <v>740</v>
      </c>
      <c r="E1945" t="s">
        <v>743</v>
      </c>
      <c r="F1945" s="34">
        <v>324</v>
      </c>
      <c r="G1945" s="34" t="s">
        <v>243</v>
      </c>
      <c r="H1945" s="36">
        <v>51778</v>
      </c>
      <c r="I1945" s="58">
        <v>434359</v>
      </c>
      <c r="J1945">
        <f>IFERROR(VLOOKUP(G1945,'LEAID Match'!$A$2:$B$526,2,FALSE),"")</f>
        <v>2910380</v>
      </c>
      <c r="K1945" s="68">
        <f t="shared" si="61"/>
        <v>8</v>
      </c>
    </row>
    <row r="1946" spans="1:11" x14ac:dyDescent="0.2">
      <c r="A1946">
        <f t="shared" si="60"/>
        <v>2910500</v>
      </c>
      <c r="B1946">
        <v>2015</v>
      </c>
      <c r="C1946" t="s">
        <v>739</v>
      </c>
      <c r="D1946" t="s">
        <v>740</v>
      </c>
      <c r="E1946" t="s">
        <v>743</v>
      </c>
      <c r="F1946" s="37">
        <v>325</v>
      </c>
      <c r="G1946" s="39" t="s">
        <v>244</v>
      </c>
      <c r="H1946" s="40">
        <v>286936</v>
      </c>
      <c r="I1946" s="58">
        <v>2040574</v>
      </c>
      <c r="J1946">
        <f>IFERROR(VLOOKUP(G1946,'LEAID Match'!$A$2:$B$526,2,FALSE),"")</f>
        <v>2910500</v>
      </c>
      <c r="K1946" s="68">
        <f t="shared" si="61"/>
        <v>8</v>
      </c>
    </row>
    <row r="1947" spans="1:11" x14ac:dyDescent="0.2">
      <c r="A1947">
        <f t="shared" si="60"/>
        <v>2910500</v>
      </c>
      <c r="B1947">
        <v>2016</v>
      </c>
      <c r="C1947" t="s">
        <v>739</v>
      </c>
      <c r="D1947" t="s">
        <v>740</v>
      </c>
      <c r="E1947" t="s">
        <v>743</v>
      </c>
      <c r="F1947" s="34">
        <v>325</v>
      </c>
      <c r="G1947" s="34" t="s">
        <v>244</v>
      </c>
      <c r="H1947" s="36">
        <v>283068</v>
      </c>
      <c r="I1947" s="60">
        <v>2074748</v>
      </c>
      <c r="J1947">
        <f>IFERROR(VLOOKUP(G1947,'LEAID Match'!$A$2:$B$526,2,FALSE),"")</f>
        <v>2910500</v>
      </c>
      <c r="K1947" s="68">
        <f t="shared" si="61"/>
        <v>8</v>
      </c>
    </row>
    <row r="1948" spans="1:11" x14ac:dyDescent="0.2">
      <c r="A1948">
        <f t="shared" si="60"/>
        <v>2910500</v>
      </c>
      <c r="B1948">
        <v>2017</v>
      </c>
      <c r="C1948" t="s">
        <v>739</v>
      </c>
      <c r="D1948" t="s">
        <v>740</v>
      </c>
      <c r="E1948" t="s">
        <v>743</v>
      </c>
      <c r="F1948" s="34">
        <v>325</v>
      </c>
      <c r="G1948" s="34" t="s">
        <v>244</v>
      </c>
      <c r="H1948" s="36">
        <v>276888</v>
      </c>
      <c r="I1948" s="58">
        <v>2057989</v>
      </c>
      <c r="J1948">
        <f>IFERROR(VLOOKUP(G1948,'LEAID Match'!$A$2:$B$526,2,FALSE),"")</f>
        <v>2910500</v>
      </c>
      <c r="K1948" s="68">
        <f t="shared" si="61"/>
        <v>8</v>
      </c>
    </row>
    <row r="1949" spans="1:11" x14ac:dyDescent="0.2">
      <c r="A1949">
        <f t="shared" si="60"/>
        <v>2910500</v>
      </c>
      <c r="B1949">
        <v>2018</v>
      </c>
      <c r="C1949" t="s">
        <v>739</v>
      </c>
      <c r="D1949" t="s">
        <v>740</v>
      </c>
      <c r="E1949" t="s">
        <v>743</v>
      </c>
      <c r="F1949" s="34">
        <v>325</v>
      </c>
      <c r="G1949" s="34" t="s">
        <v>244</v>
      </c>
      <c r="H1949" s="36">
        <v>278497</v>
      </c>
      <c r="I1949" s="58">
        <v>2023464</v>
      </c>
      <c r="J1949">
        <f>IFERROR(VLOOKUP(G1949,'LEAID Match'!$A$2:$B$526,2,FALSE),"")</f>
        <v>2910500</v>
      </c>
      <c r="K1949" s="68">
        <f t="shared" si="61"/>
        <v>8</v>
      </c>
    </row>
    <row r="1950" spans="1:11" x14ac:dyDescent="0.2">
      <c r="A1950">
        <f t="shared" si="60"/>
        <v>2910500</v>
      </c>
      <c r="B1950">
        <v>2019</v>
      </c>
      <c r="C1950" t="s">
        <v>739</v>
      </c>
      <c r="D1950" t="s">
        <v>740</v>
      </c>
      <c r="E1950" t="s">
        <v>743</v>
      </c>
      <c r="F1950" s="34">
        <v>325</v>
      </c>
      <c r="G1950" s="34" t="s">
        <v>244</v>
      </c>
      <c r="H1950" s="36">
        <v>307865</v>
      </c>
      <c r="I1950" s="58">
        <v>2020453</v>
      </c>
      <c r="J1950">
        <f>IFERROR(VLOOKUP(G1950,'LEAID Match'!$A$2:$B$526,2,FALSE),"")</f>
        <v>2910500</v>
      </c>
      <c r="K1950" s="68">
        <f t="shared" si="61"/>
        <v>8</v>
      </c>
    </row>
    <row r="1951" spans="1:11" x14ac:dyDescent="0.2">
      <c r="A1951">
        <f t="shared" si="60"/>
        <v>2910500</v>
      </c>
      <c r="B1951">
        <v>2020</v>
      </c>
      <c r="C1951" t="s">
        <v>739</v>
      </c>
      <c r="D1951" t="s">
        <v>740</v>
      </c>
      <c r="E1951" t="s">
        <v>743</v>
      </c>
      <c r="F1951" s="34">
        <v>325</v>
      </c>
      <c r="G1951" s="34" t="s">
        <v>244</v>
      </c>
      <c r="H1951" s="36">
        <v>300288</v>
      </c>
      <c r="I1951" s="58">
        <v>1981781</v>
      </c>
      <c r="J1951">
        <f>IFERROR(VLOOKUP(G1951,'LEAID Match'!$A$2:$B$526,2,FALSE),"")</f>
        <v>2910500</v>
      </c>
      <c r="K1951" s="68">
        <f t="shared" si="61"/>
        <v>8</v>
      </c>
    </row>
    <row r="1952" spans="1:11" x14ac:dyDescent="0.2">
      <c r="A1952">
        <f t="shared" si="60"/>
        <v>2910500</v>
      </c>
      <c r="B1952">
        <v>2021</v>
      </c>
      <c r="C1952" t="s">
        <v>739</v>
      </c>
      <c r="D1952" t="s">
        <v>740</v>
      </c>
      <c r="E1952" t="s">
        <v>743</v>
      </c>
      <c r="F1952" s="34">
        <v>325</v>
      </c>
      <c r="G1952" s="34" t="s">
        <v>244</v>
      </c>
      <c r="H1952" s="36">
        <v>283478</v>
      </c>
      <c r="I1952" s="58">
        <v>1917107</v>
      </c>
      <c r="J1952">
        <f>IFERROR(VLOOKUP(G1952,'LEAID Match'!$A$2:$B$526,2,FALSE),"")</f>
        <v>2910500</v>
      </c>
      <c r="K1952" s="68">
        <f t="shared" si="61"/>
        <v>8</v>
      </c>
    </row>
    <row r="1953" spans="1:11" x14ac:dyDescent="0.2">
      <c r="A1953">
        <f t="shared" si="60"/>
        <v>2910500</v>
      </c>
      <c r="B1953">
        <v>2022</v>
      </c>
      <c r="C1953" t="s">
        <v>739</v>
      </c>
      <c r="D1953" t="s">
        <v>740</v>
      </c>
      <c r="E1953" t="s">
        <v>743</v>
      </c>
      <c r="F1953" s="34">
        <v>325</v>
      </c>
      <c r="G1953" s="34" t="s">
        <v>244</v>
      </c>
      <c r="H1953" s="36">
        <v>293582</v>
      </c>
      <c r="I1953" s="58">
        <v>2059697</v>
      </c>
      <c r="J1953">
        <f>IFERROR(VLOOKUP(G1953,'LEAID Match'!$A$2:$B$526,2,FALSE),"")</f>
        <v>2910500</v>
      </c>
      <c r="K1953" s="68">
        <f t="shared" si="61"/>
        <v>8</v>
      </c>
    </row>
    <row r="1954" spans="1:11" x14ac:dyDescent="0.2">
      <c r="A1954">
        <f t="shared" si="60"/>
        <v>2916660</v>
      </c>
      <c r="B1954">
        <v>2015</v>
      </c>
      <c r="C1954" t="s">
        <v>739</v>
      </c>
      <c r="D1954" t="s">
        <v>740</v>
      </c>
      <c r="E1954" t="s">
        <v>743</v>
      </c>
      <c r="F1954" s="37">
        <v>326</v>
      </c>
      <c r="G1954" s="39" t="s">
        <v>245</v>
      </c>
      <c r="H1954" s="40">
        <v>22184</v>
      </c>
      <c r="I1954" s="58">
        <v>179388</v>
      </c>
      <c r="J1954">
        <f>IFERROR(VLOOKUP(G1954,'LEAID Match'!$A$2:$B$526,2,FALSE),"")</f>
        <v>2916660</v>
      </c>
      <c r="K1954" s="68">
        <f t="shared" si="61"/>
        <v>8</v>
      </c>
    </row>
    <row r="1955" spans="1:11" x14ac:dyDescent="0.2">
      <c r="A1955">
        <f t="shared" si="60"/>
        <v>2916660</v>
      </c>
      <c r="B1955">
        <v>2016</v>
      </c>
      <c r="C1955" t="s">
        <v>739</v>
      </c>
      <c r="D1955" t="s">
        <v>740</v>
      </c>
      <c r="E1955" t="s">
        <v>743</v>
      </c>
      <c r="F1955" s="34">
        <v>326</v>
      </c>
      <c r="G1955" s="34" t="s">
        <v>245</v>
      </c>
      <c r="H1955" s="36">
        <v>25715</v>
      </c>
      <c r="I1955" s="60">
        <v>185233</v>
      </c>
      <c r="J1955">
        <f>IFERROR(VLOOKUP(G1955,'LEAID Match'!$A$2:$B$526,2,FALSE),"")</f>
        <v>2916660</v>
      </c>
      <c r="K1955" s="68">
        <f t="shared" si="61"/>
        <v>8</v>
      </c>
    </row>
    <row r="1956" spans="1:11" x14ac:dyDescent="0.2">
      <c r="A1956">
        <f t="shared" si="60"/>
        <v>2916660</v>
      </c>
      <c r="B1956">
        <v>2017</v>
      </c>
      <c r="C1956" t="s">
        <v>739</v>
      </c>
      <c r="D1956" t="s">
        <v>740</v>
      </c>
      <c r="E1956" t="s">
        <v>743</v>
      </c>
      <c r="F1956" s="34">
        <v>326</v>
      </c>
      <c r="G1956" s="34" t="s">
        <v>245</v>
      </c>
      <c r="H1956" s="36">
        <v>22857</v>
      </c>
      <c r="I1956" s="58">
        <v>198516</v>
      </c>
      <c r="J1956">
        <f>IFERROR(VLOOKUP(G1956,'LEAID Match'!$A$2:$B$526,2,FALSE),"")</f>
        <v>2916660</v>
      </c>
      <c r="K1956" s="68">
        <f t="shared" si="61"/>
        <v>8</v>
      </c>
    </row>
    <row r="1957" spans="1:11" x14ac:dyDescent="0.2">
      <c r="A1957">
        <f t="shared" si="60"/>
        <v>2916660</v>
      </c>
      <c r="B1957">
        <v>2018</v>
      </c>
      <c r="C1957" t="s">
        <v>739</v>
      </c>
      <c r="D1957" t="s">
        <v>740</v>
      </c>
      <c r="E1957" t="s">
        <v>743</v>
      </c>
      <c r="F1957" s="34">
        <v>326</v>
      </c>
      <c r="G1957" s="34" t="s">
        <v>245</v>
      </c>
      <c r="H1957" s="36">
        <v>26685</v>
      </c>
      <c r="I1957" s="58">
        <v>183681</v>
      </c>
      <c r="J1957">
        <f>IFERROR(VLOOKUP(G1957,'LEAID Match'!$A$2:$B$526,2,FALSE),"")</f>
        <v>2916660</v>
      </c>
      <c r="K1957" s="68">
        <f t="shared" si="61"/>
        <v>8</v>
      </c>
    </row>
    <row r="1958" spans="1:11" x14ac:dyDescent="0.2">
      <c r="A1958">
        <f t="shared" si="60"/>
        <v>2916660</v>
      </c>
      <c r="B1958">
        <v>2019</v>
      </c>
      <c r="C1958" t="s">
        <v>739</v>
      </c>
      <c r="D1958" t="s">
        <v>740</v>
      </c>
      <c r="E1958" t="s">
        <v>743</v>
      </c>
      <c r="F1958" s="34">
        <v>326</v>
      </c>
      <c r="G1958" s="34" t="s">
        <v>245</v>
      </c>
      <c r="H1958" s="36">
        <v>28425</v>
      </c>
      <c r="I1958" s="58">
        <v>165723</v>
      </c>
      <c r="J1958">
        <f>IFERROR(VLOOKUP(G1958,'LEAID Match'!$A$2:$B$526,2,FALSE),"")</f>
        <v>2916660</v>
      </c>
      <c r="K1958" s="68">
        <f t="shared" si="61"/>
        <v>8</v>
      </c>
    </row>
    <row r="1959" spans="1:11" x14ac:dyDescent="0.2">
      <c r="A1959">
        <f t="shared" si="60"/>
        <v>2916660</v>
      </c>
      <c r="B1959">
        <v>2020</v>
      </c>
      <c r="C1959" t="s">
        <v>739</v>
      </c>
      <c r="D1959" t="s">
        <v>740</v>
      </c>
      <c r="E1959" t="s">
        <v>743</v>
      </c>
      <c r="F1959" s="34">
        <v>326</v>
      </c>
      <c r="G1959" s="34" t="s">
        <v>245</v>
      </c>
      <c r="H1959" s="36">
        <v>27635</v>
      </c>
      <c r="I1959" s="58">
        <v>170611</v>
      </c>
      <c r="J1959">
        <f>IFERROR(VLOOKUP(G1959,'LEAID Match'!$A$2:$B$526,2,FALSE),"")</f>
        <v>2916660</v>
      </c>
      <c r="K1959" s="68">
        <f t="shared" si="61"/>
        <v>8</v>
      </c>
    </row>
    <row r="1960" spans="1:11" x14ac:dyDescent="0.2">
      <c r="A1960">
        <f t="shared" si="60"/>
        <v>2916660</v>
      </c>
      <c r="B1960">
        <v>2021</v>
      </c>
      <c r="C1960" t="s">
        <v>739</v>
      </c>
      <c r="D1960" t="s">
        <v>740</v>
      </c>
      <c r="E1960" t="s">
        <v>743</v>
      </c>
      <c r="F1960" s="34">
        <v>326</v>
      </c>
      <c r="G1960" s="34" t="s">
        <v>245</v>
      </c>
      <c r="H1960" s="36">
        <v>28661</v>
      </c>
      <c r="I1960" s="58">
        <v>185097</v>
      </c>
      <c r="J1960">
        <f>IFERROR(VLOOKUP(G1960,'LEAID Match'!$A$2:$B$526,2,FALSE),"")</f>
        <v>2916660</v>
      </c>
      <c r="K1960" s="68">
        <f t="shared" si="61"/>
        <v>8</v>
      </c>
    </row>
    <row r="1961" spans="1:11" x14ac:dyDescent="0.2">
      <c r="A1961">
        <f t="shared" si="60"/>
        <v>2916660</v>
      </c>
      <c r="B1961">
        <v>2022</v>
      </c>
      <c r="C1961" t="s">
        <v>739</v>
      </c>
      <c r="D1961" t="s">
        <v>740</v>
      </c>
      <c r="E1961" t="s">
        <v>743</v>
      </c>
      <c r="F1961" s="34">
        <v>326</v>
      </c>
      <c r="G1961" s="34" t="s">
        <v>245</v>
      </c>
      <c r="H1961" s="36">
        <v>29807</v>
      </c>
      <c r="I1961" s="58">
        <v>191679</v>
      </c>
      <c r="J1961">
        <f>IFERROR(VLOOKUP(G1961,'LEAID Match'!$A$2:$B$526,2,FALSE),"")</f>
        <v>2916660</v>
      </c>
      <c r="K1961" s="68">
        <f t="shared" si="61"/>
        <v>8</v>
      </c>
    </row>
    <row r="1962" spans="1:11" x14ac:dyDescent="0.2">
      <c r="A1962">
        <f t="shared" si="60"/>
        <v>2914490</v>
      </c>
      <c r="B1962">
        <v>2015</v>
      </c>
      <c r="C1962" t="s">
        <v>739</v>
      </c>
      <c r="D1962" t="s">
        <v>740</v>
      </c>
      <c r="E1962" t="s">
        <v>743</v>
      </c>
      <c r="F1962" s="37">
        <v>328</v>
      </c>
      <c r="G1962" s="39" t="s">
        <v>246</v>
      </c>
      <c r="H1962" s="40">
        <v>72698</v>
      </c>
      <c r="I1962" s="58">
        <v>845274</v>
      </c>
      <c r="J1962">
        <f>IFERROR(VLOOKUP(G1962,'LEAID Match'!$A$2:$B$526,2,FALSE),"")</f>
        <v>2914490</v>
      </c>
      <c r="K1962" s="68">
        <f t="shared" si="61"/>
        <v>8</v>
      </c>
    </row>
    <row r="1963" spans="1:11" x14ac:dyDescent="0.2">
      <c r="A1963">
        <f t="shared" si="60"/>
        <v>2914490</v>
      </c>
      <c r="B1963">
        <v>2016</v>
      </c>
      <c r="C1963" t="s">
        <v>739</v>
      </c>
      <c r="D1963" t="s">
        <v>740</v>
      </c>
      <c r="E1963" t="s">
        <v>743</v>
      </c>
      <c r="F1963" s="34">
        <v>328</v>
      </c>
      <c r="G1963" s="34" t="s">
        <v>246</v>
      </c>
      <c r="H1963" s="36">
        <v>64847</v>
      </c>
      <c r="I1963" s="60">
        <v>844371</v>
      </c>
      <c r="J1963">
        <f>IFERROR(VLOOKUP(G1963,'LEAID Match'!$A$2:$B$526,2,FALSE),"")</f>
        <v>2914490</v>
      </c>
      <c r="K1963" s="68">
        <f t="shared" si="61"/>
        <v>8</v>
      </c>
    </row>
    <row r="1964" spans="1:11" x14ac:dyDescent="0.2">
      <c r="A1964">
        <f t="shared" si="60"/>
        <v>2914490</v>
      </c>
      <c r="B1964">
        <v>2017</v>
      </c>
      <c r="C1964" t="s">
        <v>739</v>
      </c>
      <c r="D1964" t="s">
        <v>740</v>
      </c>
      <c r="E1964" t="s">
        <v>743</v>
      </c>
      <c r="F1964" s="34">
        <v>328</v>
      </c>
      <c r="G1964" s="34" t="s">
        <v>246</v>
      </c>
      <c r="H1964" s="36">
        <v>67198</v>
      </c>
      <c r="I1964" s="58">
        <v>833602</v>
      </c>
      <c r="J1964">
        <f>IFERROR(VLOOKUP(G1964,'LEAID Match'!$A$2:$B$526,2,FALSE),"")</f>
        <v>2914490</v>
      </c>
      <c r="K1964" s="68">
        <f t="shared" si="61"/>
        <v>8</v>
      </c>
    </row>
    <row r="1965" spans="1:11" x14ac:dyDescent="0.2">
      <c r="A1965">
        <f t="shared" si="60"/>
        <v>2914490</v>
      </c>
      <c r="B1965">
        <v>2018</v>
      </c>
      <c r="C1965" t="s">
        <v>739</v>
      </c>
      <c r="D1965" t="s">
        <v>740</v>
      </c>
      <c r="E1965" t="s">
        <v>743</v>
      </c>
      <c r="F1965" s="34">
        <v>328</v>
      </c>
      <c r="G1965" s="34" t="s">
        <v>246</v>
      </c>
      <c r="H1965" s="36">
        <v>72711</v>
      </c>
      <c r="I1965" s="58">
        <v>806666</v>
      </c>
      <c r="J1965">
        <f>IFERROR(VLOOKUP(G1965,'LEAID Match'!$A$2:$B$526,2,FALSE),"")</f>
        <v>2914490</v>
      </c>
      <c r="K1965" s="68">
        <f t="shared" si="61"/>
        <v>8</v>
      </c>
    </row>
    <row r="1966" spans="1:11" x14ac:dyDescent="0.2">
      <c r="A1966">
        <f t="shared" si="60"/>
        <v>2914490</v>
      </c>
      <c r="B1966">
        <v>2019</v>
      </c>
      <c r="C1966" t="s">
        <v>739</v>
      </c>
      <c r="D1966" t="s">
        <v>740</v>
      </c>
      <c r="E1966" t="s">
        <v>743</v>
      </c>
      <c r="F1966" s="34">
        <v>328</v>
      </c>
      <c r="G1966" s="34" t="s">
        <v>246</v>
      </c>
      <c r="H1966" s="36">
        <v>79633</v>
      </c>
      <c r="I1966" s="58">
        <v>796216</v>
      </c>
      <c r="J1966">
        <f>IFERROR(VLOOKUP(G1966,'LEAID Match'!$A$2:$B$526,2,FALSE),"")</f>
        <v>2914490</v>
      </c>
      <c r="K1966" s="68">
        <f t="shared" si="61"/>
        <v>8</v>
      </c>
    </row>
    <row r="1967" spans="1:11" x14ac:dyDescent="0.2">
      <c r="A1967">
        <f t="shared" si="60"/>
        <v>2914490</v>
      </c>
      <c r="B1967">
        <v>2020</v>
      </c>
      <c r="C1967" t="s">
        <v>739</v>
      </c>
      <c r="D1967" t="s">
        <v>740</v>
      </c>
      <c r="E1967" t="s">
        <v>743</v>
      </c>
      <c r="F1967" s="34">
        <v>328</v>
      </c>
      <c r="G1967" s="34" t="s">
        <v>246</v>
      </c>
      <c r="H1967" s="36">
        <v>78804</v>
      </c>
      <c r="I1967" s="58">
        <v>821417</v>
      </c>
      <c r="J1967">
        <f>IFERROR(VLOOKUP(G1967,'LEAID Match'!$A$2:$B$526,2,FALSE),"")</f>
        <v>2914490</v>
      </c>
      <c r="K1967" s="68">
        <f t="shared" si="61"/>
        <v>8</v>
      </c>
    </row>
    <row r="1968" spans="1:11" x14ac:dyDescent="0.2">
      <c r="A1968">
        <f t="shared" si="60"/>
        <v>2914490</v>
      </c>
      <c r="B1968">
        <v>2021</v>
      </c>
      <c r="C1968" t="s">
        <v>739</v>
      </c>
      <c r="D1968" t="s">
        <v>740</v>
      </c>
      <c r="E1968" t="s">
        <v>743</v>
      </c>
      <c r="F1968" s="34">
        <v>328</v>
      </c>
      <c r="G1968" s="34" t="s">
        <v>246</v>
      </c>
      <c r="H1968" s="36">
        <v>81994</v>
      </c>
      <c r="I1968" s="58">
        <v>812181</v>
      </c>
      <c r="J1968">
        <f>IFERROR(VLOOKUP(G1968,'LEAID Match'!$A$2:$B$526,2,FALSE),"")</f>
        <v>2914490</v>
      </c>
      <c r="K1968" s="68">
        <f t="shared" si="61"/>
        <v>8</v>
      </c>
    </row>
    <row r="1969" spans="1:11" x14ac:dyDescent="0.2">
      <c r="A1969">
        <f t="shared" si="60"/>
        <v>2914490</v>
      </c>
      <c r="B1969">
        <v>2022</v>
      </c>
      <c r="C1969" t="s">
        <v>739</v>
      </c>
      <c r="D1969" t="s">
        <v>740</v>
      </c>
      <c r="E1969" t="s">
        <v>743</v>
      </c>
      <c r="F1969" s="34">
        <v>328</v>
      </c>
      <c r="G1969" s="34" t="s">
        <v>246</v>
      </c>
      <c r="H1969" s="36">
        <v>80664</v>
      </c>
      <c r="I1969" s="58">
        <v>854669</v>
      </c>
      <c r="J1969">
        <f>IFERROR(VLOOKUP(G1969,'LEAID Match'!$A$2:$B$526,2,FALSE),"")</f>
        <v>2914490</v>
      </c>
      <c r="K1969" s="68">
        <f t="shared" si="61"/>
        <v>8</v>
      </c>
    </row>
    <row r="1970" spans="1:11" x14ac:dyDescent="0.2">
      <c r="A1970">
        <f t="shared" si="60"/>
        <v>2908730</v>
      </c>
      <c r="B1970">
        <v>2015</v>
      </c>
      <c r="C1970" t="s">
        <v>739</v>
      </c>
      <c r="D1970" t="s">
        <v>740</v>
      </c>
      <c r="E1970" t="s">
        <v>743</v>
      </c>
      <c r="F1970" s="37">
        <v>329</v>
      </c>
      <c r="G1970" s="39" t="s">
        <v>247</v>
      </c>
      <c r="H1970" s="40">
        <v>13793</v>
      </c>
      <c r="I1970" s="58">
        <v>115385</v>
      </c>
      <c r="J1970">
        <f>IFERROR(VLOOKUP(G1970,'LEAID Match'!$A$2:$B$526,2,FALSE),"")</f>
        <v>2908730</v>
      </c>
      <c r="K1970" s="68">
        <f t="shared" si="61"/>
        <v>8</v>
      </c>
    </row>
    <row r="1971" spans="1:11" x14ac:dyDescent="0.2">
      <c r="A1971">
        <f t="shared" si="60"/>
        <v>2908730</v>
      </c>
      <c r="B1971">
        <v>2016</v>
      </c>
      <c r="C1971" t="s">
        <v>739</v>
      </c>
      <c r="D1971" t="s">
        <v>740</v>
      </c>
      <c r="E1971" t="s">
        <v>743</v>
      </c>
      <c r="F1971" s="34">
        <v>329</v>
      </c>
      <c r="G1971" s="34" t="s">
        <v>247</v>
      </c>
      <c r="H1971" s="36">
        <v>14807</v>
      </c>
      <c r="I1971" s="60">
        <v>120486</v>
      </c>
      <c r="J1971">
        <f>IFERROR(VLOOKUP(G1971,'LEAID Match'!$A$2:$B$526,2,FALSE),"")</f>
        <v>2908730</v>
      </c>
      <c r="K1971" s="68">
        <f t="shared" si="61"/>
        <v>8</v>
      </c>
    </row>
    <row r="1972" spans="1:11" x14ac:dyDescent="0.2">
      <c r="A1972">
        <f t="shared" si="60"/>
        <v>2908730</v>
      </c>
      <c r="B1972">
        <v>2017</v>
      </c>
      <c r="C1972" t="s">
        <v>739</v>
      </c>
      <c r="D1972" t="s">
        <v>740</v>
      </c>
      <c r="E1972" t="s">
        <v>743</v>
      </c>
      <c r="F1972" s="34">
        <v>329</v>
      </c>
      <c r="G1972" s="34" t="s">
        <v>247</v>
      </c>
      <c r="H1972" s="36">
        <v>14386</v>
      </c>
      <c r="I1972" s="58">
        <v>121764</v>
      </c>
      <c r="J1972">
        <f>IFERROR(VLOOKUP(G1972,'LEAID Match'!$A$2:$B$526,2,FALSE),"")</f>
        <v>2908730</v>
      </c>
      <c r="K1972" s="68">
        <f t="shared" si="61"/>
        <v>8</v>
      </c>
    </row>
    <row r="1973" spans="1:11" x14ac:dyDescent="0.2">
      <c r="A1973">
        <f t="shared" si="60"/>
        <v>2908730</v>
      </c>
      <c r="B1973">
        <v>2018</v>
      </c>
      <c r="C1973" t="s">
        <v>739</v>
      </c>
      <c r="D1973" t="s">
        <v>740</v>
      </c>
      <c r="E1973" t="s">
        <v>743</v>
      </c>
      <c r="F1973" s="34">
        <v>329</v>
      </c>
      <c r="G1973" s="34" t="s">
        <v>247</v>
      </c>
      <c r="H1973" s="36">
        <v>15424</v>
      </c>
      <c r="I1973" s="58">
        <v>129284</v>
      </c>
      <c r="J1973">
        <f>IFERROR(VLOOKUP(G1973,'LEAID Match'!$A$2:$B$526,2,FALSE),"")</f>
        <v>2908730</v>
      </c>
      <c r="K1973" s="68">
        <f t="shared" si="61"/>
        <v>8</v>
      </c>
    </row>
    <row r="1974" spans="1:11" x14ac:dyDescent="0.2">
      <c r="A1974">
        <f t="shared" si="60"/>
        <v>2908730</v>
      </c>
      <c r="B1974">
        <v>2019</v>
      </c>
      <c r="C1974" t="s">
        <v>739</v>
      </c>
      <c r="D1974" t="s">
        <v>740</v>
      </c>
      <c r="E1974" t="s">
        <v>743</v>
      </c>
      <c r="F1974" s="34">
        <v>329</v>
      </c>
      <c r="G1974" s="34" t="s">
        <v>247</v>
      </c>
      <c r="H1974" s="36">
        <v>16378</v>
      </c>
      <c r="I1974" s="58">
        <v>131130</v>
      </c>
      <c r="J1974">
        <f>IFERROR(VLOOKUP(G1974,'LEAID Match'!$A$2:$B$526,2,FALSE),"")</f>
        <v>2908730</v>
      </c>
      <c r="K1974" s="68">
        <f t="shared" si="61"/>
        <v>8</v>
      </c>
    </row>
    <row r="1975" spans="1:11" x14ac:dyDescent="0.2">
      <c r="A1975">
        <f t="shared" si="60"/>
        <v>2908730</v>
      </c>
      <c r="B1975">
        <v>2020</v>
      </c>
      <c r="C1975" t="s">
        <v>739</v>
      </c>
      <c r="D1975" t="s">
        <v>740</v>
      </c>
      <c r="E1975" t="s">
        <v>743</v>
      </c>
      <c r="F1975" s="34">
        <v>329</v>
      </c>
      <c r="G1975" s="34" t="s">
        <v>247</v>
      </c>
      <c r="H1975" s="36">
        <v>16045</v>
      </c>
      <c r="I1975" s="58">
        <v>129620</v>
      </c>
      <c r="J1975">
        <f>IFERROR(VLOOKUP(G1975,'LEAID Match'!$A$2:$B$526,2,FALSE),"")</f>
        <v>2908730</v>
      </c>
      <c r="K1975" s="68">
        <f t="shared" si="61"/>
        <v>8</v>
      </c>
    </row>
    <row r="1976" spans="1:11" x14ac:dyDescent="0.2">
      <c r="A1976">
        <f t="shared" si="60"/>
        <v>2908730</v>
      </c>
      <c r="B1976">
        <v>2021</v>
      </c>
      <c r="C1976" t="s">
        <v>739</v>
      </c>
      <c r="D1976" t="s">
        <v>740</v>
      </c>
      <c r="E1976" t="s">
        <v>743</v>
      </c>
      <c r="F1976" s="34">
        <v>329</v>
      </c>
      <c r="G1976" s="34" t="s">
        <v>247</v>
      </c>
      <c r="H1976" s="36">
        <v>19558</v>
      </c>
      <c r="I1976" s="58">
        <v>118392</v>
      </c>
      <c r="J1976">
        <f>IFERROR(VLOOKUP(G1976,'LEAID Match'!$A$2:$B$526,2,FALSE),"")</f>
        <v>2908730</v>
      </c>
      <c r="K1976" s="68">
        <f t="shared" si="61"/>
        <v>8</v>
      </c>
    </row>
    <row r="1977" spans="1:11" x14ac:dyDescent="0.2">
      <c r="A1977">
        <f t="shared" si="60"/>
        <v>2908730</v>
      </c>
      <c r="B1977">
        <v>2022</v>
      </c>
      <c r="C1977" t="s">
        <v>739</v>
      </c>
      <c r="D1977" t="s">
        <v>740</v>
      </c>
      <c r="E1977" t="s">
        <v>743</v>
      </c>
      <c r="F1977" s="34">
        <v>329</v>
      </c>
      <c r="G1977" s="34" t="s">
        <v>247</v>
      </c>
      <c r="H1977" s="36">
        <v>24585</v>
      </c>
      <c r="I1977" s="58">
        <v>128455</v>
      </c>
      <c r="J1977">
        <f>IFERROR(VLOOKUP(G1977,'LEAID Match'!$A$2:$B$526,2,FALSE),"")</f>
        <v>2908730</v>
      </c>
      <c r="K1977" s="68">
        <f t="shared" si="61"/>
        <v>8</v>
      </c>
    </row>
    <row r="1978" spans="1:11" x14ac:dyDescent="0.2">
      <c r="A1978">
        <f t="shared" si="60"/>
        <v>2908320</v>
      </c>
      <c r="B1978">
        <v>2015</v>
      </c>
      <c r="C1978" t="s">
        <v>739</v>
      </c>
      <c r="D1978" t="s">
        <v>740</v>
      </c>
      <c r="E1978" t="s">
        <v>743</v>
      </c>
      <c r="F1978" s="37">
        <v>330</v>
      </c>
      <c r="G1978" s="39" t="s">
        <v>248</v>
      </c>
      <c r="H1978" s="40">
        <v>30186</v>
      </c>
      <c r="I1978" s="58">
        <v>353094</v>
      </c>
      <c r="J1978">
        <f>IFERROR(VLOOKUP(G1978,'LEAID Match'!$A$2:$B$526,2,FALSE),"")</f>
        <v>2908320</v>
      </c>
      <c r="K1978" s="68">
        <f t="shared" si="61"/>
        <v>8</v>
      </c>
    </row>
    <row r="1979" spans="1:11" x14ac:dyDescent="0.2">
      <c r="A1979">
        <f t="shared" si="60"/>
        <v>2908320</v>
      </c>
      <c r="B1979">
        <v>2016</v>
      </c>
      <c r="C1979" t="s">
        <v>739</v>
      </c>
      <c r="D1979" t="s">
        <v>740</v>
      </c>
      <c r="E1979" t="s">
        <v>743</v>
      </c>
      <c r="F1979" s="34">
        <v>330</v>
      </c>
      <c r="G1979" s="34" t="s">
        <v>248</v>
      </c>
      <c r="H1979" s="36">
        <v>27511</v>
      </c>
      <c r="I1979" s="60">
        <v>366744</v>
      </c>
      <c r="J1979">
        <f>IFERROR(VLOOKUP(G1979,'LEAID Match'!$A$2:$B$526,2,FALSE),"")</f>
        <v>2908320</v>
      </c>
      <c r="K1979" s="68">
        <f t="shared" si="61"/>
        <v>8</v>
      </c>
    </row>
    <row r="1980" spans="1:11" x14ac:dyDescent="0.2">
      <c r="A1980">
        <f t="shared" si="60"/>
        <v>2908320</v>
      </c>
      <c r="B1980">
        <v>2017</v>
      </c>
      <c r="C1980" t="s">
        <v>739</v>
      </c>
      <c r="D1980" t="s">
        <v>740</v>
      </c>
      <c r="E1980" t="s">
        <v>743</v>
      </c>
      <c r="F1980" s="34">
        <v>330</v>
      </c>
      <c r="G1980" s="34" t="s">
        <v>248</v>
      </c>
      <c r="H1980" s="36">
        <v>27128</v>
      </c>
      <c r="I1980" s="58">
        <v>374554</v>
      </c>
      <c r="J1980">
        <f>IFERROR(VLOOKUP(G1980,'LEAID Match'!$A$2:$B$526,2,FALSE),"")</f>
        <v>2908320</v>
      </c>
      <c r="K1980" s="68">
        <f t="shared" si="61"/>
        <v>8</v>
      </c>
    </row>
    <row r="1981" spans="1:11" x14ac:dyDescent="0.2">
      <c r="A1981">
        <f t="shared" si="60"/>
        <v>2908320</v>
      </c>
      <c r="B1981">
        <v>2018</v>
      </c>
      <c r="C1981" t="s">
        <v>739</v>
      </c>
      <c r="D1981" t="s">
        <v>740</v>
      </c>
      <c r="E1981" t="s">
        <v>743</v>
      </c>
      <c r="F1981" s="34">
        <v>330</v>
      </c>
      <c r="G1981" s="34" t="s">
        <v>248</v>
      </c>
      <c r="H1981" s="36">
        <v>29003</v>
      </c>
      <c r="I1981" s="58">
        <v>374649</v>
      </c>
      <c r="J1981">
        <f>IFERROR(VLOOKUP(G1981,'LEAID Match'!$A$2:$B$526,2,FALSE),"")</f>
        <v>2908320</v>
      </c>
      <c r="K1981" s="68">
        <f t="shared" si="61"/>
        <v>8</v>
      </c>
    </row>
    <row r="1982" spans="1:11" x14ac:dyDescent="0.2">
      <c r="A1982">
        <f t="shared" si="60"/>
        <v>2908320</v>
      </c>
      <c r="B1982">
        <v>2019</v>
      </c>
      <c r="C1982" t="s">
        <v>739</v>
      </c>
      <c r="D1982" t="s">
        <v>740</v>
      </c>
      <c r="E1982" t="s">
        <v>743</v>
      </c>
      <c r="F1982" s="34">
        <v>330</v>
      </c>
      <c r="G1982" s="34" t="s">
        <v>248</v>
      </c>
      <c r="H1982" s="36">
        <v>32324</v>
      </c>
      <c r="I1982" s="58">
        <v>369064</v>
      </c>
      <c r="J1982">
        <f>IFERROR(VLOOKUP(G1982,'LEAID Match'!$A$2:$B$526,2,FALSE),"")</f>
        <v>2908320</v>
      </c>
      <c r="K1982" s="68">
        <f t="shared" si="61"/>
        <v>8</v>
      </c>
    </row>
    <row r="1983" spans="1:11" x14ac:dyDescent="0.2">
      <c r="A1983">
        <f t="shared" si="60"/>
        <v>2908320</v>
      </c>
      <c r="B1983">
        <v>2020</v>
      </c>
      <c r="C1983" t="s">
        <v>739</v>
      </c>
      <c r="D1983" t="s">
        <v>740</v>
      </c>
      <c r="E1983" t="s">
        <v>743</v>
      </c>
      <c r="F1983" s="34">
        <v>330</v>
      </c>
      <c r="G1983" s="34" t="s">
        <v>248</v>
      </c>
      <c r="H1983" s="36">
        <v>37080</v>
      </c>
      <c r="I1983" s="58">
        <v>367844</v>
      </c>
      <c r="J1983">
        <f>IFERROR(VLOOKUP(G1983,'LEAID Match'!$A$2:$B$526,2,FALSE),"")</f>
        <v>2908320</v>
      </c>
      <c r="K1983" s="68">
        <f t="shared" si="61"/>
        <v>8</v>
      </c>
    </row>
    <row r="1984" spans="1:11" x14ac:dyDescent="0.2">
      <c r="A1984">
        <f t="shared" si="60"/>
        <v>2908320</v>
      </c>
      <c r="B1984">
        <v>2021</v>
      </c>
      <c r="C1984" t="s">
        <v>739</v>
      </c>
      <c r="D1984" t="s">
        <v>740</v>
      </c>
      <c r="E1984" t="s">
        <v>743</v>
      </c>
      <c r="F1984" s="34">
        <v>330</v>
      </c>
      <c r="G1984" s="34" t="s">
        <v>248</v>
      </c>
      <c r="H1984" s="36">
        <v>34873</v>
      </c>
      <c r="I1984" s="58">
        <v>395105</v>
      </c>
      <c r="J1984">
        <f>IFERROR(VLOOKUP(G1984,'LEAID Match'!$A$2:$B$526,2,FALSE),"")</f>
        <v>2908320</v>
      </c>
      <c r="K1984" s="68">
        <f t="shared" si="61"/>
        <v>8</v>
      </c>
    </row>
    <row r="1985" spans="1:11" x14ac:dyDescent="0.2">
      <c r="A1985">
        <f t="shared" si="60"/>
        <v>2908320</v>
      </c>
      <c r="B1985">
        <v>2022</v>
      </c>
      <c r="C1985" t="s">
        <v>739</v>
      </c>
      <c r="D1985" t="s">
        <v>740</v>
      </c>
      <c r="E1985" t="s">
        <v>743</v>
      </c>
      <c r="F1985" s="34">
        <v>330</v>
      </c>
      <c r="G1985" s="34" t="s">
        <v>248</v>
      </c>
      <c r="H1985" s="36">
        <v>38459</v>
      </c>
      <c r="I1985" s="58">
        <v>401740</v>
      </c>
      <c r="J1985">
        <f>IFERROR(VLOOKUP(G1985,'LEAID Match'!$A$2:$B$526,2,FALSE),"")</f>
        <v>2908320</v>
      </c>
      <c r="K1985" s="68">
        <f t="shared" si="61"/>
        <v>8</v>
      </c>
    </row>
    <row r="1986" spans="1:11" x14ac:dyDescent="0.2">
      <c r="A1986">
        <f t="shared" si="60"/>
        <v>2931020</v>
      </c>
      <c r="B1986">
        <v>2015</v>
      </c>
      <c r="C1986" t="s">
        <v>739</v>
      </c>
      <c r="D1986" t="s">
        <v>740</v>
      </c>
      <c r="E1986" t="s">
        <v>743</v>
      </c>
      <c r="F1986" s="37">
        <v>331</v>
      </c>
      <c r="G1986" s="39" t="s">
        <v>249</v>
      </c>
      <c r="H1986" s="40">
        <v>337448</v>
      </c>
      <c r="I1986" s="58">
        <v>2392660</v>
      </c>
      <c r="J1986">
        <f>IFERROR(VLOOKUP(G1986,'LEAID Match'!$A$2:$B$526,2,FALSE),"")</f>
        <v>2931020</v>
      </c>
      <c r="K1986" s="68">
        <f t="shared" si="61"/>
        <v>8</v>
      </c>
    </row>
    <row r="1987" spans="1:11" x14ac:dyDescent="0.2">
      <c r="A1987">
        <f t="shared" ref="A1987:A2050" si="62">J1987</f>
        <v>2931020</v>
      </c>
      <c r="B1987">
        <v>2016</v>
      </c>
      <c r="C1987" t="s">
        <v>739</v>
      </c>
      <c r="D1987" t="s">
        <v>740</v>
      </c>
      <c r="E1987" t="s">
        <v>743</v>
      </c>
      <c r="F1987" s="34">
        <v>331</v>
      </c>
      <c r="G1987" s="34" t="s">
        <v>249</v>
      </c>
      <c r="H1987" s="36">
        <v>342977</v>
      </c>
      <c r="I1987" s="60">
        <v>2358592</v>
      </c>
      <c r="J1987">
        <f>IFERROR(VLOOKUP(G1987,'LEAID Match'!$A$2:$B$526,2,FALSE),"")</f>
        <v>2931020</v>
      </c>
      <c r="K1987" s="68">
        <f t="shared" ref="K1987:K2050" si="63">COUNTIF($J$2:$J$4295,J1987)</f>
        <v>8</v>
      </c>
    </row>
    <row r="1988" spans="1:11" x14ac:dyDescent="0.2">
      <c r="A1988">
        <f t="shared" si="62"/>
        <v>2931020</v>
      </c>
      <c r="B1988">
        <v>2017</v>
      </c>
      <c r="C1988" t="s">
        <v>739</v>
      </c>
      <c r="D1988" t="s">
        <v>740</v>
      </c>
      <c r="E1988" t="s">
        <v>743</v>
      </c>
      <c r="F1988" s="34">
        <v>331</v>
      </c>
      <c r="G1988" s="34" t="s">
        <v>249</v>
      </c>
      <c r="H1988" s="36">
        <v>364662</v>
      </c>
      <c r="I1988" s="58">
        <v>2395088</v>
      </c>
      <c r="J1988">
        <f>IFERROR(VLOOKUP(G1988,'LEAID Match'!$A$2:$B$526,2,FALSE),"")</f>
        <v>2931020</v>
      </c>
      <c r="K1988" s="68">
        <f t="shared" si="63"/>
        <v>8</v>
      </c>
    </row>
    <row r="1989" spans="1:11" x14ac:dyDescent="0.2">
      <c r="A1989">
        <f t="shared" si="62"/>
        <v>2931020</v>
      </c>
      <c r="B1989">
        <v>2018</v>
      </c>
      <c r="C1989" t="s">
        <v>739</v>
      </c>
      <c r="D1989" t="s">
        <v>740</v>
      </c>
      <c r="E1989" t="s">
        <v>743</v>
      </c>
      <c r="F1989" s="34">
        <v>331</v>
      </c>
      <c r="G1989" s="34" t="s">
        <v>249</v>
      </c>
      <c r="H1989" s="36">
        <v>393191</v>
      </c>
      <c r="I1989" s="58">
        <v>2446373</v>
      </c>
      <c r="J1989">
        <f>IFERROR(VLOOKUP(G1989,'LEAID Match'!$A$2:$B$526,2,FALSE),"")</f>
        <v>2931020</v>
      </c>
      <c r="K1989" s="68">
        <f t="shared" si="63"/>
        <v>8</v>
      </c>
    </row>
    <row r="1990" spans="1:11" x14ac:dyDescent="0.2">
      <c r="A1990">
        <f t="shared" si="62"/>
        <v>2931020</v>
      </c>
      <c r="B1990">
        <v>2019</v>
      </c>
      <c r="C1990" t="s">
        <v>739</v>
      </c>
      <c r="D1990" t="s">
        <v>740</v>
      </c>
      <c r="E1990" t="s">
        <v>743</v>
      </c>
      <c r="F1990" s="34">
        <v>331</v>
      </c>
      <c r="G1990" s="34" t="s">
        <v>249</v>
      </c>
      <c r="H1990" s="36">
        <v>421226</v>
      </c>
      <c r="I1990" s="58">
        <v>2551447</v>
      </c>
      <c r="J1990">
        <f>IFERROR(VLOOKUP(G1990,'LEAID Match'!$A$2:$B$526,2,FALSE),"")</f>
        <v>2931020</v>
      </c>
      <c r="K1990" s="68">
        <f t="shared" si="63"/>
        <v>8</v>
      </c>
    </row>
    <row r="1991" spans="1:11" x14ac:dyDescent="0.2">
      <c r="A1991">
        <f t="shared" si="62"/>
        <v>2931020</v>
      </c>
      <c r="B1991">
        <v>2020</v>
      </c>
      <c r="C1991" t="s">
        <v>739</v>
      </c>
      <c r="D1991" t="s">
        <v>740</v>
      </c>
      <c r="E1991" t="s">
        <v>743</v>
      </c>
      <c r="F1991" s="34">
        <v>331</v>
      </c>
      <c r="G1991" s="34" t="s">
        <v>249</v>
      </c>
      <c r="H1991" s="36">
        <v>427981</v>
      </c>
      <c r="I1991" s="58">
        <v>2618643</v>
      </c>
      <c r="J1991">
        <f>IFERROR(VLOOKUP(G1991,'LEAID Match'!$A$2:$B$526,2,FALSE),"")</f>
        <v>2931020</v>
      </c>
      <c r="K1991" s="68">
        <f t="shared" si="63"/>
        <v>8</v>
      </c>
    </row>
    <row r="1992" spans="1:11" x14ac:dyDescent="0.2">
      <c r="A1992">
        <f t="shared" si="62"/>
        <v>2931020</v>
      </c>
      <c r="B1992">
        <v>2021</v>
      </c>
      <c r="C1992" t="s">
        <v>739</v>
      </c>
      <c r="D1992" t="s">
        <v>740</v>
      </c>
      <c r="E1992" t="s">
        <v>743</v>
      </c>
      <c r="F1992" s="34">
        <v>331</v>
      </c>
      <c r="G1992" s="34" t="s">
        <v>249</v>
      </c>
      <c r="H1992" s="36">
        <v>430698</v>
      </c>
      <c r="I1992" s="58">
        <v>2632289</v>
      </c>
      <c r="J1992">
        <f>IFERROR(VLOOKUP(G1992,'LEAID Match'!$A$2:$B$526,2,FALSE),"")</f>
        <v>2931020</v>
      </c>
      <c r="K1992" s="68">
        <f t="shared" si="63"/>
        <v>8</v>
      </c>
    </row>
    <row r="1993" spans="1:11" x14ac:dyDescent="0.2">
      <c r="A1993">
        <f t="shared" si="62"/>
        <v>2931020</v>
      </c>
      <c r="B1993">
        <v>2022</v>
      </c>
      <c r="C1993" t="s">
        <v>739</v>
      </c>
      <c r="D1993" t="s">
        <v>740</v>
      </c>
      <c r="E1993" t="s">
        <v>743</v>
      </c>
      <c r="F1993" s="34">
        <v>331</v>
      </c>
      <c r="G1993" s="34" t="s">
        <v>249</v>
      </c>
      <c r="H1993" s="36">
        <v>453225</v>
      </c>
      <c r="I1993" s="58">
        <v>2756090</v>
      </c>
      <c r="J1993">
        <f>IFERROR(VLOOKUP(G1993,'LEAID Match'!$A$2:$B$526,2,FALSE),"")</f>
        <v>2931020</v>
      </c>
      <c r="K1993" s="68">
        <f t="shared" si="63"/>
        <v>8</v>
      </c>
    </row>
    <row r="1994" spans="1:11" x14ac:dyDescent="0.2">
      <c r="A1994">
        <f t="shared" si="62"/>
        <v>2916830</v>
      </c>
      <c r="B1994">
        <v>2015</v>
      </c>
      <c r="C1994" t="s">
        <v>739</v>
      </c>
      <c r="D1994" t="s">
        <v>740</v>
      </c>
      <c r="E1994" t="s">
        <v>743</v>
      </c>
      <c r="F1994" s="37">
        <v>332</v>
      </c>
      <c r="G1994" s="39" t="s">
        <v>250</v>
      </c>
      <c r="H1994" s="40">
        <v>123085</v>
      </c>
      <c r="I1994" s="58">
        <v>1025696</v>
      </c>
      <c r="J1994">
        <f>IFERROR(VLOOKUP(G1994,'LEAID Match'!$A$2:$B$526,2,FALSE),"")</f>
        <v>2916830</v>
      </c>
      <c r="K1994" s="68">
        <f t="shared" si="63"/>
        <v>8</v>
      </c>
    </row>
    <row r="1995" spans="1:11" x14ac:dyDescent="0.2">
      <c r="A1995">
        <f t="shared" si="62"/>
        <v>2916830</v>
      </c>
      <c r="B1995">
        <v>2016</v>
      </c>
      <c r="C1995" t="s">
        <v>739</v>
      </c>
      <c r="D1995" t="s">
        <v>740</v>
      </c>
      <c r="E1995" t="s">
        <v>743</v>
      </c>
      <c r="F1995" s="34">
        <v>332</v>
      </c>
      <c r="G1995" s="34" t="s">
        <v>250</v>
      </c>
      <c r="H1995" s="36">
        <v>142916</v>
      </c>
      <c r="I1995" s="60">
        <v>1069708</v>
      </c>
      <c r="J1995">
        <f>IFERROR(VLOOKUP(G1995,'LEAID Match'!$A$2:$B$526,2,FALSE),"")</f>
        <v>2916830</v>
      </c>
      <c r="K1995" s="68">
        <f t="shared" si="63"/>
        <v>8</v>
      </c>
    </row>
    <row r="1996" spans="1:11" x14ac:dyDescent="0.2">
      <c r="A1996">
        <f t="shared" si="62"/>
        <v>2916830</v>
      </c>
      <c r="B1996">
        <v>2017</v>
      </c>
      <c r="C1996" t="s">
        <v>739</v>
      </c>
      <c r="D1996" t="s">
        <v>740</v>
      </c>
      <c r="E1996" t="s">
        <v>743</v>
      </c>
      <c r="F1996" s="34">
        <v>332</v>
      </c>
      <c r="G1996" s="34" t="s">
        <v>250</v>
      </c>
      <c r="H1996" s="36">
        <v>178150</v>
      </c>
      <c r="I1996" s="58">
        <v>1110486</v>
      </c>
      <c r="J1996">
        <f>IFERROR(VLOOKUP(G1996,'LEAID Match'!$A$2:$B$526,2,FALSE),"")</f>
        <v>2916830</v>
      </c>
      <c r="K1996" s="68">
        <f t="shared" si="63"/>
        <v>8</v>
      </c>
    </row>
    <row r="1997" spans="1:11" x14ac:dyDescent="0.2">
      <c r="A1997">
        <f t="shared" si="62"/>
        <v>2916830</v>
      </c>
      <c r="B1997">
        <v>2018</v>
      </c>
      <c r="C1997" t="s">
        <v>739</v>
      </c>
      <c r="D1997" t="s">
        <v>740</v>
      </c>
      <c r="E1997" t="s">
        <v>743</v>
      </c>
      <c r="F1997" s="34">
        <v>332</v>
      </c>
      <c r="G1997" s="34" t="s">
        <v>250</v>
      </c>
      <c r="H1997" s="36">
        <v>199815</v>
      </c>
      <c r="I1997" s="58">
        <v>1157817</v>
      </c>
      <c r="J1997">
        <f>IFERROR(VLOOKUP(G1997,'LEAID Match'!$A$2:$B$526,2,FALSE),"")</f>
        <v>2916830</v>
      </c>
      <c r="K1997" s="68">
        <f t="shared" si="63"/>
        <v>8</v>
      </c>
    </row>
    <row r="1998" spans="1:11" x14ac:dyDescent="0.2">
      <c r="A1998">
        <f t="shared" si="62"/>
        <v>2916830</v>
      </c>
      <c r="B1998">
        <v>2019</v>
      </c>
      <c r="C1998" t="s">
        <v>739</v>
      </c>
      <c r="D1998" t="s">
        <v>740</v>
      </c>
      <c r="E1998" t="s">
        <v>743</v>
      </c>
      <c r="F1998" s="34">
        <v>332</v>
      </c>
      <c r="G1998" s="34" t="s">
        <v>250</v>
      </c>
      <c r="H1998" s="36">
        <v>187606</v>
      </c>
      <c r="I1998" s="58">
        <v>1216572</v>
      </c>
      <c r="J1998">
        <f>IFERROR(VLOOKUP(G1998,'LEAID Match'!$A$2:$B$526,2,FALSE),"")</f>
        <v>2916830</v>
      </c>
      <c r="K1998" s="68">
        <f t="shared" si="63"/>
        <v>8</v>
      </c>
    </row>
    <row r="1999" spans="1:11" x14ac:dyDescent="0.2">
      <c r="A1999">
        <f t="shared" si="62"/>
        <v>2916830</v>
      </c>
      <c r="B1999">
        <v>2020</v>
      </c>
      <c r="C1999" t="s">
        <v>739</v>
      </c>
      <c r="D1999" t="s">
        <v>740</v>
      </c>
      <c r="E1999" t="s">
        <v>743</v>
      </c>
      <c r="F1999" s="34">
        <v>332</v>
      </c>
      <c r="G1999" s="34" t="s">
        <v>250</v>
      </c>
      <c r="H1999" s="36">
        <v>195866</v>
      </c>
      <c r="I1999" s="58">
        <v>1265276</v>
      </c>
      <c r="J1999">
        <f>IFERROR(VLOOKUP(G1999,'LEAID Match'!$A$2:$B$526,2,FALSE),"")</f>
        <v>2916830</v>
      </c>
      <c r="K1999" s="68">
        <f t="shared" si="63"/>
        <v>8</v>
      </c>
    </row>
    <row r="2000" spans="1:11" x14ac:dyDescent="0.2">
      <c r="A2000">
        <f t="shared" si="62"/>
        <v>2916830</v>
      </c>
      <c r="B2000">
        <v>2021</v>
      </c>
      <c r="C2000" t="s">
        <v>739</v>
      </c>
      <c r="D2000" t="s">
        <v>740</v>
      </c>
      <c r="E2000" t="s">
        <v>743</v>
      </c>
      <c r="F2000" s="34">
        <v>332</v>
      </c>
      <c r="G2000" s="34" t="s">
        <v>250</v>
      </c>
      <c r="H2000" s="36">
        <v>215935</v>
      </c>
      <c r="I2000" s="58">
        <v>1333301</v>
      </c>
      <c r="J2000">
        <f>IFERROR(VLOOKUP(G2000,'LEAID Match'!$A$2:$B$526,2,FALSE),"")</f>
        <v>2916830</v>
      </c>
      <c r="K2000" s="68">
        <f t="shared" si="63"/>
        <v>8</v>
      </c>
    </row>
    <row r="2001" spans="1:11" x14ac:dyDescent="0.2">
      <c r="A2001">
        <f t="shared" si="62"/>
        <v>2916830</v>
      </c>
      <c r="B2001">
        <v>2022</v>
      </c>
      <c r="C2001" t="s">
        <v>739</v>
      </c>
      <c r="D2001" t="s">
        <v>740</v>
      </c>
      <c r="E2001" t="s">
        <v>743</v>
      </c>
      <c r="F2001" s="34">
        <v>332</v>
      </c>
      <c r="G2001" s="34" t="s">
        <v>250</v>
      </c>
      <c r="H2001" s="36">
        <v>236264</v>
      </c>
      <c r="I2001" s="58">
        <v>1389853</v>
      </c>
      <c r="J2001">
        <f>IFERROR(VLOOKUP(G2001,'LEAID Match'!$A$2:$B$526,2,FALSE),"")</f>
        <v>2916830</v>
      </c>
      <c r="K2001" s="68">
        <f t="shared" si="63"/>
        <v>8</v>
      </c>
    </row>
    <row r="2002" spans="1:11" x14ac:dyDescent="0.2">
      <c r="A2002">
        <f t="shared" si="62"/>
        <v>2918360</v>
      </c>
      <c r="B2002">
        <v>2015</v>
      </c>
      <c r="C2002" t="s">
        <v>739</v>
      </c>
      <c r="D2002" t="s">
        <v>740</v>
      </c>
      <c r="E2002" t="s">
        <v>743</v>
      </c>
      <c r="F2002" s="37">
        <v>333</v>
      </c>
      <c r="G2002" s="39" t="s">
        <v>251</v>
      </c>
      <c r="H2002" s="40">
        <v>36800</v>
      </c>
      <c r="I2002" s="58">
        <v>244528</v>
      </c>
      <c r="J2002">
        <f>IFERROR(VLOOKUP(G2002,'LEAID Match'!$A$2:$B$526,2,FALSE),"")</f>
        <v>2918360</v>
      </c>
      <c r="K2002" s="68">
        <f t="shared" si="63"/>
        <v>8</v>
      </c>
    </row>
    <row r="2003" spans="1:11" x14ac:dyDescent="0.2">
      <c r="A2003">
        <f t="shared" si="62"/>
        <v>2918360</v>
      </c>
      <c r="B2003">
        <v>2016</v>
      </c>
      <c r="C2003" t="s">
        <v>739</v>
      </c>
      <c r="D2003" t="s">
        <v>740</v>
      </c>
      <c r="E2003" t="s">
        <v>743</v>
      </c>
      <c r="F2003" s="34">
        <v>333</v>
      </c>
      <c r="G2003" s="34" t="s">
        <v>251</v>
      </c>
      <c r="H2003" s="36">
        <v>38618</v>
      </c>
      <c r="I2003" s="60">
        <v>242825</v>
      </c>
      <c r="J2003">
        <f>IFERROR(VLOOKUP(G2003,'LEAID Match'!$A$2:$B$526,2,FALSE),"")</f>
        <v>2918360</v>
      </c>
      <c r="K2003" s="68">
        <f t="shared" si="63"/>
        <v>8</v>
      </c>
    </row>
    <row r="2004" spans="1:11" x14ac:dyDescent="0.2">
      <c r="A2004">
        <f t="shared" si="62"/>
        <v>2918360</v>
      </c>
      <c r="B2004">
        <v>2017</v>
      </c>
      <c r="C2004" t="s">
        <v>739</v>
      </c>
      <c r="D2004" t="s">
        <v>740</v>
      </c>
      <c r="E2004" t="s">
        <v>743</v>
      </c>
      <c r="F2004" s="34">
        <v>333</v>
      </c>
      <c r="G2004" s="34" t="s">
        <v>251</v>
      </c>
      <c r="H2004" s="36">
        <v>40988</v>
      </c>
      <c r="I2004" s="58">
        <v>251023</v>
      </c>
      <c r="J2004">
        <f>IFERROR(VLOOKUP(G2004,'LEAID Match'!$A$2:$B$526,2,FALSE),"")</f>
        <v>2918360</v>
      </c>
      <c r="K2004" s="68">
        <f t="shared" si="63"/>
        <v>8</v>
      </c>
    </row>
    <row r="2005" spans="1:11" x14ac:dyDescent="0.2">
      <c r="A2005">
        <f t="shared" si="62"/>
        <v>2918360</v>
      </c>
      <c r="B2005">
        <v>2018</v>
      </c>
      <c r="C2005" t="s">
        <v>739</v>
      </c>
      <c r="D2005" t="s">
        <v>740</v>
      </c>
      <c r="E2005" t="s">
        <v>743</v>
      </c>
      <c r="F2005" s="34">
        <v>333</v>
      </c>
      <c r="G2005" s="34" t="s">
        <v>251</v>
      </c>
      <c r="H2005" s="36">
        <v>39349</v>
      </c>
      <c r="I2005" s="58">
        <v>248294</v>
      </c>
      <c r="J2005">
        <f>IFERROR(VLOOKUP(G2005,'LEAID Match'!$A$2:$B$526,2,FALSE),"")</f>
        <v>2918360</v>
      </c>
      <c r="K2005" s="68">
        <f t="shared" si="63"/>
        <v>8</v>
      </c>
    </row>
    <row r="2006" spans="1:11" x14ac:dyDescent="0.2">
      <c r="A2006">
        <f t="shared" si="62"/>
        <v>2918360</v>
      </c>
      <c r="B2006">
        <v>2019</v>
      </c>
      <c r="C2006" t="s">
        <v>739</v>
      </c>
      <c r="D2006" t="s">
        <v>740</v>
      </c>
      <c r="E2006" t="s">
        <v>743</v>
      </c>
      <c r="F2006" s="34">
        <v>333</v>
      </c>
      <c r="G2006" s="34" t="s">
        <v>251</v>
      </c>
      <c r="H2006" s="36">
        <v>41363</v>
      </c>
      <c r="I2006" s="58">
        <v>228791</v>
      </c>
      <c r="J2006">
        <f>IFERROR(VLOOKUP(G2006,'LEAID Match'!$A$2:$B$526,2,FALSE),"")</f>
        <v>2918360</v>
      </c>
      <c r="K2006" s="68">
        <f t="shared" si="63"/>
        <v>8</v>
      </c>
    </row>
    <row r="2007" spans="1:11" x14ac:dyDescent="0.2">
      <c r="A2007">
        <f t="shared" si="62"/>
        <v>2918360</v>
      </c>
      <c r="B2007">
        <v>2020</v>
      </c>
      <c r="C2007" t="s">
        <v>739</v>
      </c>
      <c r="D2007" t="s">
        <v>740</v>
      </c>
      <c r="E2007" t="s">
        <v>743</v>
      </c>
      <c r="F2007" s="34">
        <v>333</v>
      </c>
      <c r="G2007" s="34" t="s">
        <v>251</v>
      </c>
      <c r="H2007" s="36">
        <v>50058</v>
      </c>
      <c r="I2007" s="58">
        <v>219287</v>
      </c>
      <c r="J2007">
        <f>IFERROR(VLOOKUP(G2007,'LEAID Match'!$A$2:$B$526,2,FALSE),"")</f>
        <v>2918360</v>
      </c>
      <c r="K2007" s="68">
        <f t="shared" si="63"/>
        <v>8</v>
      </c>
    </row>
    <row r="2008" spans="1:11" x14ac:dyDescent="0.2">
      <c r="A2008">
        <f t="shared" si="62"/>
        <v>2918360</v>
      </c>
      <c r="B2008">
        <v>2021</v>
      </c>
      <c r="C2008" t="s">
        <v>739</v>
      </c>
      <c r="D2008" t="s">
        <v>740</v>
      </c>
      <c r="E2008" t="s">
        <v>743</v>
      </c>
      <c r="F2008" s="34">
        <v>333</v>
      </c>
      <c r="G2008" s="34" t="s">
        <v>251</v>
      </c>
      <c r="H2008" s="36">
        <v>50156</v>
      </c>
      <c r="I2008" s="58">
        <v>227073</v>
      </c>
      <c r="J2008">
        <f>IFERROR(VLOOKUP(G2008,'LEAID Match'!$A$2:$B$526,2,FALSE),"")</f>
        <v>2918360</v>
      </c>
      <c r="K2008" s="68">
        <f t="shared" si="63"/>
        <v>8</v>
      </c>
    </row>
    <row r="2009" spans="1:11" x14ac:dyDescent="0.2">
      <c r="A2009">
        <f t="shared" si="62"/>
        <v>2918360</v>
      </c>
      <c r="B2009">
        <v>2022</v>
      </c>
      <c r="C2009" t="s">
        <v>739</v>
      </c>
      <c r="D2009" t="s">
        <v>740</v>
      </c>
      <c r="E2009" t="s">
        <v>743</v>
      </c>
      <c r="F2009" s="34">
        <v>333</v>
      </c>
      <c r="G2009" s="34" t="s">
        <v>251</v>
      </c>
      <c r="H2009" s="36">
        <v>61051</v>
      </c>
      <c r="I2009" s="58">
        <v>206130</v>
      </c>
      <c r="J2009">
        <f>IFERROR(VLOOKUP(G2009,'LEAID Match'!$A$2:$B$526,2,FALSE),"")</f>
        <v>2918360</v>
      </c>
      <c r="K2009" s="68">
        <f t="shared" si="63"/>
        <v>8</v>
      </c>
    </row>
    <row r="2010" spans="1:11" x14ac:dyDescent="0.2">
      <c r="A2010">
        <f t="shared" si="62"/>
        <v>2911280</v>
      </c>
      <c r="B2010">
        <v>2015</v>
      </c>
      <c r="C2010" t="s">
        <v>739</v>
      </c>
      <c r="D2010" t="s">
        <v>740</v>
      </c>
      <c r="E2010" t="s">
        <v>743</v>
      </c>
      <c r="F2010" s="37">
        <v>335</v>
      </c>
      <c r="G2010" s="34" t="s">
        <v>558</v>
      </c>
      <c r="H2010" s="40">
        <v>58915</v>
      </c>
      <c r="I2010" s="58">
        <v>325385</v>
      </c>
      <c r="J2010">
        <f>IFERROR(VLOOKUP(G2010,'LEAID Match'!$A$2:$B$526,2,FALSE),"")</f>
        <v>2911280</v>
      </c>
      <c r="K2010" s="68">
        <f t="shared" si="63"/>
        <v>8</v>
      </c>
    </row>
    <row r="2011" spans="1:11" x14ac:dyDescent="0.2">
      <c r="A2011">
        <f t="shared" si="62"/>
        <v>2911280</v>
      </c>
      <c r="B2011">
        <v>2016</v>
      </c>
      <c r="C2011" t="s">
        <v>739</v>
      </c>
      <c r="D2011" t="s">
        <v>740</v>
      </c>
      <c r="E2011" t="s">
        <v>743</v>
      </c>
      <c r="F2011" s="34">
        <v>335</v>
      </c>
      <c r="G2011" s="34" t="s">
        <v>558</v>
      </c>
      <c r="H2011" s="36">
        <v>64797</v>
      </c>
      <c r="I2011" s="60">
        <v>311252</v>
      </c>
      <c r="J2011">
        <f>IFERROR(VLOOKUP(G2011,'LEAID Match'!$A$2:$B$526,2,FALSE),"")</f>
        <v>2911280</v>
      </c>
      <c r="K2011" s="68">
        <f t="shared" si="63"/>
        <v>8</v>
      </c>
    </row>
    <row r="2012" spans="1:11" x14ac:dyDescent="0.2">
      <c r="A2012">
        <f t="shared" si="62"/>
        <v>2911280</v>
      </c>
      <c r="B2012">
        <v>2017</v>
      </c>
      <c r="C2012" t="s">
        <v>739</v>
      </c>
      <c r="D2012" t="s">
        <v>740</v>
      </c>
      <c r="E2012" t="s">
        <v>743</v>
      </c>
      <c r="F2012" s="34">
        <v>335</v>
      </c>
      <c r="G2012" s="34" t="s">
        <v>558</v>
      </c>
      <c r="H2012" s="36">
        <v>66596</v>
      </c>
      <c r="I2012" s="58">
        <v>323353</v>
      </c>
      <c r="J2012">
        <f>IFERROR(VLOOKUP(G2012,'LEAID Match'!$A$2:$B$526,2,FALSE),"")</f>
        <v>2911280</v>
      </c>
      <c r="K2012" s="68">
        <f t="shared" si="63"/>
        <v>8</v>
      </c>
    </row>
    <row r="2013" spans="1:11" x14ac:dyDescent="0.2">
      <c r="A2013">
        <f t="shared" si="62"/>
        <v>2911280</v>
      </c>
      <c r="B2013">
        <v>2018</v>
      </c>
      <c r="C2013" t="s">
        <v>739</v>
      </c>
      <c r="D2013" t="s">
        <v>740</v>
      </c>
      <c r="E2013" t="s">
        <v>743</v>
      </c>
      <c r="F2013" s="34">
        <v>335</v>
      </c>
      <c r="G2013" s="34" t="s">
        <v>558</v>
      </c>
      <c r="H2013" s="36">
        <v>66458</v>
      </c>
      <c r="I2013" s="58">
        <v>334360</v>
      </c>
      <c r="J2013">
        <f>IFERROR(VLOOKUP(G2013,'LEAID Match'!$A$2:$B$526,2,FALSE),"")</f>
        <v>2911280</v>
      </c>
      <c r="K2013" s="68">
        <f t="shared" si="63"/>
        <v>8</v>
      </c>
    </row>
    <row r="2014" spans="1:11" x14ac:dyDescent="0.2">
      <c r="A2014">
        <f t="shared" si="62"/>
        <v>2911280</v>
      </c>
      <c r="B2014">
        <v>2019</v>
      </c>
      <c r="C2014" t="s">
        <v>739</v>
      </c>
      <c r="D2014" t="s">
        <v>740</v>
      </c>
      <c r="E2014" t="s">
        <v>743</v>
      </c>
      <c r="F2014" s="34">
        <v>335</v>
      </c>
      <c r="G2014" s="34" t="s">
        <v>558</v>
      </c>
      <c r="H2014" s="36">
        <v>73355</v>
      </c>
      <c r="I2014" s="58">
        <v>340987</v>
      </c>
      <c r="J2014">
        <f>IFERROR(VLOOKUP(G2014,'LEAID Match'!$A$2:$B$526,2,FALSE),"")</f>
        <v>2911280</v>
      </c>
      <c r="K2014" s="68">
        <f t="shared" si="63"/>
        <v>8</v>
      </c>
    </row>
    <row r="2015" spans="1:11" x14ac:dyDescent="0.2">
      <c r="A2015">
        <f t="shared" si="62"/>
        <v>2911280</v>
      </c>
      <c r="B2015">
        <v>2020</v>
      </c>
      <c r="C2015" t="s">
        <v>739</v>
      </c>
      <c r="D2015" t="s">
        <v>740</v>
      </c>
      <c r="E2015" t="s">
        <v>743</v>
      </c>
      <c r="F2015" s="34">
        <v>335</v>
      </c>
      <c r="G2015" s="34" t="s">
        <v>558</v>
      </c>
      <c r="H2015" s="36">
        <v>77375</v>
      </c>
      <c r="I2015" s="58">
        <v>342485</v>
      </c>
      <c r="J2015">
        <f>IFERROR(VLOOKUP(G2015,'LEAID Match'!$A$2:$B$526,2,FALSE),"")</f>
        <v>2911280</v>
      </c>
      <c r="K2015" s="68">
        <f t="shared" si="63"/>
        <v>8</v>
      </c>
    </row>
    <row r="2016" spans="1:11" x14ac:dyDescent="0.2">
      <c r="A2016">
        <f t="shared" si="62"/>
        <v>2911280</v>
      </c>
      <c r="B2016">
        <v>2021</v>
      </c>
      <c r="C2016" t="s">
        <v>739</v>
      </c>
      <c r="D2016" t="s">
        <v>740</v>
      </c>
      <c r="E2016" t="s">
        <v>743</v>
      </c>
      <c r="F2016" s="34">
        <v>335</v>
      </c>
      <c r="G2016" s="34" t="s">
        <v>558</v>
      </c>
      <c r="H2016" s="36">
        <v>77697</v>
      </c>
      <c r="I2016" s="58">
        <v>370267</v>
      </c>
      <c r="J2016">
        <f>IFERROR(VLOOKUP(G2016,'LEAID Match'!$A$2:$B$526,2,FALSE),"")</f>
        <v>2911280</v>
      </c>
      <c r="K2016" s="68">
        <f t="shared" si="63"/>
        <v>8</v>
      </c>
    </row>
    <row r="2017" spans="1:11" x14ac:dyDescent="0.2">
      <c r="A2017">
        <f t="shared" si="62"/>
        <v>2911280</v>
      </c>
      <c r="B2017">
        <v>2022</v>
      </c>
      <c r="C2017" t="s">
        <v>739</v>
      </c>
      <c r="D2017" t="s">
        <v>740</v>
      </c>
      <c r="E2017" t="s">
        <v>743</v>
      </c>
      <c r="F2017" s="34">
        <v>335</v>
      </c>
      <c r="G2017" s="34" t="s">
        <v>558</v>
      </c>
      <c r="H2017" s="36">
        <v>85979</v>
      </c>
      <c r="I2017" s="58">
        <v>429347</v>
      </c>
      <c r="J2017">
        <f>IFERROR(VLOOKUP(G2017,'LEAID Match'!$A$2:$B$526,2,FALSE),"")</f>
        <v>2911280</v>
      </c>
      <c r="K2017" s="68">
        <f t="shared" si="63"/>
        <v>8</v>
      </c>
    </row>
    <row r="2018" spans="1:11" x14ac:dyDescent="0.2">
      <c r="A2018">
        <f t="shared" si="62"/>
        <v>2910110</v>
      </c>
      <c r="B2018">
        <v>2015</v>
      </c>
      <c r="C2018" t="s">
        <v>739</v>
      </c>
      <c r="D2018" t="s">
        <v>740</v>
      </c>
      <c r="E2018" t="s">
        <v>743</v>
      </c>
      <c r="F2018" s="37">
        <v>336</v>
      </c>
      <c r="G2018" s="34" t="s">
        <v>559</v>
      </c>
      <c r="H2018" s="40">
        <v>76944</v>
      </c>
      <c r="I2018" s="58">
        <v>487350</v>
      </c>
      <c r="J2018">
        <f>IFERROR(VLOOKUP(G2018,'LEAID Match'!$A$2:$B$526,2,FALSE),"")</f>
        <v>2910110</v>
      </c>
      <c r="K2018" s="68">
        <f t="shared" si="63"/>
        <v>8</v>
      </c>
    </row>
    <row r="2019" spans="1:11" x14ac:dyDescent="0.2">
      <c r="A2019">
        <f t="shared" si="62"/>
        <v>2910110</v>
      </c>
      <c r="B2019">
        <v>2016</v>
      </c>
      <c r="C2019" t="s">
        <v>739</v>
      </c>
      <c r="D2019" t="s">
        <v>740</v>
      </c>
      <c r="E2019" t="s">
        <v>743</v>
      </c>
      <c r="F2019" s="34">
        <v>336</v>
      </c>
      <c r="G2019" s="34" t="s">
        <v>559</v>
      </c>
      <c r="H2019" s="36">
        <v>68085</v>
      </c>
      <c r="I2019" s="60">
        <v>499906</v>
      </c>
      <c r="J2019">
        <f>IFERROR(VLOOKUP(G2019,'LEAID Match'!$A$2:$B$526,2,FALSE),"")</f>
        <v>2910110</v>
      </c>
      <c r="K2019" s="68">
        <f t="shared" si="63"/>
        <v>8</v>
      </c>
    </row>
    <row r="2020" spans="1:11" x14ac:dyDescent="0.2">
      <c r="A2020">
        <f t="shared" si="62"/>
        <v>2910110</v>
      </c>
      <c r="B2020">
        <v>2017</v>
      </c>
      <c r="C2020" t="s">
        <v>739</v>
      </c>
      <c r="D2020" t="s">
        <v>740</v>
      </c>
      <c r="E2020" t="s">
        <v>743</v>
      </c>
      <c r="F2020" s="34">
        <v>336</v>
      </c>
      <c r="G2020" s="34" t="s">
        <v>559</v>
      </c>
      <c r="H2020" s="36">
        <v>65131</v>
      </c>
      <c r="I2020" s="58">
        <v>495130</v>
      </c>
      <c r="J2020">
        <f>IFERROR(VLOOKUP(G2020,'LEAID Match'!$A$2:$B$526,2,FALSE),"")</f>
        <v>2910110</v>
      </c>
      <c r="K2020" s="68">
        <f t="shared" si="63"/>
        <v>8</v>
      </c>
    </row>
    <row r="2021" spans="1:11" x14ac:dyDescent="0.2">
      <c r="A2021">
        <f t="shared" si="62"/>
        <v>2910110</v>
      </c>
      <c r="B2021">
        <v>2018</v>
      </c>
      <c r="C2021" t="s">
        <v>739</v>
      </c>
      <c r="D2021" t="s">
        <v>740</v>
      </c>
      <c r="E2021" t="s">
        <v>743</v>
      </c>
      <c r="F2021" s="34">
        <v>336</v>
      </c>
      <c r="G2021" s="34" t="s">
        <v>559</v>
      </c>
      <c r="H2021" s="36">
        <v>66170</v>
      </c>
      <c r="I2021" s="58">
        <v>500719</v>
      </c>
      <c r="J2021">
        <f>IFERROR(VLOOKUP(G2021,'LEAID Match'!$A$2:$B$526,2,FALSE),"")</f>
        <v>2910110</v>
      </c>
      <c r="K2021" s="68">
        <f t="shared" si="63"/>
        <v>8</v>
      </c>
    </row>
    <row r="2022" spans="1:11" x14ac:dyDescent="0.2">
      <c r="A2022">
        <f t="shared" si="62"/>
        <v>2910110</v>
      </c>
      <c r="B2022">
        <v>2019</v>
      </c>
      <c r="C2022" t="s">
        <v>739</v>
      </c>
      <c r="D2022" t="s">
        <v>740</v>
      </c>
      <c r="E2022" t="s">
        <v>743</v>
      </c>
      <c r="F2022" s="34">
        <v>336</v>
      </c>
      <c r="G2022" s="34" t="s">
        <v>559</v>
      </c>
      <c r="H2022" s="36">
        <v>72467</v>
      </c>
      <c r="I2022" s="58">
        <v>505316</v>
      </c>
      <c r="J2022">
        <f>IFERROR(VLOOKUP(G2022,'LEAID Match'!$A$2:$B$526,2,FALSE),"")</f>
        <v>2910110</v>
      </c>
      <c r="K2022" s="68">
        <f t="shared" si="63"/>
        <v>8</v>
      </c>
    </row>
    <row r="2023" spans="1:11" x14ac:dyDescent="0.2">
      <c r="A2023">
        <f t="shared" si="62"/>
        <v>2910110</v>
      </c>
      <c r="B2023">
        <v>2020</v>
      </c>
      <c r="C2023" t="s">
        <v>739</v>
      </c>
      <c r="D2023" t="s">
        <v>740</v>
      </c>
      <c r="E2023" t="s">
        <v>743</v>
      </c>
      <c r="F2023" s="34">
        <v>336</v>
      </c>
      <c r="G2023" s="34" t="s">
        <v>559</v>
      </c>
      <c r="H2023" s="36">
        <v>75578</v>
      </c>
      <c r="I2023" s="58">
        <v>486760</v>
      </c>
      <c r="J2023">
        <f>IFERROR(VLOOKUP(G2023,'LEAID Match'!$A$2:$B$526,2,FALSE),"")</f>
        <v>2910110</v>
      </c>
      <c r="K2023" s="68">
        <f t="shared" si="63"/>
        <v>8</v>
      </c>
    </row>
    <row r="2024" spans="1:11" x14ac:dyDescent="0.2">
      <c r="A2024">
        <f t="shared" si="62"/>
        <v>2910110</v>
      </c>
      <c r="B2024">
        <v>2021</v>
      </c>
      <c r="C2024" t="s">
        <v>739</v>
      </c>
      <c r="D2024" t="s">
        <v>740</v>
      </c>
      <c r="E2024" t="s">
        <v>743</v>
      </c>
      <c r="F2024" s="34">
        <v>336</v>
      </c>
      <c r="G2024" s="34" t="s">
        <v>559</v>
      </c>
      <c r="H2024" s="36">
        <v>70231</v>
      </c>
      <c r="I2024" s="58">
        <v>490284</v>
      </c>
      <c r="J2024">
        <f>IFERROR(VLOOKUP(G2024,'LEAID Match'!$A$2:$B$526,2,FALSE),"")</f>
        <v>2910110</v>
      </c>
      <c r="K2024" s="68">
        <f t="shared" si="63"/>
        <v>8</v>
      </c>
    </row>
    <row r="2025" spans="1:11" x14ac:dyDescent="0.2">
      <c r="A2025">
        <f t="shared" si="62"/>
        <v>2910110</v>
      </c>
      <c r="B2025">
        <v>2022</v>
      </c>
      <c r="C2025" t="s">
        <v>739</v>
      </c>
      <c r="D2025" t="s">
        <v>740</v>
      </c>
      <c r="E2025" t="s">
        <v>743</v>
      </c>
      <c r="F2025" s="34">
        <v>336</v>
      </c>
      <c r="G2025" s="34" t="s">
        <v>559</v>
      </c>
      <c r="H2025" s="36">
        <v>86278</v>
      </c>
      <c r="I2025" s="58">
        <v>503851</v>
      </c>
      <c r="J2025">
        <f>IFERROR(VLOOKUP(G2025,'LEAID Match'!$A$2:$B$526,2,FALSE),"")</f>
        <v>2910110</v>
      </c>
      <c r="K2025" s="68">
        <f t="shared" si="63"/>
        <v>8</v>
      </c>
    </row>
    <row r="2026" spans="1:11" x14ac:dyDescent="0.2">
      <c r="A2026">
        <f t="shared" si="62"/>
        <v>2918270</v>
      </c>
      <c r="B2026">
        <v>2015</v>
      </c>
      <c r="C2026" t="s">
        <v>739</v>
      </c>
      <c r="D2026" t="s">
        <v>740</v>
      </c>
      <c r="E2026" t="s">
        <v>743</v>
      </c>
      <c r="F2026" s="37">
        <v>337</v>
      </c>
      <c r="G2026" s="39" t="s">
        <v>254</v>
      </c>
      <c r="H2026" s="40">
        <v>479870</v>
      </c>
      <c r="I2026" s="58">
        <v>2726128</v>
      </c>
      <c r="J2026">
        <f>IFERROR(VLOOKUP(G2026,'LEAID Match'!$A$2:$B$526,2,FALSE),"")</f>
        <v>2918270</v>
      </c>
      <c r="K2026" s="68">
        <f t="shared" si="63"/>
        <v>8</v>
      </c>
    </row>
    <row r="2027" spans="1:11" x14ac:dyDescent="0.2">
      <c r="A2027">
        <f t="shared" si="62"/>
        <v>2918270</v>
      </c>
      <c r="B2027">
        <v>2016</v>
      </c>
      <c r="C2027" t="s">
        <v>739</v>
      </c>
      <c r="D2027" t="s">
        <v>740</v>
      </c>
      <c r="E2027" t="s">
        <v>743</v>
      </c>
      <c r="F2027" s="34">
        <v>337</v>
      </c>
      <c r="G2027" s="34" t="s">
        <v>254</v>
      </c>
      <c r="H2027" s="36">
        <v>493243</v>
      </c>
      <c r="I2027" s="60">
        <v>2771557</v>
      </c>
      <c r="J2027">
        <f>IFERROR(VLOOKUP(G2027,'LEAID Match'!$A$2:$B$526,2,FALSE),"")</f>
        <v>2918270</v>
      </c>
      <c r="K2027" s="68">
        <f t="shared" si="63"/>
        <v>8</v>
      </c>
    </row>
    <row r="2028" spans="1:11" x14ac:dyDescent="0.2">
      <c r="A2028">
        <f t="shared" si="62"/>
        <v>2918270</v>
      </c>
      <c r="B2028">
        <v>2017</v>
      </c>
      <c r="C2028" t="s">
        <v>739</v>
      </c>
      <c r="D2028" t="s">
        <v>740</v>
      </c>
      <c r="E2028" t="s">
        <v>743</v>
      </c>
      <c r="F2028" s="34">
        <v>337</v>
      </c>
      <c r="G2028" s="34" t="s">
        <v>254</v>
      </c>
      <c r="H2028" s="36">
        <v>529279</v>
      </c>
      <c r="I2028" s="58">
        <v>2849717</v>
      </c>
      <c r="J2028">
        <f>IFERROR(VLOOKUP(G2028,'LEAID Match'!$A$2:$B$526,2,FALSE),"")</f>
        <v>2918270</v>
      </c>
      <c r="K2028" s="68">
        <f t="shared" si="63"/>
        <v>8</v>
      </c>
    </row>
    <row r="2029" spans="1:11" x14ac:dyDescent="0.2">
      <c r="A2029">
        <f t="shared" si="62"/>
        <v>2918270</v>
      </c>
      <c r="B2029">
        <v>2018</v>
      </c>
      <c r="C2029" t="s">
        <v>739</v>
      </c>
      <c r="D2029" t="s">
        <v>740</v>
      </c>
      <c r="E2029" t="s">
        <v>743</v>
      </c>
      <c r="F2029" s="34">
        <v>337</v>
      </c>
      <c r="G2029" s="34" t="s">
        <v>254</v>
      </c>
      <c r="H2029" s="36">
        <v>551640</v>
      </c>
      <c r="I2029" s="58">
        <v>2851189</v>
      </c>
      <c r="J2029">
        <f>IFERROR(VLOOKUP(G2029,'LEAID Match'!$A$2:$B$526,2,FALSE),"")</f>
        <v>2918270</v>
      </c>
      <c r="K2029" s="68">
        <f t="shared" si="63"/>
        <v>8</v>
      </c>
    </row>
    <row r="2030" spans="1:11" x14ac:dyDescent="0.2">
      <c r="A2030">
        <f t="shared" si="62"/>
        <v>2918270</v>
      </c>
      <c r="B2030">
        <v>2019</v>
      </c>
      <c r="C2030" t="s">
        <v>739</v>
      </c>
      <c r="D2030" t="s">
        <v>740</v>
      </c>
      <c r="E2030" t="s">
        <v>743</v>
      </c>
      <c r="F2030" s="34">
        <v>337</v>
      </c>
      <c r="G2030" s="34" t="s">
        <v>254</v>
      </c>
      <c r="H2030" s="36">
        <v>581603</v>
      </c>
      <c r="I2030" s="58">
        <v>2892984</v>
      </c>
      <c r="J2030">
        <f>IFERROR(VLOOKUP(G2030,'LEAID Match'!$A$2:$B$526,2,FALSE),"")</f>
        <v>2918270</v>
      </c>
      <c r="K2030" s="68">
        <f t="shared" si="63"/>
        <v>8</v>
      </c>
    </row>
    <row r="2031" spans="1:11" x14ac:dyDescent="0.2">
      <c r="A2031">
        <f t="shared" si="62"/>
        <v>2918270</v>
      </c>
      <c r="B2031">
        <v>2020</v>
      </c>
      <c r="C2031" t="s">
        <v>739</v>
      </c>
      <c r="D2031" t="s">
        <v>740</v>
      </c>
      <c r="E2031" t="s">
        <v>743</v>
      </c>
      <c r="F2031" s="34">
        <v>337</v>
      </c>
      <c r="G2031" s="34" t="s">
        <v>254</v>
      </c>
      <c r="H2031" s="36">
        <v>628345</v>
      </c>
      <c r="I2031" s="58">
        <v>3004531</v>
      </c>
      <c r="J2031">
        <f>IFERROR(VLOOKUP(G2031,'LEAID Match'!$A$2:$B$526,2,FALSE),"")</f>
        <v>2918270</v>
      </c>
      <c r="K2031" s="68">
        <f t="shared" si="63"/>
        <v>8</v>
      </c>
    </row>
    <row r="2032" spans="1:11" x14ac:dyDescent="0.2">
      <c r="A2032">
        <f t="shared" si="62"/>
        <v>2918270</v>
      </c>
      <c r="B2032">
        <v>2021</v>
      </c>
      <c r="C2032" t="s">
        <v>739</v>
      </c>
      <c r="D2032" t="s">
        <v>740</v>
      </c>
      <c r="E2032" t="s">
        <v>743</v>
      </c>
      <c r="F2032" s="34">
        <v>337</v>
      </c>
      <c r="G2032" s="34" t="s">
        <v>254</v>
      </c>
      <c r="H2032" s="36">
        <v>645172</v>
      </c>
      <c r="I2032" s="58">
        <v>3067584</v>
      </c>
      <c r="J2032">
        <f>IFERROR(VLOOKUP(G2032,'LEAID Match'!$A$2:$B$526,2,FALSE),"")</f>
        <v>2918270</v>
      </c>
      <c r="K2032" s="68">
        <f t="shared" si="63"/>
        <v>8</v>
      </c>
    </row>
    <row r="2033" spans="1:11" x14ac:dyDescent="0.2">
      <c r="A2033">
        <f t="shared" si="62"/>
        <v>2918270</v>
      </c>
      <c r="B2033">
        <v>2022</v>
      </c>
      <c r="C2033" t="s">
        <v>739</v>
      </c>
      <c r="D2033" t="s">
        <v>740</v>
      </c>
      <c r="E2033" t="s">
        <v>743</v>
      </c>
      <c r="F2033" s="34">
        <v>337</v>
      </c>
      <c r="G2033" s="34" t="s">
        <v>254</v>
      </c>
      <c r="H2033" s="36">
        <v>708723</v>
      </c>
      <c r="I2033" s="58">
        <v>3195097</v>
      </c>
      <c r="J2033">
        <f>IFERROR(VLOOKUP(G2033,'LEAID Match'!$A$2:$B$526,2,FALSE),"")</f>
        <v>2918270</v>
      </c>
      <c r="K2033" s="68">
        <f t="shared" si="63"/>
        <v>8</v>
      </c>
    </row>
    <row r="2034" spans="1:11" x14ac:dyDescent="0.2">
      <c r="A2034">
        <f t="shared" si="62"/>
        <v>2912720</v>
      </c>
      <c r="B2034">
        <v>2015</v>
      </c>
      <c r="C2034" t="s">
        <v>739</v>
      </c>
      <c r="D2034" t="s">
        <v>740</v>
      </c>
      <c r="E2034" t="s">
        <v>743</v>
      </c>
      <c r="F2034" s="37">
        <v>339</v>
      </c>
      <c r="G2034" s="39" t="s">
        <v>255</v>
      </c>
      <c r="H2034" s="40">
        <v>10306</v>
      </c>
      <c r="I2034" s="58">
        <v>59920</v>
      </c>
      <c r="J2034">
        <f>IFERROR(VLOOKUP(G2034,'LEAID Match'!$A$2:$B$526,2,FALSE),"")</f>
        <v>2912720</v>
      </c>
      <c r="K2034" s="68">
        <f t="shared" si="63"/>
        <v>8</v>
      </c>
    </row>
    <row r="2035" spans="1:11" x14ac:dyDescent="0.2">
      <c r="A2035">
        <f t="shared" si="62"/>
        <v>2912720</v>
      </c>
      <c r="B2035">
        <v>2016</v>
      </c>
      <c r="C2035" t="s">
        <v>739</v>
      </c>
      <c r="D2035" t="s">
        <v>740</v>
      </c>
      <c r="E2035" t="s">
        <v>743</v>
      </c>
      <c r="F2035" s="34">
        <v>339</v>
      </c>
      <c r="G2035" s="34" t="s">
        <v>255</v>
      </c>
      <c r="H2035" s="36">
        <v>10476</v>
      </c>
      <c r="I2035" s="60">
        <v>53162</v>
      </c>
      <c r="J2035">
        <f>IFERROR(VLOOKUP(G2035,'LEAID Match'!$A$2:$B$526,2,FALSE),"")</f>
        <v>2912720</v>
      </c>
      <c r="K2035" s="68">
        <f t="shared" si="63"/>
        <v>8</v>
      </c>
    </row>
    <row r="2036" spans="1:11" x14ac:dyDescent="0.2">
      <c r="A2036">
        <f t="shared" si="62"/>
        <v>2912720</v>
      </c>
      <c r="B2036">
        <v>2017</v>
      </c>
      <c r="C2036" t="s">
        <v>739</v>
      </c>
      <c r="D2036" t="s">
        <v>740</v>
      </c>
      <c r="E2036" t="s">
        <v>743</v>
      </c>
      <c r="F2036" s="34">
        <v>339</v>
      </c>
      <c r="G2036" s="34" t="s">
        <v>255</v>
      </c>
      <c r="H2036" s="36">
        <v>10994</v>
      </c>
      <c r="I2036" s="58">
        <v>49702</v>
      </c>
      <c r="J2036">
        <f>IFERROR(VLOOKUP(G2036,'LEAID Match'!$A$2:$B$526,2,FALSE),"")</f>
        <v>2912720</v>
      </c>
      <c r="K2036" s="68">
        <f t="shared" si="63"/>
        <v>8</v>
      </c>
    </row>
    <row r="2037" spans="1:11" x14ac:dyDescent="0.2">
      <c r="A2037">
        <f t="shared" si="62"/>
        <v>2912720</v>
      </c>
      <c r="B2037">
        <v>2018</v>
      </c>
      <c r="C2037" t="s">
        <v>739</v>
      </c>
      <c r="D2037" t="s">
        <v>740</v>
      </c>
      <c r="E2037" t="s">
        <v>743</v>
      </c>
      <c r="F2037" s="34">
        <v>339</v>
      </c>
      <c r="G2037" s="34" t="s">
        <v>255</v>
      </c>
      <c r="H2037" s="36">
        <v>10927</v>
      </c>
      <c r="I2037" s="58">
        <v>51745</v>
      </c>
      <c r="J2037">
        <f>IFERROR(VLOOKUP(G2037,'LEAID Match'!$A$2:$B$526,2,FALSE),"")</f>
        <v>2912720</v>
      </c>
      <c r="K2037" s="68">
        <f t="shared" si="63"/>
        <v>8</v>
      </c>
    </row>
    <row r="2038" spans="1:11" x14ac:dyDescent="0.2">
      <c r="A2038">
        <f t="shared" si="62"/>
        <v>2912720</v>
      </c>
      <c r="B2038">
        <v>2019</v>
      </c>
      <c r="C2038" t="s">
        <v>739</v>
      </c>
      <c r="D2038" t="s">
        <v>740</v>
      </c>
      <c r="E2038" t="s">
        <v>743</v>
      </c>
      <c r="F2038" s="34">
        <v>339</v>
      </c>
      <c r="G2038" s="34" t="s">
        <v>255</v>
      </c>
      <c r="H2038" s="36">
        <v>11404</v>
      </c>
      <c r="I2038" s="58">
        <v>48636</v>
      </c>
      <c r="J2038">
        <f>IFERROR(VLOOKUP(G2038,'LEAID Match'!$A$2:$B$526,2,FALSE),"")</f>
        <v>2912720</v>
      </c>
      <c r="K2038" s="68">
        <f t="shared" si="63"/>
        <v>8</v>
      </c>
    </row>
    <row r="2039" spans="1:11" x14ac:dyDescent="0.2">
      <c r="A2039">
        <f t="shared" si="62"/>
        <v>2912720</v>
      </c>
      <c r="B2039">
        <v>2020</v>
      </c>
      <c r="C2039" t="s">
        <v>739</v>
      </c>
      <c r="D2039" t="s">
        <v>740</v>
      </c>
      <c r="E2039" t="s">
        <v>743</v>
      </c>
      <c r="F2039" s="34">
        <v>339</v>
      </c>
      <c r="G2039" s="34" t="s">
        <v>255</v>
      </c>
      <c r="H2039" s="36">
        <v>12105</v>
      </c>
      <c r="I2039" s="58">
        <v>50765</v>
      </c>
      <c r="J2039">
        <f>IFERROR(VLOOKUP(G2039,'LEAID Match'!$A$2:$B$526,2,FALSE),"")</f>
        <v>2912720</v>
      </c>
      <c r="K2039" s="68">
        <f t="shared" si="63"/>
        <v>8</v>
      </c>
    </row>
    <row r="2040" spans="1:11" x14ac:dyDescent="0.2">
      <c r="A2040">
        <f t="shared" si="62"/>
        <v>2912720</v>
      </c>
      <c r="B2040">
        <v>2021</v>
      </c>
      <c r="C2040" t="s">
        <v>739</v>
      </c>
      <c r="D2040" t="s">
        <v>740</v>
      </c>
      <c r="E2040" t="s">
        <v>743</v>
      </c>
      <c r="F2040" s="34">
        <v>339</v>
      </c>
      <c r="G2040" s="34" t="s">
        <v>255</v>
      </c>
      <c r="H2040" s="36">
        <v>12582</v>
      </c>
      <c r="I2040" s="58">
        <v>52268</v>
      </c>
      <c r="J2040">
        <f>IFERROR(VLOOKUP(G2040,'LEAID Match'!$A$2:$B$526,2,FALSE),"")</f>
        <v>2912720</v>
      </c>
      <c r="K2040" s="68">
        <f t="shared" si="63"/>
        <v>8</v>
      </c>
    </row>
    <row r="2041" spans="1:11" x14ac:dyDescent="0.2">
      <c r="A2041">
        <f t="shared" si="62"/>
        <v>2912720</v>
      </c>
      <c r="B2041">
        <v>2022</v>
      </c>
      <c r="C2041" t="s">
        <v>739</v>
      </c>
      <c r="D2041" t="s">
        <v>740</v>
      </c>
      <c r="E2041" t="s">
        <v>743</v>
      </c>
      <c r="F2041" s="34">
        <v>339</v>
      </c>
      <c r="G2041" s="34" t="s">
        <v>255</v>
      </c>
      <c r="H2041" s="36">
        <v>12702</v>
      </c>
      <c r="I2041" s="58">
        <v>60840</v>
      </c>
      <c r="J2041">
        <f>IFERROR(VLOOKUP(G2041,'LEAID Match'!$A$2:$B$526,2,FALSE),"")</f>
        <v>2912720</v>
      </c>
      <c r="K2041" s="68">
        <f t="shared" si="63"/>
        <v>8</v>
      </c>
    </row>
    <row r="2042" spans="1:11" x14ac:dyDescent="0.2">
      <c r="A2042">
        <f t="shared" si="62"/>
        <v>2917000</v>
      </c>
      <c r="B2042">
        <v>2015</v>
      </c>
      <c r="C2042" t="s">
        <v>739</v>
      </c>
      <c r="D2042" t="s">
        <v>740</v>
      </c>
      <c r="E2042" t="s">
        <v>743</v>
      </c>
      <c r="F2042" s="37">
        <v>340</v>
      </c>
      <c r="G2042" s="39" t="s">
        <v>256</v>
      </c>
      <c r="H2042" s="40">
        <v>44886</v>
      </c>
      <c r="I2042" s="58">
        <v>257989</v>
      </c>
      <c r="J2042">
        <f>IFERROR(VLOOKUP(G2042,'LEAID Match'!$A$2:$B$526,2,FALSE),"")</f>
        <v>2917000</v>
      </c>
      <c r="K2042" s="68">
        <f t="shared" si="63"/>
        <v>8</v>
      </c>
    </row>
    <row r="2043" spans="1:11" x14ac:dyDescent="0.2">
      <c r="A2043">
        <f t="shared" si="62"/>
        <v>2917000</v>
      </c>
      <c r="B2043">
        <v>2016</v>
      </c>
      <c r="C2043" t="s">
        <v>739</v>
      </c>
      <c r="D2043" t="s">
        <v>740</v>
      </c>
      <c r="E2043" t="s">
        <v>743</v>
      </c>
      <c r="F2043" s="34">
        <v>340</v>
      </c>
      <c r="G2043" s="34" t="s">
        <v>256</v>
      </c>
      <c r="H2043" s="36">
        <v>45594</v>
      </c>
      <c r="I2043" s="60">
        <v>275498</v>
      </c>
      <c r="J2043">
        <f>IFERROR(VLOOKUP(G2043,'LEAID Match'!$A$2:$B$526,2,FALSE),"")</f>
        <v>2917000</v>
      </c>
      <c r="K2043" s="68">
        <f t="shared" si="63"/>
        <v>8</v>
      </c>
    </row>
    <row r="2044" spans="1:11" x14ac:dyDescent="0.2">
      <c r="A2044">
        <f t="shared" si="62"/>
        <v>2917000</v>
      </c>
      <c r="B2044">
        <v>2017</v>
      </c>
      <c r="C2044" t="s">
        <v>739</v>
      </c>
      <c r="D2044" t="s">
        <v>740</v>
      </c>
      <c r="E2044" t="s">
        <v>743</v>
      </c>
      <c r="F2044" s="34">
        <v>340</v>
      </c>
      <c r="G2044" s="34" t="s">
        <v>256</v>
      </c>
      <c r="H2044" s="36">
        <v>50229</v>
      </c>
      <c r="I2044" s="58">
        <v>286911</v>
      </c>
      <c r="J2044">
        <f>IFERROR(VLOOKUP(G2044,'LEAID Match'!$A$2:$B$526,2,FALSE),"")</f>
        <v>2917000</v>
      </c>
      <c r="K2044" s="68">
        <f t="shared" si="63"/>
        <v>8</v>
      </c>
    </row>
    <row r="2045" spans="1:11" x14ac:dyDescent="0.2">
      <c r="A2045">
        <f t="shared" si="62"/>
        <v>2917000</v>
      </c>
      <c r="B2045">
        <v>2018</v>
      </c>
      <c r="C2045" t="s">
        <v>739</v>
      </c>
      <c r="D2045" t="s">
        <v>740</v>
      </c>
      <c r="E2045" t="s">
        <v>743</v>
      </c>
      <c r="F2045" s="34">
        <v>340</v>
      </c>
      <c r="G2045" s="34" t="s">
        <v>256</v>
      </c>
      <c r="H2045" s="36">
        <v>50309</v>
      </c>
      <c r="I2045" s="58">
        <v>284280</v>
      </c>
      <c r="J2045">
        <f>IFERROR(VLOOKUP(G2045,'LEAID Match'!$A$2:$B$526,2,FALSE),"")</f>
        <v>2917000</v>
      </c>
      <c r="K2045" s="68">
        <f t="shared" si="63"/>
        <v>8</v>
      </c>
    </row>
    <row r="2046" spans="1:11" x14ac:dyDescent="0.2">
      <c r="A2046">
        <f t="shared" si="62"/>
        <v>2917000</v>
      </c>
      <c r="B2046">
        <v>2019</v>
      </c>
      <c r="C2046" t="s">
        <v>739</v>
      </c>
      <c r="D2046" t="s">
        <v>740</v>
      </c>
      <c r="E2046" t="s">
        <v>743</v>
      </c>
      <c r="F2046" s="34">
        <v>340</v>
      </c>
      <c r="G2046" s="34" t="s">
        <v>256</v>
      </c>
      <c r="H2046" s="36">
        <v>53316</v>
      </c>
      <c r="I2046" s="58">
        <v>261238</v>
      </c>
      <c r="J2046">
        <f>IFERROR(VLOOKUP(G2046,'LEAID Match'!$A$2:$B$526,2,FALSE),"")</f>
        <v>2917000</v>
      </c>
      <c r="K2046" s="68">
        <f t="shared" si="63"/>
        <v>8</v>
      </c>
    </row>
    <row r="2047" spans="1:11" x14ac:dyDescent="0.2">
      <c r="A2047">
        <f t="shared" si="62"/>
        <v>2917000</v>
      </c>
      <c r="B2047">
        <v>2020</v>
      </c>
      <c r="C2047" t="s">
        <v>739</v>
      </c>
      <c r="D2047" t="s">
        <v>740</v>
      </c>
      <c r="E2047" t="s">
        <v>743</v>
      </c>
      <c r="F2047" s="34">
        <v>340</v>
      </c>
      <c r="G2047" s="34" t="s">
        <v>256</v>
      </c>
      <c r="H2047" s="36">
        <v>56001</v>
      </c>
      <c r="I2047" s="58">
        <v>251420</v>
      </c>
      <c r="J2047">
        <f>IFERROR(VLOOKUP(G2047,'LEAID Match'!$A$2:$B$526,2,FALSE),"")</f>
        <v>2917000</v>
      </c>
      <c r="K2047" s="68">
        <f t="shared" si="63"/>
        <v>8</v>
      </c>
    </row>
    <row r="2048" spans="1:11" x14ac:dyDescent="0.2">
      <c r="A2048">
        <f t="shared" si="62"/>
        <v>2917000</v>
      </c>
      <c r="B2048">
        <v>2021</v>
      </c>
      <c r="C2048" t="s">
        <v>739</v>
      </c>
      <c r="D2048" t="s">
        <v>740</v>
      </c>
      <c r="E2048" t="s">
        <v>743</v>
      </c>
      <c r="F2048" s="34">
        <v>340</v>
      </c>
      <c r="G2048" s="34" t="s">
        <v>256</v>
      </c>
      <c r="H2048" s="36">
        <v>54555</v>
      </c>
      <c r="I2048" s="58">
        <v>261847</v>
      </c>
      <c r="J2048">
        <f>IFERROR(VLOOKUP(G2048,'LEAID Match'!$A$2:$B$526,2,FALSE),"")</f>
        <v>2917000</v>
      </c>
      <c r="K2048" s="68">
        <f t="shared" si="63"/>
        <v>8</v>
      </c>
    </row>
    <row r="2049" spans="1:11" x14ac:dyDescent="0.2">
      <c r="A2049">
        <f t="shared" si="62"/>
        <v>2917000</v>
      </c>
      <c r="B2049">
        <v>2022</v>
      </c>
      <c r="C2049" t="s">
        <v>739</v>
      </c>
      <c r="D2049" t="s">
        <v>740</v>
      </c>
      <c r="E2049" t="s">
        <v>743</v>
      </c>
      <c r="F2049" s="34">
        <v>340</v>
      </c>
      <c r="G2049" s="34" t="s">
        <v>256</v>
      </c>
      <c r="H2049" s="36">
        <v>59090</v>
      </c>
      <c r="I2049" s="58">
        <v>268119</v>
      </c>
      <c r="J2049">
        <f>IFERROR(VLOOKUP(G2049,'LEAID Match'!$A$2:$B$526,2,FALSE),"")</f>
        <v>2917000</v>
      </c>
      <c r="K2049" s="68">
        <f t="shared" si="63"/>
        <v>8</v>
      </c>
    </row>
    <row r="2050" spans="1:11" x14ac:dyDescent="0.2">
      <c r="A2050">
        <f t="shared" si="62"/>
        <v>2910080</v>
      </c>
      <c r="B2050">
        <v>2015</v>
      </c>
      <c r="C2050" t="s">
        <v>739</v>
      </c>
      <c r="D2050" t="s">
        <v>740</v>
      </c>
      <c r="E2050" t="s">
        <v>743</v>
      </c>
      <c r="F2050" s="37">
        <v>351</v>
      </c>
      <c r="G2050" s="34" t="s">
        <v>560</v>
      </c>
      <c r="H2050" s="40">
        <v>32871</v>
      </c>
      <c r="I2050" s="58">
        <v>314154</v>
      </c>
      <c r="J2050">
        <f>IFERROR(VLOOKUP(G2050,'LEAID Match'!$A$2:$B$526,2,FALSE),"")</f>
        <v>2910080</v>
      </c>
      <c r="K2050" s="68">
        <f t="shared" si="63"/>
        <v>8</v>
      </c>
    </row>
    <row r="2051" spans="1:11" x14ac:dyDescent="0.2">
      <c r="A2051">
        <f t="shared" ref="A2051:A2114" si="64">J2051</f>
        <v>2910080</v>
      </c>
      <c r="B2051">
        <v>2016</v>
      </c>
      <c r="C2051" t="s">
        <v>739</v>
      </c>
      <c r="D2051" t="s">
        <v>740</v>
      </c>
      <c r="E2051" t="s">
        <v>743</v>
      </c>
      <c r="F2051" s="34">
        <v>351</v>
      </c>
      <c r="G2051" s="34" t="s">
        <v>560</v>
      </c>
      <c r="H2051" s="36">
        <v>30485</v>
      </c>
      <c r="I2051" s="60">
        <v>325304</v>
      </c>
      <c r="J2051">
        <f>IFERROR(VLOOKUP(G2051,'LEAID Match'!$A$2:$B$526,2,FALSE),"")</f>
        <v>2910080</v>
      </c>
      <c r="K2051" s="68">
        <f t="shared" ref="K2051:K2114" si="65">COUNTIF($J$2:$J$4295,J2051)</f>
        <v>8</v>
      </c>
    </row>
    <row r="2052" spans="1:11" x14ac:dyDescent="0.2">
      <c r="A2052">
        <f t="shared" si="64"/>
        <v>2910080</v>
      </c>
      <c r="B2052">
        <v>2017</v>
      </c>
      <c r="C2052" t="s">
        <v>739</v>
      </c>
      <c r="D2052" t="s">
        <v>740</v>
      </c>
      <c r="E2052" t="s">
        <v>743</v>
      </c>
      <c r="F2052" s="34">
        <v>351</v>
      </c>
      <c r="G2052" s="34" t="s">
        <v>560</v>
      </c>
      <c r="H2052" s="36">
        <v>33411</v>
      </c>
      <c r="I2052" s="58">
        <v>324152</v>
      </c>
      <c r="J2052">
        <f>IFERROR(VLOOKUP(G2052,'LEAID Match'!$A$2:$B$526,2,FALSE),"")</f>
        <v>2910080</v>
      </c>
      <c r="K2052" s="68">
        <f t="shared" si="65"/>
        <v>8</v>
      </c>
    </row>
    <row r="2053" spans="1:11" x14ac:dyDescent="0.2">
      <c r="A2053">
        <f t="shared" si="64"/>
        <v>2910080</v>
      </c>
      <c r="B2053">
        <v>2018</v>
      </c>
      <c r="C2053" t="s">
        <v>739</v>
      </c>
      <c r="D2053" t="s">
        <v>740</v>
      </c>
      <c r="E2053" t="s">
        <v>743</v>
      </c>
      <c r="F2053" s="34">
        <v>351</v>
      </c>
      <c r="G2053" s="34" t="s">
        <v>560</v>
      </c>
      <c r="H2053" s="36">
        <v>40048</v>
      </c>
      <c r="I2053" s="58">
        <v>329600</v>
      </c>
      <c r="J2053">
        <f>IFERROR(VLOOKUP(G2053,'LEAID Match'!$A$2:$B$526,2,FALSE),"")</f>
        <v>2910080</v>
      </c>
      <c r="K2053" s="68">
        <f t="shared" si="65"/>
        <v>8</v>
      </c>
    </row>
    <row r="2054" spans="1:11" x14ac:dyDescent="0.2">
      <c r="A2054">
        <f t="shared" si="64"/>
        <v>2910080</v>
      </c>
      <c r="B2054">
        <v>2019</v>
      </c>
      <c r="C2054" t="s">
        <v>739</v>
      </c>
      <c r="D2054" t="s">
        <v>740</v>
      </c>
      <c r="E2054" t="s">
        <v>743</v>
      </c>
      <c r="F2054" s="34">
        <v>351</v>
      </c>
      <c r="G2054" s="34" t="s">
        <v>560</v>
      </c>
      <c r="H2054" s="36">
        <v>46957</v>
      </c>
      <c r="I2054" s="58">
        <v>332413</v>
      </c>
      <c r="J2054">
        <f>IFERROR(VLOOKUP(G2054,'LEAID Match'!$A$2:$B$526,2,FALSE),"")</f>
        <v>2910080</v>
      </c>
      <c r="K2054" s="68">
        <f t="shared" si="65"/>
        <v>8</v>
      </c>
    </row>
    <row r="2055" spans="1:11" x14ac:dyDescent="0.2">
      <c r="A2055">
        <f t="shared" si="64"/>
        <v>2910080</v>
      </c>
      <c r="B2055">
        <v>2020</v>
      </c>
      <c r="C2055" t="s">
        <v>739</v>
      </c>
      <c r="D2055" t="s">
        <v>740</v>
      </c>
      <c r="E2055" t="s">
        <v>743</v>
      </c>
      <c r="F2055" s="34">
        <v>351</v>
      </c>
      <c r="G2055" s="34" t="s">
        <v>560</v>
      </c>
      <c r="H2055" s="36">
        <v>51340</v>
      </c>
      <c r="I2055" s="58">
        <v>354538</v>
      </c>
      <c r="J2055">
        <f>IFERROR(VLOOKUP(G2055,'LEAID Match'!$A$2:$B$526,2,FALSE),"")</f>
        <v>2910080</v>
      </c>
      <c r="K2055" s="68">
        <f t="shared" si="65"/>
        <v>8</v>
      </c>
    </row>
    <row r="2056" spans="1:11" x14ac:dyDescent="0.2">
      <c r="A2056">
        <f t="shared" si="64"/>
        <v>2910080</v>
      </c>
      <c r="B2056">
        <v>2021</v>
      </c>
      <c r="C2056" t="s">
        <v>739</v>
      </c>
      <c r="D2056" t="s">
        <v>740</v>
      </c>
      <c r="E2056" t="s">
        <v>743</v>
      </c>
      <c r="F2056" s="34">
        <v>351</v>
      </c>
      <c r="G2056" s="34" t="s">
        <v>560</v>
      </c>
      <c r="H2056" s="36">
        <v>57665</v>
      </c>
      <c r="I2056" s="58">
        <v>387556</v>
      </c>
      <c r="J2056">
        <f>IFERROR(VLOOKUP(G2056,'LEAID Match'!$A$2:$B$526,2,FALSE),"")</f>
        <v>2910080</v>
      </c>
      <c r="K2056" s="68">
        <f t="shared" si="65"/>
        <v>8</v>
      </c>
    </row>
    <row r="2057" spans="1:11" x14ac:dyDescent="0.2">
      <c r="A2057">
        <f t="shared" si="64"/>
        <v>2910080</v>
      </c>
      <c r="B2057">
        <v>2022</v>
      </c>
      <c r="C2057" t="s">
        <v>739</v>
      </c>
      <c r="D2057" t="s">
        <v>740</v>
      </c>
      <c r="E2057" t="s">
        <v>743</v>
      </c>
      <c r="F2057" s="34">
        <v>351</v>
      </c>
      <c r="G2057" s="34" t="s">
        <v>560</v>
      </c>
      <c r="H2057" s="36">
        <v>65895</v>
      </c>
      <c r="I2057" s="58">
        <v>385072</v>
      </c>
      <c r="J2057">
        <f>IFERROR(VLOOKUP(G2057,'LEAID Match'!$A$2:$B$526,2,FALSE),"")</f>
        <v>2910080</v>
      </c>
      <c r="K2057" s="68">
        <f t="shared" si="65"/>
        <v>8</v>
      </c>
    </row>
    <row r="2058" spans="1:11" x14ac:dyDescent="0.2">
      <c r="A2058">
        <f t="shared" si="64"/>
        <v>2918480</v>
      </c>
      <c r="B2058">
        <v>2015</v>
      </c>
      <c r="C2058" t="s">
        <v>739</v>
      </c>
      <c r="D2058" t="s">
        <v>740</v>
      </c>
      <c r="E2058" t="s">
        <v>743</v>
      </c>
      <c r="F2058" s="37">
        <v>352</v>
      </c>
      <c r="G2058" s="39" t="s">
        <v>258</v>
      </c>
      <c r="H2058" s="40">
        <v>98713</v>
      </c>
      <c r="I2058" s="58">
        <v>746201</v>
      </c>
      <c r="J2058">
        <f>IFERROR(VLOOKUP(G2058,'LEAID Match'!$A$2:$B$526,2,FALSE),"")</f>
        <v>2918480</v>
      </c>
      <c r="K2058" s="68">
        <f t="shared" si="65"/>
        <v>8</v>
      </c>
    </row>
    <row r="2059" spans="1:11" x14ac:dyDescent="0.2">
      <c r="A2059">
        <f t="shared" si="64"/>
        <v>2918480</v>
      </c>
      <c r="B2059">
        <v>2016</v>
      </c>
      <c r="C2059" t="s">
        <v>739</v>
      </c>
      <c r="D2059" t="s">
        <v>740</v>
      </c>
      <c r="E2059" t="s">
        <v>743</v>
      </c>
      <c r="F2059" s="34">
        <v>352</v>
      </c>
      <c r="G2059" s="34" t="s">
        <v>258</v>
      </c>
      <c r="H2059" s="36">
        <v>106737</v>
      </c>
      <c r="I2059" s="60">
        <v>793165</v>
      </c>
      <c r="J2059">
        <f>IFERROR(VLOOKUP(G2059,'LEAID Match'!$A$2:$B$526,2,FALSE),"")</f>
        <v>2918480</v>
      </c>
      <c r="K2059" s="68">
        <f t="shared" si="65"/>
        <v>8</v>
      </c>
    </row>
    <row r="2060" spans="1:11" x14ac:dyDescent="0.2">
      <c r="A2060">
        <f t="shared" si="64"/>
        <v>2918480</v>
      </c>
      <c r="B2060">
        <v>2017</v>
      </c>
      <c r="C2060" t="s">
        <v>739</v>
      </c>
      <c r="D2060" t="s">
        <v>740</v>
      </c>
      <c r="E2060" t="s">
        <v>743</v>
      </c>
      <c r="F2060" s="34">
        <v>352</v>
      </c>
      <c r="G2060" s="34" t="s">
        <v>258</v>
      </c>
      <c r="H2060" s="36">
        <v>113216</v>
      </c>
      <c r="I2060" s="58">
        <v>806977</v>
      </c>
      <c r="J2060">
        <f>IFERROR(VLOOKUP(G2060,'LEAID Match'!$A$2:$B$526,2,FALSE),"")</f>
        <v>2918480</v>
      </c>
      <c r="K2060" s="68">
        <f t="shared" si="65"/>
        <v>8</v>
      </c>
    </row>
    <row r="2061" spans="1:11" x14ac:dyDescent="0.2">
      <c r="A2061">
        <f t="shared" si="64"/>
        <v>2918480</v>
      </c>
      <c r="B2061">
        <v>2018</v>
      </c>
      <c r="C2061" t="s">
        <v>739</v>
      </c>
      <c r="D2061" t="s">
        <v>740</v>
      </c>
      <c r="E2061" t="s">
        <v>743</v>
      </c>
      <c r="F2061" s="34">
        <v>352</v>
      </c>
      <c r="G2061" s="34" t="s">
        <v>258</v>
      </c>
      <c r="H2061" s="36">
        <v>115646</v>
      </c>
      <c r="I2061" s="58">
        <v>783739</v>
      </c>
      <c r="J2061">
        <f>IFERROR(VLOOKUP(G2061,'LEAID Match'!$A$2:$B$526,2,FALSE),"")</f>
        <v>2918480</v>
      </c>
      <c r="K2061" s="68">
        <f t="shared" si="65"/>
        <v>8</v>
      </c>
    </row>
    <row r="2062" spans="1:11" x14ac:dyDescent="0.2">
      <c r="A2062">
        <f t="shared" si="64"/>
        <v>2918480</v>
      </c>
      <c r="B2062">
        <v>2019</v>
      </c>
      <c r="C2062" t="s">
        <v>739</v>
      </c>
      <c r="D2062" t="s">
        <v>740</v>
      </c>
      <c r="E2062" t="s">
        <v>743</v>
      </c>
      <c r="F2062" s="34">
        <v>352</v>
      </c>
      <c r="G2062" s="34" t="s">
        <v>258</v>
      </c>
      <c r="H2062" s="36">
        <v>117447</v>
      </c>
      <c r="I2062" s="58">
        <v>804045</v>
      </c>
      <c r="J2062">
        <f>IFERROR(VLOOKUP(G2062,'LEAID Match'!$A$2:$B$526,2,FALSE),"")</f>
        <v>2918480</v>
      </c>
      <c r="K2062" s="68">
        <f t="shared" si="65"/>
        <v>8</v>
      </c>
    </row>
    <row r="2063" spans="1:11" x14ac:dyDescent="0.2">
      <c r="A2063">
        <f t="shared" si="64"/>
        <v>2918480</v>
      </c>
      <c r="B2063">
        <v>2020</v>
      </c>
      <c r="C2063" t="s">
        <v>739</v>
      </c>
      <c r="D2063" t="s">
        <v>740</v>
      </c>
      <c r="E2063" t="s">
        <v>743</v>
      </c>
      <c r="F2063" s="34">
        <v>352</v>
      </c>
      <c r="G2063" s="34" t="s">
        <v>258</v>
      </c>
      <c r="H2063" s="36">
        <v>115087</v>
      </c>
      <c r="I2063" s="58">
        <v>815282</v>
      </c>
      <c r="J2063">
        <f>IFERROR(VLOOKUP(G2063,'LEAID Match'!$A$2:$B$526,2,FALSE),"")</f>
        <v>2918480</v>
      </c>
      <c r="K2063" s="68">
        <f t="shared" si="65"/>
        <v>8</v>
      </c>
    </row>
    <row r="2064" spans="1:11" x14ac:dyDescent="0.2">
      <c r="A2064">
        <f t="shared" si="64"/>
        <v>2918480</v>
      </c>
      <c r="B2064">
        <v>2021</v>
      </c>
      <c r="C2064" t="s">
        <v>739</v>
      </c>
      <c r="D2064" t="s">
        <v>740</v>
      </c>
      <c r="E2064" t="s">
        <v>743</v>
      </c>
      <c r="F2064" s="34">
        <v>352</v>
      </c>
      <c r="G2064" s="34" t="s">
        <v>258</v>
      </c>
      <c r="H2064" s="36">
        <v>121763</v>
      </c>
      <c r="I2064" s="58">
        <v>801608</v>
      </c>
      <c r="J2064">
        <f>IFERROR(VLOOKUP(G2064,'LEAID Match'!$A$2:$B$526,2,FALSE),"")</f>
        <v>2918480</v>
      </c>
      <c r="K2064" s="68">
        <f t="shared" si="65"/>
        <v>8</v>
      </c>
    </row>
    <row r="2065" spans="1:11" x14ac:dyDescent="0.2">
      <c r="A2065">
        <f t="shared" si="64"/>
        <v>2918480</v>
      </c>
      <c r="B2065">
        <v>2022</v>
      </c>
      <c r="C2065" t="s">
        <v>739</v>
      </c>
      <c r="D2065" t="s">
        <v>740</v>
      </c>
      <c r="E2065" t="s">
        <v>743</v>
      </c>
      <c r="F2065" s="34">
        <v>352</v>
      </c>
      <c r="G2065" s="34" t="s">
        <v>258</v>
      </c>
      <c r="H2065" s="36">
        <v>141426</v>
      </c>
      <c r="I2065" s="58">
        <v>859874</v>
      </c>
      <c r="J2065">
        <f>IFERROR(VLOOKUP(G2065,'LEAID Match'!$A$2:$B$526,2,FALSE),"")</f>
        <v>2918480</v>
      </c>
      <c r="K2065" s="68">
        <f t="shared" si="65"/>
        <v>8</v>
      </c>
    </row>
    <row r="2066" spans="1:11" x14ac:dyDescent="0.2">
      <c r="A2066">
        <f t="shared" si="64"/>
        <v>2923100</v>
      </c>
      <c r="B2066">
        <v>2015</v>
      </c>
      <c r="C2066" t="s">
        <v>739</v>
      </c>
      <c r="D2066" t="s">
        <v>740</v>
      </c>
      <c r="E2066" t="s">
        <v>743</v>
      </c>
      <c r="F2066" s="37">
        <v>353</v>
      </c>
      <c r="G2066" s="39" t="s">
        <v>259</v>
      </c>
      <c r="H2066" s="40">
        <v>156733</v>
      </c>
      <c r="I2066" s="58">
        <v>1346956</v>
      </c>
      <c r="J2066">
        <f>IFERROR(VLOOKUP(G2066,'LEAID Match'!$A$2:$B$526,2,FALSE),"")</f>
        <v>2923100</v>
      </c>
      <c r="K2066" s="68">
        <f t="shared" si="65"/>
        <v>8</v>
      </c>
    </row>
    <row r="2067" spans="1:11" x14ac:dyDescent="0.2">
      <c r="A2067">
        <f t="shared" si="64"/>
        <v>2923100</v>
      </c>
      <c r="B2067">
        <v>2016</v>
      </c>
      <c r="C2067" t="s">
        <v>739</v>
      </c>
      <c r="D2067" t="s">
        <v>740</v>
      </c>
      <c r="E2067" t="s">
        <v>743</v>
      </c>
      <c r="F2067" s="34">
        <v>353</v>
      </c>
      <c r="G2067" s="34" t="s">
        <v>259</v>
      </c>
      <c r="H2067" s="36">
        <v>156678</v>
      </c>
      <c r="I2067" s="60">
        <v>1385100</v>
      </c>
      <c r="J2067">
        <f>IFERROR(VLOOKUP(G2067,'LEAID Match'!$A$2:$B$526,2,FALSE),"")</f>
        <v>2923100</v>
      </c>
      <c r="K2067" s="68">
        <f t="shared" si="65"/>
        <v>8</v>
      </c>
    </row>
    <row r="2068" spans="1:11" x14ac:dyDescent="0.2">
      <c r="A2068">
        <f t="shared" si="64"/>
        <v>2923100</v>
      </c>
      <c r="B2068">
        <v>2017</v>
      </c>
      <c r="C2068" t="s">
        <v>739</v>
      </c>
      <c r="D2068" t="s">
        <v>740</v>
      </c>
      <c r="E2068" t="s">
        <v>743</v>
      </c>
      <c r="F2068" s="34">
        <v>353</v>
      </c>
      <c r="G2068" s="34" t="s">
        <v>259</v>
      </c>
      <c r="H2068" s="36">
        <v>158111</v>
      </c>
      <c r="I2068" s="58">
        <v>1401885</v>
      </c>
      <c r="J2068">
        <f>IFERROR(VLOOKUP(G2068,'LEAID Match'!$A$2:$B$526,2,FALSE),"")</f>
        <v>2923100</v>
      </c>
      <c r="K2068" s="68">
        <f t="shared" si="65"/>
        <v>8</v>
      </c>
    </row>
    <row r="2069" spans="1:11" x14ac:dyDescent="0.2">
      <c r="A2069">
        <f t="shared" si="64"/>
        <v>2923100</v>
      </c>
      <c r="B2069">
        <v>2018</v>
      </c>
      <c r="C2069" t="s">
        <v>739</v>
      </c>
      <c r="D2069" t="s">
        <v>740</v>
      </c>
      <c r="E2069" t="s">
        <v>743</v>
      </c>
      <c r="F2069" s="34">
        <v>353</v>
      </c>
      <c r="G2069" s="34" t="s">
        <v>259</v>
      </c>
      <c r="H2069" s="36">
        <v>155803</v>
      </c>
      <c r="I2069" s="58">
        <v>1439468</v>
      </c>
      <c r="J2069">
        <f>IFERROR(VLOOKUP(G2069,'LEAID Match'!$A$2:$B$526,2,FALSE),"")</f>
        <v>2923100</v>
      </c>
      <c r="K2069" s="68">
        <f t="shared" si="65"/>
        <v>8</v>
      </c>
    </row>
    <row r="2070" spans="1:11" x14ac:dyDescent="0.2">
      <c r="A2070">
        <f t="shared" si="64"/>
        <v>2923100</v>
      </c>
      <c r="B2070">
        <v>2019</v>
      </c>
      <c r="C2070" t="s">
        <v>739</v>
      </c>
      <c r="D2070" t="s">
        <v>740</v>
      </c>
      <c r="E2070" t="s">
        <v>743</v>
      </c>
      <c r="F2070" s="34">
        <v>353</v>
      </c>
      <c r="G2070" s="34" t="s">
        <v>259</v>
      </c>
      <c r="H2070" s="36">
        <v>171731</v>
      </c>
      <c r="I2070" s="58">
        <v>1560880</v>
      </c>
      <c r="J2070">
        <f>IFERROR(VLOOKUP(G2070,'LEAID Match'!$A$2:$B$526,2,FALSE),"")</f>
        <v>2923100</v>
      </c>
      <c r="K2070" s="68">
        <f t="shared" si="65"/>
        <v>8</v>
      </c>
    </row>
    <row r="2071" spans="1:11" x14ac:dyDescent="0.2">
      <c r="A2071">
        <f t="shared" si="64"/>
        <v>2923100</v>
      </c>
      <c r="B2071">
        <v>2020</v>
      </c>
      <c r="C2071" t="s">
        <v>739</v>
      </c>
      <c r="D2071" t="s">
        <v>740</v>
      </c>
      <c r="E2071" t="s">
        <v>743</v>
      </c>
      <c r="F2071" s="34">
        <v>353</v>
      </c>
      <c r="G2071" s="34" t="s">
        <v>259</v>
      </c>
      <c r="H2071" s="36">
        <v>161443</v>
      </c>
      <c r="I2071" s="58">
        <v>1432294</v>
      </c>
      <c r="J2071">
        <f>IFERROR(VLOOKUP(G2071,'LEAID Match'!$A$2:$B$526,2,FALSE),"")</f>
        <v>2923100</v>
      </c>
      <c r="K2071" s="68">
        <f t="shared" si="65"/>
        <v>8</v>
      </c>
    </row>
    <row r="2072" spans="1:11" x14ac:dyDescent="0.2">
      <c r="A2072">
        <f t="shared" si="64"/>
        <v>2923100</v>
      </c>
      <c r="B2072">
        <v>2021</v>
      </c>
      <c r="C2072" t="s">
        <v>739</v>
      </c>
      <c r="D2072" t="s">
        <v>740</v>
      </c>
      <c r="E2072" t="s">
        <v>743</v>
      </c>
      <c r="F2072" s="34">
        <v>353</v>
      </c>
      <c r="G2072" s="34" t="s">
        <v>259</v>
      </c>
      <c r="H2072" s="36">
        <v>166968</v>
      </c>
      <c r="I2072" s="58">
        <v>1487057</v>
      </c>
      <c r="J2072">
        <f>IFERROR(VLOOKUP(G2072,'LEAID Match'!$A$2:$B$526,2,FALSE),"")</f>
        <v>2923100</v>
      </c>
      <c r="K2072" s="68">
        <f t="shared" si="65"/>
        <v>8</v>
      </c>
    </row>
    <row r="2073" spans="1:11" x14ac:dyDescent="0.2">
      <c r="A2073">
        <f t="shared" si="64"/>
        <v>2923100</v>
      </c>
      <c r="B2073">
        <v>2022</v>
      </c>
      <c r="C2073" t="s">
        <v>739</v>
      </c>
      <c r="D2073" t="s">
        <v>740</v>
      </c>
      <c r="E2073" t="s">
        <v>743</v>
      </c>
      <c r="F2073" s="34">
        <v>353</v>
      </c>
      <c r="G2073" s="34" t="s">
        <v>259</v>
      </c>
      <c r="H2073" s="36">
        <v>174619</v>
      </c>
      <c r="I2073" s="58">
        <v>1501942</v>
      </c>
      <c r="J2073">
        <f>IFERROR(VLOOKUP(G2073,'LEAID Match'!$A$2:$B$526,2,FALSE),"")</f>
        <v>2923100</v>
      </c>
      <c r="K2073" s="68">
        <f t="shared" si="65"/>
        <v>8</v>
      </c>
    </row>
    <row r="2074" spans="1:11" x14ac:dyDescent="0.2">
      <c r="A2074">
        <f t="shared" si="64"/>
        <v>2931560</v>
      </c>
      <c r="B2074">
        <v>2015</v>
      </c>
      <c r="C2074" t="s">
        <v>739</v>
      </c>
      <c r="D2074" t="s">
        <v>740</v>
      </c>
      <c r="E2074" t="s">
        <v>743</v>
      </c>
      <c r="F2074" s="35">
        <v>354</v>
      </c>
      <c r="G2074" s="34" t="s">
        <v>686</v>
      </c>
      <c r="H2074" s="40">
        <v>30795</v>
      </c>
      <c r="I2074" s="58">
        <v>276740</v>
      </c>
      <c r="J2074">
        <f>IFERROR(VLOOKUP(G2074,'LEAID Match'!$A$2:$B$526,2,FALSE),"")</f>
        <v>2931560</v>
      </c>
      <c r="K2074" s="68">
        <f t="shared" si="65"/>
        <v>8</v>
      </c>
    </row>
    <row r="2075" spans="1:11" x14ac:dyDescent="0.2">
      <c r="A2075">
        <f t="shared" si="64"/>
        <v>2931560</v>
      </c>
      <c r="B2075">
        <v>2016</v>
      </c>
      <c r="C2075" t="s">
        <v>739</v>
      </c>
      <c r="D2075" t="s">
        <v>740</v>
      </c>
      <c r="E2075" t="s">
        <v>743</v>
      </c>
      <c r="F2075" s="59">
        <v>354</v>
      </c>
      <c r="G2075" s="34" t="s">
        <v>686</v>
      </c>
      <c r="H2075" s="36">
        <v>33273</v>
      </c>
      <c r="I2075" s="60">
        <v>285002</v>
      </c>
      <c r="J2075">
        <f>IFERROR(VLOOKUP(G2075,'LEAID Match'!$A$2:$B$526,2,FALSE),"")</f>
        <v>2931560</v>
      </c>
      <c r="K2075" s="68">
        <f t="shared" si="65"/>
        <v>8</v>
      </c>
    </row>
    <row r="2076" spans="1:11" x14ac:dyDescent="0.2">
      <c r="A2076">
        <f t="shared" si="64"/>
        <v>2931560</v>
      </c>
      <c r="B2076">
        <v>2017</v>
      </c>
      <c r="C2076" t="s">
        <v>739</v>
      </c>
      <c r="D2076" t="s">
        <v>740</v>
      </c>
      <c r="E2076" t="s">
        <v>743</v>
      </c>
      <c r="F2076" s="59">
        <v>354</v>
      </c>
      <c r="G2076" s="34" t="s">
        <v>686</v>
      </c>
      <c r="H2076" s="36">
        <v>30964</v>
      </c>
      <c r="I2076" s="58">
        <v>302878</v>
      </c>
      <c r="J2076">
        <f>IFERROR(VLOOKUP(G2076,'LEAID Match'!$A$2:$B$526,2,FALSE),"")</f>
        <v>2931560</v>
      </c>
      <c r="K2076" s="68">
        <f t="shared" si="65"/>
        <v>8</v>
      </c>
    </row>
    <row r="2077" spans="1:11" x14ac:dyDescent="0.2">
      <c r="A2077">
        <f t="shared" si="64"/>
        <v>2931560</v>
      </c>
      <c r="B2077">
        <v>2018</v>
      </c>
      <c r="C2077" t="s">
        <v>739</v>
      </c>
      <c r="D2077" t="s">
        <v>740</v>
      </c>
      <c r="E2077" t="s">
        <v>743</v>
      </c>
      <c r="F2077" s="59">
        <v>354</v>
      </c>
      <c r="G2077" s="34" t="s">
        <v>686</v>
      </c>
      <c r="H2077" s="36">
        <v>30976</v>
      </c>
      <c r="I2077" s="58">
        <v>317462</v>
      </c>
      <c r="J2077">
        <f>IFERROR(VLOOKUP(G2077,'LEAID Match'!$A$2:$B$526,2,FALSE),"")</f>
        <v>2931560</v>
      </c>
      <c r="K2077" s="68">
        <f t="shared" si="65"/>
        <v>8</v>
      </c>
    </row>
    <row r="2078" spans="1:11" x14ac:dyDescent="0.2">
      <c r="A2078">
        <f t="shared" si="64"/>
        <v>2931560</v>
      </c>
      <c r="B2078">
        <v>2019</v>
      </c>
      <c r="C2078" t="s">
        <v>739</v>
      </c>
      <c r="D2078" t="s">
        <v>740</v>
      </c>
      <c r="E2078" t="s">
        <v>743</v>
      </c>
      <c r="F2078" s="59">
        <v>354</v>
      </c>
      <c r="G2078" s="34" t="s">
        <v>686</v>
      </c>
      <c r="H2078" s="36">
        <v>32444</v>
      </c>
      <c r="I2078" s="58">
        <v>317677</v>
      </c>
      <c r="J2078">
        <f>IFERROR(VLOOKUP(G2078,'LEAID Match'!$A$2:$B$526,2,FALSE),"")</f>
        <v>2931560</v>
      </c>
      <c r="K2078" s="68">
        <f t="shared" si="65"/>
        <v>8</v>
      </c>
    </row>
    <row r="2079" spans="1:11" x14ac:dyDescent="0.2">
      <c r="A2079">
        <f t="shared" si="64"/>
        <v>2931560</v>
      </c>
      <c r="B2079">
        <v>2020</v>
      </c>
      <c r="C2079" t="s">
        <v>739</v>
      </c>
      <c r="D2079" t="s">
        <v>740</v>
      </c>
      <c r="E2079" t="s">
        <v>743</v>
      </c>
      <c r="F2079" s="59">
        <v>354</v>
      </c>
      <c r="G2079" s="34" t="s">
        <v>686</v>
      </c>
      <c r="H2079" s="36">
        <v>34441</v>
      </c>
      <c r="I2079" s="58">
        <v>322263</v>
      </c>
      <c r="J2079">
        <f>IFERROR(VLOOKUP(G2079,'LEAID Match'!$A$2:$B$526,2,FALSE),"")</f>
        <v>2931560</v>
      </c>
      <c r="K2079" s="68">
        <f t="shared" si="65"/>
        <v>8</v>
      </c>
    </row>
    <row r="2080" spans="1:11" x14ac:dyDescent="0.2">
      <c r="A2080">
        <f t="shared" si="64"/>
        <v>2931560</v>
      </c>
      <c r="B2080">
        <v>2021</v>
      </c>
      <c r="C2080" t="s">
        <v>739</v>
      </c>
      <c r="D2080" t="s">
        <v>740</v>
      </c>
      <c r="E2080" t="s">
        <v>743</v>
      </c>
      <c r="F2080" s="59">
        <v>354</v>
      </c>
      <c r="G2080" s="34" t="s">
        <v>686</v>
      </c>
      <c r="H2080" s="36">
        <v>38690</v>
      </c>
      <c r="I2080" s="58">
        <v>318922</v>
      </c>
      <c r="J2080">
        <f>IFERROR(VLOOKUP(G2080,'LEAID Match'!$A$2:$B$526,2,FALSE),"")</f>
        <v>2931560</v>
      </c>
      <c r="K2080" s="68">
        <f t="shared" si="65"/>
        <v>8</v>
      </c>
    </row>
    <row r="2081" spans="1:11" x14ac:dyDescent="0.2">
      <c r="A2081">
        <f t="shared" si="64"/>
        <v>2931560</v>
      </c>
      <c r="B2081">
        <v>2022</v>
      </c>
      <c r="C2081" t="s">
        <v>739</v>
      </c>
      <c r="D2081" t="s">
        <v>740</v>
      </c>
      <c r="E2081" t="s">
        <v>743</v>
      </c>
      <c r="F2081" s="59">
        <v>354</v>
      </c>
      <c r="G2081" s="34" t="s">
        <v>686</v>
      </c>
      <c r="H2081" s="36">
        <v>47078</v>
      </c>
      <c r="I2081" s="58">
        <v>332444</v>
      </c>
      <c r="J2081">
        <f>IFERROR(VLOOKUP(G2081,'LEAID Match'!$A$2:$B$526,2,FALSE),"")</f>
        <v>2931560</v>
      </c>
      <c r="K2081" s="68">
        <f t="shared" si="65"/>
        <v>8</v>
      </c>
    </row>
    <row r="2082" spans="1:11" x14ac:dyDescent="0.2">
      <c r="A2082">
        <f t="shared" si="64"/>
        <v>2903000</v>
      </c>
      <c r="B2082">
        <v>2015</v>
      </c>
      <c r="C2082" t="s">
        <v>739</v>
      </c>
      <c r="D2082" t="s">
        <v>740</v>
      </c>
      <c r="E2082" t="s">
        <v>743</v>
      </c>
      <c r="F2082" s="35">
        <v>355</v>
      </c>
      <c r="G2082" s="34" t="s">
        <v>687</v>
      </c>
      <c r="H2082" s="40">
        <v>27167</v>
      </c>
      <c r="I2082" s="58">
        <v>312102</v>
      </c>
      <c r="J2082">
        <f>IFERROR(VLOOKUP(G2082,'LEAID Match'!$A$2:$B$526,2,FALSE),"")</f>
        <v>2903000</v>
      </c>
      <c r="K2082" s="68">
        <f t="shared" si="65"/>
        <v>8</v>
      </c>
    </row>
    <row r="2083" spans="1:11" x14ac:dyDescent="0.2">
      <c r="A2083">
        <f t="shared" si="64"/>
        <v>2903000</v>
      </c>
      <c r="B2083">
        <v>2016</v>
      </c>
      <c r="C2083" t="s">
        <v>739</v>
      </c>
      <c r="D2083" t="s">
        <v>740</v>
      </c>
      <c r="E2083" t="s">
        <v>743</v>
      </c>
      <c r="F2083" s="59">
        <v>355</v>
      </c>
      <c r="G2083" s="34" t="s">
        <v>687</v>
      </c>
      <c r="H2083" s="36">
        <v>27982</v>
      </c>
      <c r="I2083" s="60">
        <v>321081</v>
      </c>
      <c r="J2083">
        <f>IFERROR(VLOOKUP(G2083,'LEAID Match'!$A$2:$B$526,2,FALSE),"")</f>
        <v>2903000</v>
      </c>
      <c r="K2083" s="68">
        <f t="shared" si="65"/>
        <v>8</v>
      </c>
    </row>
    <row r="2084" spans="1:11" x14ac:dyDescent="0.2">
      <c r="A2084">
        <f t="shared" si="64"/>
        <v>2903000</v>
      </c>
      <c r="B2084">
        <v>2017</v>
      </c>
      <c r="C2084" t="s">
        <v>739</v>
      </c>
      <c r="D2084" t="s">
        <v>740</v>
      </c>
      <c r="E2084" t="s">
        <v>743</v>
      </c>
      <c r="F2084" s="59">
        <v>355</v>
      </c>
      <c r="G2084" s="34" t="s">
        <v>687</v>
      </c>
      <c r="H2084" s="36">
        <v>30152</v>
      </c>
      <c r="I2084" s="58">
        <v>313129</v>
      </c>
      <c r="J2084">
        <f>IFERROR(VLOOKUP(G2084,'LEAID Match'!$A$2:$B$526,2,FALSE),"")</f>
        <v>2903000</v>
      </c>
      <c r="K2084" s="68">
        <f t="shared" si="65"/>
        <v>8</v>
      </c>
    </row>
    <row r="2085" spans="1:11" x14ac:dyDescent="0.2">
      <c r="A2085">
        <f t="shared" si="64"/>
        <v>2903000</v>
      </c>
      <c r="B2085">
        <v>2018</v>
      </c>
      <c r="C2085" t="s">
        <v>739</v>
      </c>
      <c r="D2085" t="s">
        <v>740</v>
      </c>
      <c r="E2085" t="s">
        <v>743</v>
      </c>
      <c r="F2085" s="59">
        <v>355</v>
      </c>
      <c r="G2085" s="34" t="s">
        <v>687</v>
      </c>
      <c r="H2085" s="36">
        <v>32509</v>
      </c>
      <c r="I2085" s="58">
        <v>307189</v>
      </c>
      <c r="J2085">
        <f>IFERROR(VLOOKUP(G2085,'LEAID Match'!$A$2:$B$526,2,FALSE),"")</f>
        <v>2903000</v>
      </c>
      <c r="K2085" s="68">
        <f t="shared" si="65"/>
        <v>8</v>
      </c>
    </row>
    <row r="2086" spans="1:11" x14ac:dyDescent="0.2">
      <c r="A2086">
        <f t="shared" si="64"/>
        <v>2903000</v>
      </c>
      <c r="B2086">
        <v>2019</v>
      </c>
      <c r="C2086" t="s">
        <v>739</v>
      </c>
      <c r="D2086" t="s">
        <v>740</v>
      </c>
      <c r="E2086" t="s">
        <v>743</v>
      </c>
      <c r="F2086" s="59">
        <v>355</v>
      </c>
      <c r="G2086" s="34" t="s">
        <v>687</v>
      </c>
      <c r="H2086" s="36">
        <v>41964</v>
      </c>
      <c r="I2086" s="58">
        <v>302499</v>
      </c>
      <c r="J2086">
        <f>IFERROR(VLOOKUP(G2086,'LEAID Match'!$A$2:$B$526,2,FALSE),"")</f>
        <v>2903000</v>
      </c>
      <c r="K2086" s="68">
        <f t="shared" si="65"/>
        <v>8</v>
      </c>
    </row>
    <row r="2087" spans="1:11" x14ac:dyDescent="0.2">
      <c r="A2087">
        <f t="shared" si="64"/>
        <v>2903000</v>
      </c>
      <c r="B2087">
        <v>2020</v>
      </c>
      <c r="C2087" t="s">
        <v>739</v>
      </c>
      <c r="D2087" t="s">
        <v>740</v>
      </c>
      <c r="E2087" t="s">
        <v>743</v>
      </c>
      <c r="F2087" s="59">
        <v>355</v>
      </c>
      <c r="G2087" s="34" t="s">
        <v>687</v>
      </c>
      <c r="H2087" s="36">
        <v>52147</v>
      </c>
      <c r="I2087" s="58">
        <v>292438</v>
      </c>
      <c r="J2087">
        <f>IFERROR(VLOOKUP(G2087,'LEAID Match'!$A$2:$B$526,2,FALSE),"")</f>
        <v>2903000</v>
      </c>
      <c r="K2087" s="68">
        <f t="shared" si="65"/>
        <v>8</v>
      </c>
    </row>
    <row r="2088" spans="1:11" x14ac:dyDescent="0.2">
      <c r="A2088">
        <f t="shared" si="64"/>
        <v>2903000</v>
      </c>
      <c r="B2088">
        <v>2021</v>
      </c>
      <c r="C2088" t="s">
        <v>739</v>
      </c>
      <c r="D2088" t="s">
        <v>740</v>
      </c>
      <c r="E2088" t="s">
        <v>743</v>
      </c>
      <c r="F2088" s="59">
        <v>355</v>
      </c>
      <c r="G2088" s="34" t="s">
        <v>687</v>
      </c>
      <c r="H2088" s="36">
        <v>58118</v>
      </c>
      <c r="I2088" s="58">
        <v>300170</v>
      </c>
      <c r="J2088">
        <f>IFERROR(VLOOKUP(G2088,'LEAID Match'!$A$2:$B$526,2,FALSE),"")</f>
        <v>2903000</v>
      </c>
      <c r="K2088" s="68">
        <f t="shared" si="65"/>
        <v>8</v>
      </c>
    </row>
    <row r="2089" spans="1:11" x14ac:dyDescent="0.2">
      <c r="A2089">
        <f t="shared" si="64"/>
        <v>2903000</v>
      </c>
      <c r="B2089">
        <v>2022</v>
      </c>
      <c r="C2089" t="s">
        <v>739</v>
      </c>
      <c r="D2089" t="s">
        <v>740</v>
      </c>
      <c r="E2089" t="s">
        <v>743</v>
      </c>
      <c r="F2089" s="59">
        <v>355</v>
      </c>
      <c r="G2089" s="34" t="s">
        <v>687</v>
      </c>
      <c r="H2089" s="36">
        <v>63910</v>
      </c>
      <c r="I2089" s="58">
        <v>311337</v>
      </c>
      <c r="J2089">
        <f>IFERROR(VLOOKUP(G2089,'LEAID Match'!$A$2:$B$526,2,FALSE),"")</f>
        <v>2903000</v>
      </c>
      <c r="K2089" s="68">
        <f t="shared" si="65"/>
        <v>8</v>
      </c>
    </row>
    <row r="2090" spans="1:11" x14ac:dyDescent="0.2">
      <c r="A2090">
        <f t="shared" si="64"/>
        <v>2914400</v>
      </c>
      <c r="B2090">
        <v>2015</v>
      </c>
      <c r="C2090" t="s">
        <v>739</v>
      </c>
      <c r="D2090" t="s">
        <v>740</v>
      </c>
      <c r="E2090" t="s">
        <v>743</v>
      </c>
      <c r="F2090" s="35">
        <v>356</v>
      </c>
      <c r="G2090" s="39" t="s">
        <v>688</v>
      </c>
      <c r="H2090" s="40">
        <v>63601</v>
      </c>
      <c r="I2090" s="58">
        <v>670399</v>
      </c>
      <c r="J2090">
        <f>IFERROR(VLOOKUP(G2090,'LEAID Match'!$A$2:$B$526,2,FALSE),"")</f>
        <v>2914400</v>
      </c>
      <c r="K2090" s="68">
        <f t="shared" si="65"/>
        <v>8</v>
      </c>
    </row>
    <row r="2091" spans="1:11" x14ac:dyDescent="0.2">
      <c r="A2091">
        <f t="shared" si="64"/>
        <v>2914400</v>
      </c>
      <c r="B2091">
        <v>2016</v>
      </c>
      <c r="C2091" t="s">
        <v>739</v>
      </c>
      <c r="D2091" t="s">
        <v>740</v>
      </c>
      <c r="E2091" t="s">
        <v>743</v>
      </c>
      <c r="F2091" s="59">
        <v>356</v>
      </c>
      <c r="G2091" s="34" t="s">
        <v>688</v>
      </c>
      <c r="H2091" s="36">
        <v>68218</v>
      </c>
      <c r="I2091" s="60">
        <v>683614</v>
      </c>
      <c r="J2091">
        <f>IFERROR(VLOOKUP(G2091,'LEAID Match'!$A$2:$B$526,2,FALSE),"")</f>
        <v>2914400</v>
      </c>
      <c r="K2091" s="68">
        <f t="shared" si="65"/>
        <v>8</v>
      </c>
    </row>
    <row r="2092" spans="1:11" x14ac:dyDescent="0.2">
      <c r="A2092">
        <f t="shared" si="64"/>
        <v>2914400</v>
      </c>
      <c r="B2092">
        <v>2017</v>
      </c>
      <c r="C2092" t="s">
        <v>739</v>
      </c>
      <c r="D2092" t="s">
        <v>740</v>
      </c>
      <c r="E2092" t="s">
        <v>743</v>
      </c>
      <c r="F2092" s="59">
        <v>356</v>
      </c>
      <c r="G2092" s="34" t="s">
        <v>688</v>
      </c>
      <c r="H2092" s="36">
        <v>75897</v>
      </c>
      <c r="I2092" s="58">
        <v>703375</v>
      </c>
      <c r="J2092">
        <f>IFERROR(VLOOKUP(G2092,'LEAID Match'!$A$2:$B$526,2,FALSE),"")</f>
        <v>2914400</v>
      </c>
      <c r="K2092" s="68">
        <f t="shared" si="65"/>
        <v>8</v>
      </c>
    </row>
    <row r="2093" spans="1:11" x14ac:dyDescent="0.2">
      <c r="A2093">
        <f t="shared" si="64"/>
        <v>2914400</v>
      </c>
      <c r="B2093">
        <v>2018</v>
      </c>
      <c r="C2093" t="s">
        <v>739</v>
      </c>
      <c r="D2093" t="s">
        <v>740</v>
      </c>
      <c r="E2093" t="s">
        <v>743</v>
      </c>
      <c r="F2093" s="59">
        <v>356</v>
      </c>
      <c r="G2093" s="34" t="s">
        <v>688</v>
      </c>
      <c r="H2093" s="36">
        <v>85355</v>
      </c>
      <c r="I2093" s="58">
        <v>708428</v>
      </c>
      <c r="J2093">
        <f>IFERROR(VLOOKUP(G2093,'LEAID Match'!$A$2:$B$526,2,FALSE),"")</f>
        <v>2914400</v>
      </c>
      <c r="K2093" s="68">
        <f t="shared" si="65"/>
        <v>8</v>
      </c>
    </row>
    <row r="2094" spans="1:11" x14ac:dyDescent="0.2">
      <c r="A2094">
        <f t="shared" si="64"/>
        <v>2914400</v>
      </c>
      <c r="B2094">
        <v>2019</v>
      </c>
      <c r="C2094" t="s">
        <v>739</v>
      </c>
      <c r="D2094" t="s">
        <v>740</v>
      </c>
      <c r="E2094" t="s">
        <v>743</v>
      </c>
      <c r="F2094" s="59">
        <v>356</v>
      </c>
      <c r="G2094" s="34" t="s">
        <v>688</v>
      </c>
      <c r="H2094" s="36">
        <v>88232</v>
      </c>
      <c r="I2094" s="58">
        <v>748093</v>
      </c>
      <c r="J2094">
        <f>IFERROR(VLOOKUP(G2094,'LEAID Match'!$A$2:$B$526,2,FALSE),"")</f>
        <v>2914400</v>
      </c>
      <c r="K2094" s="68">
        <f t="shared" si="65"/>
        <v>8</v>
      </c>
    </row>
    <row r="2095" spans="1:11" x14ac:dyDescent="0.2">
      <c r="A2095">
        <f t="shared" si="64"/>
        <v>2914400</v>
      </c>
      <c r="B2095">
        <v>2020</v>
      </c>
      <c r="C2095" t="s">
        <v>739</v>
      </c>
      <c r="D2095" t="s">
        <v>740</v>
      </c>
      <c r="E2095" t="s">
        <v>743</v>
      </c>
      <c r="F2095" s="59">
        <v>356</v>
      </c>
      <c r="G2095" s="34" t="s">
        <v>688</v>
      </c>
      <c r="H2095" s="36">
        <v>95292</v>
      </c>
      <c r="I2095" s="58">
        <v>762124</v>
      </c>
      <c r="J2095">
        <f>IFERROR(VLOOKUP(G2095,'LEAID Match'!$A$2:$B$526,2,FALSE),"")</f>
        <v>2914400</v>
      </c>
      <c r="K2095" s="68">
        <f t="shared" si="65"/>
        <v>8</v>
      </c>
    </row>
    <row r="2096" spans="1:11" x14ac:dyDescent="0.2">
      <c r="A2096">
        <f t="shared" si="64"/>
        <v>2914400</v>
      </c>
      <c r="B2096">
        <v>2021</v>
      </c>
      <c r="C2096" t="s">
        <v>739</v>
      </c>
      <c r="D2096" t="s">
        <v>740</v>
      </c>
      <c r="E2096" t="s">
        <v>743</v>
      </c>
      <c r="F2096" s="59">
        <v>356</v>
      </c>
      <c r="G2096" s="34" t="s">
        <v>688</v>
      </c>
      <c r="H2096" s="36">
        <v>101499</v>
      </c>
      <c r="I2096" s="58">
        <v>799623</v>
      </c>
      <c r="J2096">
        <f>IFERROR(VLOOKUP(G2096,'LEAID Match'!$A$2:$B$526,2,FALSE),"")</f>
        <v>2914400</v>
      </c>
      <c r="K2096" s="68">
        <f t="shared" si="65"/>
        <v>8</v>
      </c>
    </row>
    <row r="2097" spans="1:11" x14ac:dyDescent="0.2">
      <c r="A2097">
        <f t="shared" si="64"/>
        <v>2914400</v>
      </c>
      <c r="B2097">
        <v>2022</v>
      </c>
      <c r="C2097" t="s">
        <v>739</v>
      </c>
      <c r="D2097" t="s">
        <v>740</v>
      </c>
      <c r="E2097" t="s">
        <v>743</v>
      </c>
      <c r="F2097" s="59">
        <v>356</v>
      </c>
      <c r="G2097" s="34" t="s">
        <v>688</v>
      </c>
      <c r="H2097" s="36">
        <v>115966</v>
      </c>
      <c r="I2097" s="58">
        <v>819583</v>
      </c>
      <c r="J2097">
        <f>IFERROR(VLOOKUP(G2097,'LEAID Match'!$A$2:$B$526,2,FALSE),"")</f>
        <v>2914400</v>
      </c>
      <c r="K2097" s="68">
        <f t="shared" si="65"/>
        <v>8</v>
      </c>
    </row>
    <row r="2098" spans="1:11" x14ac:dyDescent="0.2">
      <c r="A2098">
        <f t="shared" si="64"/>
        <v>2921000</v>
      </c>
      <c r="B2098">
        <v>2015</v>
      </c>
      <c r="C2098" t="s">
        <v>739</v>
      </c>
      <c r="D2098" t="s">
        <v>740</v>
      </c>
      <c r="E2098" t="s">
        <v>743</v>
      </c>
      <c r="F2098" s="35">
        <v>357</v>
      </c>
      <c r="G2098" s="34" t="s">
        <v>689</v>
      </c>
      <c r="H2098" s="40">
        <v>47513</v>
      </c>
      <c r="I2098" s="58">
        <v>285860</v>
      </c>
      <c r="J2098">
        <f>IFERROR(VLOOKUP(G2098,'LEAID Match'!$A$2:$B$526,2,FALSE),"")</f>
        <v>2921000</v>
      </c>
      <c r="K2098" s="68">
        <f t="shared" si="65"/>
        <v>8</v>
      </c>
    </row>
    <row r="2099" spans="1:11" x14ac:dyDescent="0.2">
      <c r="A2099">
        <f t="shared" si="64"/>
        <v>2921000</v>
      </c>
      <c r="B2099">
        <v>2016</v>
      </c>
      <c r="C2099" t="s">
        <v>739</v>
      </c>
      <c r="D2099" t="s">
        <v>740</v>
      </c>
      <c r="E2099" t="s">
        <v>743</v>
      </c>
      <c r="F2099" s="59">
        <v>357</v>
      </c>
      <c r="G2099" s="34" t="s">
        <v>689</v>
      </c>
      <c r="H2099" s="36">
        <v>50454</v>
      </c>
      <c r="I2099" s="60">
        <v>288236</v>
      </c>
      <c r="J2099">
        <f>IFERROR(VLOOKUP(G2099,'LEAID Match'!$A$2:$B$526,2,FALSE),"")</f>
        <v>2921000</v>
      </c>
      <c r="K2099" s="68">
        <f t="shared" si="65"/>
        <v>8</v>
      </c>
    </row>
    <row r="2100" spans="1:11" x14ac:dyDescent="0.2">
      <c r="A2100">
        <f t="shared" si="64"/>
        <v>2921000</v>
      </c>
      <c r="B2100">
        <v>2017</v>
      </c>
      <c r="C2100" t="s">
        <v>739</v>
      </c>
      <c r="D2100" t="s">
        <v>740</v>
      </c>
      <c r="E2100" t="s">
        <v>743</v>
      </c>
      <c r="F2100" s="59">
        <v>357</v>
      </c>
      <c r="G2100" s="34" t="s">
        <v>689</v>
      </c>
      <c r="H2100" s="36">
        <v>53111</v>
      </c>
      <c r="I2100" s="58">
        <v>310223</v>
      </c>
      <c r="J2100">
        <f>IFERROR(VLOOKUP(G2100,'LEAID Match'!$A$2:$B$526,2,FALSE),"")</f>
        <v>2921000</v>
      </c>
      <c r="K2100" s="68">
        <f t="shared" si="65"/>
        <v>8</v>
      </c>
    </row>
    <row r="2101" spans="1:11" x14ac:dyDescent="0.2">
      <c r="A2101">
        <f t="shared" si="64"/>
        <v>2921000</v>
      </c>
      <c r="B2101">
        <v>2018</v>
      </c>
      <c r="C2101" t="s">
        <v>739</v>
      </c>
      <c r="D2101" t="s">
        <v>740</v>
      </c>
      <c r="E2101" t="s">
        <v>743</v>
      </c>
      <c r="F2101" s="59">
        <v>357</v>
      </c>
      <c r="G2101" s="34" t="s">
        <v>689</v>
      </c>
      <c r="H2101" s="36">
        <v>51631</v>
      </c>
      <c r="I2101" s="58">
        <v>312499</v>
      </c>
      <c r="J2101">
        <f>IFERROR(VLOOKUP(G2101,'LEAID Match'!$A$2:$B$526,2,FALSE),"")</f>
        <v>2921000</v>
      </c>
      <c r="K2101" s="68">
        <f t="shared" si="65"/>
        <v>8</v>
      </c>
    </row>
    <row r="2102" spans="1:11" x14ac:dyDescent="0.2">
      <c r="A2102">
        <f t="shared" si="64"/>
        <v>2921000</v>
      </c>
      <c r="B2102">
        <v>2019</v>
      </c>
      <c r="C2102" t="s">
        <v>739</v>
      </c>
      <c r="D2102" t="s">
        <v>740</v>
      </c>
      <c r="E2102" t="s">
        <v>743</v>
      </c>
      <c r="F2102" s="59">
        <v>357</v>
      </c>
      <c r="G2102" s="34" t="s">
        <v>689</v>
      </c>
      <c r="H2102" s="36">
        <v>52052</v>
      </c>
      <c r="I2102" s="58">
        <v>323624</v>
      </c>
      <c r="J2102">
        <f>IFERROR(VLOOKUP(G2102,'LEAID Match'!$A$2:$B$526,2,FALSE),"")</f>
        <v>2921000</v>
      </c>
      <c r="K2102" s="68">
        <f t="shared" si="65"/>
        <v>8</v>
      </c>
    </row>
    <row r="2103" spans="1:11" x14ac:dyDescent="0.2">
      <c r="A2103">
        <f t="shared" si="64"/>
        <v>2921000</v>
      </c>
      <c r="B2103">
        <v>2020</v>
      </c>
      <c r="C2103" t="s">
        <v>739</v>
      </c>
      <c r="D2103" t="s">
        <v>740</v>
      </c>
      <c r="E2103" t="s">
        <v>743</v>
      </c>
      <c r="F2103" s="59">
        <v>357</v>
      </c>
      <c r="G2103" s="34" t="s">
        <v>689</v>
      </c>
      <c r="H2103" s="36">
        <v>64852</v>
      </c>
      <c r="I2103" s="58">
        <v>301807</v>
      </c>
      <c r="J2103">
        <f>IFERROR(VLOOKUP(G2103,'LEAID Match'!$A$2:$B$526,2,FALSE),"")</f>
        <v>2921000</v>
      </c>
      <c r="K2103" s="68">
        <f t="shared" si="65"/>
        <v>8</v>
      </c>
    </row>
    <row r="2104" spans="1:11" x14ac:dyDescent="0.2">
      <c r="A2104">
        <f t="shared" si="64"/>
        <v>2921000</v>
      </c>
      <c r="B2104">
        <v>2021</v>
      </c>
      <c r="C2104" t="s">
        <v>739</v>
      </c>
      <c r="D2104" t="s">
        <v>740</v>
      </c>
      <c r="E2104" t="s">
        <v>743</v>
      </c>
      <c r="F2104" s="59">
        <v>357</v>
      </c>
      <c r="G2104" s="34" t="s">
        <v>689</v>
      </c>
      <c r="H2104" s="36">
        <v>72608</v>
      </c>
      <c r="I2104" s="58">
        <v>320650</v>
      </c>
      <c r="J2104">
        <f>IFERROR(VLOOKUP(G2104,'LEAID Match'!$A$2:$B$526,2,FALSE),"")</f>
        <v>2921000</v>
      </c>
      <c r="K2104" s="68">
        <f t="shared" si="65"/>
        <v>8</v>
      </c>
    </row>
    <row r="2105" spans="1:11" x14ac:dyDescent="0.2">
      <c r="A2105">
        <f t="shared" si="64"/>
        <v>2921000</v>
      </c>
      <c r="B2105">
        <v>2022</v>
      </c>
      <c r="C2105" t="s">
        <v>739</v>
      </c>
      <c r="D2105" t="s">
        <v>740</v>
      </c>
      <c r="E2105" t="s">
        <v>743</v>
      </c>
      <c r="F2105" s="59">
        <v>357</v>
      </c>
      <c r="G2105" s="34" t="s">
        <v>689</v>
      </c>
      <c r="H2105" s="36">
        <v>74738</v>
      </c>
      <c r="I2105" s="58">
        <v>332753</v>
      </c>
      <c r="J2105">
        <f>IFERROR(VLOOKUP(G2105,'LEAID Match'!$A$2:$B$526,2,FALSE),"")</f>
        <v>2921000</v>
      </c>
      <c r="K2105" s="68">
        <f t="shared" si="65"/>
        <v>8</v>
      </c>
    </row>
    <row r="2106" spans="1:11" x14ac:dyDescent="0.2">
      <c r="A2106">
        <f t="shared" si="64"/>
        <v>2921600</v>
      </c>
      <c r="B2106">
        <v>2015</v>
      </c>
      <c r="C2106" t="s">
        <v>739</v>
      </c>
      <c r="D2106" t="s">
        <v>740</v>
      </c>
      <c r="E2106" t="s">
        <v>743</v>
      </c>
      <c r="F2106" s="35">
        <v>358</v>
      </c>
      <c r="G2106" s="39" t="s">
        <v>690</v>
      </c>
      <c r="H2106" s="40">
        <v>95225</v>
      </c>
      <c r="I2106" s="58">
        <v>929991</v>
      </c>
      <c r="J2106">
        <f>IFERROR(VLOOKUP(G2106,'LEAID Match'!$A$2:$B$526,2,FALSE),"")</f>
        <v>2921600</v>
      </c>
      <c r="K2106" s="68">
        <f t="shared" si="65"/>
        <v>8</v>
      </c>
    </row>
    <row r="2107" spans="1:11" x14ac:dyDescent="0.2">
      <c r="A2107">
        <f t="shared" si="64"/>
        <v>2921600</v>
      </c>
      <c r="B2107">
        <v>2016</v>
      </c>
      <c r="C2107" t="s">
        <v>739</v>
      </c>
      <c r="D2107" t="s">
        <v>740</v>
      </c>
      <c r="E2107" t="s">
        <v>743</v>
      </c>
      <c r="F2107" s="59">
        <v>358</v>
      </c>
      <c r="G2107" s="34" t="s">
        <v>690</v>
      </c>
      <c r="H2107" s="36">
        <v>102376</v>
      </c>
      <c r="I2107" s="60">
        <v>947528</v>
      </c>
      <c r="J2107">
        <f>IFERROR(VLOOKUP(G2107,'LEAID Match'!$A$2:$B$526,2,FALSE),"")</f>
        <v>2921600</v>
      </c>
      <c r="K2107" s="68">
        <f t="shared" si="65"/>
        <v>8</v>
      </c>
    </row>
    <row r="2108" spans="1:11" x14ac:dyDescent="0.2">
      <c r="A2108">
        <f t="shared" si="64"/>
        <v>2921600</v>
      </c>
      <c r="B2108">
        <v>2017</v>
      </c>
      <c r="C2108" t="s">
        <v>739</v>
      </c>
      <c r="D2108" t="s">
        <v>740</v>
      </c>
      <c r="E2108" t="s">
        <v>743</v>
      </c>
      <c r="F2108" s="59">
        <v>358</v>
      </c>
      <c r="G2108" s="34" t="s">
        <v>690</v>
      </c>
      <c r="H2108" s="36">
        <v>97783</v>
      </c>
      <c r="I2108" s="58">
        <v>958930</v>
      </c>
      <c r="J2108">
        <f>IFERROR(VLOOKUP(G2108,'LEAID Match'!$A$2:$B$526,2,FALSE),"")</f>
        <v>2921600</v>
      </c>
      <c r="K2108" s="68">
        <f t="shared" si="65"/>
        <v>8</v>
      </c>
    </row>
    <row r="2109" spans="1:11" x14ac:dyDescent="0.2">
      <c r="A2109">
        <f t="shared" si="64"/>
        <v>2921600</v>
      </c>
      <c r="B2109">
        <v>2018</v>
      </c>
      <c r="C2109" t="s">
        <v>739</v>
      </c>
      <c r="D2109" t="s">
        <v>740</v>
      </c>
      <c r="E2109" t="s">
        <v>743</v>
      </c>
      <c r="F2109" s="59">
        <v>358</v>
      </c>
      <c r="G2109" s="34" t="s">
        <v>690</v>
      </c>
      <c r="H2109" s="36">
        <v>99586</v>
      </c>
      <c r="I2109" s="58">
        <v>963698</v>
      </c>
      <c r="J2109">
        <f>IFERROR(VLOOKUP(G2109,'LEAID Match'!$A$2:$B$526,2,FALSE),"")</f>
        <v>2921600</v>
      </c>
      <c r="K2109" s="68">
        <f t="shared" si="65"/>
        <v>8</v>
      </c>
    </row>
    <row r="2110" spans="1:11" x14ac:dyDescent="0.2">
      <c r="A2110">
        <f t="shared" si="64"/>
        <v>2921600</v>
      </c>
      <c r="B2110">
        <v>2019</v>
      </c>
      <c r="C2110" t="s">
        <v>739</v>
      </c>
      <c r="D2110" t="s">
        <v>740</v>
      </c>
      <c r="E2110" t="s">
        <v>743</v>
      </c>
      <c r="F2110" s="59">
        <v>358</v>
      </c>
      <c r="G2110" s="34" t="s">
        <v>690</v>
      </c>
      <c r="H2110" s="36">
        <v>110306</v>
      </c>
      <c r="I2110" s="58">
        <v>982141</v>
      </c>
      <c r="J2110">
        <f>IFERROR(VLOOKUP(G2110,'LEAID Match'!$A$2:$B$526,2,FALSE),"")</f>
        <v>2921600</v>
      </c>
      <c r="K2110" s="68">
        <f t="shared" si="65"/>
        <v>8</v>
      </c>
    </row>
    <row r="2111" spans="1:11" x14ac:dyDescent="0.2">
      <c r="A2111">
        <f t="shared" si="64"/>
        <v>2921600</v>
      </c>
      <c r="B2111">
        <v>2020</v>
      </c>
      <c r="C2111" t="s">
        <v>739</v>
      </c>
      <c r="D2111" t="s">
        <v>740</v>
      </c>
      <c r="E2111" t="s">
        <v>743</v>
      </c>
      <c r="F2111" s="59">
        <v>358</v>
      </c>
      <c r="G2111" s="34" t="s">
        <v>690</v>
      </c>
      <c r="H2111" s="36">
        <v>114914</v>
      </c>
      <c r="I2111" s="58">
        <v>964792</v>
      </c>
      <c r="J2111">
        <f>IFERROR(VLOOKUP(G2111,'LEAID Match'!$A$2:$B$526,2,FALSE),"")</f>
        <v>2921600</v>
      </c>
      <c r="K2111" s="68">
        <f t="shared" si="65"/>
        <v>8</v>
      </c>
    </row>
    <row r="2112" spans="1:11" x14ac:dyDescent="0.2">
      <c r="A2112">
        <f t="shared" si="64"/>
        <v>2921600</v>
      </c>
      <c r="B2112">
        <v>2021</v>
      </c>
      <c r="C2112" t="s">
        <v>739</v>
      </c>
      <c r="D2112" t="s">
        <v>740</v>
      </c>
      <c r="E2112" t="s">
        <v>743</v>
      </c>
      <c r="F2112" s="59">
        <v>358</v>
      </c>
      <c r="G2112" s="34" t="s">
        <v>690</v>
      </c>
      <c r="H2112" s="36">
        <v>120459</v>
      </c>
      <c r="I2112" s="58">
        <v>1018482</v>
      </c>
      <c r="J2112">
        <f>IFERROR(VLOOKUP(G2112,'LEAID Match'!$A$2:$B$526,2,FALSE),"")</f>
        <v>2921600</v>
      </c>
      <c r="K2112" s="68">
        <f t="shared" si="65"/>
        <v>8</v>
      </c>
    </row>
    <row r="2113" spans="1:11" x14ac:dyDescent="0.2">
      <c r="A2113">
        <f t="shared" si="64"/>
        <v>2921600</v>
      </c>
      <c r="B2113">
        <v>2022</v>
      </c>
      <c r="C2113" t="s">
        <v>739</v>
      </c>
      <c r="D2113" t="s">
        <v>740</v>
      </c>
      <c r="E2113" t="s">
        <v>743</v>
      </c>
      <c r="F2113" s="59">
        <v>358</v>
      </c>
      <c r="G2113" s="34" t="s">
        <v>690</v>
      </c>
      <c r="H2113" s="36">
        <v>128360</v>
      </c>
      <c r="I2113" s="58">
        <v>1016177</v>
      </c>
      <c r="J2113">
        <f>IFERROR(VLOOKUP(G2113,'LEAID Match'!$A$2:$B$526,2,FALSE),"")</f>
        <v>2921600</v>
      </c>
      <c r="K2113" s="68">
        <f t="shared" si="65"/>
        <v>8</v>
      </c>
    </row>
    <row r="2114" spans="1:11" x14ac:dyDescent="0.2">
      <c r="A2114">
        <f t="shared" si="64"/>
        <v>2925110</v>
      </c>
      <c r="B2114">
        <v>2015</v>
      </c>
      <c r="C2114" t="s">
        <v>739</v>
      </c>
      <c r="D2114" t="s">
        <v>740</v>
      </c>
      <c r="E2114" t="s">
        <v>743</v>
      </c>
      <c r="F2114" s="35">
        <v>359</v>
      </c>
      <c r="G2114" s="39" t="s">
        <v>691</v>
      </c>
      <c r="H2114" s="40">
        <v>49917</v>
      </c>
      <c r="I2114" s="58">
        <v>425691</v>
      </c>
      <c r="J2114">
        <f>IFERROR(VLOOKUP(G2114,'LEAID Match'!$A$2:$B$526,2,FALSE),"")</f>
        <v>2925110</v>
      </c>
      <c r="K2114" s="68">
        <f t="shared" si="65"/>
        <v>8</v>
      </c>
    </row>
    <row r="2115" spans="1:11" x14ac:dyDescent="0.2">
      <c r="A2115">
        <f t="shared" ref="A2115:A2178" si="66">J2115</f>
        <v>2925110</v>
      </c>
      <c r="B2115">
        <v>2016</v>
      </c>
      <c r="C2115" t="s">
        <v>739</v>
      </c>
      <c r="D2115" t="s">
        <v>740</v>
      </c>
      <c r="E2115" t="s">
        <v>743</v>
      </c>
      <c r="F2115" s="59">
        <v>359</v>
      </c>
      <c r="G2115" s="34" t="s">
        <v>691</v>
      </c>
      <c r="H2115" s="36">
        <v>47106</v>
      </c>
      <c r="I2115" s="60">
        <v>417081</v>
      </c>
      <c r="J2115">
        <f>IFERROR(VLOOKUP(G2115,'LEAID Match'!$A$2:$B$526,2,FALSE),"")</f>
        <v>2925110</v>
      </c>
      <c r="K2115" s="68">
        <f t="shared" ref="K2115:K2178" si="67">COUNTIF($J$2:$J$4295,J2115)</f>
        <v>8</v>
      </c>
    </row>
    <row r="2116" spans="1:11" x14ac:dyDescent="0.2">
      <c r="A2116">
        <f t="shared" si="66"/>
        <v>2925110</v>
      </c>
      <c r="B2116">
        <v>2017</v>
      </c>
      <c r="C2116" t="s">
        <v>739</v>
      </c>
      <c r="D2116" t="s">
        <v>740</v>
      </c>
      <c r="E2116" t="s">
        <v>743</v>
      </c>
      <c r="F2116" s="59">
        <v>359</v>
      </c>
      <c r="G2116" s="34" t="s">
        <v>691</v>
      </c>
      <c r="H2116" s="36">
        <v>51732</v>
      </c>
      <c r="I2116" s="58">
        <v>421826</v>
      </c>
      <c r="J2116">
        <f>IFERROR(VLOOKUP(G2116,'LEAID Match'!$A$2:$B$526,2,FALSE),"")</f>
        <v>2925110</v>
      </c>
      <c r="K2116" s="68">
        <f t="shared" si="67"/>
        <v>8</v>
      </c>
    </row>
    <row r="2117" spans="1:11" x14ac:dyDescent="0.2">
      <c r="A2117">
        <f t="shared" si="66"/>
        <v>2925110</v>
      </c>
      <c r="B2117">
        <v>2018</v>
      </c>
      <c r="C2117" t="s">
        <v>739</v>
      </c>
      <c r="D2117" t="s">
        <v>740</v>
      </c>
      <c r="E2117" t="s">
        <v>743</v>
      </c>
      <c r="F2117" s="59">
        <v>359</v>
      </c>
      <c r="G2117" s="34" t="s">
        <v>691</v>
      </c>
      <c r="H2117" s="36">
        <v>47798</v>
      </c>
      <c r="I2117" s="58">
        <v>436336</v>
      </c>
      <c r="J2117">
        <f>IFERROR(VLOOKUP(G2117,'LEAID Match'!$A$2:$B$526,2,FALSE),"")</f>
        <v>2925110</v>
      </c>
      <c r="K2117" s="68">
        <f t="shared" si="67"/>
        <v>8</v>
      </c>
    </row>
    <row r="2118" spans="1:11" x14ac:dyDescent="0.2">
      <c r="A2118">
        <f t="shared" si="66"/>
        <v>2925110</v>
      </c>
      <c r="B2118">
        <v>2019</v>
      </c>
      <c r="C2118" t="s">
        <v>739</v>
      </c>
      <c r="D2118" t="s">
        <v>740</v>
      </c>
      <c r="E2118" t="s">
        <v>743</v>
      </c>
      <c r="F2118" s="59">
        <v>359</v>
      </c>
      <c r="G2118" s="34" t="s">
        <v>691</v>
      </c>
      <c r="H2118" s="36">
        <v>49570</v>
      </c>
      <c r="I2118" s="58">
        <v>460445</v>
      </c>
      <c r="J2118">
        <f>IFERROR(VLOOKUP(G2118,'LEAID Match'!$A$2:$B$526,2,FALSE),"")</f>
        <v>2925110</v>
      </c>
      <c r="K2118" s="68">
        <f t="shared" si="67"/>
        <v>8</v>
      </c>
    </row>
    <row r="2119" spans="1:11" x14ac:dyDescent="0.2">
      <c r="A2119">
        <f t="shared" si="66"/>
        <v>2925110</v>
      </c>
      <c r="B2119">
        <v>2020</v>
      </c>
      <c r="C2119" t="s">
        <v>739</v>
      </c>
      <c r="D2119" t="s">
        <v>740</v>
      </c>
      <c r="E2119" t="s">
        <v>743</v>
      </c>
      <c r="F2119" s="59">
        <v>359</v>
      </c>
      <c r="G2119" s="34" t="s">
        <v>691</v>
      </c>
      <c r="H2119" s="36">
        <v>49173</v>
      </c>
      <c r="I2119" s="58">
        <v>432795</v>
      </c>
      <c r="J2119">
        <f>IFERROR(VLOOKUP(G2119,'LEAID Match'!$A$2:$B$526,2,FALSE),"")</f>
        <v>2925110</v>
      </c>
      <c r="K2119" s="68">
        <f t="shared" si="67"/>
        <v>8</v>
      </c>
    </row>
    <row r="2120" spans="1:11" x14ac:dyDescent="0.2">
      <c r="A2120">
        <f t="shared" si="66"/>
        <v>2925110</v>
      </c>
      <c r="B2120">
        <v>2021</v>
      </c>
      <c r="C2120" t="s">
        <v>739</v>
      </c>
      <c r="D2120" t="s">
        <v>740</v>
      </c>
      <c r="E2120" t="s">
        <v>743</v>
      </c>
      <c r="F2120" s="59">
        <v>359</v>
      </c>
      <c r="G2120" s="34" t="s">
        <v>691</v>
      </c>
      <c r="H2120" s="36">
        <v>48933</v>
      </c>
      <c r="I2120" s="58">
        <v>456869</v>
      </c>
      <c r="J2120">
        <f>IFERROR(VLOOKUP(G2120,'LEAID Match'!$A$2:$B$526,2,FALSE),"")</f>
        <v>2925110</v>
      </c>
      <c r="K2120" s="68">
        <f t="shared" si="67"/>
        <v>8</v>
      </c>
    </row>
    <row r="2121" spans="1:11" x14ac:dyDescent="0.2">
      <c r="A2121">
        <f t="shared" si="66"/>
        <v>2925110</v>
      </c>
      <c r="B2121">
        <v>2022</v>
      </c>
      <c r="C2121" t="s">
        <v>739</v>
      </c>
      <c r="D2121" t="s">
        <v>740</v>
      </c>
      <c r="E2121" t="s">
        <v>743</v>
      </c>
      <c r="F2121" s="59">
        <v>359</v>
      </c>
      <c r="G2121" s="34" t="s">
        <v>691</v>
      </c>
      <c r="H2121" s="36">
        <v>57071</v>
      </c>
      <c r="I2121" s="58">
        <v>451840</v>
      </c>
      <c r="J2121">
        <f>IFERROR(VLOOKUP(G2121,'LEAID Match'!$A$2:$B$526,2,FALSE),"")</f>
        <v>2925110</v>
      </c>
      <c r="K2121" s="68">
        <f t="shared" si="67"/>
        <v>8</v>
      </c>
    </row>
    <row r="2122" spans="1:11" x14ac:dyDescent="0.2">
      <c r="A2122">
        <f t="shared" si="66"/>
        <v>2930810</v>
      </c>
      <c r="B2122">
        <v>2015</v>
      </c>
      <c r="C2122" t="s">
        <v>739</v>
      </c>
      <c r="D2122" t="s">
        <v>740</v>
      </c>
      <c r="E2122" t="s">
        <v>743</v>
      </c>
      <c r="F2122" s="35">
        <v>360</v>
      </c>
      <c r="G2122" s="39" t="s">
        <v>692</v>
      </c>
      <c r="H2122" s="40">
        <v>35868</v>
      </c>
      <c r="I2122" s="58">
        <v>287273</v>
      </c>
      <c r="J2122">
        <f>IFERROR(VLOOKUP(G2122,'LEAID Match'!$A$2:$B$526,2,FALSE),"")</f>
        <v>2930810</v>
      </c>
      <c r="K2122" s="68">
        <f t="shared" si="67"/>
        <v>8</v>
      </c>
    </row>
    <row r="2123" spans="1:11" x14ac:dyDescent="0.2">
      <c r="A2123">
        <f t="shared" si="66"/>
        <v>2930810</v>
      </c>
      <c r="B2123">
        <v>2016</v>
      </c>
      <c r="C2123" t="s">
        <v>739</v>
      </c>
      <c r="D2123" t="s">
        <v>740</v>
      </c>
      <c r="E2123" t="s">
        <v>743</v>
      </c>
      <c r="F2123" s="59">
        <v>360</v>
      </c>
      <c r="G2123" s="34" t="s">
        <v>692</v>
      </c>
      <c r="H2123" s="36">
        <v>35463</v>
      </c>
      <c r="I2123" s="60">
        <v>290735</v>
      </c>
      <c r="J2123">
        <f>IFERROR(VLOOKUP(G2123,'LEAID Match'!$A$2:$B$526,2,FALSE),"")</f>
        <v>2930810</v>
      </c>
      <c r="K2123" s="68">
        <f t="shared" si="67"/>
        <v>8</v>
      </c>
    </row>
    <row r="2124" spans="1:11" x14ac:dyDescent="0.2">
      <c r="A2124">
        <f t="shared" si="66"/>
        <v>2930810</v>
      </c>
      <c r="B2124">
        <v>2017</v>
      </c>
      <c r="C2124" t="s">
        <v>739</v>
      </c>
      <c r="D2124" t="s">
        <v>740</v>
      </c>
      <c r="E2124" t="s">
        <v>743</v>
      </c>
      <c r="F2124" s="59">
        <v>360</v>
      </c>
      <c r="G2124" s="34" t="s">
        <v>692</v>
      </c>
      <c r="H2124" s="36">
        <v>36497</v>
      </c>
      <c r="I2124" s="58">
        <v>295854</v>
      </c>
      <c r="J2124">
        <f>IFERROR(VLOOKUP(G2124,'LEAID Match'!$A$2:$B$526,2,FALSE),"")</f>
        <v>2930810</v>
      </c>
      <c r="K2124" s="68">
        <f t="shared" si="67"/>
        <v>8</v>
      </c>
    </row>
    <row r="2125" spans="1:11" x14ac:dyDescent="0.2">
      <c r="A2125">
        <f t="shared" si="66"/>
        <v>2930810</v>
      </c>
      <c r="B2125">
        <v>2018</v>
      </c>
      <c r="C2125" t="s">
        <v>739</v>
      </c>
      <c r="D2125" t="s">
        <v>740</v>
      </c>
      <c r="E2125" t="s">
        <v>743</v>
      </c>
      <c r="F2125" s="59">
        <v>360</v>
      </c>
      <c r="G2125" s="34" t="s">
        <v>692</v>
      </c>
      <c r="H2125" s="36">
        <v>37672</v>
      </c>
      <c r="I2125" s="58">
        <v>310521</v>
      </c>
      <c r="J2125">
        <f>IFERROR(VLOOKUP(G2125,'LEAID Match'!$A$2:$B$526,2,FALSE),"")</f>
        <v>2930810</v>
      </c>
      <c r="K2125" s="68">
        <f t="shared" si="67"/>
        <v>8</v>
      </c>
    </row>
    <row r="2126" spans="1:11" x14ac:dyDescent="0.2">
      <c r="A2126">
        <f t="shared" si="66"/>
        <v>2930810</v>
      </c>
      <c r="B2126">
        <v>2019</v>
      </c>
      <c r="C2126" t="s">
        <v>739</v>
      </c>
      <c r="D2126" t="s">
        <v>740</v>
      </c>
      <c r="E2126" t="s">
        <v>743</v>
      </c>
      <c r="F2126" s="59">
        <v>360</v>
      </c>
      <c r="G2126" s="34" t="s">
        <v>692</v>
      </c>
      <c r="H2126" s="36">
        <v>42062</v>
      </c>
      <c r="I2126" s="58">
        <v>302130</v>
      </c>
      <c r="J2126">
        <f>IFERROR(VLOOKUP(G2126,'LEAID Match'!$A$2:$B$526,2,FALSE),"")</f>
        <v>2930810</v>
      </c>
      <c r="K2126" s="68">
        <f t="shared" si="67"/>
        <v>8</v>
      </c>
    </row>
    <row r="2127" spans="1:11" x14ac:dyDescent="0.2">
      <c r="A2127">
        <f t="shared" si="66"/>
        <v>2930810</v>
      </c>
      <c r="B2127">
        <v>2020</v>
      </c>
      <c r="C2127" t="s">
        <v>739</v>
      </c>
      <c r="D2127" t="s">
        <v>740</v>
      </c>
      <c r="E2127" t="s">
        <v>743</v>
      </c>
      <c r="F2127" s="59">
        <v>360</v>
      </c>
      <c r="G2127" s="34" t="s">
        <v>692</v>
      </c>
      <c r="H2127" s="36">
        <v>39624</v>
      </c>
      <c r="I2127" s="58">
        <v>321406</v>
      </c>
      <c r="J2127">
        <f>IFERROR(VLOOKUP(G2127,'LEAID Match'!$A$2:$B$526,2,FALSE),"")</f>
        <v>2930810</v>
      </c>
      <c r="K2127" s="68">
        <f t="shared" si="67"/>
        <v>8</v>
      </c>
    </row>
    <row r="2128" spans="1:11" x14ac:dyDescent="0.2">
      <c r="A2128">
        <f t="shared" si="66"/>
        <v>2930810</v>
      </c>
      <c r="B2128">
        <v>2021</v>
      </c>
      <c r="C2128" t="s">
        <v>739</v>
      </c>
      <c r="D2128" t="s">
        <v>740</v>
      </c>
      <c r="E2128" t="s">
        <v>743</v>
      </c>
      <c r="F2128" s="59">
        <v>360</v>
      </c>
      <c r="G2128" s="34" t="s">
        <v>692</v>
      </c>
      <c r="H2128" s="36">
        <v>37953</v>
      </c>
      <c r="I2128" s="58">
        <v>320014</v>
      </c>
      <c r="J2128">
        <f>IFERROR(VLOOKUP(G2128,'LEAID Match'!$A$2:$B$526,2,FALSE),"")</f>
        <v>2930810</v>
      </c>
      <c r="K2128" s="68">
        <f t="shared" si="67"/>
        <v>8</v>
      </c>
    </row>
    <row r="2129" spans="1:11" x14ac:dyDescent="0.2">
      <c r="A2129">
        <f t="shared" si="66"/>
        <v>2930810</v>
      </c>
      <c r="B2129">
        <v>2022</v>
      </c>
      <c r="C2129" t="s">
        <v>739</v>
      </c>
      <c r="D2129" t="s">
        <v>740</v>
      </c>
      <c r="E2129" t="s">
        <v>743</v>
      </c>
      <c r="F2129" s="59">
        <v>360</v>
      </c>
      <c r="G2129" s="34" t="s">
        <v>692</v>
      </c>
      <c r="H2129" s="36">
        <v>43680</v>
      </c>
      <c r="I2129" s="58">
        <v>312681</v>
      </c>
      <c r="J2129">
        <f>IFERROR(VLOOKUP(G2129,'LEAID Match'!$A$2:$B$526,2,FALSE),"")</f>
        <v>2930810</v>
      </c>
      <c r="K2129" s="68">
        <f t="shared" si="67"/>
        <v>8</v>
      </c>
    </row>
    <row r="2130" spans="1:11" x14ac:dyDescent="0.2">
      <c r="A2130">
        <f t="shared" si="66"/>
        <v>2904020</v>
      </c>
      <c r="B2130">
        <v>2015</v>
      </c>
      <c r="C2130" t="s">
        <v>739</v>
      </c>
      <c r="D2130" t="s">
        <v>740</v>
      </c>
      <c r="E2130" t="s">
        <v>743</v>
      </c>
      <c r="F2130" s="35">
        <v>361</v>
      </c>
      <c r="G2130" s="39" t="s">
        <v>693</v>
      </c>
      <c r="H2130" s="40">
        <v>111325</v>
      </c>
      <c r="I2130" s="58">
        <v>1151248</v>
      </c>
      <c r="J2130">
        <f>IFERROR(VLOOKUP(G2130,'LEAID Match'!$A$2:$B$526,2,FALSE),"")</f>
        <v>2904020</v>
      </c>
      <c r="K2130" s="68">
        <f t="shared" si="67"/>
        <v>8</v>
      </c>
    </row>
    <row r="2131" spans="1:11" x14ac:dyDescent="0.2">
      <c r="A2131">
        <f t="shared" si="66"/>
        <v>2904020</v>
      </c>
      <c r="B2131">
        <v>2016</v>
      </c>
      <c r="C2131" t="s">
        <v>739</v>
      </c>
      <c r="D2131" t="s">
        <v>740</v>
      </c>
      <c r="E2131" t="s">
        <v>743</v>
      </c>
      <c r="F2131" s="59">
        <v>361</v>
      </c>
      <c r="G2131" s="34" t="s">
        <v>693</v>
      </c>
      <c r="H2131" s="36">
        <v>115483</v>
      </c>
      <c r="I2131" s="60">
        <v>1171231</v>
      </c>
      <c r="J2131">
        <f>IFERROR(VLOOKUP(G2131,'LEAID Match'!$A$2:$B$526,2,FALSE),"")</f>
        <v>2904020</v>
      </c>
      <c r="K2131" s="68">
        <f t="shared" si="67"/>
        <v>8</v>
      </c>
    </row>
    <row r="2132" spans="1:11" x14ac:dyDescent="0.2">
      <c r="A2132">
        <f t="shared" si="66"/>
        <v>2904020</v>
      </c>
      <c r="B2132">
        <v>2017</v>
      </c>
      <c r="C2132" t="s">
        <v>739</v>
      </c>
      <c r="D2132" t="s">
        <v>740</v>
      </c>
      <c r="E2132" t="s">
        <v>743</v>
      </c>
      <c r="F2132" s="59">
        <v>361</v>
      </c>
      <c r="G2132" s="34" t="s">
        <v>693</v>
      </c>
      <c r="H2132" s="36">
        <v>118375</v>
      </c>
      <c r="I2132" s="58">
        <v>1223491</v>
      </c>
      <c r="J2132">
        <f>IFERROR(VLOOKUP(G2132,'LEAID Match'!$A$2:$B$526,2,FALSE),"")</f>
        <v>2904020</v>
      </c>
      <c r="K2132" s="68">
        <f t="shared" si="67"/>
        <v>8</v>
      </c>
    </row>
    <row r="2133" spans="1:11" x14ac:dyDescent="0.2">
      <c r="A2133">
        <f t="shared" si="66"/>
        <v>2904020</v>
      </c>
      <c r="B2133">
        <v>2018</v>
      </c>
      <c r="C2133" t="s">
        <v>739</v>
      </c>
      <c r="D2133" t="s">
        <v>740</v>
      </c>
      <c r="E2133" t="s">
        <v>743</v>
      </c>
      <c r="F2133" s="59">
        <v>361</v>
      </c>
      <c r="G2133" s="34" t="s">
        <v>693</v>
      </c>
      <c r="H2133" s="36">
        <v>127457</v>
      </c>
      <c r="I2133" s="58">
        <v>1259630</v>
      </c>
      <c r="J2133">
        <f>IFERROR(VLOOKUP(G2133,'LEAID Match'!$A$2:$B$526,2,FALSE),"")</f>
        <v>2904020</v>
      </c>
      <c r="K2133" s="68">
        <f t="shared" si="67"/>
        <v>8</v>
      </c>
    </row>
    <row r="2134" spans="1:11" x14ac:dyDescent="0.2">
      <c r="A2134">
        <f t="shared" si="66"/>
        <v>2904020</v>
      </c>
      <c r="B2134">
        <v>2019</v>
      </c>
      <c r="C2134" t="s">
        <v>739</v>
      </c>
      <c r="D2134" t="s">
        <v>740</v>
      </c>
      <c r="E2134" t="s">
        <v>743</v>
      </c>
      <c r="F2134" s="59">
        <v>361</v>
      </c>
      <c r="G2134" s="34" t="s">
        <v>693</v>
      </c>
      <c r="H2134" s="36">
        <v>130768</v>
      </c>
      <c r="I2134" s="58">
        <v>1271058</v>
      </c>
      <c r="J2134">
        <f>IFERROR(VLOOKUP(G2134,'LEAID Match'!$A$2:$B$526,2,FALSE),"")</f>
        <v>2904020</v>
      </c>
      <c r="K2134" s="68">
        <f t="shared" si="67"/>
        <v>8</v>
      </c>
    </row>
    <row r="2135" spans="1:11" x14ac:dyDescent="0.2">
      <c r="A2135">
        <f t="shared" si="66"/>
        <v>2904020</v>
      </c>
      <c r="B2135">
        <v>2020</v>
      </c>
      <c r="C2135" t="s">
        <v>739</v>
      </c>
      <c r="D2135" t="s">
        <v>740</v>
      </c>
      <c r="E2135" t="s">
        <v>743</v>
      </c>
      <c r="F2135" s="59">
        <v>361</v>
      </c>
      <c r="G2135" s="34" t="s">
        <v>693</v>
      </c>
      <c r="H2135" s="36">
        <v>145474</v>
      </c>
      <c r="I2135" s="58">
        <v>1255093</v>
      </c>
      <c r="J2135">
        <f>IFERROR(VLOOKUP(G2135,'LEAID Match'!$A$2:$B$526,2,FALSE),"")</f>
        <v>2904020</v>
      </c>
      <c r="K2135" s="68">
        <f t="shared" si="67"/>
        <v>8</v>
      </c>
    </row>
    <row r="2136" spans="1:11" x14ac:dyDescent="0.2">
      <c r="A2136">
        <f t="shared" si="66"/>
        <v>2904020</v>
      </c>
      <c r="B2136">
        <v>2021</v>
      </c>
      <c r="C2136" t="s">
        <v>739</v>
      </c>
      <c r="D2136" t="s">
        <v>740</v>
      </c>
      <c r="E2136" t="s">
        <v>743</v>
      </c>
      <c r="F2136" s="59">
        <v>361</v>
      </c>
      <c r="G2136" s="34" t="s">
        <v>693</v>
      </c>
      <c r="H2136" s="36">
        <v>140137</v>
      </c>
      <c r="I2136" s="58">
        <v>1292816</v>
      </c>
      <c r="J2136">
        <f>IFERROR(VLOOKUP(G2136,'LEAID Match'!$A$2:$B$526,2,FALSE),"")</f>
        <v>2904020</v>
      </c>
      <c r="K2136" s="68">
        <f t="shared" si="67"/>
        <v>8</v>
      </c>
    </row>
    <row r="2137" spans="1:11" x14ac:dyDescent="0.2">
      <c r="A2137">
        <f t="shared" si="66"/>
        <v>2904020</v>
      </c>
      <c r="B2137">
        <v>2022</v>
      </c>
      <c r="C2137" t="s">
        <v>739</v>
      </c>
      <c r="D2137" t="s">
        <v>740</v>
      </c>
      <c r="E2137" t="s">
        <v>743</v>
      </c>
      <c r="F2137" s="59">
        <v>361</v>
      </c>
      <c r="G2137" s="34" t="s">
        <v>693</v>
      </c>
      <c r="H2137" s="36">
        <v>141319</v>
      </c>
      <c r="I2137" s="58">
        <v>1347366</v>
      </c>
      <c r="J2137">
        <f>IFERROR(VLOOKUP(G2137,'LEAID Match'!$A$2:$B$526,2,FALSE),"")</f>
        <v>2904020</v>
      </c>
      <c r="K2137" s="68">
        <f t="shared" si="67"/>
        <v>8</v>
      </c>
    </row>
    <row r="2138" spans="1:11" x14ac:dyDescent="0.2">
      <c r="A2138">
        <f t="shared" si="66"/>
        <v>2920310</v>
      </c>
      <c r="B2138">
        <v>2015</v>
      </c>
      <c r="C2138" t="s">
        <v>739</v>
      </c>
      <c r="D2138" t="s">
        <v>740</v>
      </c>
      <c r="E2138" t="s">
        <v>743</v>
      </c>
      <c r="F2138" s="35">
        <v>362</v>
      </c>
      <c r="G2138" s="39" t="s">
        <v>694</v>
      </c>
      <c r="H2138" s="40">
        <v>54625</v>
      </c>
      <c r="I2138" s="58">
        <v>431393</v>
      </c>
      <c r="J2138">
        <f>IFERROR(VLOOKUP(G2138,'LEAID Match'!$A$2:$B$526,2,FALSE),"")</f>
        <v>2920310</v>
      </c>
      <c r="K2138" s="68">
        <f t="shared" si="67"/>
        <v>8</v>
      </c>
    </row>
    <row r="2139" spans="1:11" x14ac:dyDescent="0.2">
      <c r="A2139">
        <f t="shared" si="66"/>
        <v>2920310</v>
      </c>
      <c r="B2139">
        <v>2016</v>
      </c>
      <c r="C2139" t="s">
        <v>739</v>
      </c>
      <c r="D2139" t="s">
        <v>740</v>
      </c>
      <c r="E2139" t="s">
        <v>743</v>
      </c>
      <c r="F2139" s="59">
        <v>362</v>
      </c>
      <c r="G2139" s="34" t="s">
        <v>694</v>
      </c>
      <c r="H2139" s="36">
        <v>54389</v>
      </c>
      <c r="I2139" s="60">
        <v>424032</v>
      </c>
      <c r="J2139">
        <f>IFERROR(VLOOKUP(G2139,'LEAID Match'!$A$2:$B$526,2,FALSE),"")</f>
        <v>2920310</v>
      </c>
      <c r="K2139" s="68">
        <f t="shared" si="67"/>
        <v>8</v>
      </c>
    </row>
    <row r="2140" spans="1:11" x14ac:dyDescent="0.2">
      <c r="A2140">
        <f t="shared" si="66"/>
        <v>2920310</v>
      </c>
      <c r="B2140">
        <v>2017</v>
      </c>
      <c r="C2140" t="s">
        <v>739</v>
      </c>
      <c r="D2140" t="s">
        <v>740</v>
      </c>
      <c r="E2140" t="s">
        <v>743</v>
      </c>
      <c r="F2140" s="59">
        <v>362</v>
      </c>
      <c r="G2140" s="34" t="s">
        <v>694</v>
      </c>
      <c r="H2140" s="36">
        <v>55356</v>
      </c>
      <c r="I2140" s="58">
        <v>436625</v>
      </c>
      <c r="J2140">
        <f>IFERROR(VLOOKUP(G2140,'LEAID Match'!$A$2:$B$526,2,FALSE),"")</f>
        <v>2920310</v>
      </c>
      <c r="K2140" s="68">
        <f t="shared" si="67"/>
        <v>8</v>
      </c>
    </row>
    <row r="2141" spans="1:11" x14ac:dyDescent="0.2">
      <c r="A2141">
        <f t="shared" si="66"/>
        <v>2920310</v>
      </c>
      <c r="B2141">
        <v>2018</v>
      </c>
      <c r="C2141" t="s">
        <v>739</v>
      </c>
      <c r="D2141" t="s">
        <v>740</v>
      </c>
      <c r="E2141" t="s">
        <v>743</v>
      </c>
      <c r="F2141" s="59">
        <v>362</v>
      </c>
      <c r="G2141" s="34" t="s">
        <v>694</v>
      </c>
      <c r="H2141" s="36">
        <v>61997</v>
      </c>
      <c r="I2141" s="58">
        <v>449966</v>
      </c>
      <c r="J2141">
        <f>IFERROR(VLOOKUP(G2141,'LEAID Match'!$A$2:$B$526,2,FALSE),"")</f>
        <v>2920310</v>
      </c>
      <c r="K2141" s="68">
        <f t="shared" si="67"/>
        <v>8</v>
      </c>
    </row>
    <row r="2142" spans="1:11" x14ac:dyDescent="0.2">
      <c r="A2142">
        <f t="shared" si="66"/>
        <v>2920310</v>
      </c>
      <c r="B2142">
        <v>2019</v>
      </c>
      <c r="C2142" t="s">
        <v>739</v>
      </c>
      <c r="D2142" t="s">
        <v>740</v>
      </c>
      <c r="E2142" t="s">
        <v>743</v>
      </c>
      <c r="F2142" s="59">
        <v>362</v>
      </c>
      <c r="G2142" s="34" t="s">
        <v>694</v>
      </c>
      <c r="H2142" s="36">
        <v>70459</v>
      </c>
      <c r="I2142" s="58">
        <v>479561</v>
      </c>
      <c r="J2142">
        <f>IFERROR(VLOOKUP(G2142,'LEAID Match'!$A$2:$B$526,2,FALSE),"")</f>
        <v>2920310</v>
      </c>
      <c r="K2142" s="68">
        <f t="shared" si="67"/>
        <v>8</v>
      </c>
    </row>
    <row r="2143" spans="1:11" x14ac:dyDescent="0.2">
      <c r="A2143">
        <f t="shared" si="66"/>
        <v>2920310</v>
      </c>
      <c r="B2143">
        <v>2020</v>
      </c>
      <c r="C2143" t="s">
        <v>739</v>
      </c>
      <c r="D2143" t="s">
        <v>740</v>
      </c>
      <c r="E2143" t="s">
        <v>743</v>
      </c>
      <c r="F2143" s="59">
        <v>362</v>
      </c>
      <c r="G2143" s="34" t="s">
        <v>694</v>
      </c>
      <c r="H2143" s="36">
        <v>70732</v>
      </c>
      <c r="I2143" s="58">
        <v>499064</v>
      </c>
      <c r="J2143">
        <f>IFERROR(VLOOKUP(G2143,'LEAID Match'!$A$2:$B$526,2,FALSE),"")</f>
        <v>2920310</v>
      </c>
      <c r="K2143" s="68">
        <f t="shared" si="67"/>
        <v>8</v>
      </c>
    </row>
    <row r="2144" spans="1:11" x14ac:dyDescent="0.2">
      <c r="A2144">
        <f t="shared" si="66"/>
        <v>2920310</v>
      </c>
      <c r="B2144">
        <v>2021</v>
      </c>
      <c r="C2144" t="s">
        <v>739</v>
      </c>
      <c r="D2144" t="s">
        <v>740</v>
      </c>
      <c r="E2144" t="s">
        <v>743</v>
      </c>
      <c r="F2144" s="59">
        <v>362</v>
      </c>
      <c r="G2144" s="34" t="s">
        <v>694</v>
      </c>
      <c r="H2144" s="36">
        <v>68020</v>
      </c>
      <c r="I2144" s="58">
        <v>517793</v>
      </c>
      <c r="J2144">
        <f>IFERROR(VLOOKUP(G2144,'LEAID Match'!$A$2:$B$526,2,FALSE),"")</f>
        <v>2920310</v>
      </c>
      <c r="K2144" s="68">
        <f t="shared" si="67"/>
        <v>8</v>
      </c>
    </row>
    <row r="2145" spans="1:11" x14ac:dyDescent="0.2">
      <c r="A2145">
        <f t="shared" si="66"/>
        <v>2920310</v>
      </c>
      <c r="B2145">
        <v>2022</v>
      </c>
      <c r="C2145" t="s">
        <v>739</v>
      </c>
      <c r="D2145" t="s">
        <v>740</v>
      </c>
      <c r="E2145" t="s">
        <v>743</v>
      </c>
      <c r="F2145" s="59">
        <v>362</v>
      </c>
      <c r="G2145" s="34" t="s">
        <v>694</v>
      </c>
      <c r="H2145" s="36">
        <v>77712</v>
      </c>
      <c r="I2145" s="58">
        <v>524604</v>
      </c>
      <c r="J2145">
        <f>IFERROR(VLOOKUP(G2145,'LEAID Match'!$A$2:$B$526,2,FALSE),"")</f>
        <v>2920310</v>
      </c>
      <c r="K2145" s="68">
        <f t="shared" si="67"/>
        <v>8</v>
      </c>
    </row>
    <row r="2146" spans="1:11" x14ac:dyDescent="0.2">
      <c r="A2146">
        <f t="shared" si="66"/>
        <v>2907080</v>
      </c>
      <c r="B2146">
        <v>2015</v>
      </c>
      <c r="C2146" t="s">
        <v>739</v>
      </c>
      <c r="D2146" t="s">
        <v>740</v>
      </c>
      <c r="E2146" t="s">
        <v>743</v>
      </c>
      <c r="F2146" s="35">
        <v>363</v>
      </c>
      <c r="G2146" s="39" t="s">
        <v>695</v>
      </c>
      <c r="H2146" s="40">
        <v>53734</v>
      </c>
      <c r="I2146" s="58">
        <v>328287</v>
      </c>
      <c r="J2146">
        <f>IFERROR(VLOOKUP(G2146,'LEAID Match'!$A$2:$B$526,2,FALSE),"")</f>
        <v>2907080</v>
      </c>
      <c r="K2146" s="68">
        <f t="shared" si="67"/>
        <v>8</v>
      </c>
    </row>
    <row r="2147" spans="1:11" x14ac:dyDescent="0.2">
      <c r="A2147">
        <f t="shared" si="66"/>
        <v>2907080</v>
      </c>
      <c r="B2147">
        <v>2016</v>
      </c>
      <c r="C2147" t="s">
        <v>739</v>
      </c>
      <c r="D2147" t="s">
        <v>740</v>
      </c>
      <c r="E2147" t="s">
        <v>743</v>
      </c>
      <c r="F2147" s="59">
        <v>363</v>
      </c>
      <c r="G2147" s="34" t="s">
        <v>695</v>
      </c>
      <c r="H2147" s="36">
        <v>57723</v>
      </c>
      <c r="I2147" s="60">
        <v>338649</v>
      </c>
      <c r="J2147">
        <f>IFERROR(VLOOKUP(G2147,'LEAID Match'!$A$2:$B$526,2,FALSE),"")</f>
        <v>2907080</v>
      </c>
      <c r="K2147" s="68">
        <f t="shared" si="67"/>
        <v>8</v>
      </c>
    </row>
    <row r="2148" spans="1:11" x14ac:dyDescent="0.2">
      <c r="A2148">
        <f t="shared" si="66"/>
        <v>2907080</v>
      </c>
      <c r="B2148">
        <v>2017</v>
      </c>
      <c r="C2148" t="s">
        <v>739</v>
      </c>
      <c r="D2148" t="s">
        <v>740</v>
      </c>
      <c r="E2148" t="s">
        <v>743</v>
      </c>
      <c r="F2148" s="59">
        <v>363</v>
      </c>
      <c r="G2148" s="34" t="s">
        <v>695</v>
      </c>
      <c r="H2148" s="36">
        <v>59354</v>
      </c>
      <c r="I2148" s="58">
        <v>345531</v>
      </c>
      <c r="J2148">
        <f>IFERROR(VLOOKUP(G2148,'LEAID Match'!$A$2:$B$526,2,FALSE),"")</f>
        <v>2907080</v>
      </c>
      <c r="K2148" s="68">
        <f t="shared" si="67"/>
        <v>8</v>
      </c>
    </row>
    <row r="2149" spans="1:11" x14ac:dyDescent="0.2">
      <c r="A2149">
        <f t="shared" si="66"/>
        <v>2907080</v>
      </c>
      <c r="B2149">
        <v>2018</v>
      </c>
      <c r="C2149" t="s">
        <v>739</v>
      </c>
      <c r="D2149" t="s">
        <v>740</v>
      </c>
      <c r="E2149" t="s">
        <v>743</v>
      </c>
      <c r="F2149" s="59">
        <v>363</v>
      </c>
      <c r="G2149" s="34" t="s">
        <v>695</v>
      </c>
      <c r="H2149" s="36">
        <v>65002</v>
      </c>
      <c r="I2149" s="58">
        <v>346822</v>
      </c>
      <c r="J2149">
        <f>IFERROR(VLOOKUP(G2149,'LEAID Match'!$A$2:$B$526,2,FALSE),"")</f>
        <v>2907080</v>
      </c>
      <c r="K2149" s="68">
        <f t="shared" si="67"/>
        <v>8</v>
      </c>
    </row>
    <row r="2150" spans="1:11" x14ac:dyDescent="0.2">
      <c r="A2150">
        <f t="shared" si="66"/>
        <v>2907080</v>
      </c>
      <c r="B2150">
        <v>2019</v>
      </c>
      <c r="C2150" t="s">
        <v>739</v>
      </c>
      <c r="D2150" t="s">
        <v>740</v>
      </c>
      <c r="E2150" t="s">
        <v>743</v>
      </c>
      <c r="F2150" s="59">
        <v>363</v>
      </c>
      <c r="G2150" s="34" t="s">
        <v>695</v>
      </c>
      <c r="H2150" s="36">
        <v>59686</v>
      </c>
      <c r="I2150" s="58">
        <v>339838</v>
      </c>
      <c r="J2150">
        <f>IFERROR(VLOOKUP(G2150,'LEAID Match'!$A$2:$B$526,2,FALSE),"")</f>
        <v>2907080</v>
      </c>
      <c r="K2150" s="68">
        <f t="shared" si="67"/>
        <v>8</v>
      </c>
    </row>
    <row r="2151" spans="1:11" x14ac:dyDescent="0.2">
      <c r="A2151">
        <f t="shared" si="66"/>
        <v>2907080</v>
      </c>
      <c r="B2151">
        <v>2020</v>
      </c>
      <c r="C2151" t="s">
        <v>739</v>
      </c>
      <c r="D2151" t="s">
        <v>740</v>
      </c>
      <c r="E2151" t="s">
        <v>743</v>
      </c>
      <c r="F2151" s="59">
        <v>363</v>
      </c>
      <c r="G2151" s="34" t="s">
        <v>695</v>
      </c>
      <c r="H2151" s="36">
        <v>62487</v>
      </c>
      <c r="I2151" s="58">
        <v>343259</v>
      </c>
      <c r="J2151">
        <f>IFERROR(VLOOKUP(G2151,'LEAID Match'!$A$2:$B$526,2,FALSE),"")</f>
        <v>2907080</v>
      </c>
      <c r="K2151" s="68">
        <f t="shared" si="67"/>
        <v>8</v>
      </c>
    </row>
    <row r="2152" spans="1:11" x14ac:dyDescent="0.2">
      <c r="A2152">
        <f t="shared" si="66"/>
        <v>2907080</v>
      </c>
      <c r="B2152">
        <v>2021</v>
      </c>
      <c r="C2152" t="s">
        <v>739</v>
      </c>
      <c r="D2152" t="s">
        <v>740</v>
      </c>
      <c r="E2152" t="s">
        <v>743</v>
      </c>
      <c r="F2152" s="59">
        <v>363</v>
      </c>
      <c r="G2152" s="34" t="s">
        <v>695</v>
      </c>
      <c r="H2152" s="36">
        <v>66627</v>
      </c>
      <c r="I2152" s="58">
        <v>369383</v>
      </c>
      <c r="J2152">
        <f>IFERROR(VLOOKUP(G2152,'LEAID Match'!$A$2:$B$526,2,FALSE),"")</f>
        <v>2907080</v>
      </c>
      <c r="K2152" s="68">
        <f t="shared" si="67"/>
        <v>8</v>
      </c>
    </row>
    <row r="2153" spans="1:11" x14ac:dyDescent="0.2">
      <c r="A2153">
        <f t="shared" si="66"/>
        <v>2907080</v>
      </c>
      <c r="B2153">
        <v>2022</v>
      </c>
      <c r="C2153" t="s">
        <v>739</v>
      </c>
      <c r="D2153" t="s">
        <v>740</v>
      </c>
      <c r="E2153" t="s">
        <v>743</v>
      </c>
      <c r="F2153" s="59">
        <v>363</v>
      </c>
      <c r="G2153" s="34" t="s">
        <v>695</v>
      </c>
      <c r="H2153" s="36">
        <v>78792</v>
      </c>
      <c r="I2153" s="58">
        <v>382126</v>
      </c>
      <c r="J2153">
        <f>IFERROR(VLOOKUP(G2153,'LEAID Match'!$A$2:$B$526,2,FALSE),"")</f>
        <v>2907080</v>
      </c>
      <c r="K2153" s="68">
        <f t="shared" si="67"/>
        <v>8</v>
      </c>
    </row>
    <row r="2154" spans="1:11" x14ac:dyDescent="0.2">
      <c r="A2154">
        <f t="shared" si="66"/>
        <v>2918460</v>
      </c>
      <c r="B2154">
        <v>2015</v>
      </c>
      <c r="C2154" t="s">
        <v>739</v>
      </c>
      <c r="D2154" t="s">
        <v>740</v>
      </c>
      <c r="E2154" t="s">
        <v>743</v>
      </c>
      <c r="F2154" s="35">
        <v>364</v>
      </c>
      <c r="G2154" s="39" t="s">
        <v>696</v>
      </c>
      <c r="H2154" s="40">
        <v>89438</v>
      </c>
      <c r="I2154" s="58">
        <v>588913</v>
      </c>
      <c r="J2154">
        <f>IFERROR(VLOOKUP(G2154,'LEAID Match'!$A$2:$B$526,2,FALSE),"")</f>
        <v>2918460</v>
      </c>
      <c r="K2154" s="68">
        <f t="shared" si="67"/>
        <v>8</v>
      </c>
    </row>
    <row r="2155" spans="1:11" x14ac:dyDescent="0.2">
      <c r="A2155">
        <f t="shared" si="66"/>
        <v>2918460</v>
      </c>
      <c r="B2155">
        <v>2016</v>
      </c>
      <c r="C2155" t="s">
        <v>739</v>
      </c>
      <c r="D2155" t="s">
        <v>740</v>
      </c>
      <c r="E2155" t="s">
        <v>743</v>
      </c>
      <c r="F2155" s="59">
        <v>364</v>
      </c>
      <c r="G2155" s="34" t="s">
        <v>696</v>
      </c>
      <c r="H2155" s="36">
        <v>104465</v>
      </c>
      <c r="I2155" s="60">
        <v>557876</v>
      </c>
      <c r="J2155">
        <f>IFERROR(VLOOKUP(G2155,'LEAID Match'!$A$2:$B$526,2,FALSE),"")</f>
        <v>2918460</v>
      </c>
      <c r="K2155" s="68">
        <f t="shared" si="67"/>
        <v>8</v>
      </c>
    </row>
    <row r="2156" spans="1:11" x14ac:dyDescent="0.2">
      <c r="A2156">
        <f t="shared" si="66"/>
        <v>2918460</v>
      </c>
      <c r="B2156">
        <v>2017</v>
      </c>
      <c r="C2156" t="s">
        <v>739</v>
      </c>
      <c r="D2156" t="s">
        <v>740</v>
      </c>
      <c r="E2156" t="s">
        <v>743</v>
      </c>
      <c r="F2156" s="59">
        <v>364</v>
      </c>
      <c r="G2156" s="34" t="s">
        <v>696</v>
      </c>
      <c r="H2156" s="36">
        <v>104116</v>
      </c>
      <c r="I2156" s="58">
        <v>576418</v>
      </c>
      <c r="J2156">
        <f>IFERROR(VLOOKUP(G2156,'LEAID Match'!$A$2:$B$526,2,FALSE),"")</f>
        <v>2918460</v>
      </c>
      <c r="K2156" s="68">
        <f t="shared" si="67"/>
        <v>8</v>
      </c>
    </row>
    <row r="2157" spans="1:11" x14ac:dyDescent="0.2">
      <c r="A2157">
        <f t="shared" si="66"/>
        <v>2918460</v>
      </c>
      <c r="B2157">
        <v>2018</v>
      </c>
      <c r="C2157" t="s">
        <v>739</v>
      </c>
      <c r="D2157" t="s">
        <v>740</v>
      </c>
      <c r="E2157" t="s">
        <v>743</v>
      </c>
      <c r="F2157" s="59">
        <v>364</v>
      </c>
      <c r="G2157" s="34" t="s">
        <v>696</v>
      </c>
      <c r="H2157" s="36">
        <v>102228</v>
      </c>
      <c r="I2157" s="58">
        <v>587615</v>
      </c>
      <c r="J2157">
        <f>IFERROR(VLOOKUP(G2157,'LEAID Match'!$A$2:$B$526,2,FALSE),"")</f>
        <v>2918460</v>
      </c>
      <c r="K2157" s="68">
        <f t="shared" si="67"/>
        <v>8</v>
      </c>
    </row>
    <row r="2158" spans="1:11" x14ac:dyDescent="0.2">
      <c r="A2158">
        <f t="shared" si="66"/>
        <v>2918460</v>
      </c>
      <c r="B2158">
        <v>2019</v>
      </c>
      <c r="C2158" t="s">
        <v>739</v>
      </c>
      <c r="D2158" t="s">
        <v>740</v>
      </c>
      <c r="E2158" t="s">
        <v>743</v>
      </c>
      <c r="F2158" s="59">
        <v>364</v>
      </c>
      <c r="G2158" s="34" t="s">
        <v>696</v>
      </c>
      <c r="H2158" s="36">
        <v>94977</v>
      </c>
      <c r="I2158" s="58">
        <v>616144</v>
      </c>
      <c r="J2158">
        <f>IFERROR(VLOOKUP(G2158,'LEAID Match'!$A$2:$B$526,2,FALSE),"")</f>
        <v>2918460</v>
      </c>
      <c r="K2158" s="68">
        <f t="shared" si="67"/>
        <v>8</v>
      </c>
    </row>
    <row r="2159" spans="1:11" x14ac:dyDescent="0.2">
      <c r="A2159">
        <f t="shared" si="66"/>
        <v>2918460</v>
      </c>
      <c r="B2159">
        <v>2020</v>
      </c>
      <c r="C2159" t="s">
        <v>739</v>
      </c>
      <c r="D2159" t="s">
        <v>740</v>
      </c>
      <c r="E2159" t="s">
        <v>743</v>
      </c>
      <c r="F2159" s="59">
        <v>364</v>
      </c>
      <c r="G2159" s="34" t="s">
        <v>696</v>
      </c>
      <c r="H2159" s="36">
        <v>97238</v>
      </c>
      <c r="I2159" s="58">
        <v>615746</v>
      </c>
      <c r="J2159">
        <f>IFERROR(VLOOKUP(G2159,'LEAID Match'!$A$2:$B$526,2,FALSE),"")</f>
        <v>2918460</v>
      </c>
      <c r="K2159" s="68">
        <f t="shared" si="67"/>
        <v>8</v>
      </c>
    </row>
    <row r="2160" spans="1:11" x14ac:dyDescent="0.2">
      <c r="A2160">
        <f t="shared" si="66"/>
        <v>2918460</v>
      </c>
      <c r="B2160">
        <v>2021</v>
      </c>
      <c r="C2160" t="s">
        <v>739</v>
      </c>
      <c r="D2160" t="s">
        <v>740</v>
      </c>
      <c r="E2160" t="s">
        <v>743</v>
      </c>
      <c r="F2160" s="59">
        <v>364</v>
      </c>
      <c r="G2160" s="34" t="s">
        <v>696</v>
      </c>
      <c r="H2160" s="36">
        <v>110690</v>
      </c>
      <c r="I2160" s="58">
        <v>642547</v>
      </c>
      <c r="J2160">
        <f>IFERROR(VLOOKUP(G2160,'LEAID Match'!$A$2:$B$526,2,FALSE),"")</f>
        <v>2918460</v>
      </c>
      <c r="K2160" s="68">
        <f t="shared" si="67"/>
        <v>8</v>
      </c>
    </row>
    <row r="2161" spans="1:11" x14ac:dyDescent="0.2">
      <c r="A2161">
        <f t="shared" si="66"/>
        <v>2918460</v>
      </c>
      <c r="B2161">
        <v>2022</v>
      </c>
      <c r="C2161" t="s">
        <v>739</v>
      </c>
      <c r="D2161" t="s">
        <v>740</v>
      </c>
      <c r="E2161" t="s">
        <v>743</v>
      </c>
      <c r="F2161" s="59">
        <v>364</v>
      </c>
      <c r="G2161" s="34" t="s">
        <v>696</v>
      </c>
      <c r="H2161" s="36">
        <v>110328</v>
      </c>
      <c r="I2161" s="58">
        <v>664711</v>
      </c>
      <c r="J2161">
        <f>IFERROR(VLOOKUP(G2161,'LEAID Match'!$A$2:$B$526,2,FALSE),"")</f>
        <v>2918460</v>
      </c>
      <c r="K2161" s="68">
        <f t="shared" si="67"/>
        <v>8</v>
      </c>
    </row>
    <row r="2162" spans="1:11" x14ac:dyDescent="0.2">
      <c r="A2162">
        <f t="shared" si="66"/>
        <v>2928290</v>
      </c>
      <c r="B2162">
        <v>2015</v>
      </c>
      <c r="C2162" t="s">
        <v>739</v>
      </c>
      <c r="D2162" t="s">
        <v>740</v>
      </c>
      <c r="E2162" t="s">
        <v>743</v>
      </c>
      <c r="F2162" s="35">
        <v>365</v>
      </c>
      <c r="G2162" s="34" t="s">
        <v>697</v>
      </c>
      <c r="H2162" s="40">
        <v>34093</v>
      </c>
      <c r="I2162" s="58">
        <v>238731</v>
      </c>
      <c r="J2162">
        <f>IFERROR(VLOOKUP(G2162,'LEAID Match'!$A$2:$B$526,2,FALSE),"")</f>
        <v>2928290</v>
      </c>
      <c r="K2162" s="68">
        <f t="shared" si="67"/>
        <v>8</v>
      </c>
    </row>
    <row r="2163" spans="1:11" x14ac:dyDescent="0.2">
      <c r="A2163">
        <f t="shared" si="66"/>
        <v>2928290</v>
      </c>
      <c r="B2163">
        <v>2016</v>
      </c>
      <c r="C2163" t="s">
        <v>739</v>
      </c>
      <c r="D2163" t="s">
        <v>740</v>
      </c>
      <c r="E2163" t="s">
        <v>743</v>
      </c>
      <c r="F2163" s="59">
        <v>365</v>
      </c>
      <c r="G2163" s="34" t="s">
        <v>697</v>
      </c>
      <c r="H2163" s="36">
        <v>35089</v>
      </c>
      <c r="I2163" s="60">
        <v>249925</v>
      </c>
      <c r="J2163">
        <f>IFERROR(VLOOKUP(G2163,'LEAID Match'!$A$2:$B$526,2,FALSE),"")</f>
        <v>2928290</v>
      </c>
      <c r="K2163" s="68">
        <f t="shared" si="67"/>
        <v>8</v>
      </c>
    </row>
    <row r="2164" spans="1:11" x14ac:dyDescent="0.2">
      <c r="A2164">
        <f t="shared" si="66"/>
        <v>2928290</v>
      </c>
      <c r="B2164">
        <v>2017</v>
      </c>
      <c r="C2164" t="s">
        <v>739</v>
      </c>
      <c r="D2164" t="s">
        <v>740</v>
      </c>
      <c r="E2164" t="s">
        <v>743</v>
      </c>
      <c r="F2164" s="59">
        <v>365</v>
      </c>
      <c r="G2164" s="34" t="s">
        <v>697</v>
      </c>
      <c r="H2164" s="36">
        <v>40659</v>
      </c>
      <c r="I2164" s="58">
        <v>246760</v>
      </c>
      <c r="J2164">
        <f>IFERROR(VLOOKUP(G2164,'LEAID Match'!$A$2:$B$526,2,FALSE),"")</f>
        <v>2928290</v>
      </c>
      <c r="K2164" s="68">
        <f t="shared" si="67"/>
        <v>8</v>
      </c>
    </row>
    <row r="2165" spans="1:11" x14ac:dyDescent="0.2">
      <c r="A2165">
        <f t="shared" si="66"/>
        <v>2928290</v>
      </c>
      <c r="B2165">
        <v>2018</v>
      </c>
      <c r="C2165" t="s">
        <v>739</v>
      </c>
      <c r="D2165" t="s">
        <v>740</v>
      </c>
      <c r="E2165" t="s">
        <v>743</v>
      </c>
      <c r="F2165" s="59">
        <v>365</v>
      </c>
      <c r="G2165" s="34" t="s">
        <v>697</v>
      </c>
      <c r="H2165" s="36">
        <v>39476</v>
      </c>
      <c r="I2165" s="58">
        <v>250378</v>
      </c>
      <c r="J2165">
        <f>IFERROR(VLOOKUP(G2165,'LEAID Match'!$A$2:$B$526,2,FALSE),"")</f>
        <v>2928290</v>
      </c>
      <c r="K2165" s="68">
        <f t="shared" si="67"/>
        <v>8</v>
      </c>
    </row>
    <row r="2166" spans="1:11" x14ac:dyDescent="0.2">
      <c r="A2166">
        <f t="shared" si="66"/>
        <v>2928290</v>
      </c>
      <c r="B2166">
        <v>2019</v>
      </c>
      <c r="C2166" t="s">
        <v>739</v>
      </c>
      <c r="D2166" t="s">
        <v>740</v>
      </c>
      <c r="E2166" t="s">
        <v>743</v>
      </c>
      <c r="F2166" s="59">
        <v>365</v>
      </c>
      <c r="G2166" s="34" t="s">
        <v>697</v>
      </c>
      <c r="H2166" s="36">
        <v>37923</v>
      </c>
      <c r="I2166" s="58">
        <v>255408</v>
      </c>
      <c r="J2166">
        <f>IFERROR(VLOOKUP(G2166,'LEAID Match'!$A$2:$B$526,2,FALSE),"")</f>
        <v>2928290</v>
      </c>
      <c r="K2166" s="68">
        <f t="shared" si="67"/>
        <v>8</v>
      </c>
    </row>
    <row r="2167" spans="1:11" x14ac:dyDescent="0.2">
      <c r="A2167">
        <f t="shared" si="66"/>
        <v>2928290</v>
      </c>
      <c r="B2167">
        <v>2020</v>
      </c>
      <c r="C2167" t="s">
        <v>739</v>
      </c>
      <c r="D2167" t="s">
        <v>740</v>
      </c>
      <c r="E2167" t="s">
        <v>743</v>
      </c>
      <c r="F2167" s="59">
        <v>365</v>
      </c>
      <c r="G2167" s="34" t="s">
        <v>697</v>
      </c>
      <c r="H2167" s="36">
        <v>35233</v>
      </c>
      <c r="I2167" s="58">
        <v>270383</v>
      </c>
      <c r="J2167">
        <f>IFERROR(VLOOKUP(G2167,'LEAID Match'!$A$2:$B$526,2,FALSE),"")</f>
        <v>2928290</v>
      </c>
      <c r="K2167" s="68">
        <f t="shared" si="67"/>
        <v>8</v>
      </c>
    </row>
    <row r="2168" spans="1:11" x14ac:dyDescent="0.2">
      <c r="A2168">
        <f t="shared" si="66"/>
        <v>2928290</v>
      </c>
      <c r="B2168">
        <v>2021</v>
      </c>
      <c r="C2168" t="s">
        <v>739</v>
      </c>
      <c r="D2168" t="s">
        <v>740</v>
      </c>
      <c r="E2168" t="s">
        <v>743</v>
      </c>
      <c r="F2168" s="59">
        <v>365</v>
      </c>
      <c r="G2168" s="34" t="s">
        <v>697</v>
      </c>
      <c r="H2168" s="36">
        <v>41070</v>
      </c>
      <c r="I2168" s="58">
        <v>270583</v>
      </c>
      <c r="J2168">
        <f>IFERROR(VLOOKUP(G2168,'LEAID Match'!$A$2:$B$526,2,FALSE),"")</f>
        <v>2928290</v>
      </c>
      <c r="K2168" s="68">
        <f t="shared" si="67"/>
        <v>8</v>
      </c>
    </row>
    <row r="2169" spans="1:11" x14ac:dyDescent="0.2">
      <c r="A2169">
        <f t="shared" si="66"/>
        <v>2928290</v>
      </c>
      <c r="B2169">
        <v>2022</v>
      </c>
      <c r="C2169" t="s">
        <v>739</v>
      </c>
      <c r="D2169" t="s">
        <v>740</v>
      </c>
      <c r="E2169" t="s">
        <v>743</v>
      </c>
      <c r="F2169" s="59">
        <v>365</v>
      </c>
      <c r="G2169" s="34" t="s">
        <v>697</v>
      </c>
      <c r="H2169" s="36">
        <v>45250</v>
      </c>
      <c r="I2169" s="58">
        <v>282737</v>
      </c>
      <c r="J2169">
        <f>IFERROR(VLOOKUP(G2169,'LEAID Match'!$A$2:$B$526,2,FALSE),"")</f>
        <v>2928290</v>
      </c>
      <c r="K2169" s="68">
        <f t="shared" si="67"/>
        <v>8</v>
      </c>
    </row>
    <row r="2170" spans="1:11" x14ac:dyDescent="0.2">
      <c r="A2170">
        <f t="shared" si="66"/>
        <v>2911400</v>
      </c>
      <c r="B2170">
        <v>2015</v>
      </c>
      <c r="C2170" t="s">
        <v>739</v>
      </c>
      <c r="D2170" t="s">
        <v>740</v>
      </c>
      <c r="E2170" t="s">
        <v>743</v>
      </c>
      <c r="F2170" s="35">
        <v>366</v>
      </c>
      <c r="G2170" s="34" t="s">
        <v>698</v>
      </c>
      <c r="H2170" s="40">
        <v>73696</v>
      </c>
      <c r="I2170" s="58">
        <v>498661</v>
      </c>
      <c r="J2170">
        <f>IFERROR(VLOOKUP(G2170,'LEAID Match'!$A$2:$B$526,2,FALSE),"")</f>
        <v>2911400</v>
      </c>
      <c r="K2170" s="68">
        <f t="shared" si="67"/>
        <v>8</v>
      </c>
    </row>
    <row r="2171" spans="1:11" x14ac:dyDescent="0.2">
      <c r="A2171">
        <f t="shared" si="66"/>
        <v>2911400</v>
      </c>
      <c r="B2171">
        <v>2016</v>
      </c>
      <c r="C2171" t="s">
        <v>739</v>
      </c>
      <c r="D2171" t="s">
        <v>740</v>
      </c>
      <c r="E2171" t="s">
        <v>743</v>
      </c>
      <c r="F2171" s="59">
        <v>366</v>
      </c>
      <c r="G2171" s="34" t="s">
        <v>698</v>
      </c>
      <c r="H2171" s="36">
        <v>81592</v>
      </c>
      <c r="I2171" s="60">
        <v>515337</v>
      </c>
      <c r="J2171">
        <f>IFERROR(VLOOKUP(G2171,'LEAID Match'!$A$2:$B$526,2,FALSE),"")</f>
        <v>2911400</v>
      </c>
      <c r="K2171" s="68">
        <f t="shared" si="67"/>
        <v>8</v>
      </c>
    </row>
    <row r="2172" spans="1:11" x14ac:dyDescent="0.2">
      <c r="A2172">
        <f t="shared" si="66"/>
        <v>2911400</v>
      </c>
      <c r="B2172">
        <v>2017</v>
      </c>
      <c r="C2172" t="s">
        <v>739</v>
      </c>
      <c r="D2172" t="s">
        <v>740</v>
      </c>
      <c r="E2172" t="s">
        <v>743</v>
      </c>
      <c r="F2172" s="59">
        <v>366</v>
      </c>
      <c r="G2172" s="34" t="s">
        <v>698</v>
      </c>
      <c r="H2172" s="36">
        <v>83334</v>
      </c>
      <c r="I2172" s="58">
        <v>519782</v>
      </c>
      <c r="J2172">
        <f>IFERROR(VLOOKUP(G2172,'LEAID Match'!$A$2:$B$526,2,FALSE),"")</f>
        <v>2911400</v>
      </c>
      <c r="K2172" s="68">
        <f t="shared" si="67"/>
        <v>8</v>
      </c>
    </row>
    <row r="2173" spans="1:11" x14ac:dyDescent="0.2">
      <c r="A2173">
        <f t="shared" si="66"/>
        <v>2911400</v>
      </c>
      <c r="B2173">
        <v>2018</v>
      </c>
      <c r="C2173" t="s">
        <v>739</v>
      </c>
      <c r="D2173" t="s">
        <v>740</v>
      </c>
      <c r="E2173" t="s">
        <v>743</v>
      </c>
      <c r="F2173" s="59">
        <v>366</v>
      </c>
      <c r="G2173" s="34" t="s">
        <v>698</v>
      </c>
      <c r="H2173" s="36">
        <v>82998</v>
      </c>
      <c r="I2173" s="58">
        <v>515262</v>
      </c>
      <c r="J2173">
        <f>IFERROR(VLOOKUP(G2173,'LEAID Match'!$A$2:$B$526,2,FALSE),"")</f>
        <v>2911400</v>
      </c>
      <c r="K2173" s="68">
        <f t="shared" si="67"/>
        <v>8</v>
      </c>
    </row>
    <row r="2174" spans="1:11" x14ac:dyDescent="0.2">
      <c r="A2174">
        <f t="shared" si="66"/>
        <v>2911400</v>
      </c>
      <c r="B2174">
        <v>2019</v>
      </c>
      <c r="C2174" t="s">
        <v>739</v>
      </c>
      <c r="D2174" t="s">
        <v>740</v>
      </c>
      <c r="E2174" t="s">
        <v>743</v>
      </c>
      <c r="F2174" s="59">
        <v>366</v>
      </c>
      <c r="G2174" s="34" t="s">
        <v>698</v>
      </c>
      <c r="H2174" s="36">
        <v>85782</v>
      </c>
      <c r="I2174" s="58">
        <v>536260</v>
      </c>
      <c r="J2174">
        <f>IFERROR(VLOOKUP(G2174,'LEAID Match'!$A$2:$B$526,2,FALSE),"")</f>
        <v>2911400</v>
      </c>
      <c r="K2174" s="68">
        <f t="shared" si="67"/>
        <v>8</v>
      </c>
    </row>
    <row r="2175" spans="1:11" x14ac:dyDescent="0.2">
      <c r="A2175">
        <f t="shared" si="66"/>
        <v>2911400</v>
      </c>
      <c r="B2175">
        <v>2020</v>
      </c>
      <c r="C2175" t="s">
        <v>739</v>
      </c>
      <c r="D2175" t="s">
        <v>740</v>
      </c>
      <c r="E2175" t="s">
        <v>743</v>
      </c>
      <c r="F2175" s="59">
        <v>366</v>
      </c>
      <c r="G2175" s="34" t="s">
        <v>698</v>
      </c>
      <c r="H2175" s="36">
        <v>92717</v>
      </c>
      <c r="I2175" s="58">
        <v>531682</v>
      </c>
      <c r="J2175">
        <f>IFERROR(VLOOKUP(G2175,'LEAID Match'!$A$2:$B$526,2,FALSE),"")</f>
        <v>2911400</v>
      </c>
      <c r="K2175" s="68">
        <f t="shared" si="67"/>
        <v>8</v>
      </c>
    </row>
    <row r="2176" spans="1:11" x14ac:dyDescent="0.2">
      <c r="A2176">
        <f t="shared" si="66"/>
        <v>2911400</v>
      </c>
      <c r="B2176">
        <v>2021</v>
      </c>
      <c r="C2176" t="s">
        <v>739</v>
      </c>
      <c r="D2176" t="s">
        <v>740</v>
      </c>
      <c r="E2176" t="s">
        <v>743</v>
      </c>
      <c r="F2176" s="59">
        <v>366</v>
      </c>
      <c r="G2176" s="34" t="s">
        <v>698</v>
      </c>
      <c r="H2176" s="36">
        <v>97586</v>
      </c>
      <c r="I2176" s="58">
        <v>536696</v>
      </c>
      <c r="J2176">
        <f>IFERROR(VLOOKUP(G2176,'LEAID Match'!$A$2:$B$526,2,FALSE),"")</f>
        <v>2911400</v>
      </c>
      <c r="K2176" s="68">
        <f t="shared" si="67"/>
        <v>8</v>
      </c>
    </row>
    <row r="2177" spans="1:11" x14ac:dyDescent="0.2">
      <c r="A2177">
        <f t="shared" si="66"/>
        <v>2911400</v>
      </c>
      <c r="B2177">
        <v>2022</v>
      </c>
      <c r="C2177" t="s">
        <v>739</v>
      </c>
      <c r="D2177" t="s">
        <v>740</v>
      </c>
      <c r="E2177" t="s">
        <v>743</v>
      </c>
      <c r="F2177" s="59">
        <v>366</v>
      </c>
      <c r="G2177" s="34" t="s">
        <v>698</v>
      </c>
      <c r="H2177" s="36">
        <v>107135</v>
      </c>
      <c r="I2177" s="58">
        <v>572181</v>
      </c>
      <c r="J2177">
        <f>IFERROR(VLOOKUP(G2177,'LEAID Match'!$A$2:$B$526,2,FALSE),"")</f>
        <v>2911400</v>
      </c>
      <c r="K2177" s="68">
        <f t="shared" si="67"/>
        <v>8</v>
      </c>
    </row>
    <row r="2178" spans="1:11" x14ac:dyDescent="0.2">
      <c r="A2178">
        <f t="shared" si="66"/>
        <v>2930450</v>
      </c>
      <c r="B2178">
        <v>2015</v>
      </c>
      <c r="C2178" t="s">
        <v>739</v>
      </c>
      <c r="D2178" t="s">
        <v>740</v>
      </c>
      <c r="E2178" t="s">
        <v>743</v>
      </c>
      <c r="F2178" s="35">
        <v>367</v>
      </c>
      <c r="G2178" s="39" t="s">
        <v>699</v>
      </c>
      <c r="H2178" s="40">
        <v>690145</v>
      </c>
      <c r="I2178" s="58">
        <v>3916184</v>
      </c>
      <c r="J2178">
        <f>IFERROR(VLOOKUP(G2178,'LEAID Match'!$A$2:$B$526,2,FALSE),"")</f>
        <v>2930450</v>
      </c>
      <c r="K2178" s="68">
        <f t="shared" si="67"/>
        <v>8</v>
      </c>
    </row>
    <row r="2179" spans="1:11" x14ac:dyDescent="0.2">
      <c r="A2179">
        <f t="shared" ref="A2179:A2242" si="68">J2179</f>
        <v>2930450</v>
      </c>
      <c r="B2179">
        <v>2016</v>
      </c>
      <c r="C2179" t="s">
        <v>739</v>
      </c>
      <c r="D2179" t="s">
        <v>740</v>
      </c>
      <c r="E2179" t="s">
        <v>743</v>
      </c>
      <c r="F2179" s="59">
        <v>367</v>
      </c>
      <c r="G2179" s="34" t="s">
        <v>699</v>
      </c>
      <c r="H2179" s="36">
        <v>744167</v>
      </c>
      <c r="I2179" s="60">
        <v>4044988</v>
      </c>
      <c r="J2179">
        <f>IFERROR(VLOOKUP(G2179,'LEAID Match'!$A$2:$B$526,2,FALSE),"")</f>
        <v>2930450</v>
      </c>
      <c r="K2179" s="68">
        <f t="shared" ref="K2179:K2242" si="69">COUNTIF($J$2:$J$4295,J2179)</f>
        <v>8</v>
      </c>
    </row>
    <row r="2180" spans="1:11" x14ac:dyDescent="0.2">
      <c r="A2180">
        <f t="shared" si="68"/>
        <v>2930450</v>
      </c>
      <c r="B2180">
        <v>2017</v>
      </c>
      <c r="C2180" t="s">
        <v>739</v>
      </c>
      <c r="D2180" t="s">
        <v>740</v>
      </c>
      <c r="E2180" t="s">
        <v>743</v>
      </c>
      <c r="F2180" s="59">
        <v>367</v>
      </c>
      <c r="G2180" s="34" t="s">
        <v>699</v>
      </c>
      <c r="H2180" s="36">
        <v>751727</v>
      </c>
      <c r="I2180" s="58">
        <v>4170749</v>
      </c>
      <c r="J2180">
        <f>IFERROR(VLOOKUP(G2180,'LEAID Match'!$A$2:$B$526,2,FALSE),"")</f>
        <v>2930450</v>
      </c>
      <c r="K2180" s="68">
        <f t="shared" si="69"/>
        <v>8</v>
      </c>
    </row>
    <row r="2181" spans="1:11" x14ac:dyDescent="0.2">
      <c r="A2181">
        <f t="shared" si="68"/>
        <v>2930450</v>
      </c>
      <c r="B2181">
        <v>2018</v>
      </c>
      <c r="C2181" t="s">
        <v>739</v>
      </c>
      <c r="D2181" t="s">
        <v>740</v>
      </c>
      <c r="E2181" t="s">
        <v>743</v>
      </c>
      <c r="F2181" s="59">
        <v>367</v>
      </c>
      <c r="G2181" s="34" t="s">
        <v>699</v>
      </c>
      <c r="H2181" s="36">
        <v>720041</v>
      </c>
      <c r="I2181" s="58">
        <v>4158648</v>
      </c>
      <c r="J2181">
        <f>IFERROR(VLOOKUP(G2181,'LEAID Match'!$A$2:$B$526,2,FALSE),"")</f>
        <v>2930450</v>
      </c>
      <c r="K2181" s="68">
        <f t="shared" si="69"/>
        <v>8</v>
      </c>
    </row>
    <row r="2182" spans="1:11" x14ac:dyDescent="0.2">
      <c r="A2182">
        <f t="shared" si="68"/>
        <v>2930450</v>
      </c>
      <c r="B2182">
        <v>2019</v>
      </c>
      <c r="C2182" t="s">
        <v>739</v>
      </c>
      <c r="D2182" t="s">
        <v>740</v>
      </c>
      <c r="E2182" t="s">
        <v>743</v>
      </c>
      <c r="F2182" s="59">
        <v>367</v>
      </c>
      <c r="G2182" s="34" t="s">
        <v>699</v>
      </c>
      <c r="H2182" s="36">
        <v>767345</v>
      </c>
      <c r="I2182" s="58">
        <v>4260372</v>
      </c>
      <c r="J2182">
        <f>IFERROR(VLOOKUP(G2182,'LEAID Match'!$A$2:$B$526,2,FALSE),"")</f>
        <v>2930450</v>
      </c>
      <c r="K2182" s="68">
        <f t="shared" si="69"/>
        <v>8</v>
      </c>
    </row>
    <row r="2183" spans="1:11" x14ac:dyDescent="0.2">
      <c r="A2183">
        <f t="shared" si="68"/>
        <v>2930450</v>
      </c>
      <c r="B2183">
        <v>2020</v>
      </c>
      <c r="C2183" t="s">
        <v>739</v>
      </c>
      <c r="D2183" t="s">
        <v>740</v>
      </c>
      <c r="E2183" t="s">
        <v>743</v>
      </c>
      <c r="F2183" s="59">
        <v>367</v>
      </c>
      <c r="G2183" s="34" t="s">
        <v>699</v>
      </c>
      <c r="H2183" s="36">
        <v>749049</v>
      </c>
      <c r="I2183" s="58">
        <v>4465742</v>
      </c>
      <c r="J2183">
        <f>IFERROR(VLOOKUP(G2183,'LEAID Match'!$A$2:$B$526,2,FALSE),"")</f>
        <v>2930450</v>
      </c>
      <c r="K2183" s="68">
        <f t="shared" si="69"/>
        <v>8</v>
      </c>
    </row>
    <row r="2184" spans="1:11" x14ac:dyDescent="0.2">
      <c r="A2184">
        <f t="shared" si="68"/>
        <v>2930450</v>
      </c>
      <c r="B2184">
        <v>2021</v>
      </c>
      <c r="C2184" t="s">
        <v>739</v>
      </c>
      <c r="D2184" t="s">
        <v>740</v>
      </c>
      <c r="E2184" t="s">
        <v>743</v>
      </c>
      <c r="F2184" s="59">
        <v>367</v>
      </c>
      <c r="G2184" s="34" t="s">
        <v>699</v>
      </c>
      <c r="H2184" s="36">
        <v>784532</v>
      </c>
      <c r="I2184" s="58">
        <v>4628129</v>
      </c>
      <c r="J2184">
        <f>IFERROR(VLOOKUP(G2184,'LEAID Match'!$A$2:$B$526,2,FALSE),"")</f>
        <v>2930450</v>
      </c>
      <c r="K2184" s="68">
        <f t="shared" si="69"/>
        <v>8</v>
      </c>
    </row>
    <row r="2185" spans="1:11" x14ac:dyDescent="0.2">
      <c r="A2185">
        <f t="shared" si="68"/>
        <v>2930450</v>
      </c>
      <c r="B2185">
        <v>2022</v>
      </c>
      <c r="C2185" t="s">
        <v>739</v>
      </c>
      <c r="D2185" t="s">
        <v>740</v>
      </c>
      <c r="E2185" t="s">
        <v>743</v>
      </c>
      <c r="F2185" s="59">
        <v>367</v>
      </c>
      <c r="G2185" s="34" t="s">
        <v>699</v>
      </c>
      <c r="H2185" s="36">
        <v>857327</v>
      </c>
      <c r="I2185" s="58">
        <v>4911641</v>
      </c>
      <c r="J2185">
        <f>IFERROR(VLOOKUP(G2185,'LEAID Match'!$A$2:$B$526,2,FALSE),"")</f>
        <v>2930450</v>
      </c>
      <c r="K2185" s="68">
        <f t="shared" si="69"/>
        <v>8</v>
      </c>
    </row>
    <row r="2186" spans="1:11" x14ac:dyDescent="0.2">
      <c r="A2186">
        <f t="shared" si="68"/>
        <v>2932190</v>
      </c>
      <c r="B2186">
        <v>2015</v>
      </c>
      <c r="C2186" t="s">
        <v>739</v>
      </c>
      <c r="D2186" t="s">
        <v>740</v>
      </c>
      <c r="E2186" t="s">
        <v>743</v>
      </c>
      <c r="F2186" s="35">
        <v>368</v>
      </c>
      <c r="G2186" s="39" t="s">
        <v>700</v>
      </c>
      <c r="H2186" s="40">
        <v>141155</v>
      </c>
      <c r="I2186" s="58">
        <v>907324</v>
      </c>
      <c r="J2186">
        <f>IFERROR(VLOOKUP(G2186,'LEAID Match'!$A$2:$B$526,2,FALSE),"")</f>
        <v>2932190</v>
      </c>
      <c r="K2186" s="68">
        <f t="shared" si="69"/>
        <v>8</v>
      </c>
    </row>
    <row r="2187" spans="1:11" x14ac:dyDescent="0.2">
      <c r="A2187">
        <f t="shared" si="68"/>
        <v>2932190</v>
      </c>
      <c r="B2187">
        <v>2016</v>
      </c>
      <c r="C2187" t="s">
        <v>739</v>
      </c>
      <c r="D2187" t="s">
        <v>740</v>
      </c>
      <c r="E2187" t="s">
        <v>743</v>
      </c>
      <c r="F2187" s="59">
        <v>368</v>
      </c>
      <c r="G2187" s="34" t="s">
        <v>700</v>
      </c>
      <c r="H2187" s="36">
        <v>149393</v>
      </c>
      <c r="I2187" s="60">
        <v>920455</v>
      </c>
      <c r="J2187">
        <f>IFERROR(VLOOKUP(G2187,'LEAID Match'!$A$2:$B$526,2,FALSE),"")</f>
        <v>2932190</v>
      </c>
      <c r="K2187" s="68">
        <f t="shared" si="69"/>
        <v>8</v>
      </c>
    </row>
    <row r="2188" spans="1:11" x14ac:dyDescent="0.2">
      <c r="A2188">
        <f t="shared" si="68"/>
        <v>2932190</v>
      </c>
      <c r="B2188">
        <v>2017</v>
      </c>
      <c r="C2188" t="s">
        <v>739</v>
      </c>
      <c r="D2188" t="s">
        <v>740</v>
      </c>
      <c r="E2188" t="s">
        <v>743</v>
      </c>
      <c r="F2188" s="59">
        <v>368</v>
      </c>
      <c r="G2188" s="34" t="s">
        <v>700</v>
      </c>
      <c r="H2188" s="36">
        <v>159727</v>
      </c>
      <c r="I2188" s="58">
        <v>929509</v>
      </c>
      <c r="J2188">
        <f>IFERROR(VLOOKUP(G2188,'LEAID Match'!$A$2:$B$526,2,FALSE),"")</f>
        <v>2932190</v>
      </c>
      <c r="K2188" s="68">
        <f t="shared" si="69"/>
        <v>8</v>
      </c>
    </row>
    <row r="2189" spans="1:11" x14ac:dyDescent="0.2">
      <c r="A2189">
        <f t="shared" si="68"/>
        <v>2932190</v>
      </c>
      <c r="B2189">
        <v>2018</v>
      </c>
      <c r="C2189" t="s">
        <v>739</v>
      </c>
      <c r="D2189" t="s">
        <v>740</v>
      </c>
      <c r="E2189" t="s">
        <v>743</v>
      </c>
      <c r="F2189" s="59">
        <v>368</v>
      </c>
      <c r="G2189" s="34" t="s">
        <v>700</v>
      </c>
      <c r="H2189" s="36">
        <v>152758</v>
      </c>
      <c r="I2189" s="58">
        <v>911591</v>
      </c>
      <c r="J2189">
        <f>IFERROR(VLOOKUP(G2189,'LEAID Match'!$A$2:$B$526,2,FALSE),"")</f>
        <v>2932190</v>
      </c>
      <c r="K2189" s="68">
        <f t="shared" si="69"/>
        <v>8</v>
      </c>
    </row>
    <row r="2190" spans="1:11" x14ac:dyDescent="0.2">
      <c r="A2190">
        <f t="shared" si="68"/>
        <v>2932190</v>
      </c>
      <c r="B2190">
        <v>2019</v>
      </c>
      <c r="C2190" t="s">
        <v>739</v>
      </c>
      <c r="D2190" t="s">
        <v>740</v>
      </c>
      <c r="E2190" t="s">
        <v>743</v>
      </c>
      <c r="F2190" s="59">
        <v>368</v>
      </c>
      <c r="G2190" s="34" t="s">
        <v>700</v>
      </c>
      <c r="H2190" s="36">
        <v>163381</v>
      </c>
      <c r="I2190" s="58">
        <v>960034</v>
      </c>
      <c r="J2190">
        <f>IFERROR(VLOOKUP(G2190,'LEAID Match'!$A$2:$B$526,2,FALSE),"")</f>
        <v>2932190</v>
      </c>
      <c r="K2190" s="68">
        <f t="shared" si="69"/>
        <v>8</v>
      </c>
    </row>
    <row r="2191" spans="1:11" x14ac:dyDescent="0.2">
      <c r="A2191">
        <f t="shared" si="68"/>
        <v>2932190</v>
      </c>
      <c r="B2191">
        <v>2020</v>
      </c>
      <c r="C2191" t="s">
        <v>739</v>
      </c>
      <c r="D2191" t="s">
        <v>740</v>
      </c>
      <c r="E2191" t="s">
        <v>743</v>
      </c>
      <c r="F2191" s="59">
        <v>368</v>
      </c>
      <c r="G2191" s="34" t="s">
        <v>700</v>
      </c>
      <c r="H2191" s="36">
        <v>160377</v>
      </c>
      <c r="I2191" s="58">
        <v>964059</v>
      </c>
      <c r="J2191">
        <f>IFERROR(VLOOKUP(G2191,'LEAID Match'!$A$2:$B$526,2,FALSE),"")</f>
        <v>2932190</v>
      </c>
      <c r="K2191" s="68">
        <f t="shared" si="69"/>
        <v>8</v>
      </c>
    </row>
    <row r="2192" spans="1:11" x14ac:dyDescent="0.2">
      <c r="A2192">
        <f t="shared" si="68"/>
        <v>2932190</v>
      </c>
      <c r="B2192">
        <v>2021</v>
      </c>
      <c r="C2192" t="s">
        <v>739</v>
      </c>
      <c r="D2192" t="s">
        <v>740</v>
      </c>
      <c r="E2192" t="s">
        <v>743</v>
      </c>
      <c r="F2192" s="59">
        <v>368</v>
      </c>
      <c r="G2192" s="34" t="s">
        <v>700</v>
      </c>
      <c r="H2192" s="36">
        <v>183018</v>
      </c>
      <c r="I2192" s="58">
        <v>1019087</v>
      </c>
      <c r="J2192">
        <f>IFERROR(VLOOKUP(G2192,'LEAID Match'!$A$2:$B$526,2,FALSE),"")</f>
        <v>2932190</v>
      </c>
      <c r="K2192" s="68">
        <f t="shared" si="69"/>
        <v>8</v>
      </c>
    </row>
    <row r="2193" spans="1:11" x14ac:dyDescent="0.2">
      <c r="A2193">
        <f t="shared" si="68"/>
        <v>2932190</v>
      </c>
      <c r="B2193">
        <v>2022</v>
      </c>
      <c r="C2193" t="s">
        <v>739</v>
      </c>
      <c r="D2193" t="s">
        <v>740</v>
      </c>
      <c r="E2193" t="s">
        <v>743</v>
      </c>
      <c r="F2193" s="59">
        <v>368</v>
      </c>
      <c r="G2193" s="34" t="s">
        <v>700</v>
      </c>
      <c r="H2193" s="36">
        <v>188869</v>
      </c>
      <c r="I2193" s="58">
        <v>1044568</v>
      </c>
      <c r="J2193">
        <f>IFERROR(VLOOKUP(G2193,'LEAID Match'!$A$2:$B$526,2,FALSE),"")</f>
        <v>2932190</v>
      </c>
      <c r="K2193" s="68">
        <f t="shared" si="69"/>
        <v>8</v>
      </c>
    </row>
    <row r="2194" spans="1:11" x14ac:dyDescent="0.2">
      <c r="A2194">
        <f t="shared" si="68"/>
        <v>2906000</v>
      </c>
      <c r="B2194">
        <v>2015</v>
      </c>
      <c r="C2194" t="s">
        <v>739</v>
      </c>
      <c r="D2194" t="s">
        <v>740</v>
      </c>
      <c r="E2194" t="s">
        <v>743</v>
      </c>
      <c r="F2194" s="35">
        <v>369</v>
      </c>
      <c r="G2194" s="34" t="s">
        <v>701</v>
      </c>
      <c r="H2194" s="40">
        <v>26366</v>
      </c>
      <c r="I2194" s="58">
        <v>160598</v>
      </c>
      <c r="J2194">
        <f>IFERROR(VLOOKUP(G2194,'LEAID Match'!$A$2:$B$526,2,FALSE),"")</f>
        <v>2906000</v>
      </c>
      <c r="K2194" s="68">
        <f t="shared" si="69"/>
        <v>8</v>
      </c>
    </row>
    <row r="2195" spans="1:11" x14ac:dyDescent="0.2">
      <c r="A2195">
        <f t="shared" si="68"/>
        <v>2906000</v>
      </c>
      <c r="B2195">
        <v>2016</v>
      </c>
      <c r="C2195" t="s">
        <v>739</v>
      </c>
      <c r="D2195" t="s">
        <v>740</v>
      </c>
      <c r="E2195" t="s">
        <v>743</v>
      </c>
      <c r="F2195" s="59">
        <v>369</v>
      </c>
      <c r="G2195" s="34" t="s">
        <v>701</v>
      </c>
      <c r="H2195" s="36">
        <v>23204</v>
      </c>
      <c r="I2195" s="60">
        <v>165955</v>
      </c>
      <c r="J2195">
        <f>IFERROR(VLOOKUP(G2195,'LEAID Match'!$A$2:$B$526,2,FALSE),"")</f>
        <v>2906000</v>
      </c>
      <c r="K2195" s="68">
        <f t="shared" si="69"/>
        <v>8</v>
      </c>
    </row>
    <row r="2196" spans="1:11" x14ac:dyDescent="0.2">
      <c r="A2196">
        <f t="shared" si="68"/>
        <v>2906000</v>
      </c>
      <c r="B2196">
        <v>2017</v>
      </c>
      <c r="C2196" t="s">
        <v>739</v>
      </c>
      <c r="D2196" t="s">
        <v>740</v>
      </c>
      <c r="E2196" t="s">
        <v>743</v>
      </c>
      <c r="F2196" s="59">
        <v>369</v>
      </c>
      <c r="G2196" s="34" t="s">
        <v>701</v>
      </c>
      <c r="H2196" s="36">
        <v>20415</v>
      </c>
      <c r="I2196" s="58">
        <v>179615</v>
      </c>
      <c r="J2196">
        <f>IFERROR(VLOOKUP(G2196,'LEAID Match'!$A$2:$B$526,2,FALSE),"")</f>
        <v>2906000</v>
      </c>
      <c r="K2196" s="68">
        <f t="shared" si="69"/>
        <v>8</v>
      </c>
    </row>
    <row r="2197" spans="1:11" x14ac:dyDescent="0.2">
      <c r="A2197">
        <f t="shared" si="68"/>
        <v>2906000</v>
      </c>
      <c r="B2197">
        <v>2018</v>
      </c>
      <c r="C2197" t="s">
        <v>739</v>
      </c>
      <c r="D2197" t="s">
        <v>740</v>
      </c>
      <c r="E2197" t="s">
        <v>743</v>
      </c>
      <c r="F2197" s="59">
        <v>369</v>
      </c>
      <c r="G2197" s="34" t="s">
        <v>701</v>
      </c>
      <c r="H2197" s="36">
        <v>20710</v>
      </c>
      <c r="I2197" s="58">
        <v>183141</v>
      </c>
      <c r="J2197">
        <f>IFERROR(VLOOKUP(G2197,'LEAID Match'!$A$2:$B$526,2,FALSE),"")</f>
        <v>2906000</v>
      </c>
      <c r="K2197" s="68">
        <f t="shared" si="69"/>
        <v>8</v>
      </c>
    </row>
    <row r="2198" spans="1:11" x14ac:dyDescent="0.2">
      <c r="A2198">
        <f t="shared" si="68"/>
        <v>2906000</v>
      </c>
      <c r="B2198">
        <v>2019</v>
      </c>
      <c r="C2198" t="s">
        <v>739</v>
      </c>
      <c r="D2198" t="s">
        <v>740</v>
      </c>
      <c r="E2198" t="s">
        <v>743</v>
      </c>
      <c r="F2198" s="59">
        <v>369</v>
      </c>
      <c r="G2198" s="34" t="s">
        <v>701</v>
      </c>
      <c r="H2198" s="36">
        <v>24107</v>
      </c>
      <c r="I2198" s="58">
        <v>180540</v>
      </c>
      <c r="J2198">
        <f>IFERROR(VLOOKUP(G2198,'LEAID Match'!$A$2:$B$526,2,FALSE),"")</f>
        <v>2906000</v>
      </c>
      <c r="K2198" s="68">
        <f t="shared" si="69"/>
        <v>8</v>
      </c>
    </row>
    <row r="2199" spans="1:11" x14ac:dyDescent="0.2">
      <c r="A2199">
        <f t="shared" si="68"/>
        <v>2906000</v>
      </c>
      <c r="B2199">
        <v>2020</v>
      </c>
      <c r="C2199" t="s">
        <v>739</v>
      </c>
      <c r="D2199" t="s">
        <v>740</v>
      </c>
      <c r="E2199" t="s">
        <v>743</v>
      </c>
      <c r="F2199" s="59">
        <v>369</v>
      </c>
      <c r="G2199" s="34" t="s">
        <v>701</v>
      </c>
      <c r="H2199" s="36">
        <v>24462</v>
      </c>
      <c r="I2199" s="58">
        <v>178678</v>
      </c>
      <c r="J2199">
        <f>IFERROR(VLOOKUP(G2199,'LEAID Match'!$A$2:$B$526,2,FALSE),"")</f>
        <v>2906000</v>
      </c>
      <c r="K2199" s="68">
        <f t="shared" si="69"/>
        <v>8</v>
      </c>
    </row>
    <row r="2200" spans="1:11" x14ac:dyDescent="0.2">
      <c r="A2200">
        <f t="shared" si="68"/>
        <v>2906000</v>
      </c>
      <c r="B2200">
        <v>2021</v>
      </c>
      <c r="C2200" t="s">
        <v>739</v>
      </c>
      <c r="D2200" t="s">
        <v>740</v>
      </c>
      <c r="E2200" t="s">
        <v>743</v>
      </c>
      <c r="F2200" s="59">
        <v>369</v>
      </c>
      <c r="G2200" s="34" t="s">
        <v>701</v>
      </c>
      <c r="H2200" s="36">
        <v>24745</v>
      </c>
      <c r="I2200" s="58">
        <v>184339</v>
      </c>
      <c r="J2200">
        <f>IFERROR(VLOOKUP(G2200,'LEAID Match'!$A$2:$B$526,2,FALSE),"")</f>
        <v>2906000</v>
      </c>
      <c r="K2200" s="68">
        <f t="shared" si="69"/>
        <v>8</v>
      </c>
    </row>
    <row r="2201" spans="1:11" x14ac:dyDescent="0.2">
      <c r="A2201">
        <f t="shared" si="68"/>
        <v>2906000</v>
      </c>
      <c r="B2201">
        <v>2022</v>
      </c>
      <c r="C2201" t="s">
        <v>739</v>
      </c>
      <c r="D2201" t="s">
        <v>740</v>
      </c>
      <c r="E2201" t="s">
        <v>743</v>
      </c>
      <c r="F2201" s="59">
        <v>369</v>
      </c>
      <c r="G2201" s="34" t="s">
        <v>701</v>
      </c>
      <c r="H2201" s="36">
        <v>24840</v>
      </c>
      <c r="I2201" s="58">
        <v>201386</v>
      </c>
      <c r="J2201">
        <f>IFERROR(VLOOKUP(G2201,'LEAID Match'!$A$2:$B$526,2,FALSE),"")</f>
        <v>2906000</v>
      </c>
      <c r="K2201" s="68">
        <f t="shared" si="69"/>
        <v>8</v>
      </c>
    </row>
    <row r="2202" spans="1:11" x14ac:dyDescent="0.2">
      <c r="A2202">
        <f t="shared" si="68"/>
        <v>2906090</v>
      </c>
      <c r="B2202">
        <v>2015</v>
      </c>
      <c r="C2202" t="s">
        <v>739</v>
      </c>
      <c r="D2202" t="s">
        <v>740</v>
      </c>
      <c r="E2202" t="s">
        <v>743</v>
      </c>
      <c r="F2202" s="35">
        <v>370</v>
      </c>
      <c r="G2202" s="34" t="s">
        <v>702</v>
      </c>
      <c r="H2202" s="40">
        <v>21315</v>
      </c>
      <c r="I2202" s="58">
        <v>124315</v>
      </c>
      <c r="J2202">
        <f>IFERROR(VLOOKUP(G2202,'LEAID Match'!$A$2:$B$526,2,FALSE),"")</f>
        <v>2906090</v>
      </c>
      <c r="K2202" s="68">
        <f t="shared" si="69"/>
        <v>8</v>
      </c>
    </row>
    <row r="2203" spans="1:11" x14ac:dyDescent="0.2">
      <c r="A2203">
        <f t="shared" si="68"/>
        <v>2906090</v>
      </c>
      <c r="B2203">
        <v>2016</v>
      </c>
      <c r="C2203" t="s">
        <v>739</v>
      </c>
      <c r="D2203" t="s">
        <v>740</v>
      </c>
      <c r="E2203" t="s">
        <v>743</v>
      </c>
      <c r="F2203" s="59">
        <v>370</v>
      </c>
      <c r="G2203" s="34" t="s">
        <v>702</v>
      </c>
      <c r="H2203" s="36">
        <v>23934</v>
      </c>
      <c r="I2203" s="60">
        <v>119254</v>
      </c>
      <c r="J2203">
        <f>IFERROR(VLOOKUP(G2203,'LEAID Match'!$A$2:$B$526,2,FALSE),"")</f>
        <v>2906090</v>
      </c>
      <c r="K2203" s="68">
        <f t="shared" si="69"/>
        <v>8</v>
      </c>
    </row>
    <row r="2204" spans="1:11" x14ac:dyDescent="0.2">
      <c r="A2204">
        <f t="shared" si="68"/>
        <v>2906090</v>
      </c>
      <c r="B2204">
        <v>2017</v>
      </c>
      <c r="C2204" t="s">
        <v>739</v>
      </c>
      <c r="D2204" t="s">
        <v>740</v>
      </c>
      <c r="E2204" t="s">
        <v>743</v>
      </c>
      <c r="F2204" s="59">
        <v>370</v>
      </c>
      <c r="G2204" s="34" t="s">
        <v>702</v>
      </c>
      <c r="H2204" s="36">
        <v>28362</v>
      </c>
      <c r="I2204" s="58">
        <v>105111</v>
      </c>
      <c r="J2204">
        <f>IFERROR(VLOOKUP(G2204,'LEAID Match'!$A$2:$B$526,2,FALSE),"")</f>
        <v>2906090</v>
      </c>
      <c r="K2204" s="68">
        <f t="shared" si="69"/>
        <v>8</v>
      </c>
    </row>
    <row r="2205" spans="1:11" x14ac:dyDescent="0.2">
      <c r="A2205">
        <f t="shared" si="68"/>
        <v>2906090</v>
      </c>
      <c r="B2205">
        <v>2018</v>
      </c>
      <c r="C2205" t="s">
        <v>739</v>
      </c>
      <c r="D2205" t="s">
        <v>740</v>
      </c>
      <c r="E2205" t="s">
        <v>743</v>
      </c>
      <c r="F2205" s="59">
        <v>370</v>
      </c>
      <c r="G2205" s="34" t="s">
        <v>702</v>
      </c>
      <c r="H2205" s="36">
        <v>29318</v>
      </c>
      <c r="I2205" s="58">
        <v>110765</v>
      </c>
      <c r="J2205">
        <f>IFERROR(VLOOKUP(G2205,'LEAID Match'!$A$2:$B$526,2,FALSE),"")</f>
        <v>2906090</v>
      </c>
      <c r="K2205" s="68">
        <f t="shared" si="69"/>
        <v>8</v>
      </c>
    </row>
    <row r="2206" spans="1:11" x14ac:dyDescent="0.2">
      <c r="A2206">
        <f t="shared" si="68"/>
        <v>2906090</v>
      </c>
      <c r="B2206">
        <v>2019</v>
      </c>
      <c r="C2206" t="s">
        <v>739</v>
      </c>
      <c r="D2206" t="s">
        <v>740</v>
      </c>
      <c r="E2206" t="s">
        <v>743</v>
      </c>
      <c r="F2206" s="59">
        <v>370</v>
      </c>
      <c r="G2206" s="34" t="s">
        <v>702</v>
      </c>
      <c r="H2206" s="36">
        <v>27083</v>
      </c>
      <c r="I2206" s="58">
        <v>118940</v>
      </c>
      <c r="J2206">
        <f>IFERROR(VLOOKUP(G2206,'LEAID Match'!$A$2:$B$526,2,FALSE),"")</f>
        <v>2906090</v>
      </c>
      <c r="K2206" s="68">
        <f t="shared" si="69"/>
        <v>8</v>
      </c>
    </row>
    <row r="2207" spans="1:11" x14ac:dyDescent="0.2">
      <c r="A2207">
        <f t="shared" si="68"/>
        <v>2906090</v>
      </c>
      <c r="B2207">
        <v>2020</v>
      </c>
      <c r="C2207" t="s">
        <v>739</v>
      </c>
      <c r="D2207" t="s">
        <v>740</v>
      </c>
      <c r="E2207" t="s">
        <v>743</v>
      </c>
      <c r="F2207" s="59">
        <v>370</v>
      </c>
      <c r="G2207" s="34" t="s">
        <v>702</v>
      </c>
      <c r="H2207" s="36">
        <v>28878</v>
      </c>
      <c r="I2207" s="58">
        <v>108723</v>
      </c>
      <c r="J2207">
        <f>IFERROR(VLOOKUP(G2207,'LEAID Match'!$A$2:$B$526,2,FALSE),"")</f>
        <v>2906090</v>
      </c>
      <c r="K2207" s="68">
        <f t="shared" si="69"/>
        <v>8</v>
      </c>
    </row>
    <row r="2208" spans="1:11" x14ac:dyDescent="0.2">
      <c r="A2208">
        <f t="shared" si="68"/>
        <v>2906090</v>
      </c>
      <c r="B2208">
        <v>2021</v>
      </c>
      <c r="C2208" t="s">
        <v>739</v>
      </c>
      <c r="D2208" t="s">
        <v>740</v>
      </c>
      <c r="E2208" t="s">
        <v>743</v>
      </c>
      <c r="F2208" s="59">
        <v>370</v>
      </c>
      <c r="G2208" s="34" t="s">
        <v>702</v>
      </c>
      <c r="H2208" s="36">
        <v>22714</v>
      </c>
      <c r="I2208" s="58">
        <v>117104</v>
      </c>
      <c r="J2208">
        <f>IFERROR(VLOOKUP(G2208,'LEAID Match'!$A$2:$B$526,2,FALSE),"")</f>
        <v>2906090</v>
      </c>
      <c r="K2208" s="68">
        <f t="shared" si="69"/>
        <v>8</v>
      </c>
    </row>
    <row r="2209" spans="1:11" x14ac:dyDescent="0.2">
      <c r="A2209">
        <f t="shared" si="68"/>
        <v>2906090</v>
      </c>
      <c r="B2209">
        <v>2022</v>
      </c>
      <c r="C2209" t="s">
        <v>739</v>
      </c>
      <c r="D2209" t="s">
        <v>740</v>
      </c>
      <c r="E2209" t="s">
        <v>743</v>
      </c>
      <c r="F2209" s="59">
        <v>370</v>
      </c>
      <c r="G2209" s="34" t="s">
        <v>702</v>
      </c>
      <c r="H2209" s="36">
        <v>22621</v>
      </c>
      <c r="I2209" s="58">
        <v>130365</v>
      </c>
      <c r="J2209">
        <f>IFERROR(VLOOKUP(G2209,'LEAID Match'!$A$2:$B$526,2,FALSE),"")</f>
        <v>2906090</v>
      </c>
      <c r="K2209" s="68">
        <f t="shared" si="69"/>
        <v>8</v>
      </c>
    </row>
    <row r="2210" spans="1:11" x14ac:dyDescent="0.2">
      <c r="A2210">
        <f t="shared" si="68"/>
        <v>2905940</v>
      </c>
      <c r="B2210">
        <v>2015</v>
      </c>
      <c r="C2210" t="s">
        <v>739</v>
      </c>
      <c r="D2210" t="s">
        <v>740</v>
      </c>
      <c r="E2210" t="s">
        <v>743</v>
      </c>
      <c r="F2210" s="35">
        <v>371</v>
      </c>
      <c r="G2210" s="39" t="s">
        <v>703</v>
      </c>
      <c r="H2210" s="40">
        <v>95698</v>
      </c>
      <c r="I2210" s="58">
        <v>775971</v>
      </c>
      <c r="J2210">
        <f>IFERROR(VLOOKUP(G2210,'LEAID Match'!$A$2:$B$526,2,FALSE),"")</f>
        <v>2905940</v>
      </c>
      <c r="K2210" s="68">
        <f t="shared" si="69"/>
        <v>8</v>
      </c>
    </row>
    <row r="2211" spans="1:11" x14ac:dyDescent="0.2">
      <c r="A2211">
        <f t="shared" si="68"/>
        <v>2905940</v>
      </c>
      <c r="B2211">
        <v>2016</v>
      </c>
      <c r="C2211" t="s">
        <v>739</v>
      </c>
      <c r="D2211" t="s">
        <v>740</v>
      </c>
      <c r="E2211" t="s">
        <v>743</v>
      </c>
      <c r="F2211" s="59">
        <v>371</v>
      </c>
      <c r="G2211" s="34" t="s">
        <v>703</v>
      </c>
      <c r="H2211" s="36">
        <v>94559</v>
      </c>
      <c r="I2211" s="60">
        <v>724440</v>
      </c>
      <c r="J2211">
        <f>IFERROR(VLOOKUP(G2211,'LEAID Match'!$A$2:$B$526,2,FALSE),"")</f>
        <v>2905940</v>
      </c>
      <c r="K2211" s="68">
        <f t="shared" si="69"/>
        <v>8</v>
      </c>
    </row>
    <row r="2212" spans="1:11" x14ac:dyDescent="0.2">
      <c r="A2212">
        <f t="shared" si="68"/>
        <v>2905940</v>
      </c>
      <c r="B2212">
        <v>2017</v>
      </c>
      <c r="C2212" t="s">
        <v>739</v>
      </c>
      <c r="D2212" t="s">
        <v>740</v>
      </c>
      <c r="E2212" t="s">
        <v>743</v>
      </c>
      <c r="F2212" s="59">
        <v>371</v>
      </c>
      <c r="G2212" s="34" t="s">
        <v>703</v>
      </c>
      <c r="H2212" s="36">
        <v>94780</v>
      </c>
      <c r="I2212" s="58">
        <v>698393</v>
      </c>
      <c r="J2212">
        <f>IFERROR(VLOOKUP(G2212,'LEAID Match'!$A$2:$B$526,2,FALSE),"")</f>
        <v>2905940</v>
      </c>
      <c r="K2212" s="68">
        <f t="shared" si="69"/>
        <v>8</v>
      </c>
    </row>
    <row r="2213" spans="1:11" x14ac:dyDescent="0.2">
      <c r="A2213">
        <f t="shared" si="68"/>
        <v>2905940</v>
      </c>
      <c r="B2213">
        <v>2018</v>
      </c>
      <c r="C2213" t="s">
        <v>739</v>
      </c>
      <c r="D2213" t="s">
        <v>740</v>
      </c>
      <c r="E2213" t="s">
        <v>743</v>
      </c>
      <c r="F2213" s="59">
        <v>371</v>
      </c>
      <c r="G2213" s="34" t="s">
        <v>703</v>
      </c>
      <c r="H2213" s="36">
        <v>93833</v>
      </c>
      <c r="I2213" s="58">
        <v>691549</v>
      </c>
      <c r="J2213">
        <f>IFERROR(VLOOKUP(G2213,'LEAID Match'!$A$2:$B$526,2,FALSE),"")</f>
        <v>2905940</v>
      </c>
      <c r="K2213" s="68">
        <f t="shared" si="69"/>
        <v>8</v>
      </c>
    </row>
    <row r="2214" spans="1:11" x14ac:dyDescent="0.2">
      <c r="A2214">
        <f t="shared" si="68"/>
        <v>2905940</v>
      </c>
      <c r="B2214">
        <v>2019</v>
      </c>
      <c r="C2214" t="s">
        <v>739</v>
      </c>
      <c r="D2214" t="s">
        <v>740</v>
      </c>
      <c r="E2214" t="s">
        <v>743</v>
      </c>
      <c r="F2214" s="59">
        <v>371</v>
      </c>
      <c r="G2214" s="34" t="s">
        <v>703</v>
      </c>
      <c r="H2214" s="36">
        <v>93251</v>
      </c>
      <c r="I2214" s="58">
        <v>720965</v>
      </c>
      <c r="J2214">
        <f>IFERROR(VLOOKUP(G2214,'LEAID Match'!$A$2:$B$526,2,FALSE),"")</f>
        <v>2905940</v>
      </c>
      <c r="K2214" s="68">
        <f t="shared" si="69"/>
        <v>8</v>
      </c>
    </row>
    <row r="2215" spans="1:11" x14ac:dyDescent="0.2">
      <c r="A2215">
        <f t="shared" si="68"/>
        <v>2905940</v>
      </c>
      <c r="B2215">
        <v>2020</v>
      </c>
      <c r="C2215" t="s">
        <v>739</v>
      </c>
      <c r="D2215" t="s">
        <v>740</v>
      </c>
      <c r="E2215" t="s">
        <v>743</v>
      </c>
      <c r="F2215" s="59">
        <v>371</v>
      </c>
      <c r="G2215" s="34" t="s">
        <v>703</v>
      </c>
      <c r="H2215" s="36">
        <v>94603</v>
      </c>
      <c r="I2215" s="58">
        <v>733391</v>
      </c>
      <c r="J2215">
        <f>IFERROR(VLOOKUP(G2215,'LEAID Match'!$A$2:$B$526,2,FALSE),"")</f>
        <v>2905940</v>
      </c>
      <c r="K2215" s="68">
        <f t="shared" si="69"/>
        <v>8</v>
      </c>
    </row>
    <row r="2216" spans="1:11" x14ac:dyDescent="0.2">
      <c r="A2216">
        <f t="shared" si="68"/>
        <v>2905940</v>
      </c>
      <c r="B2216">
        <v>2021</v>
      </c>
      <c r="C2216" t="s">
        <v>739</v>
      </c>
      <c r="D2216" t="s">
        <v>740</v>
      </c>
      <c r="E2216" t="s">
        <v>743</v>
      </c>
      <c r="F2216" s="59">
        <v>371</v>
      </c>
      <c r="G2216" s="34" t="s">
        <v>703</v>
      </c>
      <c r="H2216" s="36">
        <v>95158</v>
      </c>
      <c r="I2216" s="58">
        <v>750306</v>
      </c>
      <c r="J2216">
        <f>IFERROR(VLOOKUP(G2216,'LEAID Match'!$A$2:$B$526,2,FALSE),"")</f>
        <v>2905940</v>
      </c>
      <c r="K2216" s="68">
        <f t="shared" si="69"/>
        <v>8</v>
      </c>
    </row>
    <row r="2217" spans="1:11" x14ac:dyDescent="0.2">
      <c r="A2217">
        <f t="shared" si="68"/>
        <v>2905940</v>
      </c>
      <c r="B2217">
        <v>2022</v>
      </c>
      <c r="C2217" t="s">
        <v>739</v>
      </c>
      <c r="D2217" t="s">
        <v>740</v>
      </c>
      <c r="E2217" t="s">
        <v>743</v>
      </c>
      <c r="F2217" s="59">
        <v>371</v>
      </c>
      <c r="G2217" s="34" t="s">
        <v>703</v>
      </c>
      <c r="H2217" s="36">
        <v>99817</v>
      </c>
      <c r="I2217" s="58">
        <v>763478</v>
      </c>
      <c r="J2217">
        <f>IFERROR(VLOOKUP(G2217,'LEAID Match'!$A$2:$B$526,2,FALSE),"")</f>
        <v>2905940</v>
      </c>
      <c r="K2217" s="68">
        <f t="shared" si="69"/>
        <v>8</v>
      </c>
    </row>
    <row r="2218" spans="1:11" x14ac:dyDescent="0.2">
      <c r="A2218">
        <f t="shared" si="68"/>
        <v>2920640</v>
      </c>
      <c r="B2218">
        <v>2015</v>
      </c>
      <c r="C2218" t="s">
        <v>739</v>
      </c>
      <c r="D2218" t="s">
        <v>740</v>
      </c>
      <c r="E2218" t="s">
        <v>743</v>
      </c>
      <c r="F2218" s="35">
        <v>372</v>
      </c>
      <c r="G2218" s="39" t="s">
        <v>704</v>
      </c>
      <c r="H2218" s="40">
        <v>20971</v>
      </c>
      <c r="I2218" s="58">
        <v>138212</v>
      </c>
      <c r="J2218">
        <f>IFERROR(VLOOKUP(G2218,'LEAID Match'!$A$2:$B$526,2,FALSE),"")</f>
        <v>2920640</v>
      </c>
      <c r="K2218" s="68">
        <f t="shared" si="69"/>
        <v>8</v>
      </c>
    </row>
    <row r="2219" spans="1:11" x14ac:dyDescent="0.2">
      <c r="A2219">
        <f t="shared" si="68"/>
        <v>2920640</v>
      </c>
      <c r="B2219">
        <v>2016</v>
      </c>
      <c r="C2219" t="s">
        <v>739</v>
      </c>
      <c r="D2219" t="s">
        <v>740</v>
      </c>
      <c r="E2219" t="s">
        <v>743</v>
      </c>
      <c r="F2219" s="59">
        <v>372</v>
      </c>
      <c r="G2219" s="34" t="s">
        <v>704</v>
      </c>
      <c r="H2219" s="36">
        <v>20516</v>
      </c>
      <c r="I2219" s="60">
        <v>145712</v>
      </c>
      <c r="J2219">
        <f>IFERROR(VLOOKUP(G2219,'LEAID Match'!$A$2:$B$526,2,FALSE),"")</f>
        <v>2920640</v>
      </c>
      <c r="K2219" s="68">
        <f t="shared" si="69"/>
        <v>8</v>
      </c>
    </row>
    <row r="2220" spans="1:11" x14ac:dyDescent="0.2">
      <c r="A2220">
        <f t="shared" si="68"/>
        <v>2920640</v>
      </c>
      <c r="B2220">
        <v>2017</v>
      </c>
      <c r="C2220" t="s">
        <v>739</v>
      </c>
      <c r="D2220" t="s">
        <v>740</v>
      </c>
      <c r="E2220" t="s">
        <v>743</v>
      </c>
      <c r="F2220" s="59">
        <v>372</v>
      </c>
      <c r="G2220" s="34" t="s">
        <v>704</v>
      </c>
      <c r="H2220" s="36">
        <v>21442</v>
      </c>
      <c r="I2220" s="58">
        <v>146967</v>
      </c>
      <c r="J2220">
        <f>IFERROR(VLOOKUP(G2220,'LEAID Match'!$A$2:$B$526,2,FALSE),"")</f>
        <v>2920640</v>
      </c>
      <c r="K2220" s="68">
        <f t="shared" si="69"/>
        <v>8</v>
      </c>
    </row>
    <row r="2221" spans="1:11" x14ac:dyDescent="0.2">
      <c r="A2221">
        <f t="shared" si="68"/>
        <v>2920640</v>
      </c>
      <c r="B2221">
        <v>2018</v>
      </c>
      <c r="C2221" t="s">
        <v>739</v>
      </c>
      <c r="D2221" t="s">
        <v>740</v>
      </c>
      <c r="E2221" t="s">
        <v>743</v>
      </c>
      <c r="F2221" s="59">
        <v>372</v>
      </c>
      <c r="G2221" s="34" t="s">
        <v>704</v>
      </c>
      <c r="H2221" s="36">
        <v>18182</v>
      </c>
      <c r="I2221" s="58">
        <v>154318</v>
      </c>
      <c r="J2221">
        <f>IFERROR(VLOOKUP(G2221,'LEAID Match'!$A$2:$B$526,2,FALSE),"")</f>
        <v>2920640</v>
      </c>
      <c r="K2221" s="68">
        <f t="shared" si="69"/>
        <v>8</v>
      </c>
    </row>
    <row r="2222" spans="1:11" x14ac:dyDescent="0.2">
      <c r="A2222">
        <f t="shared" si="68"/>
        <v>2920640</v>
      </c>
      <c r="B2222">
        <v>2019</v>
      </c>
      <c r="C2222" t="s">
        <v>739</v>
      </c>
      <c r="D2222" t="s">
        <v>740</v>
      </c>
      <c r="E2222" t="s">
        <v>743</v>
      </c>
      <c r="F2222" s="59">
        <v>372</v>
      </c>
      <c r="G2222" s="34" t="s">
        <v>704</v>
      </c>
      <c r="H2222" s="36">
        <v>20082</v>
      </c>
      <c r="I2222" s="58">
        <v>159763</v>
      </c>
      <c r="J2222">
        <f>IFERROR(VLOOKUP(G2222,'LEAID Match'!$A$2:$B$526,2,FALSE),"")</f>
        <v>2920640</v>
      </c>
      <c r="K2222" s="68">
        <f t="shared" si="69"/>
        <v>8</v>
      </c>
    </row>
    <row r="2223" spans="1:11" x14ac:dyDescent="0.2">
      <c r="A2223">
        <f t="shared" si="68"/>
        <v>2920640</v>
      </c>
      <c r="B2223">
        <v>2020</v>
      </c>
      <c r="C2223" t="s">
        <v>739</v>
      </c>
      <c r="D2223" t="s">
        <v>740</v>
      </c>
      <c r="E2223" t="s">
        <v>743</v>
      </c>
      <c r="F2223" s="59">
        <v>372</v>
      </c>
      <c r="G2223" s="34" t="s">
        <v>704</v>
      </c>
      <c r="H2223" s="36">
        <v>19681</v>
      </c>
      <c r="I2223" s="58">
        <v>167137</v>
      </c>
      <c r="J2223">
        <f>IFERROR(VLOOKUP(G2223,'LEAID Match'!$A$2:$B$526,2,FALSE),"")</f>
        <v>2920640</v>
      </c>
      <c r="K2223" s="68">
        <f t="shared" si="69"/>
        <v>8</v>
      </c>
    </row>
    <row r="2224" spans="1:11" x14ac:dyDescent="0.2">
      <c r="A2224">
        <f t="shared" si="68"/>
        <v>2920640</v>
      </c>
      <c r="B2224">
        <v>2021</v>
      </c>
      <c r="C2224" t="s">
        <v>739</v>
      </c>
      <c r="D2224" t="s">
        <v>740</v>
      </c>
      <c r="E2224" t="s">
        <v>743</v>
      </c>
      <c r="F2224" s="59">
        <v>372</v>
      </c>
      <c r="G2224" s="34" t="s">
        <v>704</v>
      </c>
      <c r="H2224" s="36">
        <v>27299</v>
      </c>
      <c r="I2224" s="58">
        <v>170003</v>
      </c>
      <c r="J2224">
        <f>IFERROR(VLOOKUP(G2224,'LEAID Match'!$A$2:$B$526,2,FALSE),"")</f>
        <v>2920640</v>
      </c>
      <c r="K2224" s="68">
        <f t="shared" si="69"/>
        <v>8</v>
      </c>
    </row>
    <row r="2225" spans="1:11" x14ac:dyDescent="0.2">
      <c r="A2225">
        <f t="shared" si="68"/>
        <v>2920640</v>
      </c>
      <c r="B2225">
        <v>2022</v>
      </c>
      <c r="C2225" t="s">
        <v>739</v>
      </c>
      <c r="D2225" t="s">
        <v>740</v>
      </c>
      <c r="E2225" t="s">
        <v>743</v>
      </c>
      <c r="F2225" s="59">
        <v>372</v>
      </c>
      <c r="G2225" s="34" t="s">
        <v>704</v>
      </c>
      <c r="H2225" s="36">
        <v>36891</v>
      </c>
      <c r="I2225" s="58">
        <v>138186</v>
      </c>
      <c r="J2225">
        <f>IFERROR(VLOOKUP(G2225,'LEAID Match'!$A$2:$B$526,2,FALSE),"")</f>
        <v>2920640</v>
      </c>
      <c r="K2225" s="68">
        <f t="shared" si="69"/>
        <v>8</v>
      </c>
    </row>
    <row r="2226" spans="1:11" x14ac:dyDescent="0.2">
      <c r="A2226">
        <f t="shared" si="68"/>
        <v>2920050</v>
      </c>
      <c r="B2226">
        <v>2015</v>
      </c>
      <c r="C2226" t="s">
        <v>739</v>
      </c>
      <c r="D2226" t="s">
        <v>740</v>
      </c>
      <c r="E2226" t="s">
        <v>743</v>
      </c>
      <c r="F2226" s="35">
        <v>373</v>
      </c>
      <c r="G2226" s="39" t="s">
        <v>705</v>
      </c>
      <c r="H2226" s="40">
        <v>53195</v>
      </c>
      <c r="I2226" s="58">
        <v>462321</v>
      </c>
      <c r="J2226">
        <f>IFERROR(VLOOKUP(G2226,'LEAID Match'!$A$2:$B$526,2,FALSE),"")</f>
        <v>2920050</v>
      </c>
      <c r="K2226" s="68">
        <f t="shared" si="69"/>
        <v>8</v>
      </c>
    </row>
    <row r="2227" spans="1:11" x14ac:dyDescent="0.2">
      <c r="A2227">
        <f t="shared" si="68"/>
        <v>2920050</v>
      </c>
      <c r="B2227">
        <v>2016</v>
      </c>
      <c r="C2227" t="s">
        <v>739</v>
      </c>
      <c r="D2227" t="s">
        <v>740</v>
      </c>
      <c r="E2227" t="s">
        <v>743</v>
      </c>
      <c r="F2227" s="59">
        <v>373</v>
      </c>
      <c r="G2227" s="34" t="s">
        <v>705</v>
      </c>
      <c r="H2227" s="36">
        <v>53179</v>
      </c>
      <c r="I2227" s="60">
        <v>474412</v>
      </c>
      <c r="J2227">
        <f>IFERROR(VLOOKUP(G2227,'LEAID Match'!$A$2:$B$526,2,FALSE),"")</f>
        <v>2920050</v>
      </c>
      <c r="K2227" s="68">
        <f t="shared" si="69"/>
        <v>8</v>
      </c>
    </row>
    <row r="2228" spans="1:11" x14ac:dyDescent="0.2">
      <c r="A2228">
        <f t="shared" si="68"/>
        <v>2920050</v>
      </c>
      <c r="B2228">
        <v>2017</v>
      </c>
      <c r="C2228" t="s">
        <v>739</v>
      </c>
      <c r="D2228" t="s">
        <v>740</v>
      </c>
      <c r="E2228" t="s">
        <v>743</v>
      </c>
      <c r="F2228" s="59">
        <v>373</v>
      </c>
      <c r="G2228" s="34" t="s">
        <v>705</v>
      </c>
      <c r="H2228" s="36">
        <v>57251</v>
      </c>
      <c r="I2228" s="58">
        <v>463145</v>
      </c>
      <c r="J2228">
        <f>IFERROR(VLOOKUP(G2228,'LEAID Match'!$A$2:$B$526,2,FALSE),"")</f>
        <v>2920050</v>
      </c>
      <c r="K2228" s="68">
        <f t="shared" si="69"/>
        <v>8</v>
      </c>
    </row>
    <row r="2229" spans="1:11" x14ac:dyDescent="0.2">
      <c r="A2229">
        <f t="shared" si="68"/>
        <v>2920050</v>
      </c>
      <c r="B2229">
        <v>2018</v>
      </c>
      <c r="C2229" t="s">
        <v>739</v>
      </c>
      <c r="D2229" t="s">
        <v>740</v>
      </c>
      <c r="E2229" t="s">
        <v>743</v>
      </c>
      <c r="F2229" s="59">
        <v>373</v>
      </c>
      <c r="G2229" s="34" t="s">
        <v>705</v>
      </c>
      <c r="H2229" s="36">
        <v>60001</v>
      </c>
      <c r="I2229" s="58">
        <v>456546</v>
      </c>
      <c r="J2229">
        <f>IFERROR(VLOOKUP(G2229,'LEAID Match'!$A$2:$B$526,2,FALSE),"")</f>
        <v>2920050</v>
      </c>
      <c r="K2229" s="68">
        <f t="shared" si="69"/>
        <v>8</v>
      </c>
    </row>
    <row r="2230" spans="1:11" x14ac:dyDescent="0.2">
      <c r="A2230">
        <f t="shared" si="68"/>
        <v>2920050</v>
      </c>
      <c r="B2230">
        <v>2019</v>
      </c>
      <c r="C2230" t="s">
        <v>739</v>
      </c>
      <c r="D2230" t="s">
        <v>740</v>
      </c>
      <c r="E2230" t="s">
        <v>743</v>
      </c>
      <c r="F2230" s="59">
        <v>373</v>
      </c>
      <c r="G2230" s="34" t="s">
        <v>705</v>
      </c>
      <c r="H2230" s="36">
        <v>65708</v>
      </c>
      <c r="I2230" s="58">
        <v>457582</v>
      </c>
      <c r="J2230">
        <f>IFERROR(VLOOKUP(G2230,'LEAID Match'!$A$2:$B$526,2,FALSE),"")</f>
        <v>2920050</v>
      </c>
      <c r="K2230" s="68">
        <f t="shared" si="69"/>
        <v>8</v>
      </c>
    </row>
    <row r="2231" spans="1:11" x14ac:dyDescent="0.2">
      <c r="A2231">
        <f t="shared" si="68"/>
        <v>2920050</v>
      </c>
      <c r="B2231">
        <v>2020</v>
      </c>
      <c r="C2231" t="s">
        <v>739</v>
      </c>
      <c r="D2231" t="s">
        <v>740</v>
      </c>
      <c r="E2231" t="s">
        <v>743</v>
      </c>
      <c r="F2231" s="59">
        <v>373</v>
      </c>
      <c r="G2231" s="34" t="s">
        <v>705</v>
      </c>
      <c r="H2231" s="36">
        <v>70167</v>
      </c>
      <c r="I2231" s="58">
        <v>462261</v>
      </c>
      <c r="J2231">
        <f>IFERROR(VLOOKUP(G2231,'LEAID Match'!$A$2:$B$526,2,FALSE),"")</f>
        <v>2920050</v>
      </c>
      <c r="K2231" s="68">
        <f t="shared" si="69"/>
        <v>8</v>
      </c>
    </row>
    <row r="2232" spans="1:11" x14ac:dyDescent="0.2">
      <c r="A2232">
        <f t="shared" si="68"/>
        <v>2920050</v>
      </c>
      <c r="B2232">
        <v>2021</v>
      </c>
      <c r="C2232" t="s">
        <v>739</v>
      </c>
      <c r="D2232" t="s">
        <v>740</v>
      </c>
      <c r="E2232" t="s">
        <v>743</v>
      </c>
      <c r="F2232" s="59">
        <v>373</v>
      </c>
      <c r="G2232" s="34" t="s">
        <v>705</v>
      </c>
      <c r="H2232" s="36">
        <v>65610</v>
      </c>
      <c r="I2232" s="58">
        <v>504523</v>
      </c>
      <c r="J2232">
        <f>IFERROR(VLOOKUP(G2232,'LEAID Match'!$A$2:$B$526,2,FALSE),"")</f>
        <v>2920050</v>
      </c>
      <c r="K2232" s="68">
        <f t="shared" si="69"/>
        <v>8</v>
      </c>
    </row>
    <row r="2233" spans="1:11" x14ac:dyDescent="0.2">
      <c r="A2233">
        <f t="shared" si="68"/>
        <v>2920050</v>
      </c>
      <c r="B2233">
        <v>2022</v>
      </c>
      <c r="C2233" t="s">
        <v>739</v>
      </c>
      <c r="D2233" t="s">
        <v>740</v>
      </c>
      <c r="E2233" t="s">
        <v>743</v>
      </c>
      <c r="F2233" s="59">
        <v>373</v>
      </c>
      <c r="G2233" s="34" t="s">
        <v>705</v>
      </c>
      <c r="H2233" s="36">
        <v>68187</v>
      </c>
      <c r="I2233" s="58">
        <v>507322</v>
      </c>
      <c r="J2233">
        <f>IFERROR(VLOOKUP(G2233,'LEAID Match'!$A$2:$B$526,2,FALSE),"")</f>
        <v>2920050</v>
      </c>
      <c r="K2233" s="68">
        <f t="shared" si="69"/>
        <v>8</v>
      </c>
    </row>
    <row r="2234" spans="1:11" x14ac:dyDescent="0.2">
      <c r="A2234">
        <f t="shared" si="68"/>
        <v>0</v>
      </c>
      <c r="B2234">
        <v>2015</v>
      </c>
      <c r="C2234" t="s">
        <v>739</v>
      </c>
      <c r="D2234" t="s">
        <v>740</v>
      </c>
      <c r="E2234" t="s">
        <v>743</v>
      </c>
      <c r="F2234" s="35">
        <v>374</v>
      </c>
      <c r="G2234" s="39" t="s">
        <v>706</v>
      </c>
      <c r="H2234" s="40">
        <v>14735</v>
      </c>
      <c r="I2234" s="58">
        <v>119854</v>
      </c>
      <c r="J2234">
        <f>IFERROR(VLOOKUP(G2234,'LEAID Match'!$A$2:$B$526,2,FALSE),"")</f>
        <v>0</v>
      </c>
      <c r="K2234" s="68">
        <f>COUNTIF($J$2:$J$4295,J2234)</f>
        <v>16</v>
      </c>
    </row>
    <row r="2235" spans="1:11" x14ac:dyDescent="0.2">
      <c r="A2235">
        <f t="shared" si="68"/>
        <v>0</v>
      </c>
      <c r="B2235">
        <v>2016</v>
      </c>
      <c r="C2235" t="s">
        <v>739</v>
      </c>
      <c r="D2235" t="s">
        <v>740</v>
      </c>
      <c r="E2235" t="s">
        <v>743</v>
      </c>
      <c r="F2235" s="59">
        <v>374</v>
      </c>
      <c r="G2235" s="34" t="s">
        <v>706</v>
      </c>
      <c r="H2235" s="36">
        <v>11211</v>
      </c>
      <c r="I2235" s="60">
        <v>130750</v>
      </c>
      <c r="J2235">
        <f>IFERROR(VLOOKUP(G2235,'LEAID Match'!$A$2:$B$526,2,FALSE),"")</f>
        <v>0</v>
      </c>
      <c r="K2235" s="68">
        <f t="shared" si="69"/>
        <v>16</v>
      </c>
    </row>
    <row r="2236" spans="1:11" x14ac:dyDescent="0.2">
      <c r="A2236">
        <f t="shared" si="68"/>
        <v>0</v>
      </c>
      <c r="B2236">
        <v>2017</v>
      </c>
      <c r="C2236" t="s">
        <v>739</v>
      </c>
      <c r="D2236" t="s">
        <v>740</v>
      </c>
      <c r="E2236" t="s">
        <v>743</v>
      </c>
      <c r="F2236" s="59">
        <v>374</v>
      </c>
      <c r="G2236" s="34" t="s">
        <v>706</v>
      </c>
      <c r="H2236" s="36">
        <v>8175</v>
      </c>
      <c r="I2236" s="58">
        <v>128704</v>
      </c>
      <c r="J2236">
        <f>IFERROR(VLOOKUP(G2236,'LEAID Match'!$A$2:$B$526,2,FALSE),"")</f>
        <v>0</v>
      </c>
      <c r="K2236" s="68">
        <f t="shared" si="69"/>
        <v>16</v>
      </c>
    </row>
    <row r="2237" spans="1:11" x14ac:dyDescent="0.2">
      <c r="A2237">
        <f t="shared" si="68"/>
        <v>0</v>
      </c>
      <c r="B2237">
        <v>2018</v>
      </c>
      <c r="C2237" t="s">
        <v>739</v>
      </c>
      <c r="D2237" t="s">
        <v>740</v>
      </c>
      <c r="E2237" t="s">
        <v>743</v>
      </c>
      <c r="F2237" s="59">
        <v>374</v>
      </c>
      <c r="G2237" s="34" t="s">
        <v>706</v>
      </c>
      <c r="H2237" s="36">
        <v>10554</v>
      </c>
      <c r="I2237" s="58">
        <v>132144</v>
      </c>
      <c r="J2237">
        <f>IFERROR(VLOOKUP(G2237,'LEAID Match'!$A$2:$B$526,2,FALSE),"")</f>
        <v>0</v>
      </c>
      <c r="K2237" s="68">
        <f t="shared" si="69"/>
        <v>16</v>
      </c>
    </row>
    <row r="2238" spans="1:11" x14ac:dyDescent="0.2">
      <c r="A2238">
        <f t="shared" si="68"/>
        <v>0</v>
      </c>
      <c r="B2238">
        <v>2019</v>
      </c>
      <c r="C2238" t="s">
        <v>739</v>
      </c>
      <c r="D2238" t="s">
        <v>740</v>
      </c>
      <c r="E2238" t="s">
        <v>743</v>
      </c>
      <c r="F2238" s="59">
        <v>374</v>
      </c>
      <c r="G2238" s="34" t="s">
        <v>706</v>
      </c>
      <c r="H2238" s="36">
        <v>19703</v>
      </c>
      <c r="I2238" s="58">
        <v>113246</v>
      </c>
      <c r="J2238">
        <f>IFERROR(VLOOKUP(G2238,'LEAID Match'!$A$2:$B$526,2,FALSE),"")</f>
        <v>0</v>
      </c>
      <c r="K2238" s="68">
        <f t="shared" si="69"/>
        <v>16</v>
      </c>
    </row>
    <row r="2239" spans="1:11" x14ac:dyDescent="0.2">
      <c r="A2239">
        <f t="shared" si="68"/>
        <v>0</v>
      </c>
      <c r="B2239">
        <v>2020</v>
      </c>
      <c r="C2239" t="s">
        <v>739</v>
      </c>
      <c r="D2239" t="s">
        <v>740</v>
      </c>
      <c r="E2239" t="s">
        <v>743</v>
      </c>
      <c r="F2239" s="59">
        <v>374</v>
      </c>
      <c r="G2239" s="34" t="s">
        <v>706</v>
      </c>
      <c r="H2239" s="36">
        <v>18626</v>
      </c>
      <c r="I2239" s="58">
        <v>112127</v>
      </c>
      <c r="J2239">
        <f>IFERROR(VLOOKUP(G2239,'LEAID Match'!$A$2:$B$526,2,FALSE),"")</f>
        <v>0</v>
      </c>
      <c r="K2239" s="68">
        <f t="shared" si="69"/>
        <v>16</v>
      </c>
    </row>
    <row r="2240" spans="1:11" x14ac:dyDescent="0.2">
      <c r="A2240">
        <f t="shared" si="68"/>
        <v>0</v>
      </c>
      <c r="B2240">
        <v>2021</v>
      </c>
      <c r="C2240" t="s">
        <v>739</v>
      </c>
      <c r="D2240" t="s">
        <v>740</v>
      </c>
      <c r="E2240" t="s">
        <v>743</v>
      </c>
      <c r="F2240" s="59">
        <v>374</v>
      </c>
      <c r="G2240" s="34" t="s">
        <v>706</v>
      </c>
      <c r="H2240" s="36">
        <v>20130</v>
      </c>
      <c r="I2240" s="58">
        <v>122638</v>
      </c>
      <c r="J2240">
        <f>IFERROR(VLOOKUP(G2240,'LEAID Match'!$A$2:$B$526,2,FALSE),"")</f>
        <v>0</v>
      </c>
      <c r="K2240" s="68">
        <f t="shared" si="69"/>
        <v>16</v>
      </c>
    </row>
    <row r="2241" spans="1:11" x14ac:dyDescent="0.2">
      <c r="A2241">
        <f t="shared" si="68"/>
        <v>0</v>
      </c>
      <c r="B2241">
        <v>2022</v>
      </c>
      <c r="C2241" t="s">
        <v>739</v>
      </c>
      <c r="D2241" t="s">
        <v>740</v>
      </c>
      <c r="E2241" t="s">
        <v>743</v>
      </c>
      <c r="F2241" s="59">
        <v>374</v>
      </c>
      <c r="G2241" s="34" t="s">
        <v>706</v>
      </c>
      <c r="H2241" s="36">
        <v>24743</v>
      </c>
      <c r="I2241" s="58">
        <v>112509</v>
      </c>
      <c r="J2241">
        <f>IFERROR(VLOOKUP(G2241,'LEAID Match'!$A$2:$B$526,2,FALSE),"")</f>
        <v>0</v>
      </c>
      <c r="K2241" s="68">
        <f t="shared" si="69"/>
        <v>16</v>
      </c>
    </row>
    <row r="2242" spans="1:11" x14ac:dyDescent="0.2">
      <c r="A2242">
        <f t="shared" si="68"/>
        <v>2908760</v>
      </c>
      <c r="B2242">
        <v>2015</v>
      </c>
      <c r="C2242" t="s">
        <v>739</v>
      </c>
      <c r="D2242" t="s">
        <v>740</v>
      </c>
      <c r="E2242" t="s">
        <v>743</v>
      </c>
      <c r="F2242" s="35">
        <v>375</v>
      </c>
      <c r="G2242" s="34" t="s">
        <v>707</v>
      </c>
      <c r="H2242" s="40">
        <v>167792</v>
      </c>
      <c r="I2242" s="58">
        <v>1333055</v>
      </c>
      <c r="J2242">
        <f>IFERROR(VLOOKUP(G2242,'LEAID Match'!$A$2:$B$526,2,FALSE),"")</f>
        <v>2908760</v>
      </c>
      <c r="K2242" s="68">
        <f t="shared" si="69"/>
        <v>8</v>
      </c>
    </row>
    <row r="2243" spans="1:11" x14ac:dyDescent="0.2">
      <c r="A2243">
        <f t="shared" ref="A2243:A2306" si="70">J2243</f>
        <v>2908760</v>
      </c>
      <c r="B2243">
        <v>2016</v>
      </c>
      <c r="C2243" t="s">
        <v>739</v>
      </c>
      <c r="D2243" t="s">
        <v>740</v>
      </c>
      <c r="E2243" t="s">
        <v>743</v>
      </c>
      <c r="F2243" s="59">
        <v>375</v>
      </c>
      <c r="G2243" s="34" t="s">
        <v>707</v>
      </c>
      <c r="H2243" s="36">
        <v>175353</v>
      </c>
      <c r="I2243" s="60">
        <v>1364566</v>
      </c>
      <c r="J2243">
        <f>IFERROR(VLOOKUP(G2243,'LEAID Match'!$A$2:$B$526,2,FALSE),"")</f>
        <v>2908760</v>
      </c>
      <c r="K2243" s="68">
        <f t="shared" ref="K2243:K2306" si="71">COUNTIF($J$2:$J$4295,J2243)</f>
        <v>8</v>
      </c>
    </row>
    <row r="2244" spans="1:11" x14ac:dyDescent="0.2">
      <c r="A2244">
        <f t="shared" si="70"/>
        <v>2908760</v>
      </c>
      <c r="B2244">
        <v>2017</v>
      </c>
      <c r="C2244" t="s">
        <v>739</v>
      </c>
      <c r="D2244" t="s">
        <v>740</v>
      </c>
      <c r="E2244" t="s">
        <v>743</v>
      </c>
      <c r="F2244" s="59">
        <v>375</v>
      </c>
      <c r="G2244" s="34" t="s">
        <v>707</v>
      </c>
      <c r="H2244" s="36">
        <v>176311</v>
      </c>
      <c r="I2244" s="58">
        <v>1406788</v>
      </c>
      <c r="J2244">
        <f>IFERROR(VLOOKUP(G2244,'LEAID Match'!$A$2:$B$526,2,FALSE),"")</f>
        <v>2908760</v>
      </c>
      <c r="K2244" s="68">
        <f t="shared" si="71"/>
        <v>8</v>
      </c>
    </row>
    <row r="2245" spans="1:11" x14ac:dyDescent="0.2">
      <c r="A2245">
        <f t="shared" si="70"/>
        <v>2908760</v>
      </c>
      <c r="B2245">
        <v>2018</v>
      </c>
      <c r="C2245" t="s">
        <v>739</v>
      </c>
      <c r="D2245" t="s">
        <v>740</v>
      </c>
      <c r="E2245" t="s">
        <v>743</v>
      </c>
      <c r="F2245" s="59">
        <v>375</v>
      </c>
      <c r="G2245" s="34" t="s">
        <v>707</v>
      </c>
      <c r="H2245" s="36">
        <v>182445</v>
      </c>
      <c r="I2245" s="58">
        <v>1433693</v>
      </c>
      <c r="J2245">
        <f>IFERROR(VLOOKUP(G2245,'LEAID Match'!$A$2:$B$526,2,FALSE),"")</f>
        <v>2908760</v>
      </c>
      <c r="K2245" s="68">
        <f t="shared" si="71"/>
        <v>8</v>
      </c>
    </row>
    <row r="2246" spans="1:11" x14ac:dyDescent="0.2">
      <c r="A2246">
        <f t="shared" si="70"/>
        <v>2908760</v>
      </c>
      <c r="B2246">
        <v>2019</v>
      </c>
      <c r="C2246" t="s">
        <v>739</v>
      </c>
      <c r="D2246" t="s">
        <v>740</v>
      </c>
      <c r="E2246" t="s">
        <v>743</v>
      </c>
      <c r="F2246" s="59">
        <v>375</v>
      </c>
      <c r="G2246" s="34" t="s">
        <v>707</v>
      </c>
      <c r="H2246" s="36">
        <v>190907</v>
      </c>
      <c r="I2246" s="58">
        <v>1479639</v>
      </c>
      <c r="J2246">
        <f>IFERROR(VLOOKUP(G2246,'LEAID Match'!$A$2:$B$526,2,FALSE),"")</f>
        <v>2908760</v>
      </c>
      <c r="K2246" s="68">
        <f t="shared" si="71"/>
        <v>8</v>
      </c>
    </row>
    <row r="2247" spans="1:11" x14ac:dyDescent="0.2">
      <c r="A2247">
        <f t="shared" si="70"/>
        <v>2908760</v>
      </c>
      <c r="B2247">
        <v>2020</v>
      </c>
      <c r="C2247" t="s">
        <v>739</v>
      </c>
      <c r="D2247" t="s">
        <v>740</v>
      </c>
      <c r="E2247" t="s">
        <v>743</v>
      </c>
      <c r="F2247" s="59">
        <v>375</v>
      </c>
      <c r="G2247" s="34" t="s">
        <v>707</v>
      </c>
      <c r="H2247" s="36">
        <v>179895</v>
      </c>
      <c r="I2247" s="58">
        <v>1467908</v>
      </c>
      <c r="J2247">
        <f>IFERROR(VLOOKUP(G2247,'LEAID Match'!$A$2:$B$526,2,FALSE),"")</f>
        <v>2908760</v>
      </c>
      <c r="K2247" s="68">
        <f t="shared" si="71"/>
        <v>8</v>
      </c>
    </row>
    <row r="2248" spans="1:11" x14ac:dyDescent="0.2">
      <c r="A2248">
        <f t="shared" si="70"/>
        <v>2908760</v>
      </c>
      <c r="B2248">
        <v>2021</v>
      </c>
      <c r="C2248" t="s">
        <v>739</v>
      </c>
      <c r="D2248" t="s">
        <v>740</v>
      </c>
      <c r="E2248" t="s">
        <v>743</v>
      </c>
      <c r="F2248" s="59">
        <v>375</v>
      </c>
      <c r="G2248" s="34" t="s">
        <v>707</v>
      </c>
      <c r="H2248" s="36">
        <v>172449</v>
      </c>
      <c r="I2248" s="58">
        <v>1449992</v>
      </c>
      <c r="J2248">
        <f>IFERROR(VLOOKUP(G2248,'LEAID Match'!$A$2:$B$526,2,FALSE),"")</f>
        <v>2908760</v>
      </c>
      <c r="K2248" s="68">
        <f t="shared" si="71"/>
        <v>8</v>
      </c>
    </row>
    <row r="2249" spans="1:11" x14ac:dyDescent="0.2">
      <c r="A2249">
        <f t="shared" si="70"/>
        <v>2908760</v>
      </c>
      <c r="B2249">
        <v>2022</v>
      </c>
      <c r="C2249" t="s">
        <v>739</v>
      </c>
      <c r="D2249" t="s">
        <v>740</v>
      </c>
      <c r="E2249" t="s">
        <v>743</v>
      </c>
      <c r="F2249" s="59">
        <v>375</v>
      </c>
      <c r="G2249" s="34" t="s">
        <v>707</v>
      </c>
      <c r="H2249" s="36">
        <v>181324</v>
      </c>
      <c r="I2249" s="58">
        <v>1459750</v>
      </c>
      <c r="J2249">
        <f>IFERROR(VLOOKUP(G2249,'LEAID Match'!$A$2:$B$526,2,FALSE),"")</f>
        <v>2908760</v>
      </c>
      <c r="K2249" s="68">
        <f t="shared" si="71"/>
        <v>8</v>
      </c>
    </row>
    <row r="2250" spans="1:11" x14ac:dyDescent="0.2">
      <c r="A2250">
        <f t="shared" si="70"/>
        <v>2908790</v>
      </c>
      <c r="B2250">
        <v>2015</v>
      </c>
      <c r="C2250" t="s">
        <v>739</v>
      </c>
      <c r="D2250" t="s">
        <v>740</v>
      </c>
      <c r="E2250" t="s">
        <v>743</v>
      </c>
      <c r="F2250" s="35">
        <v>376</v>
      </c>
      <c r="G2250" s="39" t="s">
        <v>708</v>
      </c>
      <c r="H2250" s="40">
        <v>12213</v>
      </c>
      <c r="I2250" s="58">
        <v>52457</v>
      </c>
      <c r="J2250">
        <f>IFERROR(VLOOKUP(G2250,'LEAID Match'!$A$2:$B$526,2,FALSE),"")</f>
        <v>2908790</v>
      </c>
      <c r="K2250" s="68">
        <f t="shared" si="71"/>
        <v>8</v>
      </c>
    </row>
    <row r="2251" spans="1:11" x14ac:dyDescent="0.2">
      <c r="A2251">
        <f t="shared" si="70"/>
        <v>2908790</v>
      </c>
      <c r="B2251">
        <v>2016</v>
      </c>
      <c r="C2251" t="s">
        <v>739</v>
      </c>
      <c r="D2251" t="s">
        <v>740</v>
      </c>
      <c r="E2251" t="s">
        <v>743</v>
      </c>
      <c r="F2251" s="59">
        <v>376</v>
      </c>
      <c r="G2251" s="34" t="s">
        <v>708</v>
      </c>
      <c r="H2251" s="36">
        <v>14506</v>
      </c>
      <c r="I2251" s="60">
        <v>41573</v>
      </c>
      <c r="J2251">
        <f>IFERROR(VLOOKUP(G2251,'LEAID Match'!$A$2:$B$526,2,FALSE),"")</f>
        <v>2908790</v>
      </c>
      <c r="K2251" s="68">
        <f t="shared" si="71"/>
        <v>8</v>
      </c>
    </row>
    <row r="2252" spans="1:11" x14ac:dyDescent="0.2">
      <c r="A2252">
        <f t="shared" si="70"/>
        <v>2908790</v>
      </c>
      <c r="B2252">
        <v>2017</v>
      </c>
      <c r="C2252" t="s">
        <v>739</v>
      </c>
      <c r="D2252" t="s">
        <v>740</v>
      </c>
      <c r="E2252" t="s">
        <v>743</v>
      </c>
      <c r="F2252" s="59">
        <v>376</v>
      </c>
      <c r="G2252" s="34" t="s">
        <v>708</v>
      </c>
      <c r="H2252" s="36">
        <v>14901</v>
      </c>
      <c r="I2252" s="58">
        <v>41595</v>
      </c>
      <c r="J2252">
        <f>IFERROR(VLOOKUP(G2252,'LEAID Match'!$A$2:$B$526,2,FALSE),"")</f>
        <v>2908790</v>
      </c>
      <c r="K2252" s="68">
        <f t="shared" si="71"/>
        <v>8</v>
      </c>
    </row>
    <row r="2253" spans="1:11" x14ac:dyDescent="0.2">
      <c r="A2253">
        <f t="shared" si="70"/>
        <v>2908790</v>
      </c>
      <c r="B2253">
        <v>2018</v>
      </c>
      <c r="C2253" t="s">
        <v>739</v>
      </c>
      <c r="D2253" t="s">
        <v>740</v>
      </c>
      <c r="E2253" t="s">
        <v>743</v>
      </c>
      <c r="F2253" s="59">
        <v>376</v>
      </c>
      <c r="G2253" s="34" t="s">
        <v>708</v>
      </c>
      <c r="H2253" s="36">
        <v>15348</v>
      </c>
      <c r="I2253" s="58">
        <v>38204</v>
      </c>
      <c r="J2253">
        <f>IFERROR(VLOOKUP(G2253,'LEAID Match'!$A$2:$B$526,2,FALSE),"")</f>
        <v>2908790</v>
      </c>
      <c r="K2253" s="68">
        <f t="shared" si="71"/>
        <v>8</v>
      </c>
    </row>
    <row r="2254" spans="1:11" x14ac:dyDescent="0.2">
      <c r="A2254">
        <f t="shared" si="70"/>
        <v>2908790</v>
      </c>
      <c r="B2254">
        <v>2019</v>
      </c>
      <c r="C2254" t="s">
        <v>739</v>
      </c>
      <c r="D2254" t="s">
        <v>740</v>
      </c>
      <c r="E2254" t="s">
        <v>743</v>
      </c>
      <c r="F2254" s="59">
        <v>376</v>
      </c>
      <c r="G2254" s="34" t="s">
        <v>708</v>
      </c>
      <c r="H2254" s="36">
        <v>16591</v>
      </c>
      <c r="I2254" s="58">
        <v>40033</v>
      </c>
      <c r="J2254">
        <f>IFERROR(VLOOKUP(G2254,'LEAID Match'!$A$2:$B$526,2,FALSE),"")</f>
        <v>2908790</v>
      </c>
      <c r="K2254" s="68">
        <f t="shared" si="71"/>
        <v>8</v>
      </c>
    </row>
    <row r="2255" spans="1:11" x14ac:dyDescent="0.2">
      <c r="A2255">
        <f t="shared" si="70"/>
        <v>2908790</v>
      </c>
      <c r="B2255">
        <v>2020</v>
      </c>
      <c r="C2255" t="s">
        <v>739</v>
      </c>
      <c r="D2255" t="s">
        <v>740</v>
      </c>
      <c r="E2255" t="s">
        <v>743</v>
      </c>
      <c r="F2255" s="59">
        <v>376</v>
      </c>
      <c r="G2255" s="34" t="s">
        <v>708</v>
      </c>
      <c r="H2255" s="36">
        <v>16670</v>
      </c>
      <c r="I2255" s="58">
        <v>39805</v>
      </c>
      <c r="J2255">
        <f>IFERROR(VLOOKUP(G2255,'LEAID Match'!$A$2:$B$526,2,FALSE),"")</f>
        <v>2908790</v>
      </c>
      <c r="K2255" s="68">
        <f t="shared" si="71"/>
        <v>8</v>
      </c>
    </row>
    <row r="2256" spans="1:11" x14ac:dyDescent="0.2">
      <c r="A2256">
        <f t="shared" si="70"/>
        <v>2908790</v>
      </c>
      <c r="B2256">
        <v>2021</v>
      </c>
      <c r="C2256" t="s">
        <v>739</v>
      </c>
      <c r="D2256" t="s">
        <v>740</v>
      </c>
      <c r="E2256" t="s">
        <v>743</v>
      </c>
      <c r="F2256" s="59">
        <v>376</v>
      </c>
      <c r="G2256" s="34" t="s">
        <v>708</v>
      </c>
      <c r="H2256" s="36">
        <v>13046</v>
      </c>
      <c r="I2256" s="58">
        <v>43002</v>
      </c>
      <c r="J2256">
        <f>IFERROR(VLOOKUP(G2256,'LEAID Match'!$A$2:$B$526,2,FALSE),"")</f>
        <v>2908790</v>
      </c>
      <c r="K2256" s="68">
        <f t="shared" si="71"/>
        <v>8</v>
      </c>
    </row>
    <row r="2257" spans="1:11" x14ac:dyDescent="0.2">
      <c r="A2257">
        <f t="shared" si="70"/>
        <v>2908790</v>
      </c>
      <c r="B2257">
        <v>2022</v>
      </c>
      <c r="C2257" t="s">
        <v>739</v>
      </c>
      <c r="D2257" t="s">
        <v>740</v>
      </c>
      <c r="E2257" t="s">
        <v>743</v>
      </c>
      <c r="F2257" s="59">
        <v>376</v>
      </c>
      <c r="G2257" s="34" t="s">
        <v>708</v>
      </c>
      <c r="H2257" s="36">
        <v>13145</v>
      </c>
      <c r="I2257" s="58">
        <v>47661</v>
      </c>
      <c r="J2257">
        <f>IFERROR(VLOOKUP(G2257,'LEAID Match'!$A$2:$B$526,2,FALSE),"")</f>
        <v>2908790</v>
      </c>
      <c r="K2257" s="68">
        <f t="shared" si="71"/>
        <v>8</v>
      </c>
    </row>
    <row r="2258" spans="1:11" x14ac:dyDescent="0.2">
      <c r="A2258">
        <f t="shared" si="70"/>
        <v>2920610</v>
      </c>
      <c r="B2258">
        <v>2015</v>
      </c>
      <c r="C2258" t="s">
        <v>739</v>
      </c>
      <c r="D2258" t="s">
        <v>740</v>
      </c>
      <c r="E2258" t="s">
        <v>743</v>
      </c>
      <c r="F2258" s="35">
        <v>378</v>
      </c>
      <c r="G2258" s="39" t="s">
        <v>709</v>
      </c>
      <c r="H2258" s="40">
        <v>327127</v>
      </c>
      <c r="I2258" s="58">
        <v>2283848</v>
      </c>
      <c r="J2258">
        <f>IFERROR(VLOOKUP(G2258,'LEAID Match'!$A$2:$B$526,2,FALSE),"")</f>
        <v>2920610</v>
      </c>
      <c r="K2258" s="68">
        <f t="shared" si="71"/>
        <v>8</v>
      </c>
    </row>
    <row r="2259" spans="1:11" x14ac:dyDescent="0.2">
      <c r="A2259">
        <f t="shared" si="70"/>
        <v>2920610</v>
      </c>
      <c r="B2259">
        <v>2016</v>
      </c>
      <c r="C2259" t="s">
        <v>739</v>
      </c>
      <c r="D2259" t="s">
        <v>740</v>
      </c>
      <c r="E2259" t="s">
        <v>743</v>
      </c>
      <c r="F2259" s="59">
        <v>378</v>
      </c>
      <c r="G2259" s="34" t="s">
        <v>709</v>
      </c>
      <c r="H2259" s="36">
        <v>342716</v>
      </c>
      <c r="I2259" s="60">
        <v>2360000</v>
      </c>
      <c r="J2259">
        <f>IFERROR(VLOOKUP(G2259,'LEAID Match'!$A$2:$B$526,2,FALSE),"")</f>
        <v>2920610</v>
      </c>
      <c r="K2259" s="68">
        <f t="shared" si="71"/>
        <v>8</v>
      </c>
    </row>
    <row r="2260" spans="1:11" x14ac:dyDescent="0.2">
      <c r="A2260">
        <f t="shared" si="70"/>
        <v>2920610</v>
      </c>
      <c r="B2260">
        <v>2017</v>
      </c>
      <c r="C2260" t="s">
        <v>739</v>
      </c>
      <c r="D2260" t="s">
        <v>740</v>
      </c>
      <c r="E2260" t="s">
        <v>743</v>
      </c>
      <c r="F2260" s="59">
        <v>378</v>
      </c>
      <c r="G2260" s="34" t="s">
        <v>709</v>
      </c>
      <c r="H2260" s="36">
        <v>353565</v>
      </c>
      <c r="I2260" s="58">
        <v>2371152</v>
      </c>
      <c r="J2260">
        <f>IFERROR(VLOOKUP(G2260,'LEAID Match'!$A$2:$B$526,2,FALSE),"")</f>
        <v>2920610</v>
      </c>
      <c r="K2260" s="68">
        <f t="shared" si="71"/>
        <v>8</v>
      </c>
    </row>
    <row r="2261" spans="1:11" x14ac:dyDescent="0.2">
      <c r="A2261">
        <f t="shared" si="70"/>
        <v>2920610</v>
      </c>
      <c r="B2261">
        <v>2018</v>
      </c>
      <c r="C2261" t="s">
        <v>739</v>
      </c>
      <c r="D2261" t="s">
        <v>740</v>
      </c>
      <c r="E2261" t="s">
        <v>743</v>
      </c>
      <c r="F2261" s="59">
        <v>378</v>
      </c>
      <c r="G2261" s="34" t="s">
        <v>709</v>
      </c>
      <c r="H2261" s="36">
        <v>354002</v>
      </c>
      <c r="I2261" s="58">
        <v>2344064</v>
      </c>
      <c r="J2261">
        <f>IFERROR(VLOOKUP(G2261,'LEAID Match'!$A$2:$B$526,2,FALSE),"")</f>
        <v>2920610</v>
      </c>
      <c r="K2261" s="68">
        <f t="shared" si="71"/>
        <v>8</v>
      </c>
    </row>
    <row r="2262" spans="1:11" x14ac:dyDescent="0.2">
      <c r="A2262">
        <f t="shared" si="70"/>
        <v>2920610</v>
      </c>
      <c r="B2262">
        <v>2019</v>
      </c>
      <c r="C2262" t="s">
        <v>739</v>
      </c>
      <c r="D2262" t="s">
        <v>740</v>
      </c>
      <c r="E2262" t="s">
        <v>743</v>
      </c>
      <c r="F2262" s="59">
        <v>378</v>
      </c>
      <c r="G2262" s="34" t="s">
        <v>709</v>
      </c>
      <c r="H2262" s="36">
        <v>363372</v>
      </c>
      <c r="I2262" s="58">
        <v>2452656</v>
      </c>
      <c r="J2262">
        <f>IFERROR(VLOOKUP(G2262,'LEAID Match'!$A$2:$B$526,2,FALSE),"")</f>
        <v>2920610</v>
      </c>
      <c r="K2262" s="68">
        <f t="shared" si="71"/>
        <v>8</v>
      </c>
    </row>
    <row r="2263" spans="1:11" x14ac:dyDescent="0.2">
      <c r="A2263">
        <f t="shared" si="70"/>
        <v>2920610</v>
      </c>
      <c r="B2263">
        <v>2020</v>
      </c>
      <c r="C2263" t="s">
        <v>739</v>
      </c>
      <c r="D2263" t="s">
        <v>740</v>
      </c>
      <c r="E2263" t="s">
        <v>743</v>
      </c>
      <c r="F2263" s="59">
        <v>378</v>
      </c>
      <c r="G2263" s="34" t="s">
        <v>709</v>
      </c>
      <c r="H2263" s="36">
        <v>373732</v>
      </c>
      <c r="I2263" s="58">
        <v>2464358</v>
      </c>
      <c r="J2263">
        <f>IFERROR(VLOOKUP(G2263,'LEAID Match'!$A$2:$B$526,2,FALSE),"")</f>
        <v>2920610</v>
      </c>
      <c r="K2263" s="68">
        <f t="shared" si="71"/>
        <v>8</v>
      </c>
    </row>
    <row r="2264" spans="1:11" x14ac:dyDescent="0.2">
      <c r="A2264">
        <f t="shared" si="70"/>
        <v>2920610</v>
      </c>
      <c r="B2264">
        <v>2021</v>
      </c>
      <c r="C2264" t="s">
        <v>739</v>
      </c>
      <c r="D2264" t="s">
        <v>740</v>
      </c>
      <c r="E2264" t="s">
        <v>743</v>
      </c>
      <c r="F2264" s="59">
        <v>378</v>
      </c>
      <c r="G2264" s="34" t="s">
        <v>709</v>
      </c>
      <c r="H2264" s="36">
        <v>405944</v>
      </c>
      <c r="I2264" s="58">
        <v>2457464</v>
      </c>
      <c r="J2264">
        <f>IFERROR(VLOOKUP(G2264,'LEAID Match'!$A$2:$B$526,2,FALSE),"")</f>
        <v>2920610</v>
      </c>
      <c r="K2264" s="68">
        <f t="shared" si="71"/>
        <v>8</v>
      </c>
    </row>
    <row r="2265" spans="1:11" x14ac:dyDescent="0.2">
      <c r="A2265">
        <f t="shared" si="70"/>
        <v>2920610</v>
      </c>
      <c r="B2265">
        <v>2022</v>
      </c>
      <c r="C2265" t="s">
        <v>739</v>
      </c>
      <c r="D2265" t="s">
        <v>740</v>
      </c>
      <c r="E2265" t="s">
        <v>743</v>
      </c>
      <c r="F2265" s="59">
        <v>378</v>
      </c>
      <c r="G2265" s="34" t="s">
        <v>709</v>
      </c>
      <c r="H2265" s="36">
        <v>447058</v>
      </c>
      <c r="I2265" s="58">
        <v>2436407</v>
      </c>
      <c r="J2265">
        <f>IFERROR(VLOOKUP(G2265,'LEAID Match'!$A$2:$B$526,2,FALSE),"")</f>
        <v>2920610</v>
      </c>
      <c r="K2265" s="68">
        <f t="shared" si="71"/>
        <v>8</v>
      </c>
    </row>
    <row r="2266" spans="1:11" x14ac:dyDescent="0.2">
      <c r="A2266">
        <f t="shared" si="70"/>
        <v>2919410</v>
      </c>
      <c r="B2266">
        <v>2015</v>
      </c>
      <c r="C2266" t="s">
        <v>739</v>
      </c>
      <c r="D2266" t="s">
        <v>740</v>
      </c>
      <c r="E2266" t="s">
        <v>743</v>
      </c>
      <c r="F2266" s="35">
        <v>379</v>
      </c>
      <c r="G2266" s="39" t="s">
        <v>710</v>
      </c>
      <c r="H2266" s="40">
        <v>122698</v>
      </c>
      <c r="I2266" s="58">
        <v>926503</v>
      </c>
      <c r="J2266">
        <f>IFERROR(VLOOKUP(G2266,'LEAID Match'!$A$2:$B$526,2,FALSE),"")</f>
        <v>2919410</v>
      </c>
      <c r="K2266" s="68">
        <f t="shared" si="71"/>
        <v>8</v>
      </c>
    </row>
    <row r="2267" spans="1:11" x14ac:dyDescent="0.2">
      <c r="A2267">
        <f t="shared" si="70"/>
        <v>2919410</v>
      </c>
      <c r="B2267">
        <v>2016</v>
      </c>
      <c r="C2267" t="s">
        <v>739</v>
      </c>
      <c r="D2267" t="s">
        <v>740</v>
      </c>
      <c r="E2267" t="s">
        <v>743</v>
      </c>
      <c r="F2267" s="59">
        <v>379</v>
      </c>
      <c r="G2267" s="34" t="s">
        <v>710</v>
      </c>
      <c r="H2267" s="36">
        <v>131103</v>
      </c>
      <c r="I2267" s="60">
        <v>910486</v>
      </c>
      <c r="J2267">
        <f>IFERROR(VLOOKUP(G2267,'LEAID Match'!$A$2:$B$526,2,FALSE),"")</f>
        <v>2919410</v>
      </c>
      <c r="K2267" s="68">
        <f t="shared" si="71"/>
        <v>8</v>
      </c>
    </row>
    <row r="2268" spans="1:11" x14ac:dyDescent="0.2">
      <c r="A2268">
        <f t="shared" si="70"/>
        <v>2919410</v>
      </c>
      <c r="B2268">
        <v>2017</v>
      </c>
      <c r="C2268" t="s">
        <v>739</v>
      </c>
      <c r="D2268" t="s">
        <v>740</v>
      </c>
      <c r="E2268" t="s">
        <v>743</v>
      </c>
      <c r="F2268" s="59">
        <v>379</v>
      </c>
      <c r="G2268" s="34" t="s">
        <v>710</v>
      </c>
      <c r="H2268" s="36">
        <v>138889</v>
      </c>
      <c r="I2268" s="58">
        <v>948722</v>
      </c>
      <c r="J2268">
        <f>IFERROR(VLOOKUP(G2268,'LEAID Match'!$A$2:$B$526,2,FALSE),"")</f>
        <v>2919410</v>
      </c>
      <c r="K2268" s="68">
        <f t="shared" si="71"/>
        <v>8</v>
      </c>
    </row>
    <row r="2269" spans="1:11" x14ac:dyDescent="0.2">
      <c r="A2269">
        <f t="shared" si="70"/>
        <v>2919410</v>
      </c>
      <c r="B2269">
        <v>2018</v>
      </c>
      <c r="C2269" t="s">
        <v>739</v>
      </c>
      <c r="D2269" t="s">
        <v>740</v>
      </c>
      <c r="E2269" t="s">
        <v>743</v>
      </c>
      <c r="F2269" s="59">
        <v>379</v>
      </c>
      <c r="G2269" s="34" t="s">
        <v>710</v>
      </c>
      <c r="H2269" s="36">
        <v>133752</v>
      </c>
      <c r="I2269" s="58">
        <v>954026</v>
      </c>
      <c r="J2269">
        <f>IFERROR(VLOOKUP(G2269,'LEAID Match'!$A$2:$B$526,2,FALSE),"")</f>
        <v>2919410</v>
      </c>
      <c r="K2269" s="68">
        <f t="shared" si="71"/>
        <v>8</v>
      </c>
    </row>
    <row r="2270" spans="1:11" x14ac:dyDescent="0.2">
      <c r="A2270">
        <f t="shared" si="70"/>
        <v>2919410</v>
      </c>
      <c r="B2270">
        <v>2019</v>
      </c>
      <c r="C2270" t="s">
        <v>739</v>
      </c>
      <c r="D2270" t="s">
        <v>740</v>
      </c>
      <c r="E2270" t="s">
        <v>743</v>
      </c>
      <c r="F2270" s="59">
        <v>379</v>
      </c>
      <c r="G2270" s="34" t="s">
        <v>710</v>
      </c>
      <c r="H2270" s="36">
        <v>139552</v>
      </c>
      <c r="I2270" s="58">
        <v>984989</v>
      </c>
      <c r="J2270">
        <f>IFERROR(VLOOKUP(G2270,'LEAID Match'!$A$2:$B$526,2,FALSE),"")</f>
        <v>2919410</v>
      </c>
      <c r="K2270" s="68">
        <f t="shared" si="71"/>
        <v>8</v>
      </c>
    </row>
    <row r="2271" spans="1:11" x14ac:dyDescent="0.2">
      <c r="A2271">
        <f t="shared" si="70"/>
        <v>2919410</v>
      </c>
      <c r="B2271">
        <v>2020</v>
      </c>
      <c r="C2271" t="s">
        <v>739</v>
      </c>
      <c r="D2271" t="s">
        <v>740</v>
      </c>
      <c r="E2271" t="s">
        <v>743</v>
      </c>
      <c r="F2271" s="59">
        <v>379</v>
      </c>
      <c r="G2271" s="34" t="s">
        <v>710</v>
      </c>
      <c r="H2271" s="36">
        <v>132346</v>
      </c>
      <c r="I2271" s="58">
        <v>928549</v>
      </c>
      <c r="J2271">
        <f>IFERROR(VLOOKUP(G2271,'LEAID Match'!$A$2:$B$526,2,FALSE),"")</f>
        <v>2919410</v>
      </c>
      <c r="K2271" s="68">
        <f t="shared" si="71"/>
        <v>8</v>
      </c>
    </row>
    <row r="2272" spans="1:11" x14ac:dyDescent="0.2">
      <c r="A2272">
        <f t="shared" si="70"/>
        <v>2919410</v>
      </c>
      <c r="B2272">
        <v>2021</v>
      </c>
      <c r="C2272" t="s">
        <v>739</v>
      </c>
      <c r="D2272" t="s">
        <v>740</v>
      </c>
      <c r="E2272" t="s">
        <v>743</v>
      </c>
      <c r="F2272" s="59">
        <v>379</v>
      </c>
      <c r="G2272" s="34" t="s">
        <v>710</v>
      </c>
      <c r="H2272" s="36">
        <v>133018</v>
      </c>
      <c r="I2272" s="58">
        <v>944121</v>
      </c>
      <c r="J2272">
        <f>IFERROR(VLOOKUP(G2272,'LEAID Match'!$A$2:$B$526,2,FALSE),"")</f>
        <v>2919410</v>
      </c>
      <c r="K2272" s="68">
        <f t="shared" si="71"/>
        <v>8</v>
      </c>
    </row>
    <row r="2273" spans="1:11" x14ac:dyDescent="0.2">
      <c r="A2273">
        <f t="shared" si="70"/>
        <v>2919410</v>
      </c>
      <c r="B2273">
        <v>2022</v>
      </c>
      <c r="C2273" t="s">
        <v>739</v>
      </c>
      <c r="D2273" t="s">
        <v>740</v>
      </c>
      <c r="E2273" t="s">
        <v>743</v>
      </c>
      <c r="F2273" s="59">
        <v>379</v>
      </c>
      <c r="G2273" s="34" t="s">
        <v>710</v>
      </c>
      <c r="H2273" s="36">
        <v>139262</v>
      </c>
      <c r="I2273" s="58">
        <v>982028</v>
      </c>
      <c r="J2273">
        <f>IFERROR(VLOOKUP(G2273,'LEAID Match'!$A$2:$B$526,2,FALSE),"")</f>
        <v>2919410</v>
      </c>
      <c r="K2273" s="68">
        <f t="shared" si="71"/>
        <v>8</v>
      </c>
    </row>
    <row r="2274" spans="1:11" x14ac:dyDescent="0.2">
      <c r="A2274">
        <f t="shared" si="70"/>
        <v>2916950</v>
      </c>
      <c r="B2274">
        <v>2015</v>
      </c>
      <c r="C2274" t="s">
        <v>739</v>
      </c>
      <c r="D2274" t="s">
        <v>740</v>
      </c>
      <c r="E2274" t="s">
        <v>743</v>
      </c>
      <c r="F2274" s="35">
        <v>380</v>
      </c>
      <c r="G2274" s="34" t="s">
        <v>711</v>
      </c>
      <c r="H2274" s="40">
        <v>32777</v>
      </c>
      <c r="I2274" s="58">
        <v>250999</v>
      </c>
      <c r="J2274">
        <f>IFERROR(VLOOKUP(G2274,'LEAID Match'!$A$2:$B$526,2,FALSE),"")</f>
        <v>2916950</v>
      </c>
      <c r="K2274" s="68">
        <f t="shared" si="71"/>
        <v>8</v>
      </c>
    </row>
    <row r="2275" spans="1:11" x14ac:dyDescent="0.2">
      <c r="A2275">
        <f t="shared" si="70"/>
        <v>2916950</v>
      </c>
      <c r="B2275">
        <v>2016</v>
      </c>
      <c r="C2275" t="s">
        <v>739</v>
      </c>
      <c r="D2275" t="s">
        <v>740</v>
      </c>
      <c r="E2275" t="s">
        <v>743</v>
      </c>
      <c r="F2275" s="59">
        <v>380</v>
      </c>
      <c r="G2275" s="34" t="s">
        <v>711</v>
      </c>
      <c r="H2275" s="36">
        <v>35857</v>
      </c>
      <c r="I2275" s="60">
        <v>257178</v>
      </c>
      <c r="J2275">
        <f>IFERROR(VLOOKUP(G2275,'LEAID Match'!$A$2:$B$526,2,FALSE),"")</f>
        <v>2916950</v>
      </c>
      <c r="K2275" s="68">
        <f t="shared" si="71"/>
        <v>8</v>
      </c>
    </row>
    <row r="2276" spans="1:11" x14ac:dyDescent="0.2">
      <c r="A2276">
        <f t="shared" si="70"/>
        <v>2916950</v>
      </c>
      <c r="B2276">
        <v>2017</v>
      </c>
      <c r="C2276" t="s">
        <v>739</v>
      </c>
      <c r="D2276" t="s">
        <v>740</v>
      </c>
      <c r="E2276" t="s">
        <v>743</v>
      </c>
      <c r="F2276" s="59">
        <v>380</v>
      </c>
      <c r="G2276" s="34" t="s">
        <v>711</v>
      </c>
      <c r="H2276" s="36">
        <v>36121</v>
      </c>
      <c r="I2276" s="58">
        <v>262768</v>
      </c>
      <c r="J2276">
        <f>IFERROR(VLOOKUP(G2276,'LEAID Match'!$A$2:$B$526,2,FALSE),"")</f>
        <v>2916950</v>
      </c>
      <c r="K2276" s="68">
        <f t="shared" si="71"/>
        <v>8</v>
      </c>
    </row>
    <row r="2277" spans="1:11" x14ac:dyDescent="0.2">
      <c r="A2277">
        <f t="shared" si="70"/>
        <v>2916950</v>
      </c>
      <c r="B2277">
        <v>2018</v>
      </c>
      <c r="C2277" t="s">
        <v>739</v>
      </c>
      <c r="D2277" t="s">
        <v>740</v>
      </c>
      <c r="E2277" t="s">
        <v>743</v>
      </c>
      <c r="F2277" s="59">
        <v>380</v>
      </c>
      <c r="G2277" s="34" t="s">
        <v>711</v>
      </c>
      <c r="H2277" s="36">
        <v>34875</v>
      </c>
      <c r="I2277" s="58">
        <v>261460</v>
      </c>
      <c r="J2277">
        <f>IFERROR(VLOOKUP(G2277,'LEAID Match'!$A$2:$B$526,2,FALSE),"")</f>
        <v>2916950</v>
      </c>
      <c r="K2277" s="68">
        <f t="shared" si="71"/>
        <v>8</v>
      </c>
    </row>
    <row r="2278" spans="1:11" x14ac:dyDescent="0.2">
      <c r="A2278">
        <f t="shared" si="70"/>
        <v>2916950</v>
      </c>
      <c r="B2278">
        <v>2019</v>
      </c>
      <c r="C2278" t="s">
        <v>739</v>
      </c>
      <c r="D2278" t="s">
        <v>740</v>
      </c>
      <c r="E2278" t="s">
        <v>743</v>
      </c>
      <c r="F2278" s="59">
        <v>380</v>
      </c>
      <c r="G2278" s="34" t="s">
        <v>711</v>
      </c>
      <c r="H2278" s="36">
        <v>29867</v>
      </c>
      <c r="I2278" s="58">
        <v>281705</v>
      </c>
      <c r="J2278">
        <f>IFERROR(VLOOKUP(G2278,'LEAID Match'!$A$2:$B$526,2,FALSE),"")</f>
        <v>2916950</v>
      </c>
      <c r="K2278" s="68">
        <f t="shared" si="71"/>
        <v>8</v>
      </c>
    </row>
    <row r="2279" spans="1:11" x14ac:dyDescent="0.2">
      <c r="A2279">
        <f t="shared" si="70"/>
        <v>2916950</v>
      </c>
      <c r="B2279">
        <v>2020</v>
      </c>
      <c r="C2279" t="s">
        <v>739</v>
      </c>
      <c r="D2279" t="s">
        <v>740</v>
      </c>
      <c r="E2279" t="s">
        <v>743</v>
      </c>
      <c r="F2279" s="59">
        <v>380</v>
      </c>
      <c r="G2279" s="34" t="s">
        <v>711</v>
      </c>
      <c r="H2279" s="36">
        <v>29180</v>
      </c>
      <c r="I2279" s="58">
        <v>289901</v>
      </c>
      <c r="J2279">
        <f>IFERROR(VLOOKUP(G2279,'LEAID Match'!$A$2:$B$526,2,FALSE),"")</f>
        <v>2916950</v>
      </c>
      <c r="K2279" s="68">
        <f t="shared" si="71"/>
        <v>8</v>
      </c>
    </row>
    <row r="2280" spans="1:11" x14ac:dyDescent="0.2">
      <c r="A2280">
        <f t="shared" si="70"/>
        <v>2916950</v>
      </c>
      <c r="B2280">
        <v>2021</v>
      </c>
      <c r="C2280" t="s">
        <v>739</v>
      </c>
      <c r="D2280" t="s">
        <v>740</v>
      </c>
      <c r="E2280" t="s">
        <v>743</v>
      </c>
      <c r="F2280" s="59">
        <v>380</v>
      </c>
      <c r="G2280" s="34" t="s">
        <v>711</v>
      </c>
      <c r="H2280" s="36">
        <v>32607</v>
      </c>
      <c r="I2280" s="58">
        <v>292045</v>
      </c>
      <c r="J2280">
        <f>IFERROR(VLOOKUP(G2280,'LEAID Match'!$A$2:$B$526,2,FALSE),"")</f>
        <v>2916950</v>
      </c>
      <c r="K2280" s="68">
        <f t="shared" si="71"/>
        <v>8</v>
      </c>
    </row>
    <row r="2281" spans="1:11" x14ac:dyDescent="0.2">
      <c r="A2281">
        <f t="shared" si="70"/>
        <v>2916950</v>
      </c>
      <c r="B2281">
        <v>2022</v>
      </c>
      <c r="C2281" t="s">
        <v>739</v>
      </c>
      <c r="D2281" t="s">
        <v>740</v>
      </c>
      <c r="E2281" t="s">
        <v>743</v>
      </c>
      <c r="F2281" s="59">
        <v>380</v>
      </c>
      <c r="G2281" s="34" t="s">
        <v>711</v>
      </c>
      <c r="H2281" s="36">
        <v>37992</v>
      </c>
      <c r="I2281" s="58">
        <v>282798</v>
      </c>
      <c r="J2281">
        <f>IFERROR(VLOOKUP(G2281,'LEAID Match'!$A$2:$B$526,2,FALSE),"")</f>
        <v>2916950</v>
      </c>
      <c r="K2281" s="68">
        <f t="shared" si="71"/>
        <v>8</v>
      </c>
    </row>
    <row r="2282" spans="1:11" x14ac:dyDescent="0.2">
      <c r="A2282">
        <f t="shared" si="70"/>
        <v>2921880</v>
      </c>
      <c r="B2282">
        <v>2015</v>
      </c>
      <c r="C2282" t="s">
        <v>739</v>
      </c>
      <c r="D2282" t="s">
        <v>740</v>
      </c>
      <c r="E2282" t="s">
        <v>743</v>
      </c>
      <c r="F2282" s="35">
        <v>381</v>
      </c>
      <c r="G2282" s="39" t="s">
        <v>712</v>
      </c>
      <c r="H2282" s="40">
        <v>16264</v>
      </c>
      <c r="I2282" s="58">
        <v>107220</v>
      </c>
      <c r="J2282">
        <f>IFERROR(VLOOKUP(G2282,'LEAID Match'!$A$2:$B$526,2,FALSE),"")</f>
        <v>2921880</v>
      </c>
      <c r="K2282" s="68">
        <f t="shared" si="71"/>
        <v>8</v>
      </c>
    </row>
    <row r="2283" spans="1:11" x14ac:dyDescent="0.2">
      <c r="A2283">
        <f t="shared" si="70"/>
        <v>2921880</v>
      </c>
      <c r="B2283">
        <v>2016</v>
      </c>
      <c r="C2283" t="s">
        <v>739</v>
      </c>
      <c r="D2283" t="s">
        <v>740</v>
      </c>
      <c r="E2283" t="s">
        <v>743</v>
      </c>
      <c r="F2283" s="59">
        <v>381</v>
      </c>
      <c r="G2283" s="34" t="s">
        <v>712</v>
      </c>
      <c r="H2283" s="36">
        <v>16976</v>
      </c>
      <c r="I2283" s="60">
        <v>97464</v>
      </c>
      <c r="J2283">
        <f>IFERROR(VLOOKUP(G2283,'LEAID Match'!$A$2:$B$526,2,FALSE),"")</f>
        <v>2921880</v>
      </c>
      <c r="K2283" s="68">
        <f t="shared" si="71"/>
        <v>8</v>
      </c>
    </row>
    <row r="2284" spans="1:11" x14ac:dyDescent="0.2">
      <c r="A2284">
        <f t="shared" si="70"/>
        <v>2921880</v>
      </c>
      <c r="B2284">
        <v>2017</v>
      </c>
      <c r="C2284" t="s">
        <v>739</v>
      </c>
      <c r="D2284" t="s">
        <v>740</v>
      </c>
      <c r="E2284" t="s">
        <v>743</v>
      </c>
      <c r="F2284" s="59">
        <v>381</v>
      </c>
      <c r="G2284" s="34" t="s">
        <v>712</v>
      </c>
      <c r="H2284" s="36">
        <v>17056</v>
      </c>
      <c r="I2284" s="58">
        <v>99523</v>
      </c>
      <c r="J2284">
        <f>IFERROR(VLOOKUP(G2284,'LEAID Match'!$A$2:$B$526,2,FALSE),"")</f>
        <v>2921880</v>
      </c>
      <c r="K2284" s="68">
        <f t="shared" si="71"/>
        <v>8</v>
      </c>
    </row>
    <row r="2285" spans="1:11" x14ac:dyDescent="0.2">
      <c r="A2285">
        <f t="shared" si="70"/>
        <v>2921880</v>
      </c>
      <c r="B2285">
        <v>2018</v>
      </c>
      <c r="C2285" t="s">
        <v>739</v>
      </c>
      <c r="D2285" t="s">
        <v>740</v>
      </c>
      <c r="E2285" t="s">
        <v>743</v>
      </c>
      <c r="F2285" s="59">
        <v>381</v>
      </c>
      <c r="G2285" s="34" t="s">
        <v>712</v>
      </c>
      <c r="H2285" s="36">
        <v>16787</v>
      </c>
      <c r="I2285" s="58">
        <v>109071</v>
      </c>
      <c r="J2285">
        <f>IFERROR(VLOOKUP(G2285,'LEAID Match'!$A$2:$B$526,2,FALSE),"")</f>
        <v>2921880</v>
      </c>
      <c r="K2285" s="68">
        <f t="shared" si="71"/>
        <v>8</v>
      </c>
    </row>
    <row r="2286" spans="1:11" x14ac:dyDescent="0.2">
      <c r="A2286">
        <f t="shared" si="70"/>
        <v>2921880</v>
      </c>
      <c r="B2286">
        <v>2019</v>
      </c>
      <c r="C2286" t="s">
        <v>739</v>
      </c>
      <c r="D2286" t="s">
        <v>740</v>
      </c>
      <c r="E2286" t="s">
        <v>743</v>
      </c>
      <c r="F2286" s="59">
        <v>381</v>
      </c>
      <c r="G2286" s="34" t="s">
        <v>712</v>
      </c>
      <c r="H2286" s="36">
        <v>13449</v>
      </c>
      <c r="I2286" s="58">
        <v>112324</v>
      </c>
      <c r="J2286">
        <f>IFERROR(VLOOKUP(G2286,'LEAID Match'!$A$2:$B$526,2,FALSE),"")</f>
        <v>2921880</v>
      </c>
      <c r="K2286" s="68">
        <f t="shared" si="71"/>
        <v>8</v>
      </c>
    </row>
    <row r="2287" spans="1:11" x14ac:dyDescent="0.2">
      <c r="A2287">
        <f t="shared" si="70"/>
        <v>2921880</v>
      </c>
      <c r="B2287">
        <v>2020</v>
      </c>
      <c r="C2287" t="s">
        <v>739</v>
      </c>
      <c r="D2287" t="s">
        <v>740</v>
      </c>
      <c r="E2287" t="s">
        <v>743</v>
      </c>
      <c r="F2287" s="59">
        <v>381</v>
      </c>
      <c r="G2287" s="34" t="s">
        <v>712</v>
      </c>
      <c r="H2287" s="36">
        <v>13244</v>
      </c>
      <c r="I2287" s="58">
        <v>127562</v>
      </c>
      <c r="J2287">
        <f>IFERROR(VLOOKUP(G2287,'LEAID Match'!$A$2:$B$526,2,FALSE),"")</f>
        <v>2921880</v>
      </c>
      <c r="K2287" s="68">
        <f t="shared" si="71"/>
        <v>8</v>
      </c>
    </row>
    <row r="2288" spans="1:11" x14ac:dyDescent="0.2">
      <c r="A2288">
        <f t="shared" si="70"/>
        <v>2921880</v>
      </c>
      <c r="B2288">
        <v>2021</v>
      </c>
      <c r="C2288" t="s">
        <v>739</v>
      </c>
      <c r="D2288" t="s">
        <v>740</v>
      </c>
      <c r="E2288" t="s">
        <v>743</v>
      </c>
      <c r="F2288" s="59">
        <v>381</v>
      </c>
      <c r="G2288" s="34" t="s">
        <v>712</v>
      </c>
      <c r="H2288" s="36">
        <v>18478</v>
      </c>
      <c r="I2288" s="58">
        <v>120497</v>
      </c>
      <c r="J2288">
        <f>IFERROR(VLOOKUP(G2288,'LEAID Match'!$A$2:$B$526,2,FALSE),"")</f>
        <v>2921880</v>
      </c>
      <c r="K2288" s="68">
        <f t="shared" si="71"/>
        <v>8</v>
      </c>
    </row>
    <row r="2289" spans="1:11" x14ac:dyDescent="0.2">
      <c r="A2289">
        <f t="shared" si="70"/>
        <v>2921880</v>
      </c>
      <c r="B2289">
        <v>2022</v>
      </c>
      <c r="C2289" t="s">
        <v>739</v>
      </c>
      <c r="D2289" t="s">
        <v>740</v>
      </c>
      <c r="E2289" t="s">
        <v>743</v>
      </c>
      <c r="F2289" s="59">
        <v>381</v>
      </c>
      <c r="G2289" s="34" t="s">
        <v>712</v>
      </c>
      <c r="H2289" s="36">
        <v>22137</v>
      </c>
      <c r="I2289" s="58">
        <v>128215</v>
      </c>
      <c r="J2289">
        <f>IFERROR(VLOOKUP(G2289,'LEAID Match'!$A$2:$B$526,2,FALSE),"")</f>
        <v>2921880</v>
      </c>
      <c r="K2289" s="68">
        <f t="shared" si="71"/>
        <v>8</v>
      </c>
    </row>
    <row r="2290" spans="1:11" x14ac:dyDescent="0.2">
      <c r="A2290">
        <f t="shared" si="70"/>
        <v>2903480</v>
      </c>
      <c r="B2290">
        <v>2015</v>
      </c>
      <c r="C2290" t="s">
        <v>739</v>
      </c>
      <c r="D2290" t="s">
        <v>740</v>
      </c>
      <c r="E2290" t="s">
        <v>743</v>
      </c>
      <c r="F2290" s="35">
        <v>383</v>
      </c>
      <c r="G2290" s="39" t="s">
        <v>713</v>
      </c>
      <c r="H2290" s="40">
        <v>17986</v>
      </c>
      <c r="I2290" s="58">
        <v>147604</v>
      </c>
      <c r="J2290">
        <f>IFERROR(VLOOKUP(G2290,'LEAID Match'!$A$2:$B$526,2,FALSE),"")</f>
        <v>2903480</v>
      </c>
      <c r="K2290" s="68">
        <f t="shared" si="71"/>
        <v>8</v>
      </c>
    </row>
    <row r="2291" spans="1:11" x14ac:dyDescent="0.2">
      <c r="A2291">
        <f t="shared" si="70"/>
        <v>2903480</v>
      </c>
      <c r="B2291">
        <v>2016</v>
      </c>
      <c r="C2291" t="s">
        <v>739</v>
      </c>
      <c r="D2291" t="s">
        <v>740</v>
      </c>
      <c r="E2291" t="s">
        <v>743</v>
      </c>
      <c r="F2291" s="59">
        <v>383</v>
      </c>
      <c r="G2291" s="34" t="s">
        <v>713</v>
      </c>
      <c r="H2291" s="36">
        <v>21676</v>
      </c>
      <c r="I2291" s="60">
        <v>156634</v>
      </c>
      <c r="J2291">
        <f>IFERROR(VLOOKUP(G2291,'LEAID Match'!$A$2:$B$526,2,FALSE),"")</f>
        <v>2903480</v>
      </c>
      <c r="K2291" s="68">
        <f t="shared" si="71"/>
        <v>8</v>
      </c>
    </row>
    <row r="2292" spans="1:11" x14ac:dyDescent="0.2">
      <c r="A2292">
        <f t="shared" si="70"/>
        <v>2903480</v>
      </c>
      <c r="B2292">
        <v>2017</v>
      </c>
      <c r="C2292" t="s">
        <v>739</v>
      </c>
      <c r="D2292" t="s">
        <v>740</v>
      </c>
      <c r="E2292" t="s">
        <v>743</v>
      </c>
      <c r="F2292" s="59">
        <v>383</v>
      </c>
      <c r="G2292" s="34" t="s">
        <v>713</v>
      </c>
      <c r="H2292" s="36">
        <v>24132</v>
      </c>
      <c r="I2292" s="58">
        <v>148307</v>
      </c>
      <c r="J2292">
        <f>IFERROR(VLOOKUP(G2292,'LEAID Match'!$A$2:$B$526,2,FALSE),"")</f>
        <v>2903480</v>
      </c>
      <c r="K2292" s="68">
        <f t="shared" si="71"/>
        <v>8</v>
      </c>
    </row>
    <row r="2293" spans="1:11" x14ac:dyDescent="0.2">
      <c r="A2293">
        <f t="shared" si="70"/>
        <v>2903480</v>
      </c>
      <c r="B2293">
        <v>2018</v>
      </c>
      <c r="C2293" t="s">
        <v>739</v>
      </c>
      <c r="D2293" t="s">
        <v>740</v>
      </c>
      <c r="E2293" t="s">
        <v>743</v>
      </c>
      <c r="F2293" s="59">
        <v>383</v>
      </c>
      <c r="G2293" s="34" t="s">
        <v>713</v>
      </c>
      <c r="H2293" s="36">
        <v>21653</v>
      </c>
      <c r="I2293" s="58">
        <v>157776</v>
      </c>
      <c r="J2293">
        <f>IFERROR(VLOOKUP(G2293,'LEAID Match'!$A$2:$B$526,2,FALSE),"")</f>
        <v>2903480</v>
      </c>
      <c r="K2293" s="68">
        <f t="shared" si="71"/>
        <v>8</v>
      </c>
    </row>
    <row r="2294" spans="1:11" x14ac:dyDescent="0.2">
      <c r="A2294">
        <f t="shared" si="70"/>
        <v>2903480</v>
      </c>
      <c r="B2294">
        <v>2019</v>
      </c>
      <c r="C2294" t="s">
        <v>739</v>
      </c>
      <c r="D2294" t="s">
        <v>740</v>
      </c>
      <c r="E2294" t="s">
        <v>743</v>
      </c>
      <c r="F2294" s="59">
        <v>383</v>
      </c>
      <c r="G2294" s="34" t="s">
        <v>713</v>
      </c>
      <c r="H2294" s="36">
        <v>26184</v>
      </c>
      <c r="I2294" s="58">
        <v>155448</v>
      </c>
      <c r="J2294">
        <f>IFERROR(VLOOKUP(G2294,'LEAID Match'!$A$2:$B$526,2,FALSE),"")</f>
        <v>2903480</v>
      </c>
      <c r="K2294" s="68">
        <f t="shared" si="71"/>
        <v>8</v>
      </c>
    </row>
    <row r="2295" spans="1:11" x14ac:dyDescent="0.2">
      <c r="A2295">
        <f t="shared" si="70"/>
        <v>2903480</v>
      </c>
      <c r="B2295">
        <v>2020</v>
      </c>
      <c r="C2295" t="s">
        <v>739</v>
      </c>
      <c r="D2295" t="s">
        <v>740</v>
      </c>
      <c r="E2295" t="s">
        <v>743</v>
      </c>
      <c r="F2295" s="59">
        <v>383</v>
      </c>
      <c r="G2295" s="34" t="s">
        <v>713</v>
      </c>
      <c r="H2295" s="36">
        <v>31882</v>
      </c>
      <c r="I2295" s="58">
        <v>146065</v>
      </c>
      <c r="J2295">
        <f>IFERROR(VLOOKUP(G2295,'LEAID Match'!$A$2:$B$526,2,FALSE),"")</f>
        <v>2903480</v>
      </c>
      <c r="K2295" s="68">
        <f t="shared" si="71"/>
        <v>8</v>
      </c>
    </row>
    <row r="2296" spans="1:11" x14ac:dyDescent="0.2">
      <c r="A2296">
        <f t="shared" si="70"/>
        <v>2903480</v>
      </c>
      <c r="B2296">
        <v>2021</v>
      </c>
      <c r="C2296" t="s">
        <v>739</v>
      </c>
      <c r="D2296" t="s">
        <v>740</v>
      </c>
      <c r="E2296" t="s">
        <v>743</v>
      </c>
      <c r="F2296" s="59">
        <v>383</v>
      </c>
      <c r="G2296" s="34" t="s">
        <v>713</v>
      </c>
      <c r="H2296" s="36">
        <v>31488</v>
      </c>
      <c r="I2296" s="58">
        <v>150999</v>
      </c>
      <c r="J2296">
        <f>IFERROR(VLOOKUP(G2296,'LEAID Match'!$A$2:$B$526,2,FALSE),"")</f>
        <v>2903480</v>
      </c>
      <c r="K2296" s="68">
        <f t="shared" si="71"/>
        <v>8</v>
      </c>
    </row>
    <row r="2297" spans="1:11" x14ac:dyDescent="0.2">
      <c r="A2297">
        <f t="shared" si="70"/>
        <v>2903480</v>
      </c>
      <c r="B2297">
        <v>2022</v>
      </c>
      <c r="C2297" t="s">
        <v>739</v>
      </c>
      <c r="D2297" t="s">
        <v>740</v>
      </c>
      <c r="E2297" t="s">
        <v>743</v>
      </c>
      <c r="F2297" s="59">
        <v>383</v>
      </c>
      <c r="G2297" s="34" t="s">
        <v>713</v>
      </c>
      <c r="H2297" s="36">
        <v>30367</v>
      </c>
      <c r="I2297" s="58">
        <v>167679</v>
      </c>
      <c r="J2297">
        <f>IFERROR(VLOOKUP(G2297,'LEAID Match'!$A$2:$B$526,2,FALSE),"")</f>
        <v>2903480</v>
      </c>
      <c r="K2297" s="68">
        <f t="shared" si="71"/>
        <v>8</v>
      </c>
    </row>
    <row r="2298" spans="1:11" x14ac:dyDescent="0.2">
      <c r="A2298">
        <f t="shared" si="70"/>
        <v>2904980</v>
      </c>
      <c r="B2298">
        <v>2015</v>
      </c>
      <c r="C2298" t="s">
        <v>739</v>
      </c>
      <c r="D2298" t="s">
        <v>740</v>
      </c>
      <c r="E2298" t="s">
        <v>743</v>
      </c>
      <c r="F2298" s="35">
        <v>384</v>
      </c>
      <c r="G2298" s="39" t="s">
        <v>714</v>
      </c>
      <c r="H2298" s="40">
        <v>10860</v>
      </c>
      <c r="I2298" s="58">
        <v>168581</v>
      </c>
      <c r="J2298">
        <f>IFERROR(VLOOKUP(G2298,'LEAID Match'!$A$2:$B$526,2,FALSE),"")</f>
        <v>2904980</v>
      </c>
      <c r="K2298" s="68">
        <f t="shared" si="71"/>
        <v>8</v>
      </c>
    </row>
    <row r="2299" spans="1:11" x14ac:dyDescent="0.2">
      <c r="A2299">
        <f t="shared" si="70"/>
        <v>2904980</v>
      </c>
      <c r="B2299">
        <v>2016</v>
      </c>
      <c r="C2299" t="s">
        <v>739</v>
      </c>
      <c r="D2299" t="s">
        <v>740</v>
      </c>
      <c r="E2299" t="s">
        <v>743</v>
      </c>
      <c r="F2299" s="59">
        <v>384</v>
      </c>
      <c r="G2299" s="34" t="s">
        <v>714</v>
      </c>
      <c r="H2299" s="36">
        <v>12457</v>
      </c>
      <c r="I2299" s="60">
        <v>161083</v>
      </c>
      <c r="J2299">
        <f>IFERROR(VLOOKUP(G2299,'LEAID Match'!$A$2:$B$526,2,FALSE),"")</f>
        <v>2904980</v>
      </c>
      <c r="K2299" s="68">
        <f t="shared" si="71"/>
        <v>8</v>
      </c>
    </row>
    <row r="2300" spans="1:11" x14ac:dyDescent="0.2">
      <c r="A2300">
        <f t="shared" si="70"/>
        <v>2904980</v>
      </c>
      <c r="B2300">
        <v>2017</v>
      </c>
      <c r="C2300" t="s">
        <v>739</v>
      </c>
      <c r="D2300" t="s">
        <v>740</v>
      </c>
      <c r="E2300" t="s">
        <v>743</v>
      </c>
      <c r="F2300" s="59">
        <v>384</v>
      </c>
      <c r="G2300" s="34" t="s">
        <v>714</v>
      </c>
      <c r="H2300" s="36">
        <v>12259</v>
      </c>
      <c r="I2300" s="58">
        <v>161540</v>
      </c>
      <c r="J2300">
        <f>IFERROR(VLOOKUP(G2300,'LEAID Match'!$A$2:$B$526,2,FALSE),"")</f>
        <v>2904980</v>
      </c>
      <c r="K2300" s="68">
        <f t="shared" si="71"/>
        <v>8</v>
      </c>
    </row>
    <row r="2301" spans="1:11" x14ac:dyDescent="0.2">
      <c r="A2301">
        <f t="shared" si="70"/>
        <v>2904980</v>
      </c>
      <c r="B2301">
        <v>2018</v>
      </c>
      <c r="C2301" t="s">
        <v>739</v>
      </c>
      <c r="D2301" t="s">
        <v>740</v>
      </c>
      <c r="E2301" t="s">
        <v>743</v>
      </c>
      <c r="F2301" s="59">
        <v>384</v>
      </c>
      <c r="G2301" s="34" t="s">
        <v>714</v>
      </c>
      <c r="H2301" s="36">
        <v>11576</v>
      </c>
      <c r="I2301" s="58">
        <v>164425</v>
      </c>
      <c r="J2301">
        <f>IFERROR(VLOOKUP(G2301,'LEAID Match'!$A$2:$B$526,2,FALSE),"")</f>
        <v>2904980</v>
      </c>
      <c r="K2301" s="68">
        <f t="shared" si="71"/>
        <v>8</v>
      </c>
    </row>
    <row r="2302" spans="1:11" x14ac:dyDescent="0.2">
      <c r="A2302">
        <f t="shared" si="70"/>
        <v>2904980</v>
      </c>
      <c r="B2302">
        <v>2019</v>
      </c>
      <c r="C2302" t="s">
        <v>739</v>
      </c>
      <c r="D2302" t="s">
        <v>740</v>
      </c>
      <c r="E2302" t="s">
        <v>743</v>
      </c>
      <c r="F2302" s="59">
        <v>384</v>
      </c>
      <c r="G2302" s="34" t="s">
        <v>714</v>
      </c>
      <c r="H2302" s="36">
        <v>13393</v>
      </c>
      <c r="I2302" s="58">
        <v>173034</v>
      </c>
      <c r="J2302">
        <f>IFERROR(VLOOKUP(G2302,'LEAID Match'!$A$2:$B$526,2,FALSE),"")</f>
        <v>2904980</v>
      </c>
      <c r="K2302" s="68">
        <f t="shared" si="71"/>
        <v>8</v>
      </c>
    </row>
    <row r="2303" spans="1:11" x14ac:dyDescent="0.2">
      <c r="A2303">
        <f t="shared" si="70"/>
        <v>2904980</v>
      </c>
      <c r="B2303">
        <v>2020</v>
      </c>
      <c r="C2303" t="s">
        <v>739</v>
      </c>
      <c r="D2303" t="s">
        <v>740</v>
      </c>
      <c r="E2303" t="s">
        <v>743</v>
      </c>
      <c r="F2303" s="59">
        <v>384</v>
      </c>
      <c r="G2303" s="34" t="s">
        <v>714</v>
      </c>
      <c r="H2303" s="36">
        <v>17065</v>
      </c>
      <c r="I2303" s="58">
        <v>176241</v>
      </c>
      <c r="J2303">
        <f>IFERROR(VLOOKUP(G2303,'LEAID Match'!$A$2:$B$526,2,FALSE),"")</f>
        <v>2904980</v>
      </c>
      <c r="K2303" s="68">
        <f t="shared" si="71"/>
        <v>8</v>
      </c>
    </row>
    <row r="2304" spans="1:11" x14ac:dyDescent="0.2">
      <c r="A2304">
        <f t="shared" si="70"/>
        <v>2904980</v>
      </c>
      <c r="B2304">
        <v>2021</v>
      </c>
      <c r="C2304" t="s">
        <v>739</v>
      </c>
      <c r="D2304" t="s">
        <v>740</v>
      </c>
      <c r="E2304" t="s">
        <v>743</v>
      </c>
      <c r="F2304" s="59">
        <v>384</v>
      </c>
      <c r="G2304" s="34" t="s">
        <v>714</v>
      </c>
      <c r="H2304" s="36">
        <v>17198</v>
      </c>
      <c r="I2304" s="58">
        <v>169225</v>
      </c>
      <c r="J2304">
        <f>IFERROR(VLOOKUP(G2304,'LEAID Match'!$A$2:$B$526,2,FALSE),"")</f>
        <v>2904980</v>
      </c>
      <c r="K2304" s="68">
        <f t="shared" si="71"/>
        <v>8</v>
      </c>
    </row>
    <row r="2305" spans="1:11" x14ac:dyDescent="0.2">
      <c r="A2305">
        <f t="shared" si="70"/>
        <v>2904980</v>
      </c>
      <c r="B2305">
        <v>2022</v>
      </c>
      <c r="C2305" t="s">
        <v>739</v>
      </c>
      <c r="D2305" t="s">
        <v>740</v>
      </c>
      <c r="E2305" t="s">
        <v>743</v>
      </c>
      <c r="F2305" s="59">
        <v>384</v>
      </c>
      <c r="G2305" s="34" t="s">
        <v>714</v>
      </c>
      <c r="H2305" s="36">
        <v>24677</v>
      </c>
      <c r="I2305" s="58">
        <v>175625</v>
      </c>
      <c r="J2305">
        <f>IFERROR(VLOOKUP(G2305,'LEAID Match'!$A$2:$B$526,2,FALSE),"")</f>
        <v>2904980</v>
      </c>
      <c r="K2305" s="68">
        <f t="shared" si="71"/>
        <v>8</v>
      </c>
    </row>
    <row r="2306" spans="1:11" x14ac:dyDescent="0.2">
      <c r="A2306">
        <f t="shared" si="70"/>
        <v>2906540</v>
      </c>
      <c r="B2306">
        <v>2015</v>
      </c>
      <c r="C2306" t="s">
        <v>739</v>
      </c>
      <c r="D2306" t="s">
        <v>740</v>
      </c>
      <c r="E2306" t="s">
        <v>743</v>
      </c>
      <c r="F2306" s="35">
        <v>386</v>
      </c>
      <c r="G2306" s="39" t="s">
        <v>715</v>
      </c>
      <c r="H2306" s="40">
        <v>6958</v>
      </c>
      <c r="I2306" s="58">
        <v>54379</v>
      </c>
      <c r="J2306">
        <f>IFERROR(VLOOKUP(G2306,'LEAID Match'!$A$2:$B$526,2,FALSE),"")</f>
        <v>2906540</v>
      </c>
      <c r="K2306" s="68">
        <f t="shared" si="71"/>
        <v>8</v>
      </c>
    </row>
    <row r="2307" spans="1:11" x14ac:dyDescent="0.2">
      <c r="A2307">
        <f t="shared" ref="A2307:A2370" si="72">J2307</f>
        <v>2906540</v>
      </c>
      <c r="B2307">
        <v>2016</v>
      </c>
      <c r="C2307" t="s">
        <v>739</v>
      </c>
      <c r="D2307" t="s">
        <v>740</v>
      </c>
      <c r="E2307" t="s">
        <v>743</v>
      </c>
      <c r="F2307" s="59">
        <v>386</v>
      </c>
      <c r="G2307" s="34" t="s">
        <v>715</v>
      </c>
      <c r="H2307" s="36">
        <v>6980</v>
      </c>
      <c r="I2307" s="60">
        <v>55825</v>
      </c>
      <c r="J2307">
        <f>IFERROR(VLOOKUP(G2307,'LEAID Match'!$A$2:$B$526,2,FALSE),"")</f>
        <v>2906540</v>
      </c>
      <c r="K2307" s="68">
        <f t="shared" ref="K2307:K2370" si="73">COUNTIF($J$2:$J$4295,J2307)</f>
        <v>8</v>
      </c>
    </row>
    <row r="2308" spans="1:11" x14ac:dyDescent="0.2">
      <c r="A2308">
        <f t="shared" si="72"/>
        <v>2906540</v>
      </c>
      <c r="B2308">
        <v>2017</v>
      </c>
      <c r="C2308" t="s">
        <v>739</v>
      </c>
      <c r="D2308" t="s">
        <v>740</v>
      </c>
      <c r="E2308" t="s">
        <v>743</v>
      </c>
      <c r="F2308" s="59">
        <v>386</v>
      </c>
      <c r="G2308" s="34" t="s">
        <v>715</v>
      </c>
      <c r="H2308" s="36">
        <v>7919</v>
      </c>
      <c r="I2308" s="58">
        <v>52058</v>
      </c>
      <c r="J2308">
        <f>IFERROR(VLOOKUP(G2308,'LEAID Match'!$A$2:$B$526,2,FALSE),"")</f>
        <v>2906540</v>
      </c>
      <c r="K2308" s="68">
        <f t="shared" si="73"/>
        <v>8</v>
      </c>
    </row>
    <row r="2309" spans="1:11" x14ac:dyDescent="0.2">
      <c r="A2309">
        <f t="shared" si="72"/>
        <v>2906540</v>
      </c>
      <c r="B2309">
        <v>2018</v>
      </c>
      <c r="C2309" t="s">
        <v>739</v>
      </c>
      <c r="D2309" t="s">
        <v>740</v>
      </c>
      <c r="E2309" t="s">
        <v>743</v>
      </c>
      <c r="F2309" s="59">
        <v>386</v>
      </c>
      <c r="G2309" s="34" t="s">
        <v>715</v>
      </c>
      <c r="H2309" s="36">
        <v>6574</v>
      </c>
      <c r="I2309" s="58">
        <v>51632</v>
      </c>
      <c r="J2309">
        <f>IFERROR(VLOOKUP(G2309,'LEAID Match'!$A$2:$B$526,2,FALSE),"")</f>
        <v>2906540</v>
      </c>
      <c r="K2309" s="68">
        <f t="shared" si="73"/>
        <v>8</v>
      </c>
    </row>
    <row r="2310" spans="1:11" x14ac:dyDescent="0.2">
      <c r="A2310">
        <f t="shared" si="72"/>
        <v>2906540</v>
      </c>
      <c r="B2310">
        <v>2019</v>
      </c>
      <c r="C2310" t="s">
        <v>739</v>
      </c>
      <c r="D2310" t="s">
        <v>740</v>
      </c>
      <c r="E2310" t="s">
        <v>743</v>
      </c>
      <c r="F2310" s="59">
        <v>386</v>
      </c>
      <c r="G2310" s="34" t="s">
        <v>715</v>
      </c>
      <c r="H2310" s="36">
        <v>6622</v>
      </c>
      <c r="I2310" s="58">
        <v>51509</v>
      </c>
      <c r="J2310">
        <f>IFERROR(VLOOKUP(G2310,'LEAID Match'!$A$2:$B$526,2,FALSE),"")</f>
        <v>2906540</v>
      </c>
      <c r="K2310" s="68">
        <f t="shared" si="73"/>
        <v>8</v>
      </c>
    </row>
    <row r="2311" spans="1:11" x14ac:dyDescent="0.2">
      <c r="A2311">
        <f t="shared" si="72"/>
        <v>2906540</v>
      </c>
      <c r="B2311">
        <v>2020</v>
      </c>
      <c r="C2311" t="s">
        <v>739</v>
      </c>
      <c r="D2311" t="s">
        <v>740</v>
      </c>
      <c r="E2311" t="s">
        <v>743</v>
      </c>
      <c r="F2311" s="59">
        <v>386</v>
      </c>
      <c r="G2311" s="34" t="s">
        <v>715</v>
      </c>
      <c r="H2311" s="36">
        <v>7336</v>
      </c>
      <c r="I2311" s="58">
        <v>46851</v>
      </c>
      <c r="J2311">
        <f>IFERROR(VLOOKUP(G2311,'LEAID Match'!$A$2:$B$526,2,FALSE),"")</f>
        <v>2906540</v>
      </c>
      <c r="K2311" s="68">
        <f t="shared" si="73"/>
        <v>8</v>
      </c>
    </row>
    <row r="2312" spans="1:11" x14ac:dyDescent="0.2">
      <c r="A2312">
        <f t="shared" si="72"/>
        <v>2906540</v>
      </c>
      <c r="B2312">
        <v>2021</v>
      </c>
      <c r="C2312" t="s">
        <v>739</v>
      </c>
      <c r="D2312" t="s">
        <v>740</v>
      </c>
      <c r="E2312" t="s">
        <v>743</v>
      </c>
      <c r="F2312" s="59">
        <v>386</v>
      </c>
      <c r="G2312" s="34" t="s">
        <v>715</v>
      </c>
      <c r="H2312" s="36">
        <v>8029</v>
      </c>
      <c r="I2312" s="58">
        <v>47195</v>
      </c>
      <c r="J2312">
        <f>IFERROR(VLOOKUP(G2312,'LEAID Match'!$A$2:$B$526,2,FALSE),"")</f>
        <v>2906540</v>
      </c>
      <c r="K2312" s="68">
        <f t="shared" si="73"/>
        <v>8</v>
      </c>
    </row>
    <row r="2313" spans="1:11" x14ac:dyDescent="0.2">
      <c r="A2313">
        <f t="shared" si="72"/>
        <v>2906540</v>
      </c>
      <c r="B2313">
        <v>2022</v>
      </c>
      <c r="C2313" t="s">
        <v>739</v>
      </c>
      <c r="D2313" t="s">
        <v>740</v>
      </c>
      <c r="E2313" t="s">
        <v>743</v>
      </c>
      <c r="F2313" s="59">
        <v>386</v>
      </c>
      <c r="G2313" s="34" t="s">
        <v>715</v>
      </c>
      <c r="H2313" s="36">
        <v>8257</v>
      </c>
      <c r="I2313" s="58">
        <v>47117</v>
      </c>
      <c r="J2313">
        <f>IFERROR(VLOOKUP(G2313,'LEAID Match'!$A$2:$B$526,2,FALSE),"")</f>
        <v>2906540</v>
      </c>
      <c r="K2313" s="68">
        <f t="shared" si="73"/>
        <v>8</v>
      </c>
    </row>
    <row r="2314" spans="1:11" x14ac:dyDescent="0.2">
      <c r="A2314">
        <f t="shared" si="72"/>
        <v>2912540</v>
      </c>
      <c r="B2314">
        <v>2015</v>
      </c>
      <c r="C2314" t="s">
        <v>739</v>
      </c>
      <c r="D2314" t="s">
        <v>740</v>
      </c>
      <c r="E2314" t="s">
        <v>743</v>
      </c>
      <c r="F2314" s="35">
        <v>388</v>
      </c>
      <c r="G2314" s="39" t="s">
        <v>716</v>
      </c>
      <c r="H2314" s="40">
        <v>186285</v>
      </c>
      <c r="I2314" s="58">
        <v>1122021</v>
      </c>
      <c r="J2314">
        <f>IFERROR(VLOOKUP(G2314,'LEAID Match'!$A$2:$B$526,2,FALSE),"")</f>
        <v>2912540</v>
      </c>
      <c r="K2314" s="68">
        <f t="shared" si="73"/>
        <v>8</v>
      </c>
    </row>
    <row r="2315" spans="1:11" x14ac:dyDescent="0.2">
      <c r="A2315">
        <f t="shared" si="72"/>
        <v>2912540</v>
      </c>
      <c r="B2315">
        <v>2016</v>
      </c>
      <c r="C2315" t="s">
        <v>739</v>
      </c>
      <c r="D2315" t="s">
        <v>740</v>
      </c>
      <c r="E2315" t="s">
        <v>743</v>
      </c>
      <c r="F2315" s="59">
        <v>388</v>
      </c>
      <c r="G2315" s="34" t="s">
        <v>716</v>
      </c>
      <c r="H2315" s="36">
        <v>204117</v>
      </c>
      <c r="I2315" s="60">
        <v>1160600</v>
      </c>
      <c r="J2315">
        <f>IFERROR(VLOOKUP(G2315,'LEAID Match'!$A$2:$B$526,2,FALSE),"")</f>
        <v>2912540</v>
      </c>
      <c r="K2315" s="68">
        <f t="shared" si="73"/>
        <v>8</v>
      </c>
    </row>
    <row r="2316" spans="1:11" x14ac:dyDescent="0.2">
      <c r="A2316">
        <f t="shared" si="72"/>
        <v>2912540</v>
      </c>
      <c r="B2316">
        <v>2017</v>
      </c>
      <c r="C2316" t="s">
        <v>739</v>
      </c>
      <c r="D2316" t="s">
        <v>740</v>
      </c>
      <c r="E2316" t="s">
        <v>743</v>
      </c>
      <c r="F2316" s="59">
        <v>388</v>
      </c>
      <c r="G2316" s="34" t="s">
        <v>716</v>
      </c>
      <c r="H2316" s="36">
        <v>204011</v>
      </c>
      <c r="I2316" s="58">
        <v>1222745</v>
      </c>
      <c r="J2316">
        <f>IFERROR(VLOOKUP(G2316,'LEAID Match'!$A$2:$B$526,2,FALSE),"")</f>
        <v>2912540</v>
      </c>
      <c r="K2316" s="68">
        <f t="shared" si="73"/>
        <v>8</v>
      </c>
    </row>
    <row r="2317" spans="1:11" x14ac:dyDescent="0.2">
      <c r="A2317">
        <f t="shared" si="72"/>
        <v>2912540</v>
      </c>
      <c r="B2317">
        <v>2018</v>
      </c>
      <c r="C2317" t="s">
        <v>739</v>
      </c>
      <c r="D2317" t="s">
        <v>740</v>
      </c>
      <c r="E2317" t="s">
        <v>743</v>
      </c>
      <c r="F2317" s="59">
        <v>388</v>
      </c>
      <c r="G2317" s="34" t="s">
        <v>716</v>
      </c>
      <c r="H2317" s="36">
        <v>203594</v>
      </c>
      <c r="I2317" s="58">
        <v>1253065</v>
      </c>
      <c r="J2317">
        <f>IFERROR(VLOOKUP(G2317,'LEAID Match'!$A$2:$B$526,2,FALSE),"")</f>
        <v>2912540</v>
      </c>
      <c r="K2317" s="68">
        <f t="shared" si="73"/>
        <v>8</v>
      </c>
    </row>
    <row r="2318" spans="1:11" x14ac:dyDescent="0.2">
      <c r="A2318">
        <f t="shared" si="72"/>
        <v>2912540</v>
      </c>
      <c r="B2318">
        <v>2019</v>
      </c>
      <c r="C2318" t="s">
        <v>739</v>
      </c>
      <c r="D2318" t="s">
        <v>740</v>
      </c>
      <c r="E2318" t="s">
        <v>743</v>
      </c>
      <c r="F2318" s="59">
        <v>388</v>
      </c>
      <c r="G2318" s="34" t="s">
        <v>716</v>
      </c>
      <c r="H2318" s="36">
        <v>209612</v>
      </c>
      <c r="I2318" s="58">
        <v>1283825</v>
      </c>
      <c r="J2318">
        <f>IFERROR(VLOOKUP(G2318,'LEAID Match'!$A$2:$B$526,2,FALSE),"")</f>
        <v>2912540</v>
      </c>
      <c r="K2318" s="68">
        <f t="shared" si="73"/>
        <v>8</v>
      </c>
    </row>
    <row r="2319" spans="1:11" x14ac:dyDescent="0.2">
      <c r="A2319">
        <f t="shared" si="72"/>
        <v>2912540</v>
      </c>
      <c r="B2319">
        <v>2020</v>
      </c>
      <c r="C2319" t="s">
        <v>739</v>
      </c>
      <c r="D2319" t="s">
        <v>740</v>
      </c>
      <c r="E2319" t="s">
        <v>743</v>
      </c>
      <c r="F2319" s="59">
        <v>388</v>
      </c>
      <c r="G2319" s="34" t="s">
        <v>716</v>
      </c>
      <c r="H2319" s="36">
        <v>228465</v>
      </c>
      <c r="I2319" s="58">
        <v>1274791</v>
      </c>
      <c r="J2319">
        <f>IFERROR(VLOOKUP(G2319,'LEAID Match'!$A$2:$B$526,2,FALSE),"")</f>
        <v>2912540</v>
      </c>
      <c r="K2319" s="68">
        <f t="shared" si="73"/>
        <v>8</v>
      </c>
    </row>
    <row r="2320" spans="1:11" x14ac:dyDescent="0.2">
      <c r="A2320">
        <f t="shared" si="72"/>
        <v>2912540</v>
      </c>
      <c r="B2320">
        <v>2021</v>
      </c>
      <c r="C2320" t="s">
        <v>739</v>
      </c>
      <c r="D2320" t="s">
        <v>740</v>
      </c>
      <c r="E2320" t="s">
        <v>743</v>
      </c>
      <c r="F2320" s="59">
        <v>388</v>
      </c>
      <c r="G2320" s="34" t="s">
        <v>716</v>
      </c>
      <c r="H2320" s="36">
        <v>226724</v>
      </c>
      <c r="I2320" s="58">
        <v>1325550</v>
      </c>
      <c r="J2320">
        <f>IFERROR(VLOOKUP(G2320,'LEAID Match'!$A$2:$B$526,2,FALSE),"")</f>
        <v>2912540</v>
      </c>
      <c r="K2320" s="68">
        <f t="shared" si="73"/>
        <v>8</v>
      </c>
    </row>
    <row r="2321" spans="1:11" x14ac:dyDescent="0.2">
      <c r="A2321">
        <f t="shared" si="72"/>
        <v>2912540</v>
      </c>
      <c r="B2321">
        <v>2022</v>
      </c>
      <c r="C2321" t="s">
        <v>739</v>
      </c>
      <c r="D2321" t="s">
        <v>740</v>
      </c>
      <c r="E2321" t="s">
        <v>743</v>
      </c>
      <c r="F2321" s="59">
        <v>388</v>
      </c>
      <c r="G2321" s="34" t="s">
        <v>716</v>
      </c>
      <c r="H2321" s="36">
        <v>256999</v>
      </c>
      <c r="I2321" s="58">
        <v>1370619</v>
      </c>
      <c r="J2321">
        <f>IFERROR(VLOOKUP(G2321,'LEAID Match'!$A$2:$B$526,2,FALSE),"")</f>
        <v>2912540</v>
      </c>
      <c r="K2321" s="68">
        <f t="shared" si="73"/>
        <v>8</v>
      </c>
    </row>
    <row r="2322" spans="1:11" x14ac:dyDescent="0.2">
      <c r="A2322">
        <f t="shared" si="72"/>
        <v>2920370</v>
      </c>
      <c r="B2322">
        <v>2015</v>
      </c>
      <c r="C2322" t="s">
        <v>739</v>
      </c>
      <c r="D2322" t="s">
        <v>740</v>
      </c>
      <c r="E2322" t="s">
        <v>743</v>
      </c>
      <c r="F2322" s="35">
        <v>389</v>
      </c>
      <c r="G2322" s="39" t="s">
        <v>717</v>
      </c>
      <c r="H2322" s="40">
        <v>14494</v>
      </c>
      <c r="I2322" s="58">
        <v>113979</v>
      </c>
      <c r="J2322">
        <f>IFERROR(VLOOKUP(G2322,'LEAID Match'!$A$2:$B$526,2,FALSE),"")</f>
        <v>2920370</v>
      </c>
      <c r="K2322" s="68">
        <f t="shared" si="73"/>
        <v>8</v>
      </c>
    </row>
    <row r="2323" spans="1:11" x14ac:dyDescent="0.2">
      <c r="A2323">
        <f t="shared" si="72"/>
        <v>2920370</v>
      </c>
      <c r="B2323">
        <v>2016</v>
      </c>
      <c r="C2323" t="s">
        <v>739</v>
      </c>
      <c r="D2323" t="s">
        <v>740</v>
      </c>
      <c r="E2323" t="s">
        <v>743</v>
      </c>
      <c r="F2323" s="59">
        <v>389</v>
      </c>
      <c r="G2323" s="34" t="s">
        <v>717</v>
      </c>
      <c r="H2323" s="36">
        <v>17535</v>
      </c>
      <c r="I2323" s="60">
        <v>116960</v>
      </c>
      <c r="J2323">
        <f>IFERROR(VLOOKUP(G2323,'LEAID Match'!$A$2:$B$526,2,FALSE),"")</f>
        <v>2920370</v>
      </c>
      <c r="K2323" s="68">
        <f t="shared" si="73"/>
        <v>8</v>
      </c>
    </row>
    <row r="2324" spans="1:11" x14ac:dyDescent="0.2">
      <c r="A2324">
        <f t="shared" si="72"/>
        <v>2920370</v>
      </c>
      <c r="B2324">
        <v>2017</v>
      </c>
      <c r="C2324" t="s">
        <v>739</v>
      </c>
      <c r="D2324" t="s">
        <v>740</v>
      </c>
      <c r="E2324" t="s">
        <v>743</v>
      </c>
      <c r="F2324" s="59">
        <v>389</v>
      </c>
      <c r="G2324" s="34" t="s">
        <v>717</v>
      </c>
      <c r="H2324" s="36">
        <v>16593</v>
      </c>
      <c r="I2324" s="58">
        <v>118210</v>
      </c>
      <c r="J2324">
        <f>IFERROR(VLOOKUP(G2324,'LEAID Match'!$A$2:$B$526,2,FALSE),"")</f>
        <v>2920370</v>
      </c>
      <c r="K2324" s="68">
        <f t="shared" si="73"/>
        <v>8</v>
      </c>
    </row>
    <row r="2325" spans="1:11" x14ac:dyDescent="0.2">
      <c r="A2325">
        <f t="shared" si="72"/>
        <v>2920370</v>
      </c>
      <c r="B2325">
        <v>2018</v>
      </c>
      <c r="C2325" t="s">
        <v>739</v>
      </c>
      <c r="D2325" t="s">
        <v>740</v>
      </c>
      <c r="E2325" t="s">
        <v>743</v>
      </c>
      <c r="F2325" s="59">
        <v>389</v>
      </c>
      <c r="G2325" s="34" t="s">
        <v>717</v>
      </c>
      <c r="H2325" s="36">
        <v>15975</v>
      </c>
      <c r="I2325" s="58">
        <v>112709</v>
      </c>
      <c r="J2325">
        <f>IFERROR(VLOOKUP(G2325,'LEAID Match'!$A$2:$B$526,2,FALSE),"")</f>
        <v>2920370</v>
      </c>
      <c r="K2325" s="68">
        <f t="shared" si="73"/>
        <v>8</v>
      </c>
    </row>
    <row r="2326" spans="1:11" x14ac:dyDescent="0.2">
      <c r="A2326">
        <f t="shared" si="72"/>
        <v>2920370</v>
      </c>
      <c r="B2326">
        <v>2019</v>
      </c>
      <c r="C2326" t="s">
        <v>739</v>
      </c>
      <c r="D2326" t="s">
        <v>740</v>
      </c>
      <c r="E2326" t="s">
        <v>743</v>
      </c>
      <c r="F2326" s="59">
        <v>389</v>
      </c>
      <c r="G2326" s="34" t="s">
        <v>717</v>
      </c>
      <c r="H2326" s="36">
        <v>17595</v>
      </c>
      <c r="I2326" s="58">
        <v>114852</v>
      </c>
      <c r="J2326">
        <f>IFERROR(VLOOKUP(G2326,'LEAID Match'!$A$2:$B$526,2,FALSE),"")</f>
        <v>2920370</v>
      </c>
      <c r="K2326" s="68">
        <f t="shared" si="73"/>
        <v>8</v>
      </c>
    </row>
    <row r="2327" spans="1:11" x14ac:dyDescent="0.2">
      <c r="A2327">
        <f t="shared" si="72"/>
        <v>2920370</v>
      </c>
      <c r="B2327">
        <v>2020</v>
      </c>
      <c r="C2327" t="s">
        <v>739</v>
      </c>
      <c r="D2327" t="s">
        <v>740</v>
      </c>
      <c r="E2327" t="s">
        <v>743</v>
      </c>
      <c r="F2327" s="59">
        <v>389</v>
      </c>
      <c r="G2327" s="34" t="s">
        <v>717</v>
      </c>
      <c r="H2327" s="36">
        <v>17321</v>
      </c>
      <c r="I2327" s="58">
        <v>124206</v>
      </c>
      <c r="J2327">
        <f>IFERROR(VLOOKUP(G2327,'LEAID Match'!$A$2:$B$526,2,FALSE),"")</f>
        <v>2920370</v>
      </c>
      <c r="K2327" s="68">
        <f t="shared" si="73"/>
        <v>8</v>
      </c>
    </row>
    <row r="2328" spans="1:11" x14ac:dyDescent="0.2">
      <c r="A2328">
        <f t="shared" si="72"/>
        <v>2920370</v>
      </c>
      <c r="B2328">
        <v>2021</v>
      </c>
      <c r="C2328" t="s">
        <v>739</v>
      </c>
      <c r="D2328" t="s">
        <v>740</v>
      </c>
      <c r="E2328" t="s">
        <v>743</v>
      </c>
      <c r="F2328" s="59">
        <v>389</v>
      </c>
      <c r="G2328" s="34" t="s">
        <v>717</v>
      </c>
      <c r="H2328" s="36">
        <v>18095</v>
      </c>
      <c r="I2328" s="58">
        <v>126580</v>
      </c>
      <c r="J2328">
        <f>IFERROR(VLOOKUP(G2328,'LEAID Match'!$A$2:$B$526,2,FALSE),"")</f>
        <v>2920370</v>
      </c>
      <c r="K2328" s="68">
        <f t="shared" si="73"/>
        <v>8</v>
      </c>
    </row>
    <row r="2329" spans="1:11" x14ac:dyDescent="0.2">
      <c r="A2329">
        <f t="shared" si="72"/>
        <v>2920370</v>
      </c>
      <c r="B2329">
        <v>2022</v>
      </c>
      <c r="C2329" t="s">
        <v>739</v>
      </c>
      <c r="D2329" t="s">
        <v>740</v>
      </c>
      <c r="E2329" t="s">
        <v>743</v>
      </c>
      <c r="F2329" s="59">
        <v>389</v>
      </c>
      <c r="G2329" s="34" t="s">
        <v>717</v>
      </c>
      <c r="H2329" s="36">
        <v>21786</v>
      </c>
      <c r="I2329" s="58">
        <v>142320</v>
      </c>
      <c r="J2329">
        <f>IFERROR(VLOOKUP(G2329,'LEAID Match'!$A$2:$B$526,2,FALSE),"")</f>
        <v>2920370</v>
      </c>
      <c r="K2329" s="68">
        <f t="shared" si="73"/>
        <v>8</v>
      </c>
    </row>
    <row r="2330" spans="1:11" x14ac:dyDescent="0.2">
      <c r="A2330">
        <f t="shared" si="72"/>
        <v>2930870</v>
      </c>
      <c r="B2330">
        <v>2015</v>
      </c>
      <c r="C2330" t="s">
        <v>739</v>
      </c>
      <c r="D2330" t="s">
        <v>740</v>
      </c>
      <c r="E2330" t="s">
        <v>743</v>
      </c>
      <c r="F2330" s="35">
        <v>390</v>
      </c>
      <c r="G2330" s="34" t="s">
        <v>718</v>
      </c>
      <c r="H2330" s="40">
        <v>38353</v>
      </c>
      <c r="I2330" s="58">
        <v>273850</v>
      </c>
      <c r="J2330">
        <f>IFERROR(VLOOKUP(G2330,'LEAID Match'!$A$2:$B$526,2,FALSE),"")</f>
        <v>2930870</v>
      </c>
      <c r="K2330" s="68">
        <f t="shared" si="73"/>
        <v>8</v>
      </c>
    </row>
    <row r="2331" spans="1:11" x14ac:dyDescent="0.2">
      <c r="A2331">
        <f t="shared" si="72"/>
        <v>2930870</v>
      </c>
      <c r="B2331">
        <v>2016</v>
      </c>
      <c r="C2331" t="s">
        <v>739</v>
      </c>
      <c r="D2331" t="s">
        <v>740</v>
      </c>
      <c r="E2331" t="s">
        <v>743</v>
      </c>
      <c r="F2331" s="59">
        <v>390</v>
      </c>
      <c r="G2331" s="34" t="s">
        <v>718</v>
      </c>
      <c r="H2331" s="36">
        <v>39061</v>
      </c>
      <c r="I2331" s="60">
        <v>284043</v>
      </c>
      <c r="J2331">
        <f>IFERROR(VLOOKUP(G2331,'LEAID Match'!$A$2:$B$526,2,FALSE),"")</f>
        <v>2930870</v>
      </c>
      <c r="K2331" s="68">
        <f t="shared" si="73"/>
        <v>8</v>
      </c>
    </row>
    <row r="2332" spans="1:11" x14ac:dyDescent="0.2">
      <c r="A2332">
        <f t="shared" si="72"/>
        <v>2930870</v>
      </c>
      <c r="B2332">
        <v>2017</v>
      </c>
      <c r="C2332" t="s">
        <v>739</v>
      </c>
      <c r="D2332" t="s">
        <v>740</v>
      </c>
      <c r="E2332" t="s">
        <v>743</v>
      </c>
      <c r="F2332" s="59">
        <v>390</v>
      </c>
      <c r="G2332" s="34" t="s">
        <v>718</v>
      </c>
      <c r="H2332" s="36">
        <v>41384</v>
      </c>
      <c r="I2332" s="58">
        <v>297542</v>
      </c>
      <c r="J2332">
        <f>IFERROR(VLOOKUP(G2332,'LEAID Match'!$A$2:$B$526,2,FALSE),"")</f>
        <v>2930870</v>
      </c>
      <c r="K2332" s="68">
        <f t="shared" si="73"/>
        <v>8</v>
      </c>
    </row>
    <row r="2333" spans="1:11" x14ac:dyDescent="0.2">
      <c r="A2333">
        <f t="shared" si="72"/>
        <v>2930870</v>
      </c>
      <c r="B2333">
        <v>2018</v>
      </c>
      <c r="C2333" t="s">
        <v>739</v>
      </c>
      <c r="D2333" t="s">
        <v>740</v>
      </c>
      <c r="E2333" t="s">
        <v>743</v>
      </c>
      <c r="F2333" s="59">
        <v>390</v>
      </c>
      <c r="G2333" s="34" t="s">
        <v>718</v>
      </c>
      <c r="H2333" s="36">
        <v>44721</v>
      </c>
      <c r="I2333" s="58">
        <v>304335</v>
      </c>
      <c r="J2333">
        <f>IFERROR(VLOOKUP(G2333,'LEAID Match'!$A$2:$B$526,2,FALSE),"")</f>
        <v>2930870</v>
      </c>
      <c r="K2333" s="68">
        <f t="shared" si="73"/>
        <v>8</v>
      </c>
    </row>
    <row r="2334" spans="1:11" x14ac:dyDescent="0.2">
      <c r="A2334">
        <f t="shared" si="72"/>
        <v>2930870</v>
      </c>
      <c r="B2334">
        <v>2019</v>
      </c>
      <c r="C2334" t="s">
        <v>739</v>
      </c>
      <c r="D2334" t="s">
        <v>740</v>
      </c>
      <c r="E2334" t="s">
        <v>743</v>
      </c>
      <c r="F2334" s="59">
        <v>390</v>
      </c>
      <c r="G2334" s="34" t="s">
        <v>718</v>
      </c>
      <c r="H2334" s="36">
        <v>47932</v>
      </c>
      <c r="I2334" s="58">
        <v>306843</v>
      </c>
      <c r="J2334">
        <f>IFERROR(VLOOKUP(G2334,'LEAID Match'!$A$2:$B$526,2,FALSE),"")</f>
        <v>2930870</v>
      </c>
      <c r="K2334" s="68">
        <f t="shared" si="73"/>
        <v>8</v>
      </c>
    </row>
    <row r="2335" spans="1:11" x14ac:dyDescent="0.2">
      <c r="A2335">
        <f t="shared" si="72"/>
        <v>2930870</v>
      </c>
      <c r="B2335">
        <v>2020</v>
      </c>
      <c r="C2335" t="s">
        <v>739</v>
      </c>
      <c r="D2335" t="s">
        <v>740</v>
      </c>
      <c r="E2335" t="s">
        <v>743</v>
      </c>
      <c r="F2335" s="59">
        <v>390</v>
      </c>
      <c r="G2335" s="34" t="s">
        <v>718</v>
      </c>
      <c r="H2335" s="36">
        <v>47149</v>
      </c>
      <c r="I2335" s="58">
        <v>299392</v>
      </c>
      <c r="J2335">
        <f>IFERROR(VLOOKUP(G2335,'LEAID Match'!$A$2:$B$526,2,FALSE),"")</f>
        <v>2930870</v>
      </c>
      <c r="K2335" s="68">
        <f t="shared" si="73"/>
        <v>8</v>
      </c>
    </row>
    <row r="2336" spans="1:11" x14ac:dyDescent="0.2">
      <c r="A2336">
        <f t="shared" si="72"/>
        <v>2930870</v>
      </c>
      <c r="B2336">
        <v>2021</v>
      </c>
      <c r="C2336" t="s">
        <v>739</v>
      </c>
      <c r="D2336" t="s">
        <v>740</v>
      </c>
      <c r="E2336" t="s">
        <v>743</v>
      </c>
      <c r="F2336" s="59">
        <v>390</v>
      </c>
      <c r="G2336" s="34" t="s">
        <v>718</v>
      </c>
      <c r="H2336" s="36">
        <v>44855</v>
      </c>
      <c r="I2336" s="58">
        <v>317439</v>
      </c>
      <c r="J2336">
        <f>IFERROR(VLOOKUP(G2336,'LEAID Match'!$A$2:$B$526,2,FALSE),"")</f>
        <v>2930870</v>
      </c>
      <c r="K2336" s="68">
        <f t="shared" si="73"/>
        <v>8</v>
      </c>
    </row>
    <row r="2337" spans="1:11" x14ac:dyDescent="0.2">
      <c r="A2337">
        <f t="shared" si="72"/>
        <v>2930870</v>
      </c>
      <c r="B2337">
        <v>2022</v>
      </c>
      <c r="C2337" t="s">
        <v>739</v>
      </c>
      <c r="D2337" t="s">
        <v>740</v>
      </c>
      <c r="E2337" t="s">
        <v>743</v>
      </c>
      <c r="F2337" s="59">
        <v>390</v>
      </c>
      <c r="G2337" s="34" t="s">
        <v>718</v>
      </c>
      <c r="H2337" s="36">
        <v>52393</v>
      </c>
      <c r="I2337" s="58">
        <v>316773</v>
      </c>
      <c r="J2337">
        <f>IFERROR(VLOOKUP(G2337,'LEAID Match'!$A$2:$B$526,2,FALSE),"")</f>
        <v>2930870</v>
      </c>
      <c r="K2337" s="68">
        <f t="shared" si="73"/>
        <v>8</v>
      </c>
    </row>
    <row r="2338" spans="1:11" x14ac:dyDescent="0.2">
      <c r="A2338">
        <f t="shared" si="72"/>
        <v>2900001</v>
      </c>
      <c r="B2338">
        <v>2015</v>
      </c>
      <c r="C2338" t="s">
        <v>739</v>
      </c>
      <c r="D2338" t="s">
        <v>740</v>
      </c>
      <c r="E2338" t="s">
        <v>743</v>
      </c>
      <c r="F2338" s="35">
        <v>391</v>
      </c>
      <c r="G2338" s="34" t="s">
        <v>719</v>
      </c>
      <c r="H2338" s="40">
        <v>74525</v>
      </c>
      <c r="I2338" s="58">
        <v>476803</v>
      </c>
      <c r="J2338">
        <f>IFERROR(VLOOKUP(G2338,'LEAID Match'!$A$2:$B$526,2,FALSE),"")</f>
        <v>2900001</v>
      </c>
      <c r="K2338" s="68">
        <f t="shared" si="73"/>
        <v>8</v>
      </c>
    </row>
    <row r="2339" spans="1:11" x14ac:dyDescent="0.2">
      <c r="A2339">
        <f t="shared" si="72"/>
        <v>2900001</v>
      </c>
      <c r="B2339">
        <v>2016</v>
      </c>
      <c r="C2339" t="s">
        <v>739</v>
      </c>
      <c r="D2339" t="s">
        <v>740</v>
      </c>
      <c r="E2339" t="s">
        <v>743</v>
      </c>
      <c r="F2339" s="59">
        <v>391</v>
      </c>
      <c r="G2339" s="34" t="s">
        <v>719</v>
      </c>
      <c r="H2339" s="36">
        <v>71050</v>
      </c>
      <c r="I2339" s="60">
        <v>472809</v>
      </c>
      <c r="J2339">
        <f>IFERROR(VLOOKUP(G2339,'LEAID Match'!$A$2:$B$526,2,FALSE),"")</f>
        <v>2900001</v>
      </c>
      <c r="K2339" s="68">
        <f t="shared" si="73"/>
        <v>8</v>
      </c>
    </row>
    <row r="2340" spans="1:11" x14ac:dyDescent="0.2">
      <c r="A2340">
        <f t="shared" si="72"/>
        <v>2900001</v>
      </c>
      <c r="B2340">
        <v>2017</v>
      </c>
      <c r="C2340" t="s">
        <v>739</v>
      </c>
      <c r="D2340" t="s">
        <v>740</v>
      </c>
      <c r="E2340" t="s">
        <v>743</v>
      </c>
      <c r="F2340" s="59">
        <v>391</v>
      </c>
      <c r="G2340" s="34" t="s">
        <v>719</v>
      </c>
      <c r="H2340" s="36">
        <v>75488</v>
      </c>
      <c r="I2340" s="58">
        <v>483003</v>
      </c>
      <c r="J2340">
        <f>IFERROR(VLOOKUP(G2340,'LEAID Match'!$A$2:$B$526,2,FALSE),"")</f>
        <v>2900001</v>
      </c>
      <c r="K2340" s="68">
        <f t="shared" si="73"/>
        <v>8</v>
      </c>
    </row>
    <row r="2341" spans="1:11" x14ac:dyDescent="0.2">
      <c r="A2341">
        <f t="shared" si="72"/>
        <v>2900001</v>
      </c>
      <c r="B2341">
        <v>2018</v>
      </c>
      <c r="C2341" t="s">
        <v>739</v>
      </c>
      <c r="D2341" t="s">
        <v>740</v>
      </c>
      <c r="E2341" t="s">
        <v>743</v>
      </c>
      <c r="F2341" s="59">
        <v>391</v>
      </c>
      <c r="G2341" s="34" t="s">
        <v>719</v>
      </c>
      <c r="H2341" s="36">
        <v>72926</v>
      </c>
      <c r="I2341" s="58">
        <v>482943</v>
      </c>
      <c r="J2341">
        <f>IFERROR(VLOOKUP(G2341,'LEAID Match'!$A$2:$B$526,2,FALSE),"")</f>
        <v>2900001</v>
      </c>
      <c r="K2341" s="68">
        <f t="shared" si="73"/>
        <v>8</v>
      </c>
    </row>
    <row r="2342" spans="1:11" x14ac:dyDescent="0.2">
      <c r="A2342">
        <f t="shared" si="72"/>
        <v>2900001</v>
      </c>
      <c r="B2342">
        <v>2019</v>
      </c>
      <c r="C2342" t="s">
        <v>739</v>
      </c>
      <c r="D2342" t="s">
        <v>740</v>
      </c>
      <c r="E2342" t="s">
        <v>743</v>
      </c>
      <c r="F2342" s="59">
        <v>391</v>
      </c>
      <c r="G2342" s="34" t="s">
        <v>719</v>
      </c>
      <c r="H2342" s="36">
        <v>68273</v>
      </c>
      <c r="I2342" s="58">
        <v>501199</v>
      </c>
      <c r="J2342">
        <f>IFERROR(VLOOKUP(G2342,'LEAID Match'!$A$2:$B$526,2,FALSE),"")</f>
        <v>2900001</v>
      </c>
      <c r="K2342" s="68">
        <f t="shared" si="73"/>
        <v>8</v>
      </c>
    </row>
    <row r="2343" spans="1:11" x14ac:dyDescent="0.2">
      <c r="A2343">
        <f t="shared" si="72"/>
        <v>2900001</v>
      </c>
      <c r="B2343">
        <v>2020</v>
      </c>
      <c r="C2343" t="s">
        <v>739</v>
      </c>
      <c r="D2343" t="s">
        <v>740</v>
      </c>
      <c r="E2343" t="s">
        <v>743</v>
      </c>
      <c r="F2343" s="59">
        <v>391</v>
      </c>
      <c r="G2343" s="34" t="s">
        <v>719</v>
      </c>
      <c r="H2343" s="36">
        <v>68346</v>
      </c>
      <c r="I2343" s="58">
        <v>450980</v>
      </c>
      <c r="J2343">
        <f>IFERROR(VLOOKUP(G2343,'LEAID Match'!$A$2:$B$526,2,FALSE),"")</f>
        <v>2900001</v>
      </c>
      <c r="K2343" s="68">
        <f t="shared" si="73"/>
        <v>8</v>
      </c>
    </row>
    <row r="2344" spans="1:11" x14ac:dyDescent="0.2">
      <c r="A2344">
        <f t="shared" si="72"/>
        <v>2900001</v>
      </c>
      <c r="B2344">
        <v>2021</v>
      </c>
      <c r="C2344" t="s">
        <v>739</v>
      </c>
      <c r="D2344" t="s">
        <v>740</v>
      </c>
      <c r="E2344" t="s">
        <v>743</v>
      </c>
      <c r="F2344" s="59">
        <v>391</v>
      </c>
      <c r="G2344" s="34" t="s">
        <v>719</v>
      </c>
      <c r="H2344" s="36">
        <v>63150</v>
      </c>
      <c r="I2344" s="58">
        <v>440085</v>
      </c>
      <c r="J2344">
        <f>IFERROR(VLOOKUP(G2344,'LEAID Match'!$A$2:$B$526,2,FALSE),"")</f>
        <v>2900001</v>
      </c>
      <c r="K2344" s="68">
        <f t="shared" si="73"/>
        <v>8</v>
      </c>
    </row>
    <row r="2345" spans="1:11" x14ac:dyDescent="0.2">
      <c r="A2345">
        <f t="shared" si="72"/>
        <v>2900001</v>
      </c>
      <c r="B2345">
        <v>2022</v>
      </c>
      <c r="C2345" t="s">
        <v>739</v>
      </c>
      <c r="D2345" t="s">
        <v>740</v>
      </c>
      <c r="E2345" t="s">
        <v>743</v>
      </c>
      <c r="F2345" s="59">
        <v>391</v>
      </c>
      <c r="G2345" s="34" t="s">
        <v>719</v>
      </c>
      <c r="H2345" s="36">
        <v>62548</v>
      </c>
      <c r="I2345" s="58">
        <v>472866</v>
      </c>
      <c r="J2345">
        <f>IFERROR(VLOOKUP(G2345,'LEAID Match'!$A$2:$B$526,2,FALSE),"")</f>
        <v>2900001</v>
      </c>
      <c r="K2345" s="68">
        <f t="shared" si="73"/>
        <v>8</v>
      </c>
    </row>
    <row r="2346" spans="1:11" x14ac:dyDescent="0.2">
      <c r="A2346">
        <f t="shared" si="72"/>
        <v>2923490</v>
      </c>
      <c r="B2346">
        <v>2015</v>
      </c>
      <c r="C2346" t="s">
        <v>739</v>
      </c>
      <c r="D2346" t="s">
        <v>740</v>
      </c>
      <c r="E2346" t="s">
        <v>743</v>
      </c>
      <c r="F2346" s="35">
        <v>392</v>
      </c>
      <c r="G2346" s="34" t="s">
        <v>720</v>
      </c>
      <c r="H2346" s="40">
        <v>103816</v>
      </c>
      <c r="I2346" s="58">
        <v>742487</v>
      </c>
      <c r="J2346">
        <f>IFERROR(VLOOKUP(G2346,'LEAID Match'!$A$2:$B$526,2,FALSE),"")</f>
        <v>2923490</v>
      </c>
      <c r="K2346" s="68">
        <f t="shared" si="73"/>
        <v>8</v>
      </c>
    </row>
    <row r="2347" spans="1:11" x14ac:dyDescent="0.2">
      <c r="A2347">
        <f t="shared" si="72"/>
        <v>2923490</v>
      </c>
      <c r="B2347">
        <v>2016</v>
      </c>
      <c r="C2347" t="s">
        <v>739</v>
      </c>
      <c r="D2347" t="s">
        <v>740</v>
      </c>
      <c r="E2347" t="s">
        <v>743</v>
      </c>
      <c r="F2347" s="59">
        <v>392</v>
      </c>
      <c r="G2347" s="34" t="s">
        <v>720</v>
      </c>
      <c r="H2347" s="36">
        <v>105851</v>
      </c>
      <c r="I2347" s="60">
        <v>749155</v>
      </c>
      <c r="J2347">
        <f>IFERROR(VLOOKUP(G2347,'LEAID Match'!$A$2:$B$526,2,FALSE),"")</f>
        <v>2923490</v>
      </c>
      <c r="K2347" s="68">
        <f t="shared" si="73"/>
        <v>8</v>
      </c>
    </row>
    <row r="2348" spans="1:11" x14ac:dyDescent="0.2">
      <c r="A2348">
        <f t="shared" si="72"/>
        <v>2923490</v>
      </c>
      <c r="B2348">
        <v>2017</v>
      </c>
      <c r="C2348" t="s">
        <v>739</v>
      </c>
      <c r="D2348" t="s">
        <v>740</v>
      </c>
      <c r="E2348" t="s">
        <v>743</v>
      </c>
      <c r="F2348" s="59">
        <v>392</v>
      </c>
      <c r="G2348" s="34" t="s">
        <v>720</v>
      </c>
      <c r="H2348" s="36">
        <v>100556</v>
      </c>
      <c r="I2348" s="58">
        <v>764297</v>
      </c>
      <c r="J2348">
        <f>IFERROR(VLOOKUP(G2348,'LEAID Match'!$A$2:$B$526,2,FALSE),"")</f>
        <v>2923490</v>
      </c>
      <c r="K2348" s="68">
        <f t="shared" si="73"/>
        <v>8</v>
      </c>
    </row>
    <row r="2349" spans="1:11" x14ac:dyDescent="0.2">
      <c r="A2349">
        <f t="shared" si="72"/>
        <v>2923490</v>
      </c>
      <c r="B2349">
        <v>2018</v>
      </c>
      <c r="C2349" t="s">
        <v>739</v>
      </c>
      <c r="D2349" t="s">
        <v>740</v>
      </c>
      <c r="E2349" t="s">
        <v>743</v>
      </c>
      <c r="F2349" s="59">
        <v>392</v>
      </c>
      <c r="G2349" s="34" t="s">
        <v>720</v>
      </c>
      <c r="H2349" s="36">
        <v>103717</v>
      </c>
      <c r="I2349" s="58">
        <v>777300</v>
      </c>
      <c r="J2349">
        <f>IFERROR(VLOOKUP(G2349,'LEAID Match'!$A$2:$B$526,2,FALSE),"")</f>
        <v>2923490</v>
      </c>
      <c r="K2349" s="68">
        <f t="shared" si="73"/>
        <v>8</v>
      </c>
    </row>
    <row r="2350" spans="1:11" x14ac:dyDescent="0.2">
      <c r="A2350">
        <f t="shared" si="72"/>
        <v>2923490</v>
      </c>
      <c r="B2350">
        <v>2019</v>
      </c>
      <c r="C2350" t="s">
        <v>739</v>
      </c>
      <c r="D2350" t="s">
        <v>740</v>
      </c>
      <c r="E2350" t="s">
        <v>743</v>
      </c>
      <c r="F2350" s="59">
        <v>392</v>
      </c>
      <c r="G2350" s="34" t="s">
        <v>720</v>
      </c>
      <c r="H2350" s="36">
        <v>109543</v>
      </c>
      <c r="I2350" s="58">
        <v>781177</v>
      </c>
      <c r="J2350">
        <f>IFERROR(VLOOKUP(G2350,'LEAID Match'!$A$2:$B$526,2,FALSE),"")</f>
        <v>2923490</v>
      </c>
      <c r="K2350" s="68">
        <f t="shared" si="73"/>
        <v>8</v>
      </c>
    </row>
    <row r="2351" spans="1:11" x14ac:dyDescent="0.2">
      <c r="A2351">
        <f t="shared" si="72"/>
        <v>2923490</v>
      </c>
      <c r="B2351">
        <v>2020</v>
      </c>
      <c r="C2351" t="s">
        <v>739</v>
      </c>
      <c r="D2351" t="s">
        <v>740</v>
      </c>
      <c r="E2351" t="s">
        <v>743</v>
      </c>
      <c r="F2351" s="59">
        <v>392</v>
      </c>
      <c r="G2351" s="34" t="s">
        <v>720</v>
      </c>
      <c r="H2351" s="36">
        <v>104253</v>
      </c>
      <c r="I2351" s="58">
        <v>781343</v>
      </c>
      <c r="J2351">
        <f>IFERROR(VLOOKUP(G2351,'LEAID Match'!$A$2:$B$526,2,FALSE),"")</f>
        <v>2923490</v>
      </c>
      <c r="K2351" s="68">
        <f t="shared" si="73"/>
        <v>8</v>
      </c>
    </row>
    <row r="2352" spans="1:11" x14ac:dyDescent="0.2">
      <c r="A2352">
        <f t="shared" si="72"/>
        <v>2923490</v>
      </c>
      <c r="B2352">
        <v>2021</v>
      </c>
      <c r="C2352" t="s">
        <v>739</v>
      </c>
      <c r="D2352" t="s">
        <v>740</v>
      </c>
      <c r="E2352" t="s">
        <v>743</v>
      </c>
      <c r="F2352" s="59">
        <v>392</v>
      </c>
      <c r="G2352" s="34" t="s">
        <v>720</v>
      </c>
      <c r="H2352" s="36">
        <v>101240</v>
      </c>
      <c r="I2352" s="58">
        <v>820617</v>
      </c>
      <c r="J2352">
        <f>IFERROR(VLOOKUP(G2352,'LEAID Match'!$A$2:$B$526,2,FALSE),"")</f>
        <v>2923490</v>
      </c>
      <c r="K2352" s="68">
        <f t="shared" si="73"/>
        <v>8</v>
      </c>
    </row>
    <row r="2353" spans="1:11" x14ac:dyDescent="0.2">
      <c r="A2353">
        <f t="shared" si="72"/>
        <v>2923490</v>
      </c>
      <c r="B2353">
        <v>2022</v>
      </c>
      <c r="C2353" t="s">
        <v>739</v>
      </c>
      <c r="D2353" t="s">
        <v>740</v>
      </c>
      <c r="E2353" t="s">
        <v>743</v>
      </c>
      <c r="F2353" s="59">
        <v>392</v>
      </c>
      <c r="G2353" s="34" t="s">
        <v>720</v>
      </c>
      <c r="H2353" s="36">
        <v>105962</v>
      </c>
      <c r="I2353" s="58">
        <v>849140</v>
      </c>
      <c r="J2353">
        <f>IFERROR(VLOOKUP(G2353,'LEAID Match'!$A$2:$B$526,2,FALSE),"")</f>
        <v>2923490</v>
      </c>
      <c r="K2353" s="68">
        <f t="shared" si="73"/>
        <v>8</v>
      </c>
    </row>
    <row r="2354" spans="1:11" x14ac:dyDescent="0.2">
      <c r="A2354">
        <f t="shared" si="72"/>
        <v>2920280</v>
      </c>
      <c r="B2354">
        <v>2015</v>
      </c>
      <c r="C2354" t="s">
        <v>739</v>
      </c>
      <c r="D2354" t="s">
        <v>740</v>
      </c>
      <c r="E2354" t="s">
        <v>743</v>
      </c>
      <c r="F2354" s="35">
        <v>393</v>
      </c>
      <c r="G2354" s="34" t="s">
        <v>721</v>
      </c>
      <c r="H2354" s="40">
        <v>17920</v>
      </c>
      <c r="I2354" s="58">
        <v>181390</v>
      </c>
      <c r="J2354">
        <f>IFERROR(VLOOKUP(G2354,'LEAID Match'!$A$2:$B$526,2,FALSE),"")</f>
        <v>2920280</v>
      </c>
      <c r="K2354" s="68">
        <f t="shared" si="73"/>
        <v>8</v>
      </c>
    </row>
    <row r="2355" spans="1:11" x14ac:dyDescent="0.2">
      <c r="A2355">
        <f t="shared" si="72"/>
        <v>2920280</v>
      </c>
      <c r="B2355">
        <v>2016</v>
      </c>
      <c r="C2355" t="s">
        <v>739</v>
      </c>
      <c r="D2355" t="s">
        <v>740</v>
      </c>
      <c r="E2355" t="s">
        <v>743</v>
      </c>
      <c r="F2355" s="59">
        <v>393</v>
      </c>
      <c r="G2355" s="34" t="s">
        <v>721</v>
      </c>
      <c r="H2355" s="36">
        <v>19765</v>
      </c>
      <c r="I2355" s="60">
        <v>185409</v>
      </c>
      <c r="J2355">
        <f>IFERROR(VLOOKUP(G2355,'LEAID Match'!$A$2:$B$526,2,FALSE),"")</f>
        <v>2920280</v>
      </c>
      <c r="K2355" s="68">
        <f t="shared" si="73"/>
        <v>8</v>
      </c>
    </row>
    <row r="2356" spans="1:11" x14ac:dyDescent="0.2">
      <c r="A2356">
        <f t="shared" si="72"/>
        <v>2920280</v>
      </c>
      <c r="B2356">
        <v>2017</v>
      </c>
      <c r="C2356" t="s">
        <v>739</v>
      </c>
      <c r="D2356" t="s">
        <v>740</v>
      </c>
      <c r="E2356" t="s">
        <v>743</v>
      </c>
      <c r="F2356" s="59">
        <v>393</v>
      </c>
      <c r="G2356" s="34" t="s">
        <v>721</v>
      </c>
      <c r="H2356" s="36">
        <v>21734</v>
      </c>
      <c r="I2356" s="58">
        <v>192228</v>
      </c>
      <c r="J2356">
        <f>IFERROR(VLOOKUP(G2356,'LEAID Match'!$A$2:$B$526,2,FALSE),"")</f>
        <v>2920280</v>
      </c>
      <c r="K2356" s="68">
        <f t="shared" si="73"/>
        <v>8</v>
      </c>
    </row>
    <row r="2357" spans="1:11" x14ac:dyDescent="0.2">
      <c r="A2357">
        <f t="shared" si="72"/>
        <v>2920280</v>
      </c>
      <c r="B2357">
        <v>2018</v>
      </c>
      <c r="C2357" t="s">
        <v>739</v>
      </c>
      <c r="D2357" t="s">
        <v>740</v>
      </c>
      <c r="E2357" t="s">
        <v>743</v>
      </c>
      <c r="F2357" s="59">
        <v>393</v>
      </c>
      <c r="G2357" s="34" t="s">
        <v>721</v>
      </c>
      <c r="H2357" s="36">
        <v>22663</v>
      </c>
      <c r="I2357" s="58">
        <v>177910</v>
      </c>
      <c r="J2357">
        <f>IFERROR(VLOOKUP(G2357,'LEAID Match'!$A$2:$B$526,2,FALSE),"")</f>
        <v>2920280</v>
      </c>
      <c r="K2357" s="68">
        <f t="shared" si="73"/>
        <v>8</v>
      </c>
    </row>
    <row r="2358" spans="1:11" x14ac:dyDescent="0.2">
      <c r="A2358">
        <f t="shared" si="72"/>
        <v>2920280</v>
      </c>
      <c r="B2358">
        <v>2019</v>
      </c>
      <c r="C2358" t="s">
        <v>739</v>
      </c>
      <c r="D2358" t="s">
        <v>740</v>
      </c>
      <c r="E2358" t="s">
        <v>743</v>
      </c>
      <c r="F2358" s="59">
        <v>393</v>
      </c>
      <c r="G2358" s="34" t="s">
        <v>721</v>
      </c>
      <c r="H2358" s="36">
        <v>25623</v>
      </c>
      <c r="I2358" s="58">
        <v>181022</v>
      </c>
      <c r="J2358">
        <f>IFERROR(VLOOKUP(G2358,'LEAID Match'!$A$2:$B$526,2,FALSE),"")</f>
        <v>2920280</v>
      </c>
      <c r="K2358" s="68">
        <f t="shared" si="73"/>
        <v>8</v>
      </c>
    </row>
    <row r="2359" spans="1:11" x14ac:dyDescent="0.2">
      <c r="A2359">
        <f t="shared" si="72"/>
        <v>2920280</v>
      </c>
      <c r="B2359">
        <v>2020</v>
      </c>
      <c r="C2359" t="s">
        <v>739</v>
      </c>
      <c r="D2359" t="s">
        <v>740</v>
      </c>
      <c r="E2359" t="s">
        <v>743</v>
      </c>
      <c r="F2359" s="59">
        <v>393</v>
      </c>
      <c r="G2359" s="34" t="s">
        <v>721</v>
      </c>
      <c r="H2359" s="36">
        <v>27183</v>
      </c>
      <c r="I2359" s="58">
        <v>175497</v>
      </c>
      <c r="J2359">
        <f>IFERROR(VLOOKUP(G2359,'LEAID Match'!$A$2:$B$526,2,FALSE),"")</f>
        <v>2920280</v>
      </c>
      <c r="K2359" s="68">
        <f t="shared" si="73"/>
        <v>8</v>
      </c>
    </row>
    <row r="2360" spans="1:11" x14ac:dyDescent="0.2">
      <c r="A2360">
        <f t="shared" si="72"/>
        <v>2920280</v>
      </c>
      <c r="B2360">
        <v>2021</v>
      </c>
      <c r="C2360" t="s">
        <v>739</v>
      </c>
      <c r="D2360" t="s">
        <v>740</v>
      </c>
      <c r="E2360" t="s">
        <v>743</v>
      </c>
      <c r="F2360" s="59">
        <v>393</v>
      </c>
      <c r="G2360" s="34" t="s">
        <v>721</v>
      </c>
      <c r="H2360" s="36">
        <v>24170</v>
      </c>
      <c r="I2360" s="58">
        <v>168953</v>
      </c>
      <c r="J2360">
        <f>IFERROR(VLOOKUP(G2360,'LEAID Match'!$A$2:$B$526,2,FALSE),"")</f>
        <v>2920280</v>
      </c>
      <c r="K2360" s="68">
        <f t="shared" si="73"/>
        <v>8</v>
      </c>
    </row>
    <row r="2361" spans="1:11" x14ac:dyDescent="0.2">
      <c r="A2361">
        <f t="shared" si="72"/>
        <v>2920280</v>
      </c>
      <c r="B2361">
        <v>2022</v>
      </c>
      <c r="C2361" t="s">
        <v>739</v>
      </c>
      <c r="D2361" t="s">
        <v>740</v>
      </c>
      <c r="E2361" t="s">
        <v>743</v>
      </c>
      <c r="F2361" s="59">
        <v>393</v>
      </c>
      <c r="G2361" s="34" t="s">
        <v>721</v>
      </c>
      <c r="H2361" s="36">
        <v>24290</v>
      </c>
      <c r="I2361" s="58">
        <v>181797</v>
      </c>
      <c r="J2361">
        <f>IFERROR(VLOOKUP(G2361,'LEAID Match'!$A$2:$B$526,2,FALSE),"")</f>
        <v>2920280</v>
      </c>
      <c r="K2361" s="68">
        <f t="shared" si="73"/>
        <v>8</v>
      </c>
    </row>
    <row r="2362" spans="1:11" x14ac:dyDescent="0.2">
      <c r="A2362">
        <f t="shared" si="72"/>
        <v>2913650</v>
      </c>
      <c r="B2362">
        <v>2015</v>
      </c>
      <c r="C2362" t="s">
        <v>739</v>
      </c>
      <c r="D2362" t="s">
        <v>740</v>
      </c>
      <c r="E2362" t="s">
        <v>743</v>
      </c>
      <c r="F2362" s="35">
        <v>394</v>
      </c>
      <c r="G2362" s="39" t="s">
        <v>722</v>
      </c>
      <c r="H2362" s="40">
        <v>325418</v>
      </c>
      <c r="I2362" s="58">
        <v>2543793</v>
      </c>
      <c r="J2362">
        <f>IFERROR(VLOOKUP(G2362,'LEAID Match'!$A$2:$B$526,2,FALSE),"")</f>
        <v>2913650</v>
      </c>
      <c r="K2362" s="68">
        <f t="shared" si="73"/>
        <v>8</v>
      </c>
    </row>
    <row r="2363" spans="1:11" x14ac:dyDescent="0.2">
      <c r="A2363">
        <f t="shared" si="72"/>
        <v>2913650</v>
      </c>
      <c r="B2363">
        <v>2016</v>
      </c>
      <c r="C2363" t="s">
        <v>739</v>
      </c>
      <c r="D2363" t="s">
        <v>740</v>
      </c>
      <c r="E2363" t="s">
        <v>743</v>
      </c>
      <c r="F2363" s="59">
        <v>394</v>
      </c>
      <c r="G2363" s="34" t="s">
        <v>722</v>
      </c>
      <c r="H2363" s="36">
        <v>348509</v>
      </c>
      <c r="I2363" s="60">
        <v>2508757</v>
      </c>
      <c r="J2363">
        <f>IFERROR(VLOOKUP(G2363,'LEAID Match'!$A$2:$B$526,2,FALSE),"")</f>
        <v>2913650</v>
      </c>
      <c r="K2363" s="68">
        <f t="shared" si="73"/>
        <v>8</v>
      </c>
    </row>
    <row r="2364" spans="1:11" x14ac:dyDescent="0.2">
      <c r="A2364">
        <f t="shared" si="72"/>
        <v>2913650</v>
      </c>
      <c r="B2364">
        <v>2017</v>
      </c>
      <c r="C2364" t="s">
        <v>739</v>
      </c>
      <c r="D2364" t="s">
        <v>740</v>
      </c>
      <c r="E2364" t="s">
        <v>743</v>
      </c>
      <c r="F2364" s="59">
        <v>394</v>
      </c>
      <c r="G2364" s="34" t="s">
        <v>722</v>
      </c>
      <c r="H2364" s="36">
        <v>365975</v>
      </c>
      <c r="I2364" s="58">
        <v>2488628</v>
      </c>
      <c r="J2364">
        <f>IFERROR(VLOOKUP(G2364,'LEAID Match'!$A$2:$B$526,2,FALSE),"")</f>
        <v>2913650</v>
      </c>
      <c r="K2364" s="68">
        <f t="shared" si="73"/>
        <v>8</v>
      </c>
    </row>
    <row r="2365" spans="1:11" x14ac:dyDescent="0.2">
      <c r="A2365">
        <f t="shared" si="72"/>
        <v>2913650</v>
      </c>
      <c r="B2365">
        <v>2018</v>
      </c>
      <c r="C2365" t="s">
        <v>739</v>
      </c>
      <c r="D2365" t="s">
        <v>740</v>
      </c>
      <c r="E2365" t="s">
        <v>743</v>
      </c>
      <c r="F2365" s="59">
        <v>394</v>
      </c>
      <c r="G2365" s="34" t="s">
        <v>722</v>
      </c>
      <c r="H2365" s="36">
        <v>370529</v>
      </c>
      <c r="I2365" s="58">
        <v>2538540</v>
      </c>
      <c r="J2365">
        <f>IFERROR(VLOOKUP(G2365,'LEAID Match'!$A$2:$B$526,2,FALSE),"")</f>
        <v>2913650</v>
      </c>
      <c r="K2365" s="68">
        <f t="shared" si="73"/>
        <v>8</v>
      </c>
    </row>
    <row r="2366" spans="1:11" x14ac:dyDescent="0.2">
      <c r="A2366">
        <f t="shared" si="72"/>
        <v>2913650</v>
      </c>
      <c r="B2366">
        <v>2019</v>
      </c>
      <c r="C2366" t="s">
        <v>739</v>
      </c>
      <c r="D2366" t="s">
        <v>740</v>
      </c>
      <c r="E2366" t="s">
        <v>743</v>
      </c>
      <c r="F2366" s="59">
        <v>394</v>
      </c>
      <c r="G2366" s="34" t="s">
        <v>722</v>
      </c>
      <c r="H2366" s="36">
        <v>404094</v>
      </c>
      <c r="I2366" s="58">
        <v>2613907</v>
      </c>
      <c r="J2366">
        <f>IFERROR(VLOOKUP(G2366,'LEAID Match'!$A$2:$B$526,2,FALSE),"")</f>
        <v>2913650</v>
      </c>
      <c r="K2366" s="68">
        <f t="shared" si="73"/>
        <v>8</v>
      </c>
    </row>
    <row r="2367" spans="1:11" x14ac:dyDescent="0.2">
      <c r="A2367">
        <f t="shared" si="72"/>
        <v>2913650</v>
      </c>
      <c r="B2367">
        <v>2020</v>
      </c>
      <c r="C2367" t="s">
        <v>739</v>
      </c>
      <c r="D2367" t="s">
        <v>740</v>
      </c>
      <c r="E2367" t="s">
        <v>743</v>
      </c>
      <c r="F2367" s="59">
        <v>394</v>
      </c>
      <c r="G2367" s="34" t="s">
        <v>722</v>
      </c>
      <c r="H2367" s="36">
        <v>458122</v>
      </c>
      <c r="I2367" s="58">
        <v>2691484</v>
      </c>
      <c r="J2367">
        <f>IFERROR(VLOOKUP(G2367,'LEAID Match'!$A$2:$B$526,2,FALSE),"")</f>
        <v>2913650</v>
      </c>
      <c r="K2367" s="68">
        <f t="shared" si="73"/>
        <v>8</v>
      </c>
    </row>
    <row r="2368" spans="1:11" x14ac:dyDescent="0.2">
      <c r="A2368">
        <f t="shared" si="72"/>
        <v>2913650</v>
      </c>
      <c r="B2368">
        <v>2021</v>
      </c>
      <c r="C2368" t="s">
        <v>739</v>
      </c>
      <c r="D2368" t="s">
        <v>740</v>
      </c>
      <c r="E2368" t="s">
        <v>743</v>
      </c>
      <c r="F2368" s="59">
        <v>394</v>
      </c>
      <c r="G2368" s="34" t="s">
        <v>722</v>
      </c>
      <c r="H2368" s="36">
        <v>490965</v>
      </c>
      <c r="I2368" s="58">
        <v>2796075</v>
      </c>
      <c r="J2368">
        <f>IFERROR(VLOOKUP(G2368,'LEAID Match'!$A$2:$B$526,2,FALSE),"")</f>
        <v>2913650</v>
      </c>
      <c r="K2368" s="68">
        <f t="shared" si="73"/>
        <v>8</v>
      </c>
    </row>
    <row r="2369" spans="1:11" x14ac:dyDescent="0.2">
      <c r="A2369">
        <f t="shared" si="72"/>
        <v>2913650</v>
      </c>
      <c r="B2369">
        <v>2022</v>
      </c>
      <c r="C2369" t="s">
        <v>739</v>
      </c>
      <c r="D2369" t="s">
        <v>740</v>
      </c>
      <c r="E2369" t="s">
        <v>743</v>
      </c>
      <c r="F2369" s="59">
        <v>394</v>
      </c>
      <c r="G2369" s="34" t="s">
        <v>722</v>
      </c>
      <c r="H2369" s="36">
        <v>550887</v>
      </c>
      <c r="I2369" s="58">
        <v>2969326</v>
      </c>
      <c r="J2369">
        <f>IFERROR(VLOOKUP(G2369,'LEAID Match'!$A$2:$B$526,2,FALSE),"")</f>
        <v>2913650</v>
      </c>
      <c r="K2369" s="68">
        <f t="shared" si="73"/>
        <v>8</v>
      </c>
    </row>
    <row r="2370" spans="1:11" x14ac:dyDescent="0.2">
      <c r="A2370">
        <f t="shared" si="72"/>
        <v>2920750</v>
      </c>
      <c r="B2370">
        <v>2015</v>
      </c>
      <c r="C2370" t="s">
        <v>739</v>
      </c>
      <c r="D2370" t="s">
        <v>740</v>
      </c>
      <c r="E2370" t="s">
        <v>743</v>
      </c>
      <c r="F2370" s="35">
        <v>395</v>
      </c>
      <c r="G2370" s="39" t="s">
        <v>723</v>
      </c>
      <c r="H2370" s="40">
        <v>24838</v>
      </c>
      <c r="I2370" s="58">
        <v>176124</v>
      </c>
      <c r="J2370">
        <f>IFERROR(VLOOKUP(G2370,'LEAID Match'!$A$2:$B$526,2,FALSE),"")</f>
        <v>2920750</v>
      </c>
      <c r="K2370" s="68">
        <f t="shared" si="73"/>
        <v>8</v>
      </c>
    </row>
    <row r="2371" spans="1:11" x14ac:dyDescent="0.2">
      <c r="A2371">
        <f t="shared" ref="A2371:A2434" si="74">J2371</f>
        <v>2920750</v>
      </c>
      <c r="B2371">
        <v>2016</v>
      </c>
      <c r="C2371" t="s">
        <v>739</v>
      </c>
      <c r="D2371" t="s">
        <v>740</v>
      </c>
      <c r="E2371" t="s">
        <v>743</v>
      </c>
      <c r="F2371" s="59">
        <v>395</v>
      </c>
      <c r="G2371" s="34" t="s">
        <v>723</v>
      </c>
      <c r="H2371" s="36">
        <v>25459</v>
      </c>
      <c r="I2371" s="60">
        <v>178043</v>
      </c>
      <c r="J2371">
        <f>IFERROR(VLOOKUP(G2371,'LEAID Match'!$A$2:$B$526,2,FALSE),"")</f>
        <v>2920750</v>
      </c>
      <c r="K2371" s="68">
        <f t="shared" ref="K2371:K2434" si="75">COUNTIF($J$2:$J$4295,J2371)</f>
        <v>8</v>
      </c>
    </row>
    <row r="2372" spans="1:11" x14ac:dyDescent="0.2">
      <c r="A2372">
        <f t="shared" si="74"/>
        <v>2920750</v>
      </c>
      <c r="B2372">
        <v>2017</v>
      </c>
      <c r="C2372" t="s">
        <v>739</v>
      </c>
      <c r="D2372" t="s">
        <v>740</v>
      </c>
      <c r="E2372" t="s">
        <v>743</v>
      </c>
      <c r="F2372" s="59">
        <v>395</v>
      </c>
      <c r="G2372" s="34" t="s">
        <v>723</v>
      </c>
      <c r="H2372" s="36">
        <v>22719</v>
      </c>
      <c r="I2372" s="58">
        <v>169625</v>
      </c>
      <c r="J2372">
        <f>IFERROR(VLOOKUP(G2372,'LEAID Match'!$A$2:$B$526,2,FALSE),"")</f>
        <v>2920750</v>
      </c>
      <c r="K2372" s="68">
        <f t="shared" si="75"/>
        <v>8</v>
      </c>
    </row>
    <row r="2373" spans="1:11" x14ac:dyDescent="0.2">
      <c r="A2373">
        <f t="shared" si="74"/>
        <v>2920750</v>
      </c>
      <c r="B2373">
        <v>2018</v>
      </c>
      <c r="C2373" t="s">
        <v>739</v>
      </c>
      <c r="D2373" t="s">
        <v>740</v>
      </c>
      <c r="E2373" t="s">
        <v>743</v>
      </c>
      <c r="F2373" s="59">
        <v>395</v>
      </c>
      <c r="G2373" s="34" t="s">
        <v>723</v>
      </c>
      <c r="H2373" s="36">
        <v>29546</v>
      </c>
      <c r="I2373" s="58">
        <v>167811</v>
      </c>
      <c r="J2373">
        <f>IFERROR(VLOOKUP(G2373,'LEAID Match'!$A$2:$B$526,2,FALSE),"")</f>
        <v>2920750</v>
      </c>
      <c r="K2373" s="68">
        <f t="shared" si="75"/>
        <v>8</v>
      </c>
    </row>
    <row r="2374" spans="1:11" x14ac:dyDescent="0.2">
      <c r="A2374">
        <f t="shared" si="74"/>
        <v>2920750</v>
      </c>
      <c r="B2374">
        <v>2019</v>
      </c>
      <c r="C2374" t="s">
        <v>739</v>
      </c>
      <c r="D2374" t="s">
        <v>740</v>
      </c>
      <c r="E2374" t="s">
        <v>743</v>
      </c>
      <c r="F2374" s="59">
        <v>395</v>
      </c>
      <c r="G2374" s="34" t="s">
        <v>723</v>
      </c>
      <c r="H2374" s="36">
        <v>33913</v>
      </c>
      <c r="I2374" s="58">
        <v>171328</v>
      </c>
      <c r="J2374">
        <f>IFERROR(VLOOKUP(G2374,'LEAID Match'!$A$2:$B$526,2,FALSE),"")</f>
        <v>2920750</v>
      </c>
      <c r="K2374" s="68">
        <f t="shared" si="75"/>
        <v>8</v>
      </c>
    </row>
    <row r="2375" spans="1:11" x14ac:dyDescent="0.2">
      <c r="A2375">
        <f t="shared" si="74"/>
        <v>2920750</v>
      </c>
      <c r="B2375">
        <v>2020</v>
      </c>
      <c r="C2375" t="s">
        <v>739</v>
      </c>
      <c r="D2375" t="s">
        <v>740</v>
      </c>
      <c r="E2375" t="s">
        <v>743</v>
      </c>
      <c r="F2375" s="59">
        <v>395</v>
      </c>
      <c r="G2375" s="34" t="s">
        <v>723</v>
      </c>
      <c r="H2375" s="36">
        <v>32689</v>
      </c>
      <c r="I2375" s="58">
        <v>178855</v>
      </c>
      <c r="J2375">
        <f>IFERROR(VLOOKUP(G2375,'LEAID Match'!$A$2:$B$526,2,FALSE),"")</f>
        <v>2920750</v>
      </c>
      <c r="K2375" s="68">
        <f t="shared" si="75"/>
        <v>8</v>
      </c>
    </row>
    <row r="2376" spans="1:11" x14ac:dyDescent="0.2">
      <c r="A2376">
        <f t="shared" si="74"/>
        <v>2920750</v>
      </c>
      <c r="B2376">
        <v>2021</v>
      </c>
      <c r="C2376" t="s">
        <v>739</v>
      </c>
      <c r="D2376" t="s">
        <v>740</v>
      </c>
      <c r="E2376" t="s">
        <v>743</v>
      </c>
      <c r="F2376" s="59">
        <v>395</v>
      </c>
      <c r="G2376" s="34" t="s">
        <v>723</v>
      </c>
      <c r="H2376" s="36">
        <v>26716</v>
      </c>
      <c r="I2376" s="58">
        <v>184730</v>
      </c>
      <c r="J2376">
        <f>IFERROR(VLOOKUP(G2376,'LEAID Match'!$A$2:$B$526,2,FALSE),"")</f>
        <v>2920750</v>
      </c>
      <c r="K2376" s="68">
        <f t="shared" si="75"/>
        <v>8</v>
      </c>
    </row>
    <row r="2377" spans="1:11" x14ac:dyDescent="0.2">
      <c r="A2377">
        <f t="shared" si="74"/>
        <v>2920750</v>
      </c>
      <c r="B2377">
        <v>2022</v>
      </c>
      <c r="C2377" t="s">
        <v>739</v>
      </c>
      <c r="D2377" t="s">
        <v>740</v>
      </c>
      <c r="E2377" t="s">
        <v>743</v>
      </c>
      <c r="F2377" s="59">
        <v>395</v>
      </c>
      <c r="G2377" s="34" t="s">
        <v>723</v>
      </c>
      <c r="H2377" s="36">
        <v>29454</v>
      </c>
      <c r="I2377" s="58">
        <v>163820</v>
      </c>
      <c r="J2377">
        <f>IFERROR(VLOOKUP(G2377,'LEAID Match'!$A$2:$B$526,2,FALSE),"")</f>
        <v>2920750</v>
      </c>
      <c r="K2377" s="68">
        <f t="shared" si="75"/>
        <v>8</v>
      </c>
    </row>
    <row r="2378" spans="1:11" x14ac:dyDescent="0.2">
      <c r="A2378">
        <f t="shared" si="74"/>
        <v>2925590</v>
      </c>
      <c r="B2378">
        <v>2015</v>
      </c>
      <c r="C2378" t="s">
        <v>739</v>
      </c>
      <c r="D2378" t="s">
        <v>740</v>
      </c>
      <c r="E2378" t="s">
        <v>743</v>
      </c>
      <c r="F2378" s="35">
        <v>397</v>
      </c>
      <c r="G2378" s="39" t="s">
        <v>724</v>
      </c>
      <c r="H2378" s="40">
        <v>35109</v>
      </c>
      <c r="I2378" s="58">
        <v>311827</v>
      </c>
      <c r="J2378">
        <f>IFERROR(VLOOKUP(G2378,'LEAID Match'!$A$2:$B$526,2,FALSE),"")</f>
        <v>2925590</v>
      </c>
      <c r="K2378" s="68">
        <f t="shared" si="75"/>
        <v>8</v>
      </c>
    </row>
    <row r="2379" spans="1:11" x14ac:dyDescent="0.2">
      <c r="A2379">
        <f t="shared" si="74"/>
        <v>2925590</v>
      </c>
      <c r="B2379">
        <v>2016</v>
      </c>
      <c r="C2379" t="s">
        <v>739</v>
      </c>
      <c r="D2379" t="s">
        <v>740</v>
      </c>
      <c r="E2379" t="s">
        <v>743</v>
      </c>
      <c r="F2379" s="59">
        <v>397</v>
      </c>
      <c r="G2379" s="34" t="s">
        <v>724</v>
      </c>
      <c r="H2379" s="36">
        <v>39548</v>
      </c>
      <c r="I2379" s="60">
        <v>301337</v>
      </c>
      <c r="J2379">
        <f>IFERROR(VLOOKUP(G2379,'LEAID Match'!$A$2:$B$526,2,FALSE),"")</f>
        <v>2925590</v>
      </c>
      <c r="K2379" s="68">
        <f t="shared" si="75"/>
        <v>8</v>
      </c>
    </row>
    <row r="2380" spans="1:11" x14ac:dyDescent="0.2">
      <c r="A2380">
        <f t="shared" si="74"/>
        <v>2925590</v>
      </c>
      <c r="B2380">
        <v>2017</v>
      </c>
      <c r="C2380" t="s">
        <v>739</v>
      </c>
      <c r="D2380" t="s">
        <v>740</v>
      </c>
      <c r="E2380" t="s">
        <v>743</v>
      </c>
      <c r="F2380" s="59">
        <v>397</v>
      </c>
      <c r="G2380" s="34" t="s">
        <v>724</v>
      </c>
      <c r="H2380" s="36">
        <v>43765</v>
      </c>
      <c r="I2380" s="58">
        <v>297963</v>
      </c>
      <c r="J2380">
        <f>IFERROR(VLOOKUP(G2380,'LEAID Match'!$A$2:$B$526,2,FALSE),"")</f>
        <v>2925590</v>
      </c>
      <c r="K2380" s="68">
        <f t="shared" si="75"/>
        <v>8</v>
      </c>
    </row>
    <row r="2381" spans="1:11" x14ac:dyDescent="0.2">
      <c r="A2381">
        <f t="shared" si="74"/>
        <v>2925590</v>
      </c>
      <c r="B2381">
        <v>2018</v>
      </c>
      <c r="C2381" t="s">
        <v>739</v>
      </c>
      <c r="D2381" t="s">
        <v>740</v>
      </c>
      <c r="E2381" t="s">
        <v>743</v>
      </c>
      <c r="F2381" s="59">
        <v>397</v>
      </c>
      <c r="G2381" s="34" t="s">
        <v>724</v>
      </c>
      <c r="H2381" s="36">
        <v>44897</v>
      </c>
      <c r="I2381" s="58">
        <v>289749</v>
      </c>
      <c r="J2381">
        <f>IFERROR(VLOOKUP(G2381,'LEAID Match'!$A$2:$B$526,2,FALSE),"")</f>
        <v>2925590</v>
      </c>
      <c r="K2381" s="68">
        <f t="shared" si="75"/>
        <v>8</v>
      </c>
    </row>
    <row r="2382" spans="1:11" x14ac:dyDescent="0.2">
      <c r="A2382">
        <f t="shared" si="74"/>
        <v>2925590</v>
      </c>
      <c r="B2382">
        <v>2019</v>
      </c>
      <c r="C2382" t="s">
        <v>739</v>
      </c>
      <c r="D2382" t="s">
        <v>740</v>
      </c>
      <c r="E2382" t="s">
        <v>743</v>
      </c>
      <c r="F2382" s="59">
        <v>397</v>
      </c>
      <c r="G2382" s="34" t="s">
        <v>724</v>
      </c>
      <c r="H2382" s="36">
        <v>59423</v>
      </c>
      <c r="I2382" s="58">
        <v>287987</v>
      </c>
      <c r="J2382">
        <f>IFERROR(VLOOKUP(G2382,'LEAID Match'!$A$2:$B$526,2,FALSE),"")</f>
        <v>2925590</v>
      </c>
      <c r="K2382" s="68">
        <f t="shared" si="75"/>
        <v>8</v>
      </c>
    </row>
    <row r="2383" spans="1:11" x14ac:dyDescent="0.2">
      <c r="A2383">
        <f t="shared" si="74"/>
        <v>2925590</v>
      </c>
      <c r="B2383">
        <v>2020</v>
      </c>
      <c r="C2383" t="s">
        <v>739</v>
      </c>
      <c r="D2383" t="s">
        <v>740</v>
      </c>
      <c r="E2383" t="s">
        <v>743</v>
      </c>
      <c r="F2383" s="59">
        <v>397</v>
      </c>
      <c r="G2383" s="34" t="s">
        <v>724</v>
      </c>
      <c r="H2383" s="36">
        <v>62344</v>
      </c>
      <c r="I2383" s="58">
        <v>301943</v>
      </c>
      <c r="J2383">
        <f>IFERROR(VLOOKUP(G2383,'LEAID Match'!$A$2:$B$526,2,FALSE),"")</f>
        <v>2925590</v>
      </c>
      <c r="K2383" s="68">
        <f t="shared" si="75"/>
        <v>8</v>
      </c>
    </row>
    <row r="2384" spans="1:11" x14ac:dyDescent="0.2">
      <c r="A2384">
        <f t="shared" si="74"/>
        <v>2925590</v>
      </c>
      <c r="B2384">
        <v>2021</v>
      </c>
      <c r="C2384" t="s">
        <v>739</v>
      </c>
      <c r="D2384" t="s">
        <v>740</v>
      </c>
      <c r="E2384" t="s">
        <v>743</v>
      </c>
      <c r="F2384" s="59">
        <v>397</v>
      </c>
      <c r="G2384" s="34" t="s">
        <v>724</v>
      </c>
      <c r="H2384" s="36">
        <v>63938</v>
      </c>
      <c r="I2384" s="58">
        <v>280448</v>
      </c>
      <c r="J2384">
        <f>IFERROR(VLOOKUP(G2384,'LEAID Match'!$A$2:$B$526,2,FALSE),"")</f>
        <v>2925590</v>
      </c>
      <c r="K2384" s="68">
        <f t="shared" si="75"/>
        <v>8</v>
      </c>
    </row>
    <row r="2385" spans="1:11" x14ac:dyDescent="0.2">
      <c r="A2385">
        <f t="shared" si="74"/>
        <v>2925590</v>
      </c>
      <c r="B2385">
        <v>2022</v>
      </c>
      <c r="C2385" t="s">
        <v>739</v>
      </c>
      <c r="D2385" t="s">
        <v>740</v>
      </c>
      <c r="E2385" t="s">
        <v>743</v>
      </c>
      <c r="F2385" s="59">
        <v>397</v>
      </c>
      <c r="G2385" s="34" t="s">
        <v>724</v>
      </c>
      <c r="H2385" s="36">
        <v>72849</v>
      </c>
      <c r="I2385" s="58">
        <v>280083</v>
      </c>
      <c r="J2385">
        <f>IFERROR(VLOOKUP(G2385,'LEAID Match'!$A$2:$B$526,2,FALSE),"")</f>
        <v>2925590</v>
      </c>
      <c r="K2385" s="68">
        <f t="shared" si="75"/>
        <v>8</v>
      </c>
    </row>
    <row r="2386" spans="1:11" x14ac:dyDescent="0.2">
      <c r="A2386">
        <f t="shared" si="74"/>
        <v>2911340</v>
      </c>
      <c r="B2386">
        <v>2015</v>
      </c>
      <c r="C2386" t="s">
        <v>739</v>
      </c>
      <c r="D2386" t="s">
        <v>740</v>
      </c>
      <c r="E2386" t="s">
        <v>743</v>
      </c>
      <c r="F2386" s="35">
        <v>398</v>
      </c>
      <c r="G2386" s="34" t="s">
        <v>725</v>
      </c>
      <c r="H2386" s="40">
        <v>201903</v>
      </c>
      <c r="I2386" s="58">
        <v>1133859</v>
      </c>
      <c r="J2386">
        <f>IFERROR(VLOOKUP(G2386,'LEAID Match'!$A$2:$B$526,2,FALSE),"")</f>
        <v>2911340</v>
      </c>
      <c r="K2386" s="68">
        <f t="shared" si="75"/>
        <v>8</v>
      </c>
    </row>
    <row r="2387" spans="1:11" x14ac:dyDescent="0.2">
      <c r="A2387">
        <f t="shared" si="74"/>
        <v>2911340</v>
      </c>
      <c r="B2387">
        <v>2016</v>
      </c>
      <c r="C2387" t="s">
        <v>739</v>
      </c>
      <c r="D2387" t="s">
        <v>740</v>
      </c>
      <c r="E2387" t="s">
        <v>743</v>
      </c>
      <c r="F2387" s="59">
        <v>398</v>
      </c>
      <c r="G2387" s="34" t="s">
        <v>725</v>
      </c>
      <c r="H2387" s="36">
        <v>218929</v>
      </c>
      <c r="I2387" s="60">
        <v>1120803</v>
      </c>
      <c r="J2387">
        <f>IFERROR(VLOOKUP(G2387,'LEAID Match'!$A$2:$B$526,2,FALSE),"")</f>
        <v>2911340</v>
      </c>
      <c r="K2387" s="68">
        <f t="shared" si="75"/>
        <v>8</v>
      </c>
    </row>
    <row r="2388" spans="1:11" x14ac:dyDescent="0.2">
      <c r="A2388">
        <f t="shared" si="74"/>
        <v>2911340</v>
      </c>
      <c r="B2388">
        <v>2017</v>
      </c>
      <c r="C2388" t="s">
        <v>739</v>
      </c>
      <c r="D2388" t="s">
        <v>740</v>
      </c>
      <c r="E2388" t="s">
        <v>743</v>
      </c>
      <c r="F2388" s="59">
        <v>398</v>
      </c>
      <c r="G2388" s="34" t="s">
        <v>725</v>
      </c>
      <c r="H2388" s="36">
        <v>226284</v>
      </c>
      <c r="I2388" s="58">
        <v>1150383</v>
      </c>
      <c r="J2388">
        <f>IFERROR(VLOOKUP(G2388,'LEAID Match'!$A$2:$B$526,2,FALSE),"")</f>
        <v>2911340</v>
      </c>
      <c r="K2388" s="68">
        <f t="shared" si="75"/>
        <v>8</v>
      </c>
    </row>
    <row r="2389" spans="1:11" x14ac:dyDescent="0.2">
      <c r="A2389">
        <f t="shared" si="74"/>
        <v>2911340</v>
      </c>
      <c r="B2389">
        <v>2018</v>
      </c>
      <c r="C2389" t="s">
        <v>739</v>
      </c>
      <c r="D2389" t="s">
        <v>740</v>
      </c>
      <c r="E2389" t="s">
        <v>743</v>
      </c>
      <c r="F2389" s="59">
        <v>398</v>
      </c>
      <c r="G2389" s="34" t="s">
        <v>725</v>
      </c>
      <c r="H2389" s="36">
        <v>228384</v>
      </c>
      <c r="I2389" s="58">
        <v>1164786</v>
      </c>
      <c r="J2389">
        <f>IFERROR(VLOOKUP(G2389,'LEAID Match'!$A$2:$B$526,2,FALSE),"")</f>
        <v>2911340</v>
      </c>
      <c r="K2389" s="68">
        <f t="shared" si="75"/>
        <v>8</v>
      </c>
    </row>
    <row r="2390" spans="1:11" x14ac:dyDescent="0.2">
      <c r="A2390">
        <f t="shared" si="74"/>
        <v>2911340</v>
      </c>
      <c r="B2390">
        <v>2019</v>
      </c>
      <c r="C2390" t="s">
        <v>739</v>
      </c>
      <c r="D2390" t="s">
        <v>740</v>
      </c>
      <c r="E2390" t="s">
        <v>743</v>
      </c>
      <c r="F2390" s="59">
        <v>398</v>
      </c>
      <c r="G2390" s="34" t="s">
        <v>725</v>
      </c>
      <c r="H2390" s="36">
        <v>240674</v>
      </c>
      <c r="I2390" s="58">
        <v>1164475</v>
      </c>
      <c r="J2390">
        <f>IFERROR(VLOOKUP(G2390,'LEAID Match'!$A$2:$B$526,2,FALSE),"")</f>
        <v>2911340</v>
      </c>
      <c r="K2390" s="68">
        <f t="shared" si="75"/>
        <v>8</v>
      </c>
    </row>
    <row r="2391" spans="1:11" x14ac:dyDescent="0.2">
      <c r="A2391">
        <f t="shared" si="74"/>
        <v>2911340</v>
      </c>
      <c r="B2391">
        <v>2020</v>
      </c>
      <c r="C2391" t="s">
        <v>739</v>
      </c>
      <c r="D2391" t="s">
        <v>740</v>
      </c>
      <c r="E2391" t="s">
        <v>743</v>
      </c>
      <c r="F2391" s="59">
        <v>398</v>
      </c>
      <c r="G2391" s="34" t="s">
        <v>725</v>
      </c>
      <c r="H2391" s="36">
        <v>245676</v>
      </c>
      <c r="I2391" s="58">
        <v>1221624</v>
      </c>
      <c r="J2391">
        <f>IFERROR(VLOOKUP(G2391,'LEAID Match'!$A$2:$B$526,2,FALSE),"")</f>
        <v>2911340</v>
      </c>
      <c r="K2391" s="68">
        <f t="shared" si="75"/>
        <v>8</v>
      </c>
    </row>
    <row r="2392" spans="1:11" x14ac:dyDescent="0.2">
      <c r="A2392">
        <f t="shared" si="74"/>
        <v>2911340</v>
      </c>
      <c r="B2392">
        <v>2021</v>
      </c>
      <c r="C2392" t="s">
        <v>739</v>
      </c>
      <c r="D2392" t="s">
        <v>740</v>
      </c>
      <c r="E2392" t="s">
        <v>743</v>
      </c>
      <c r="F2392" s="59">
        <v>398</v>
      </c>
      <c r="G2392" s="34" t="s">
        <v>725</v>
      </c>
      <c r="H2392" s="36">
        <v>242625</v>
      </c>
      <c r="I2392" s="58">
        <v>1249010</v>
      </c>
      <c r="J2392">
        <f>IFERROR(VLOOKUP(G2392,'LEAID Match'!$A$2:$B$526,2,FALSE),"")</f>
        <v>2911340</v>
      </c>
      <c r="K2392" s="68">
        <f t="shared" si="75"/>
        <v>8</v>
      </c>
    </row>
    <row r="2393" spans="1:11" x14ac:dyDescent="0.2">
      <c r="A2393">
        <f t="shared" si="74"/>
        <v>2911340</v>
      </c>
      <c r="B2393">
        <v>2022</v>
      </c>
      <c r="C2393" t="s">
        <v>739</v>
      </c>
      <c r="D2393" t="s">
        <v>740</v>
      </c>
      <c r="E2393" t="s">
        <v>743</v>
      </c>
      <c r="F2393" s="59">
        <v>398</v>
      </c>
      <c r="G2393" s="34" t="s">
        <v>725</v>
      </c>
      <c r="H2393" s="36">
        <v>261010</v>
      </c>
      <c r="I2393" s="58">
        <v>1284089</v>
      </c>
      <c r="J2393">
        <f>IFERROR(VLOOKUP(G2393,'LEAID Match'!$A$2:$B$526,2,FALSE),"")</f>
        <v>2911340</v>
      </c>
      <c r="K2393" s="68">
        <f t="shared" si="75"/>
        <v>8</v>
      </c>
    </row>
    <row r="2394" spans="1:11" x14ac:dyDescent="0.2">
      <c r="A2394">
        <f t="shared" si="74"/>
        <v>2927630</v>
      </c>
      <c r="B2394">
        <v>2015</v>
      </c>
      <c r="C2394" t="s">
        <v>739</v>
      </c>
      <c r="D2394" t="s">
        <v>740</v>
      </c>
      <c r="E2394" t="s">
        <v>743</v>
      </c>
      <c r="F2394" s="35">
        <v>399</v>
      </c>
      <c r="G2394" s="34" t="s">
        <v>726</v>
      </c>
      <c r="H2394" s="40">
        <v>217588</v>
      </c>
      <c r="I2394" s="58">
        <v>1402486</v>
      </c>
      <c r="J2394">
        <f>IFERROR(VLOOKUP(G2394,'LEAID Match'!$A$2:$B$526,2,FALSE),"")</f>
        <v>2927630</v>
      </c>
      <c r="K2394" s="68">
        <f t="shared" si="75"/>
        <v>8</v>
      </c>
    </row>
    <row r="2395" spans="1:11" x14ac:dyDescent="0.2">
      <c r="A2395">
        <f t="shared" si="74"/>
        <v>2927630</v>
      </c>
      <c r="B2395">
        <v>2016</v>
      </c>
      <c r="C2395" t="s">
        <v>739</v>
      </c>
      <c r="D2395" t="s">
        <v>740</v>
      </c>
      <c r="E2395" t="s">
        <v>743</v>
      </c>
      <c r="F2395" s="59">
        <v>399</v>
      </c>
      <c r="G2395" s="34" t="s">
        <v>726</v>
      </c>
      <c r="H2395" s="36">
        <v>220672</v>
      </c>
      <c r="I2395" s="60">
        <v>1425856</v>
      </c>
      <c r="J2395">
        <f>IFERROR(VLOOKUP(G2395,'LEAID Match'!$A$2:$B$526,2,FALSE),"")</f>
        <v>2927630</v>
      </c>
      <c r="K2395" s="68">
        <f t="shared" si="75"/>
        <v>8</v>
      </c>
    </row>
    <row r="2396" spans="1:11" x14ac:dyDescent="0.2">
      <c r="A2396">
        <f t="shared" si="74"/>
        <v>2927630</v>
      </c>
      <c r="B2396">
        <v>2017</v>
      </c>
      <c r="C2396" t="s">
        <v>739</v>
      </c>
      <c r="D2396" t="s">
        <v>740</v>
      </c>
      <c r="E2396" t="s">
        <v>743</v>
      </c>
      <c r="F2396" s="59">
        <v>399</v>
      </c>
      <c r="G2396" s="34" t="s">
        <v>726</v>
      </c>
      <c r="H2396" s="36">
        <v>224935</v>
      </c>
      <c r="I2396" s="58">
        <v>1420981</v>
      </c>
      <c r="J2396">
        <f>IFERROR(VLOOKUP(G2396,'LEAID Match'!$A$2:$B$526,2,FALSE),"")</f>
        <v>2927630</v>
      </c>
      <c r="K2396" s="68">
        <f t="shared" si="75"/>
        <v>8</v>
      </c>
    </row>
    <row r="2397" spans="1:11" x14ac:dyDescent="0.2">
      <c r="A2397">
        <f t="shared" si="74"/>
        <v>2927630</v>
      </c>
      <c r="B2397">
        <v>2018</v>
      </c>
      <c r="C2397" t="s">
        <v>739</v>
      </c>
      <c r="D2397" t="s">
        <v>740</v>
      </c>
      <c r="E2397" t="s">
        <v>743</v>
      </c>
      <c r="F2397" s="59">
        <v>399</v>
      </c>
      <c r="G2397" s="34" t="s">
        <v>726</v>
      </c>
      <c r="H2397" s="36">
        <v>242543</v>
      </c>
      <c r="I2397" s="58">
        <v>1442347</v>
      </c>
      <c r="J2397">
        <f>IFERROR(VLOOKUP(G2397,'LEAID Match'!$A$2:$B$526,2,FALSE),"")</f>
        <v>2927630</v>
      </c>
      <c r="K2397" s="68">
        <f t="shared" si="75"/>
        <v>8</v>
      </c>
    </row>
    <row r="2398" spans="1:11" x14ac:dyDescent="0.2">
      <c r="A2398">
        <f t="shared" si="74"/>
        <v>2927630</v>
      </c>
      <c r="B2398">
        <v>2019</v>
      </c>
      <c r="C2398" t="s">
        <v>739</v>
      </c>
      <c r="D2398" t="s">
        <v>740</v>
      </c>
      <c r="E2398" t="s">
        <v>743</v>
      </c>
      <c r="F2398" s="59">
        <v>399</v>
      </c>
      <c r="G2398" s="34" t="s">
        <v>726</v>
      </c>
      <c r="H2398" s="36">
        <v>249646</v>
      </c>
      <c r="I2398" s="58">
        <v>1485525</v>
      </c>
      <c r="J2398">
        <f>IFERROR(VLOOKUP(G2398,'LEAID Match'!$A$2:$B$526,2,FALSE),"")</f>
        <v>2927630</v>
      </c>
      <c r="K2398" s="68">
        <f t="shared" si="75"/>
        <v>8</v>
      </c>
    </row>
    <row r="2399" spans="1:11" x14ac:dyDescent="0.2">
      <c r="A2399">
        <f t="shared" si="74"/>
        <v>2927630</v>
      </c>
      <c r="B2399">
        <v>2020</v>
      </c>
      <c r="C2399" t="s">
        <v>739</v>
      </c>
      <c r="D2399" t="s">
        <v>740</v>
      </c>
      <c r="E2399" t="s">
        <v>743</v>
      </c>
      <c r="F2399" s="59">
        <v>399</v>
      </c>
      <c r="G2399" s="34" t="s">
        <v>726</v>
      </c>
      <c r="H2399" s="36">
        <v>260925</v>
      </c>
      <c r="I2399" s="58">
        <v>1524297</v>
      </c>
      <c r="J2399">
        <f>IFERROR(VLOOKUP(G2399,'LEAID Match'!$A$2:$B$526,2,FALSE),"")</f>
        <v>2927630</v>
      </c>
      <c r="K2399" s="68">
        <f t="shared" si="75"/>
        <v>8</v>
      </c>
    </row>
    <row r="2400" spans="1:11" x14ac:dyDescent="0.2">
      <c r="A2400">
        <f t="shared" si="74"/>
        <v>2927630</v>
      </c>
      <c r="B2400">
        <v>2021</v>
      </c>
      <c r="C2400" t="s">
        <v>739</v>
      </c>
      <c r="D2400" t="s">
        <v>740</v>
      </c>
      <c r="E2400" t="s">
        <v>743</v>
      </c>
      <c r="F2400" s="59">
        <v>399</v>
      </c>
      <c r="G2400" s="34" t="s">
        <v>726</v>
      </c>
      <c r="H2400" s="36">
        <v>259327</v>
      </c>
      <c r="I2400" s="58">
        <v>1567867</v>
      </c>
      <c r="J2400">
        <f>IFERROR(VLOOKUP(G2400,'LEAID Match'!$A$2:$B$526,2,FALSE),"")</f>
        <v>2927630</v>
      </c>
      <c r="K2400" s="68">
        <f t="shared" si="75"/>
        <v>8</v>
      </c>
    </row>
    <row r="2401" spans="1:11" x14ac:dyDescent="0.2">
      <c r="A2401">
        <f t="shared" si="74"/>
        <v>2927630</v>
      </c>
      <c r="B2401">
        <v>2022</v>
      </c>
      <c r="C2401" t="s">
        <v>739</v>
      </c>
      <c r="D2401" t="s">
        <v>740</v>
      </c>
      <c r="E2401" t="s">
        <v>743</v>
      </c>
      <c r="F2401" s="59">
        <v>399</v>
      </c>
      <c r="G2401" s="34" t="s">
        <v>726</v>
      </c>
      <c r="H2401" s="36">
        <v>274843</v>
      </c>
      <c r="I2401" s="58">
        <v>1664408</v>
      </c>
      <c r="J2401">
        <f>IFERROR(VLOOKUP(G2401,'LEAID Match'!$A$2:$B$526,2,FALSE),"")</f>
        <v>2927630</v>
      </c>
      <c r="K2401" s="68">
        <f t="shared" si="75"/>
        <v>8</v>
      </c>
    </row>
    <row r="2402" spans="1:11" x14ac:dyDescent="0.2">
      <c r="A2402">
        <f t="shared" si="74"/>
        <v>2930510</v>
      </c>
      <c r="B2402">
        <v>2015</v>
      </c>
      <c r="C2402" t="s">
        <v>739</v>
      </c>
      <c r="D2402" t="s">
        <v>740</v>
      </c>
      <c r="E2402" t="s">
        <v>743</v>
      </c>
      <c r="F2402" s="35">
        <v>400</v>
      </c>
      <c r="G2402" s="39" t="s">
        <v>727</v>
      </c>
      <c r="H2402" s="40">
        <v>22787</v>
      </c>
      <c r="I2402" s="58">
        <v>163124</v>
      </c>
      <c r="J2402">
        <f>IFERROR(VLOOKUP(G2402,'LEAID Match'!$A$2:$B$526,2,FALSE),"")</f>
        <v>2930510</v>
      </c>
      <c r="K2402" s="68">
        <f t="shared" si="75"/>
        <v>8</v>
      </c>
    </row>
    <row r="2403" spans="1:11" x14ac:dyDescent="0.2">
      <c r="A2403">
        <f t="shared" si="74"/>
        <v>2930510</v>
      </c>
      <c r="B2403">
        <v>2016</v>
      </c>
      <c r="C2403" t="s">
        <v>739</v>
      </c>
      <c r="D2403" t="s">
        <v>740</v>
      </c>
      <c r="E2403" t="s">
        <v>743</v>
      </c>
      <c r="F2403" s="59">
        <v>400</v>
      </c>
      <c r="G2403" s="34" t="s">
        <v>727</v>
      </c>
      <c r="H2403" s="36">
        <v>23328</v>
      </c>
      <c r="I2403" s="60">
        <v>169442</v>
      </c>
      <c r="J2403">
        <f>IFERROR(VLOOKUP(G2403,'LEAID Match'!$A$2:$B$526,2,FALSE),"")</f>
        <v>2930510</v>
      </c>
      <c r="K2403" s="68">
        <f t="shared" si="75"/>
        <v>8</v>
      </c>
    </row>
    <row r="2404" spans="1:11" x14ac:dyDescent="0.2">
      <c r="A2404">
        <f t="shared" si="74"/>
        <v>2930510</v>
      </c>
      <c r="B2404">
        <v>2017</v>
      </c>
      <c r="C2404" t="s">
        <v>739</v>
      </c>
      <c r="D2404" t="s">
        <v>740</v>
      </c>
      <c r="E2404" t="s">
        <v>743</v>
      </c>
      <c r="F2404" s="59">
        <v>400</v>
      </c>
      <c r="G2404" s="34" t="s">
        <v>727</v>
      </c>
      <c r="H2404" s="36">
        <v>23143</v>
      </c>
      <c r="I2404" s="58">
        <v>166253</v>
      </c>
      <c r="J2404">
        <f>IFERROR(VLOOKUP(G2404,'LEAID Match'!$A$2:$B$526,2,FALSE),"")</f>
        <v>2930510</v>
      </c>
      <c r="K2404" s="68">
        <f t="shared" si="75"/>
        <v>8</v>
      </c>
    </row>
    <row r="2405" spans="1:11" x14ac:dyDescent="0.2">
      <c r="A2405">
        <f t="shared" si="74"/>
        <v>2930510</v>
      </c>
      <c r="B2405">
        <v>2018</v>
      </c>
      <c r="C2405" t="s">
        <v>739</v>
      </c>
      <c r="D2405" t="s">
        <v>740</v>
      </c>
      <c r="E2405" t="s">
        <v>743</v>
      </c>
      <c r="F2405" s="59">
        <v>400</v>
      </c>
      <c r="G2405" s="34" t="s">
        <v>727</v>
      </c>
      <c r="H2405" s="36">
        <v>24118</v>
      </c>
      <c r="I2405" s="58">
        <v>163887</v>
      </c>
      <c r="J2405">
        <f>IFERROR(VLOOKUP(G2405,'LEAID Match'!$A$2:$B$526,2,FALSE),"")</f>
        <v>2930510</v>
      </c>
      <c r="K2405" s="68">
        <f t="shared" si="75"/>
        <v>8</v>
      </c>
    </row>
    <row r="2406" spans="1:11" x14ac:dyDescent="0.2">
      <c r="A2406">
        <f t="shared" si="74"/>
        <v>2930510</v>
      </c>
      <c r="B2406">
        <v>2019</v>
      </c>
      <c r="C2406" t="s">
        <v>739</v>
      </c>
      <c r="D2406" t="s">
        <v>740</v>
      </c>
      <c r="E2406" t="s">
        <v>743</v>
      </c>
      <c r="F2406" s="59">
        <v>400</v>
      </c>
      <c r="G2406" s="34" t="s">
        <v>727</v>
      </c>
      <c r="H2406" s="36">
        <v>25548</v>
      </c>
      <c r="I2406" s="58">
        <v>166587</v>
      </c>
      <c r="J2406">
        <f>IFERROR(VLOOKUP(G2406,'LEAID Match'!$A$2:$B$526,2,FALSE),"")</f>
        <v>2930510</v>
      </c>
      <c r="K2406" s="68">
        <f t="shared" si="75"/>
        <v>8</v>
      </c>
    </row>
    <row r="2407" spans="1:11" x14ac:dyDescent="0.2">
      <c r="A2407">
        <f t="shared" si="74"/>
        <v>2930510</v>
      </c>
      <c r="B2407">
        <v>2020</v>
      </c>
      <c r="C2407" t="s">
        <v>739</v>
      </c>
      <c r="D2407" t="s">
        <v>740</v>
      </c>
      <c r="E2407" t="s">
        <v>743</v>
      </c>
      <c r="F2407" s="59">
        <v>400</v>
      </c>
      <c r="G2407" s="34" t="s">
        <v>727</v>
      </c>
      <c r="H2407" s="36">
        <v>23078</v>
      </c>
      <c r="I2407" s="58">
        <v>174343</v>
      </c>
      <c r="J2407">
        <f>IFERROR(VLOOKUP(G2407,'LEAID Match'!$A$2:$B$526,2,FALSE),"")</f>
        <v>2930510</v>
      </c>
      <c r="K2407" s="68">
        <f t="shared" si="75"/>
        <v>8</v>
      </c>
    </row>
    <row r="2408" spans="1:11" x14ac:dyDescent="0.2">
      <c r="A2408">
        <f t="shared" si="74"/>
        <v>2930510</v>
      </c>
      <c r="B2408">
        <v>2021</v>
      </c>
      <c r="C2408" t="s">
        <v>739</v>
      </c>
      <c r="D2408" t="s">
        <v>740</v>
      </c>
      <c r="E2408" t="s">
        <v>743</v>
      </c>
      <c r="F2408" s="59">
        <v>400</v>
      </c>
      <c r="G2408" s="34" t="s">
        <v>727</v>
      </c>
      <c r="H2408" s="36">
        <v>24900</v>
      </c>
      <c r="I2408" s="58">
        <v>172740</v>
      </c>
      <c r="J2408">
        <f>IFERROR(VLOOKUP(G2408,'LEAID Match'!$A$2:$B$526,2,FALSE),"")</f>
        <v>2930510</v>
      </c>
      <c r="K2408" s="68">
        <f t="shared" si="75"/>
        <v>8</v>
      </c>
    </row>
    <row r="2409" spans="1:11" x14ac:dyDescent="0.2">
      <c r="A2409">
        <f t="shared" si="74"/>
        <v>2930510</v>
      </c>
      <c r="B2409">
        <v>2022</v>
      </c>
      <c r="C2409" t="s">
        <v>739</v>
      </c>
      <c r="D2409" t="s">
        <v>740</v>
      </c>
      <c r="E2409" t="s">
        <v>743</v>
      </c>
      <c r="F2409" s="59">
        <v>400</v>
      </c>
      <c r="G2409" s="34" t="s">
        <v>727</v>
      </c>
      <c r="H2409" s="36">
        <v>25495</v>
      </c>
      <c r="I2409" s="58">
        <v>170060</v>
      </c>
      <c r="J2409">
        <f>IFERROR(VLOOKUP(G2409,'LEAID Match'!$A$2:$B$526,2,FALSE),"")</f>
        <v>2930510</v>
      </c>
      <c r="K2409" s="68">
        <f t="shared" si="75"/>
        <v>8</v>
      </c>
    </row>
    <row r="2410" spans="1:11" x14ac:dyDescent="0.2">
      <c r="A2410">
        <f t="shared" si="74"/>
        <v>2929130</v>
      </c>
      <c r="B2410">
        <v>2015</v>
      </c>
      <c r="C2410" t="s">
        <v>739</v>
      </c>
      <c r="D2410" t="s">
        <v>740</v>
      </c>
      <c r="E2410" t="s">
        <v>743</v>
      </c>
      <c r="F2410" s="35">
        <v>401</v>
      </c>
      <c r="G2410" s="39" t="s">
        <v>728</v>
      </c>
      <c r="H2410" s="40">
        <v>14646</v>
      </c>
      <c r="I2410" s="58">
        <v>173012</v>
      </c>
      <c r="J2410">
        <f>IFERROR(VLOOKUP(G2410,'LEAID Match'!$A$2:$B$526,2,FALSE),"")</f>
        <v>2929130</v>
      </c>
      <c r="K2410" s="68">
        <f t="shared" si="75"/>
        <v>8</v>
      </c>
    </row>
    <row r="2411" spans="1:11" x14ac:dyDescent="0.2">
      <c r="A2411">
        <f t="shared" si="74"/>
        <v>2929130</v>
      </c>
      <c r="B2411">
        <v>2016</v>
      </c>
      <c r="C2411" t="s">
        <v>739</v>
      </c>
      <c r="D2411" t="s">
        <v>740</v>
      </c>
      <c r="E2411" t="s">
        <v>743</v>
      </c>
      <c r="F2411" s="59">
        <v>401</v>
      </c>
      <c r="G2411" s="34" t="s">
        <v>728</v>
      </c>
      <c r="H2411" s="36">
        <v>17644</v>
      </c>
      <c r="I2411" s="60">
        <v>165804</v>
      </c>
      <c r="J2411">
        <f>IFERROR(VLOOKUP(G2411,'LEAID Match'!$A$2:$B$526,2,FALSE),"")</f>
        <v>2929130</v>
      </c>
      <c r="K2411" s="68">
        <f t="shared" si="75"/>
        <v>8</v>
      </c>
    </row>
    <row r="2412" spans="1:11" x14ac:dyDescent="0.2">
      <c r="A2412">
        <f t="shared" si="74"/>
        <v>2929130</v>
      </c>
      <c r="B2412">
        <v>2017</v>
      </c>
      <c r="C2412" t="s">
        <v>739</v>
      </c>
      <c r="D2412" t="s">
        <v>740</v>
      </c>
      <c r="E2412" t="s">
        <v>743</v>
      </c>
      <c r="F2412" s="59">
        <v>401</v>
      </c>
      <c r="G2412" s="34" t="s">
        <v>728</v>
      </c>
      <c r="H2412" s="36">
        <v>19841</v>
      </c>
      <c r="I2412" s="58">
        <v>164500</v>
      </c>
      <c r="J2412">
        <f>IFERROR(VLOOKUP(G2412,'LEAID Match'!$A$2:$B$526,2,FALSE),"")</f>
        <v>2929130</v>
      </c>
      <c r="K2412" s="68">
        <f t="shared" si="75"/>
        <v>8</v>
      </c>
    </row>
    <row r="2413" spans="1:11" x14ac:dyDescent="0.2">
      <c r="A2413">
        <f t="shared" si="74"/>
        <v>2929130</v>
      </c>
      <c r="B2413">
        <v>2018</v>
      </c>
      <c r="C2413" t="s">
        <v>739</v>
      </c>
      <c r="D2413" t="s">
        <v>740</v>
      </c>
      <c r="E2413" t="s">
        <v>743</v>
      </c>
      <c r="F2413" s="59">
        <v>401</v>
      </c>
      <c r="G2413" s="34" t="s">
        <v>728</v>
      </c>
      <c r="H2413" s="36">
        <v>23505</v>
      </c>
      <c r="I2413" s="58">
        <v>159464</v>
      </c>
      <c r="J2413">
        <f>IFERROR(VLOOKUP(G2413,'LEAID Match'!$A$2:$B$526,2,FALSE),"")</f>
        <v>2929130</v>
      </c>
      <c r="K2413" s="68">
        <f t="shared" si="75"/>
        <v>8</v>
      </c>
    </row>
    <row r="2414" spans="1:11" x14ac:dyDescent="0.2">
      <c r="A2414">
        <f t="shared" si="74"/>
        <v>2929130</v>
      </c>
      <c r="B2414">
        <v>2019</v>
      </c>
      <c r="C2414" t="s">
        <v>739</v>
      </c>
      <c r="D2414" t="s">
        <v>740</v>
      </c>
      <c r="E2414" t="s">
        <v>743</v>
      </c>
      <c r="F2414" s="59">
        <v>401</v>
      </c>
      <c r="G2414" s="34" t="s">
        <v>728</v>
      </c>
      <c r="H2414" s="36">
        <v>26438</v>
      </c>
      <c r="I2414" s="58">
        <v>159561</v>
      </c>
      <c r="J2414">
        <f>IFERROR(VLOOKUP(G2414,'LEAID Match'!$A$2:$B$526,2,FALSE),"")</f>
        <v>2929130</v>
      </c>
      <c r="K2414" s="68">
        <f t="shared" si="75"/>
        <v>8</v>
      </c>
    </row>
    <row r="2415" spans="1:11" x14ac:dyDescent="0.2">
      <c r="A2415">
        <f t="shared" si="74"/>
        <v>2929130</v>
      </c>
      <c r="B2415">
        <v>2020</v>
      </c>
      <c r="C2415" t="s">
        <v>739</v>
      </c>
      <c r="D2415" t="s">
        <v>740</v>
      </c>
      <c r="E2415" t="s">
        <v>743</v>
      </c>
      <c r="F2415" s="59">
        <v>401</v>
      </c>
      <c r="G2415" s="34" t="s">
        <v>728</v>
      </c>
      <c r="H2415" s="36">
        <v>26548</v>
      </c>
      <c r="I2415" s="58">
        <v>168408</v>
      </c>
      <c r="J2415">
        <f>IFERROR(VLOOKUP(G2415,'LEAID Match'!$A$2:$B$526,2,FALSE),"")</f>
        <v>2929130</v>
      </c>
      <c r="K2415" s="68">
        <f t="shared" si="75"/>
        <v>8</v>
      </c>
    </row>
    <row r="2416" spans="1:11" x14ac:dyDescent="0.2">
      <c r="A2416">
        <f t="shared" si="74"/>
        <v>2929130</v>
      </c>
      <c r="B2416">
        <v>2021</v>
      </c>
      <c r="C2416" t="s">
        <v>739</v>
      </c>
      <c r="D2416" t="s">
        <v>740</v>
      </c>
      <c r="E2416" t="s">
        <v>743</v>
      </c>
      <c r="F2416" s="59">
        <v>401</v>
      </c>
      <c r="G2416" s="34" t="s">
        <v>728</v>
      </c>
      <c r="H2416" s="36">
        <v>23453</v>
      </c>
      <c r="I2416" s="58">
        <v>175467</v>
      </c>
      <c r="J2416">
        <f>IFERROR(VLOOKUP(G2416,'LEAID Match'!$A$2:$B$526,2,FALSE),"")</f>
        <v>2929130</v>
      </c>
      <c r="K2416" s="68">
        <f t="shared" si="75"/>
        <v>8</v>
      </c>
    </row>
    <row r="2417" spans="1:11" x14ac:dyDescent="0.2">
      <c r="A2417">
        <f t="shared" si="74"/>
        <v>2929130</v>
      </c>
      <c r="B2417">
        <v>2022</v>
      </c>
      <c r="C2417" t="s">
        <v>739</v>
      </c>
      <c r="D2417" t="s">
        <v>740</v>
      </c>
      <c r="E2417" t="s">
        <v>743</v>
      </c>
      <c r="F2417" s="59">
        <v>401</v>
      </c>
      <c r="G2417" s="34" t="s">
        <v>728</v>
      </c>
      <c r="H2417" s="36">
        <v>29506</v>
      </c>
      <c r="I2417" s="58">
        <v>190003</v>
      </c>
      <c r="J2417">
        <f>IFERROR(VLOOKUP(G2417,'LEAID Match'!$A$2:$B$526,2,FALSE),"")</f>
        <v>2929130</v>
      </c>
      <c r="K2417" s="68">
        <f t="shared" si="75"/>
        <v>8</v>
      </c>
    </row>
    <row r="2418" spans="1:11" x14ac:dyDescent="0.2">
      <c r="A2418">
        <f t="shared" si="74"/>
        <v>2915420</v>
      </c>
      <c r="B2418">
        <v>2015</v>
      </c>
      <c r="C2418" t="s">
        <v>739</v>
      </c>
      <c r="D2418" t="s">
        <v>740</v>
      </c>
      <c r="E2418" t="s">
        <v>743</v>
      </c>
      <c r="F2418" s="35">
        <v>402</v>
      </c>
      <c r="G2418" s="39" t="s">
        <v>574</v>
      </c>
      <c r="H2418" s="40">
        <v>71318</v>
      </c>
      <c r="I2418" s="58">
        <v>448613</v>
      </c>
      <c r="J2418">
        <f>IFERROR(VLOOKUP(G2418,'LEAID Match'!$A$2:$B$526,2,FALSE),"")</f>
        <v>2915420</v>
      </c>
      <c r="K2418" s="68">
        <f t="shared" si="75"/>
        <v>8</v>
      </c>
    </row>
    <row r="2419" spans="1:11" x14ac:dyDescent="0.2">
      <c r="A2419">
        <f t="shared" si="74"/>
        <v>2915420</v>
      </c>
      <c r="B2419">
        <v>2016</v>
      </c>
      <c r="C2419" t="s">
        <v>739</v>
      </c>
      <c r="D2419" t="s">
        <v>740</v>
      </c>
      <c r="E2419" t="s">
        <v>743</v>
      </c>
      <c r="F2419" s="59">
        <v>402</v>
      </c>
      <c r="G2419" s="34" t="s">
        <v>574</v>
      </c>
      <c r="H2419" s="36">
        <v>71165</v>
      </c>
      <c r="I2419" s="60">
        <v>448263</v>
      </c>
      <c r="J2419">
        <f>IFERROR(VLOOKUP(G2419,'LEAID Match'!$A$2:$B$526,2,FALSE),"")</f>
        <v>2915420</v>
      </c>
      <c r="K2419" s="68">
        <f t="shared" si="75"/>
        <v>8</v>
      </c>
    </row>
    <row r="2420" spans="1:11" x14ac:dyDescent="0.2">
      <c r="A2420">
        <f t="shared" si="74"/>
        <v>2915420</v>
      </c>
      <c r="B2420">
        <v>2017</v>
      </c>
      <c r="C2420" t="s">
        <v>739</v>
      </c>
      <c r="D2420" t="s">
        <v>740</v>
      </c>
      <c r="E2420" t="s">
        <v>743</v>
      </c>
      <c r="F2420" s="59">
        <v>402</v>
      </c>
      <c r="G2420" s="34" t="s">
        <v>574</v>
      </c>
      <c r="H2420" s="36">
        <v>73010</v>
      </c>
      <c r="I2420" s="58">
        <v>461683</v>
      </c>
      <c r="J2420">
        <f>IFERROR(VLOOKUP(G2420,'LEAID Match'!$A$2:$B$526,2,FALSE),"")</f>
        <v>2915420</v>
      </c>
      <c r="K2420" s="68">
        <f t="shared" si="75"/>
        <v>8</v>
      </c>
    </row>
    <row r="2421" spans="1:11" x14ac:dyDescent="0.2">
      <c r="A2421">
        <f t="shared" si="74"/>
        <v>2915420</v>
      </c>
      <c r="B2421">
        <v>2018</v>
      </c>
      <c r="C2421" t="s">
        <v>739</v>
      </c>
      <c r="D2421" t="s">
        <v>740</v>
      </c>
      <c r="E2421" t="s">
        <v>743</v>
      </c>
      <c r="F2421" s="59">
        <v>402</v>
      </c>
      <c r="G2421" s="34" t="s">
        <v>574</v>
      </c>
      <c r="H2421" s="36">
        <v>78057</v>
      </c>
      <c r="I2421" s="58">
        <v>471332</v>
      </c>
      <c r="J2421">
        <f>IFERROR(VLOOKUP(G2421,'LEAID Match'!$A$2:$B$526,2,FALSE),"")</f>
        <v>2915420</v>
      </c>
      <c r="K2421" s="68">
        <f t="shared" si="75"/>
        <v>8</v>
      </c>
    </row>
    <row r="2422" spans="1:11" x14ac:dyDescent="0.2">
      <c r="A2422">
        <f t="shared" si="74"/>
        <v>2915420</v>
      </c>
      <c r="B2422">
        <v>2019</v>
      </c>
      <c r="C2422" t="s">
        <v>739</v>
      </c>
      <c r="D2422" t="s">
        <v>740</v>
      </c>
      <c r="E2422" t="s">
        <v>743</v>
      </c>
      <c r="F2422" s="34">
        <v>402</v>
      </c>
      <c r="G2422" s="34" t="s">
        <v>574</v>
      </c>
      <c r="H2422" s="36">
        <v>81452</v>
      </c>
      <c r="I2422" s="58">
        <v>478219</v>
      </c>
      <c r="J2422">
        <f>IFERROR(VLOOKUP(G2422,'LEAID Match'!$A$2:$B$526,2,FALSE),"")</f>
        <v>2915420</v>
      </c>
      <c r="K2422" s="68">
        <f t="shared" si="75"/>
        <v>8</v>
      </c>
    </row>
    <row r="2423" spans="1:11" x14ac:dyDescent="0.2">
      <c r="A2423">
        <f t="shared" si="74"/>
        <v>2915420</v>
      </c>
      <c r="B2423">
        <v>2020</v>
      </c>
      <c r="C2423" t="s">
        <v>739</v>
      </c>
      <c r="D2423" t="s">
        <v>740</v>
      </c>
      <c r="E2423" t="s">
        <v>743</v>
      </c>
      <c r="F2423" s="34">
        <v>402</v>
      </c>
      <c r="G2423" s="34" t="s">
        <v>574</v>
      </c>
      <c r="H2423" s="36">
        <v>76665</v>
      </c>
      <c r="I2423" s="58">
        <v>477078</v>
      </c>
      <c r="J2423">
        <f>IFERROR(VLOOKUP(G2423,'LEAID Match'!$A$2:$B$526,2,FALSE),"")</f>
        <v>2915420</v>
      </c>
      <c r="K2423" s="68">
        <f t="shared" si="75"/>
        <v>8</v>
      </c>
    </row>
    <row r="2424" spans="1:11" x14ac:dyDescent="0.2">
      <c r="A2424">
        <f t="shared" si="74"/>
        <v>2915420</v>
      </c>
      <c r="B2424">
        <v>2021</v>
      </c>
      <c r="C2424" t="s">
        <v>739</v>
      </c>
      <c r="D2424" t="s">
        <v>740</v>
      </c>
      <c r="E2424" t="s">
        <v>743</v>
      </c>
      <c r="F2424" s="34">
        <v>402</v>
      </c>
      <c r="G2424" s="34" t="s">
        <v>574</v>
      </c>
      <c r="H2424" s="36">
        <v>79715</v>
      </c>
      <c r="I2424" s="58">
        <v>500731</v>
      </c>
      <c r="J2424">
        <f>IFERROR(VLOOKUP(G2424,'LEAID Match'!$A$2:$B$526,2,FALSE),"")</f>
        <v>2915420</v>
      </c>
      <c r="K2424" s="68">
        <f t="shared" si="75"/>
        <v>8</v>
      </c>
    </row>
    <row r="2425" spans="1:11" x14ac:dyDescent="0.2">
      <c r="A2425">
        <f t="shared" si="74"/>
        <v>2915420</v>
      </c>
      <c r="B2425">
        <v>2022</v>
      </c>
      <c r="C2425" t="s">
        <v>739</v>
      </c>
      <c r="D2425" t="s">
        <v>740</v>
      </c>
      <c r="E2425" t="s">
        <v>743</v>
      </c>
      <c r="F2425" s="34">
        <v>402</v>
      </c>
      <c r="G2425" s="34" t="s">
        <v>574</v>
      </c>
      <c r="H2425" s="36">
        <v>90260</v>
      </c>
      <c r="I2425" s="58">
        <v>509925</v>
      </c>
      <c r="J2425">
        <f>IFERROR(VLOOKUP(G2425,'LEAID Match'!$A$2:$B$526,2,FALSE),"")</f>
        <v>2915420</v>
      </c>
      <c r="K2425" s="68">
        <f t="shared" si="75"/>
        <v>8</v>
      </c>
    </row>
    <row r="2426" spans="1:11" x14ac:dyDescent="0.2">
      <c r="A2426">
        <f t="shared" si="74"/>
        <v>2908670</v>
      </c>
      <c r="B2426">
        <v>2015</v>
      </c>
      <c r="C2426" t="s">
        <v>739</v>
      </c>
      <c r="D2426" t="s">
        <v>740</v>
      </c>
      <c r="E2426" t="s">
        <v>743</v>
      </c>
      <c r="F2426" s="35">
        <v>403</v>
      </c>
      <c r="G2426" s="34" t="s">
        <v>575</v>
      </c>
      <c r="H2426" s="40">
        <v>75705</v>
      </c>
      <c r="I2426" s="58">
        <v>622572</v>
      </c>
      <c r="J2426">
        <f>IFERROR(VLOOKUP(G2426,'LEAID Match'!$A$2:$B$526,2,FALSE),"")</f>
        <v>2908670</v>
      </c>
      <c r="K2426" s="68">
        <f t="shared" si="75"/>
        <v>8</v>
      </c>
    </row>
    <row r="2427" spans="1:11" x14ac:dyDescent="0.2">
      <c r="A2427">
        <f t="shared" si="74"/>
        <v>2908670</v>
      </c>
      <c r="B2427">
        <v>2016</v>
      </c>
      <c r="C2427" t="s">
        <v>739</v>
      </c>
      <c r="D2427" t="s">
        <v>740</v>
      </c>
      <c r="E2427" t="s">
        <v>743</v>
      </c>
      <c r="F2427" s="59">
        <v>403</v>
      </c>
      <c r="G2427" s="34" t="s">
        <v>575</v>
      </c>
      <c r="H2427" s="36">
        <v>82289</v>
      </c>
      <c r="I2427" s="60">
        <v>632379</v>
      </c>
      <c r="J2427">
        <f>IFERROR(VLOOKUP(G2427,'LEAID Match'!$A$2:$B$526,2,FALSE),"")</f>
        <v>2908670</v>
      </c>
      <c r="K2427" s="68">
        <f t="shared" si="75"/>
        <v>8</v>
      </c>
    </row>
    <row r="2428" spans="1:11" x14ac:dyDescent="0.2">
      <c r="A2428">
        <f t="shared" si="74"/>
        <v>2908670</v>
      </c>
      <c r="B2428">
        <v>2017</v>
      </c>
      <c r="C2428" t="s">
        <v>739</v>
      </c>
      <c r="D2428" t="s">
        <v>740</v>
      </c>
      <c r="E2428" t="s">
        <v>743</v>
      </c>
      <c r="F2428" s="59">
        <v>403</v>
      </c>
      <c r="G2428" s="34" t="s">
        <v>575</v>
      </c>
      <c r="H2428" s="36">
        <v>82340</v>
      </c>
      <c r="I2428" s="58">
        <v>622702</v>
      </c>
      <c r="J2428">
        <f>IFERROR(VLOOKUP(G2428,'LEAID Match'!$A$2:$B$526,2,FALSE),"")</f>
        <v>2908670</v>
      </c>
      <c r="K2428" s="68">
        <f t="shared" si="75"/>
        <v>8</v>
      </c>
    </row>
    <row r="2429" spans="1:11" x14ac:dyDescent="0.2">
      <c r="A2429">
        <f t="shared" si="74"/>
        <v>2908670</v>
      </c>
      <c r="B2429">
        <v>2018</v>
      </c>
      <c r="C2429" t="s">
        <v>739</v>
      </c>
      <c r="D2429" t="s">
        <v>740</v>
      </c>
      <c r="E2429" t="s">
        <v>743</v>
      </c>
      <c r="F2429" s="59">
        <v>403</v>
      </c>
      <c r="G2429" s="34" t="s">
        <v>575</v>
      </c>
      <c r="H2429" s="36">
        <v>83633</v>
      </c>
      <c r="I2429" s="58">
        <v>623809</v>
      </c>
      <c r="J2429">
        <f>IFERROR(VLOOKUP(G2429,'LEAID Match'!$A$2:$B$526,2,FALSE),"")</f>
        <v>2908670</v>
      </c>
      <c r="K2429" s="68">
        <f t="shared" si="75"/>
        <v>8</v>
      </c>
    </row>
    <row r="2430" spans="1:11" x14ac:dyDescent="0.2">
      <c r="A2430">
        <f t="shared" si="74"/>
        <v>2908670</v>
      </c>
      <c r="B2430">
        <v>2019</v>
      </c>
      <c r="C2430" t="s">
        <v>739</v>
      </c>
      <c r="D2430" t="s">
        <v>740</v>
      </c>
      <c r="E2430" t="s">
        <v>743</v>
      </c>
      <c r="F2430" s="34">
        <v>403</v>
      </c>
      <c r="G2430" s="34" t="s">
        <v>575</v>
      </c>
      <c r="H2430" s="36">
        <v>96745</v>
      </c>
      <c r="I2430" s="58">
        <v>610407</v>
      </c>
      <c r="J2430">
        <f>IFERROR(VLOOKUP(G2430,'LEAID Match'!$A$2:$B$526,2,FALSE),"")</f>
        <v>2908670</v>
      </c>
      <c r="K2430" s="68">
        <f t="shared" si="75"/>
        <v>8</v>
      </c>
    </row>
    <row r="2431" spans="1:11" x14ac:dyDescent="0.2">
      <c r="A2431">
        <f t="shared" si="74"/>
        <v>2908670</v>
      </c>
      <c r="B2431">
        <v>2020</v>
      </c>
      <c r="C2431" t="s">
        <v>739</v>
      </c>
      <c r="D2431" t="s">
        <v>740</v>
      </c>
      <c r="E2431" t="s">
        <v>743</v>
      </c>
      <c r="F2431" s="34">
        <v>403</v>
      </c>
      <c r="G2431" s="34" t="s">
        <v>575</v>
      </c>
      <c r="H2431" s="36">
        <v>93343</v>
      </c>
      <c r="I2431" s="58">
        <v>626278</v>
      </c>
      <c r="J2431">
        <f>IFERROR(VLOOKUP(G2431,'LEAID Match'!$A$2:$B$526,2,FALSE),"")</f>
        <v>2908670</v>
      </c>
      <c r="K2431" s="68">
        <f t="shared" si="75"/>
        <v>8</v>
      </c>
    </row>
    <row r="2432" spans="1:11" x14ac:dyDescent="0.2">
      <c r="A2432">
        <f t="shared" si="74"/>
        <v>2908670</v>
      </c>
      <c r="B2432">
        <v>2021</v>
      </c>
      <c r="C2432" t="s">
        <v>739</v>
      </c>
      <c r="D2432" t="s">
        <v>740</v>
      </c>
      <c r="E2432" t="s">
        <v>743</v>
      </c>
      <c r="F2432" s="34">
        <v>403</v>
      </c>
      <c r="G2432" s="34" t="s">
        <v>575</v>
      </c>
      <c r="H2432" s="36">
        <v>92780</v>
      </c>
      <c r="I2432" s="58">
        <v>599052</v>
      </c>
      <c r="J2432">
        <f>IFERROR(VLOOKUP(G2432,'LEAID Match'!$A$2:$B$526,2,FALSE),"")</f>
        <v>2908670</v>
      </c>
      <c r="K2432" s="68">
        <f t="shared" si="75"/>
        <v>8</v>
      </c>
    </row>
    <row r="2433" spans="1:11" x14ac:dyDescent="0.2">
      <c r="A2433">
        <f t="shared" si="74"/>
        <v>2908670</v>
      </c>
      <c r="B2433">
        <v>2022</v>
      </c>
      <c r="C2433" t="s">
        <v>739</v>
      </c>
      <c r="D2433" t="s">
        <v>740</v>
      </c>
      <c r="E2433" t="s">
        <v>743</v>
      </c>
      <c r="F2433" s="34">
        <v>403</v>
      </c>
      <c r="G2433" s="34" t="s">
        <v>575</v>
      </c>
      <c r="H2433" s="36">
        <v>106697</v>
      </c>
      <c r="I2433" s="58">
        <v>603652</v>
      </c>
      <c r="J2433">
        <f>IFERROR(VLOOKUP(G2433,'LEAID Match'!$A$2:$B$526,2,FALSE),"")</f>
        <v>2908670</v>
      </c>
      <c r="K2433" s="68">
        <f t="shared" si="75"/>
        <v>8</v>
      </c>
    </row>
    <row r="2434" spans="1:11" x14ac:dyDescent="0.2">
      <c r="A2434">
        <f t="shared" si="74"/>
        <v>2911220</v>
      </c>
      <c r="B2434">
        <v>2015</v>
      </c>
      <c r="C2434" t="s">
        <v>739</v>
      </c>
      <c r="D2434" t="s">
        <v>740</v>
      </c>
      <c r="E2434" t="s">
        <v>743</v>
      </c>
      <c r="F2434" s="35">
        <v>404</v>
      </c>
      <c r="G2434" s="39" t="s">
        <v>576</v>
      </c>
      <c r="H2434" s="40">
        <v>65310</v>
      </c>
      <c r="I2434" s="58">
        <v>627988</v>
      </c>
      <c r="J2434">
        <f>IFERROR(VLOOKUP(G2434,'LEAID Match'!$A$2:$B$526,2,FALSE),"")</f>
        <v>2911220</v>
      </c>
      <c r="K2434" s="68">
        <f t="shared" si="75"/>
        <v>8</v>
      </c>
    </row>
    <row r="2435" spans="1:11" x14ac:dyDescent="0.2">
      <c r="A2435">
        <f t="shared" ref="A2435:A2498" si="76">J2435</f>
        <v>2911220</v>
      </c>
      <c r="B2435">
        <v>2016</v>
      </c>
      <c r="C2435" t="s">
        <v>739</v>
      </c>
      <c r="D2435" t="s">
        <v>740</v>
      </c>
      <c r="E2435" t="s">
        <v>743</v>
      </c>
      <c r="F2435" s="59">
        <v>404</v>
      </c>
      <c r="G2435" s="34" t="s">
        <v>576</v>
      </c>
      <c r="H2435" s="36">
        <v>92403</v>
      </c>
      <c r="I2435" s="60">
        <v>675167</v>
      </c>
      <c r="J2435">
        <f>IFERROR(VLOOKUP(G2435,'LEAID Match'!$A$2:$B$526,2,FALSE),"")</f>
        <v>2911220</v>
      </c>
      <c r="K2435" s="68">
        <f t="shared" ref="K2435:K2498" si="77">COUNTIF($J$2:$J$4295,J2435)</f>
        <v>8</v>
      </c>
    </row>
    <row r="2436" spans="1:11" x14ac:dyDescent="0.2">
      <c r="A2436">
        <f t="shared" si="76"/>
        <v>2911220</v>
      </c>
      <c r="B2436">
        <v>2017</v>
      </c>
      <c r="C2436" t="s">
        <v>739</v>
      </c>
      <c r="D2436" t="s">
        <v>740</v>
      </c>
      <c r="E2436" t="s">
        <v>743</v>
      </c>
      <c r="F2436" s="59">
        <v>404</v>
      </c>
      <c r="G2436" s="34" t="s">
        <v>576</v>
      </c>
      <c r="H2436" s="36">
        <v>98069</v>
      </c>
      <c r="I2436" s="58">
        <v>688336</v>
      </c>
      <c r="J2436">
        <f>IFERROR(VLOOKUP(G2436,'LEAID Match'!$A$2:$B$526,2,FALSE),"")</f>
        <v>2911220</v>
      </c>
      <c r="K2436" s="68">
        <f t="shared" si="77"/>
        <v>8</v>
      </c>
    </row>
    <row r="2437" spans="1:11" x14ac:dyDescent="0.2">
      <c r="A2437">
        <f t="shared" si="76"/>
        <v>2911220</v>
      </c>
      <c r="B2437">
        <v>2018</v>
      </c>
      <c r="C2437" t="s">
        <v>739</v>
      </c>
      <c r="D2437" t="s">
        <v>740</v>
      </c>
      <c r="E2437" t="s">
        <v>743</v>
      </c>
      <c r="F2437" s="59">
        <v>404</v>
      </c>
      <c r="G2437" s="34" t="s">
        <v>576</v>
      </c>
      <c r="H2437" s="36">
        <v>79184</v>
      </c>
      <c r="I2437" s="58">
        <v>701202</v>
      </c>
      <c r="J2437">
        <f>IFERROR(VLOOKUP(G2437,'LEAID Match'!$A$2:$B$526,2,FALSE),"")</f>
        <v>2911220</v>
      </c>
      <c r="K2437" s="68">
        <f t="shared" si="77"/>
        <v>8</v>
      </c>
    </row>
    <row r="2438" spans="1:11" x14ac:dyDescent="0.2">
      <c r="A2438">
        <f t="shared" si="76"/>
        <v>2911220</v>
      </c>
      <c r="B2438">
        <v>2019</v>
      </c>
      <c r="C2438" t="s">
        <v>739</v>
      </c>
      <c r="D2438" t="s">
        <v>740</v>
      </c>
      <c r="E2438" t="s">
        <v>743</v>
      </c>
      <c r="F2438" s="34">
        <v>404</v>
      </c>
      <c r="G2438" s="34" t="s">
        <v>576</v>
      </c>
      <c r="H2438" s="36">
        <v>79129</v>
      </c>
      <c r="I2438" s="58">
        <v>708241</v>
      </c>
      <c r="J2438">
        <f>IFERROR(VLOOKUP(G2438,'LEAID Match'!$A$2:$B$526,2,FALSE),"")</f>
        <v>2911220</v>
      </c>
      <c r="K2438" s="68">
        <f t="shared" si="77"/>
        <v>8</v>
      </c>
    </row>
    <row r="2439" spans="1:11" x14ac:dyDescent="0.2">
      <c r="A2439">
        <f t="shared" si="76"/>
        <v>2911220</v>
      </c>
      <c r="B2439">
        <v>2020</v>
      </c>
      <c r="C2439" t="s">
        <v>739</v>
      </c>
      <c r="D2439" t="s">
        <v>740</v>
      </c>
      <c r="E2439" t="s">
        <v>743</v>
      </c>
      <c r="F2439" s="34">
        <v>404</v>
      </c>
      <c r="G2439" s="34" t="s">
        <v>576</v>
      </c>
      <c r="H2439" s="36">
        <v>112922</v>
      </c>
      <c r="I2439" s="58">
        <v>712482</v>
      </c>
      <c r="J2439">
        <f>IFERROR(VLOOKUP(G2439,'LEAID Match'!$A$2:$B$526,2,FALSE),"")</f>
        <v>2911220</v>
      </c>
      <c r="K2439" s="68">
        <f t="shared" si="77"/>
        <v>8</v>
      </c>
    </row>
    <row r="2440" spans="1:11" x14ac:dyDescent="0.2">
      <c r="A2440">
        <f t="shared" si="76"/>
        <v>2911220</v>
      </c>
      <c r="B2440">
        <v>2021</v>
      </c>
      <c r="C2440" t="s">
        <v>739</v>
      </c>
      <c r="D2440" t="s">
        <v>740</v>
      </c>
      <c r="E2440" t="s">
        <v>743</v>
      </c>
      <c r="F2440" s="34">
        <v>404</v>
      </c>
      <c r="G2440" s="34" t="s">
        <v>576</v>
      </c>
      <c r="H2440" s="36">
        <v>128000</v>
      </c>
      <c r="I2440" s="58">
        <v>758234</v>
      </c>
      <c r="J2440">
        <f>IFERROR(VLOOKUP(G2440,'LEAID Match'!$A$2:$B$526,2,FALSE),"")</f>
        <v>2911220</v>
      </c>
      <c r="K2440" s="68">
        <f t="shared" si="77"/>
        <v>8</v>
      </c>
    </row>
    <row r="2441" spans="1:11" x14ac:dyDescent="0.2">
      <c r="A2441">
        <f t="shared" si="76"/>
        <v>2911220</v>
      </c>
      <c r="B2441">
        <v>2022</v>
      </c>
      <c r="C2441" t="s">
        <v>739</v>
      </c>
      <c r="D2441" t="s">
        <v>740</v>
      </c>
      <c r="E2441" t="s">
        <v>743</v>
      </c>
      <c r="F2441" s="34">
        <v>404</v>
      </c>
      <c r="G2441" s="34" t="s">
        <v>576</v>
      </c>
      <c r="H2441" s="36">
        <v>121902</v>
      </c>
      <c r="I2441" s="58">
        <v>772239</v>
      </c>
      <c r="J2441">
        <f>IFERROR(VLOOKUP(G2441,'LEAID Match'!$A$2:$B$526,2,FALSE),"")</f>
        <v>2911220</v>
      </c>
      <c r="K2441" s="68">
        <f t="shared" si="77"/>
        <v>8</v>
      </c>
    </row>
    <row r="2442" spans="1:11" x14ac:dyDescent="0.2">
      <c r="A2442">
        <f t="shared" si="76"/>
        <v>2906510</v>
      </c>
      <c r="B2442">
        <v>2015</v>
      </c>
      <c r="C2442" t="s">
        <v>739</v>
      </c>
      <c r="D2442" t="s">
        <v>740</v>
      </c>
      <c r="E2442" t="s">
        <v>743</v>
      </c>
      <c r="F2442" s="35">
        <v>405</v>
      </c>
      <c r="G2442" s="34" t="s">
        <v>577</v>
      </c>
      <c r="H2442" s="40">
        <v>92089</v>
      </c>
      <c r="I2442" s="58">
        <v>808394</v>
      </c>
      <c r="J2442">
        <f>IFERROR(VLOOKUP(G2442,'LEAID Match'!$A$2:$B$526,2,FALSE),"")</f>
        <v>2906510</v>
      </c>
      <c r="K2442" s="68">
        <f t="shared" si="77"/>
        <v>8</v>
      </c>
    </row>
    <row r="2443" spans="1:11" x14ac:dyDescent="0.2">
      <c r="A2443">
        <f t="shared" si="76"/>
        <v>2906510</v>
      </c>
      <c r="B2443">
        <v>2016</v>
      </c>
      <c r="C2443" t="s">
        <v>739</v>
      </c>
      <c r="D2443" t="s">
        <v>740</v>
      </c>
      <c r="E2443" t="s">
        <v>743</v>
      </c>
      <c r="F2443" s="59">
        <v>405</v>
      </c>
      <c r="G2443" s="34" t="s">
        <v>577</v>
      </c>
      <c r="H2443" s="36">
        <v>88040</v>
      </c>
      <c r="I2443" s="60">
        <v>863323</v>
      </c>
      <c r="J2443">
        <f>IFERROR(VLOOKUP(G2443,'LEAID Match'!$A$2:$B$526,2,FALSE),"")</f>
        <v>2906510</v>
      </c>
      <c r="K2443" s="68">
        <f t="shared" si="77"/>
        <v>8</v>
      </c>
    </row>
    <row r="2444" spans="1:11" x14ac:dyDescent="0.2">
      <c r="A2444">
        <f t="shared" si="76"/>
        <v>2906510</v>
      </c>
      <c r="B2444">
        <v>2017</v>
      </c>
      <c r="C2444" t="s">
        <v>739</v>
      </c>
      <c r="D2444" t="s">
        <v>740</v>
      </c>
      <c r="E2444" t="s">
        <v>743</v>
      </c>
      <c r="F2444" s="59">
        <v>405</v>
      </c>
      <c r="G2444" s="34" t="s">
        <v>577</v>
      </c>
      <c r="H2444" s="36">
        <v>90776</v>
      </c>
      <c r="I2444" s="58">
        <v>871040</v>
      </c>
      <c r="J2444">
        <f>IFERROR(VLOOKUP(G2444,'LEAID Match'!$A$2:$B$526,2,FALSE),"")</f>
        <v>2906510</v>
      </c>
      <c r="K2444" s="68">
        <f t="shared" si="77"/>
        <v>8</v>
      </c>
    </row>
    <row r="2445" spans="1:11" x14ac:dyDescent="0.2">
      <c r="A2445">
        <f t="shared" si="76"/>
        <v>2906510</v>
      </c>
      <c r="B2445">
        <v>2018</v>
      </c>
      <c r="C2445" t="s">
        <v>739</v>
      </c>
      <c r="D2445" t="s">
        <v>740</v>
      </c>
      <c r="E2445" t="s">
        <v>743</v>
      </c>
      <c r="F2445" s="59">
        <v>405</v>
      </c>
      <c r="G2445" s="34" t="s">
        <v>577</v>
      </c>
      <c r="H2445" s="36">
        <v>98089</v>
      </c>
      <c r="I2445" s="58">
        <v>894340</v>
      </c>
      <c r="J2445">
        <f>IFERROR(VLOOKUP(G2445,'LEAID Match'!$A$2:$B$526,2,FALSE),"")</f>
        <v>2906510</v>
      </c>
      <c r="K2445" s="68">
        <f t="shared" si="77"/>
        <v>8</v>
      </c>
    </row>
    <row r="2446" spans="1:11" x14ac:dyDescent="0.2">
      <c r="A2446">
        <f t="shared" si="76"/>
        <v>2906510</v>
      </c>
      <c r="B2446">
        <v>2019</v>
      </c>
      <c r="C2446" t="s">
        <v>739</v>
      </c>
      <c r="D2446" t="s">
        <v>740</v>
      </c>
      <c r="E2446" t="s">
        <v>743</v>
      </c>
      <c r="F2446" s="34">
        <v>405</v>
      </c>
      <c r="G2446" s="34" t="s">
        <v>577</v>
      </c>
      <c r="H2446" s="36">
        <v>119450</v>
      </c>
      <c r="I2446" s="58">
        <v>942579</v>
      </c>
      <c r="J2446">
        <f>IFERROR(VLOOKUP(G2446,'LEAID Match'!$A$2:$B$526,2,FALSE),"")</f>
        <v>2906510</v>
      </c>
      <c r="K2446" s="68">
        <f t="shared" si="77"/>
        <v>8</v>
      </c>
    </row>
    <row r="2447" spans="1:11" x14ac:dyDescent="0.2">
      <c r="A2447">
        <f t="shared" si="76"/>
        <v>2906510</v>
      </c>
      <c r="B2447">
        <v>2020</v>
      </c>
      <c r="C2447" t="s">
        <v>739</v>
      </c>
      <c r="D2447" t="s">
        <v>740</v>
      </c>
      <c r="E2447" t="s">
        <v>743</v>
      </c>
      <c r="F2447" s="34">
        <v>405</v>
      </c>
      <c r="G2447" s="34" t="s">
        <v>577</v>
      </c>
      <c r="H2447" s="36">
        <v>124923</v>
      </c>
      <c r="I2447" s="58">
        <v>976949</v>
      </c>
      <c r="J2447">
        <f>IFERROR(VLOOKUP(G2447,'LEAID Match'!$A$2:$B$526,2,FALSE),"")</f>
        <v>2906510</v>
      </c>
      <c r="K2447" s="68">
        <f t="shared" si="77"/>
        <v>8</v>
      </c>
    </row>
    <row r="2448" spans="1:11" x14ac:dyDescent="0.2">
      <c r="A2448">
        <f t="shared" si="76"/>
        <v>2906510</v>
      </c>
      <c r="B2448">
        <v>2021</v>
      </c>
      <c r="C2448" t="s">
        <v>739</v>
      </c>
      <c r="D2448" t="s">
        <v>740</v>
      </c>
      <c r="E2448" t="s">
        <v>743</v>
      </c>
      <c r="F2448" s="34">
        <v>405</v>
      </c>
      <c r="G2448" s="34" t="s">
        <v>577</v>
      </c>
      <c r="H2448" s="36">
        <v>121481</v>
      </c>
      <c r="I2448" s="58">
        <v>1037754</v>
      </c>
      <c r="J2448">
        <f>IFERROR(VLOOKUP(G2448,'LEAID Match'!$A$2:$B$526,2,FALSE),"")</f>
        <v>2906510</v>
      </c>
      <c r="K2448" s="68">
        <f t="shared" si="77"/>
        <v>8</v>
      </c>
    </row>
    <row r="2449" spans="1:11" x14ac:dyDescent="0.2">
      <c r="A2449">
        <f t="shared" si="76"/>
        <v>2906510</v>
      </c>
      <c r="B2449">
        <v>2022</v>
      </c>
      <c r="C2449" t="s">
        <v>739</v>
      </c>
      <c r="D2449" t="s">
        <v>740</v>
      </c>
      <c r="E2449" t="s">
        <v>743</v>
      </c>
      <c r="F2449" s="34">
        <v>405</v>
      </c>
      <c r="G2449" s="34" t="s">
        <v>577</v>
      </c>
      <c r="H2449" s="36">
        <v>118454</v>
      </c>
      <c r="I2449" s="58">
        <v>1081862</v>
      </c>
      <c r="J2449">
        <f>IFERROR(VLOOKUP(G2449,'LEAID Match'!$A$2:$B$526,2,FALSE),"")</f>
        <v>2906510</v>
      </c>
      <c r="K2449" s="68">
        <f t="shared" si="77"/>
        <v>8</v>
      </c>
    </row>
    <row r="2450" spans="1:11" x14ac:dyDescent="0.2">
      <c r="A2450">
        <f t="shared" si="76"/>
        <v>2921150</v>
      </c>
      <c r="B2450">
        <v>2015</v>
      </c>
      <c r="C2450" t="s">
        <v>739</v>
      </c>
      <c r="D2450" t="s">
        <v>740</v>
      </c>
      <c r="E2450" t="s">
        <v>743</v>
      </c>
      <c r="F2450" s="35">
        <v>406</v>
      </c>
      <c r="G2450" s="39" t="s">
        <v>578</v>
      </c>
      <c r="H2450" s="40">
        <v>7436</v>
      </c>
      <c r="I2450" s="58">
        <v>56497</v>
      </c>
      <c r="J2450">
        <f>IFERROR(VLOOKUP(G2450,'LEAID Match'!$A$2:$B$526,2,FALSE),"")</f>
        <v>2921150</v>
      </c>
      <c r="K2450" s="68">
        <f t="shared" si="77"/>
        <v>8</v>
      </c>
    </row>
    <row r="2451" spans="1:11" x14ac:dyDescent="0.2">
      <c r="A2451">
        <f t="shared" si="76"/>
        <v>2921150</v>
      </c>
      <c r="B2451">
        <v>2016</v>
      </c>
      <c r="C2451" t="s">
        <v>739</v>
      </c>
      <c r="D2451" t="s">
        <v>740</v>
      </c>
      <c r="E2451" t="s">
        <v>743</v>
      </c>
      <c r="F2451" s="59">
        <v>406</v>
      </c>
      <c r="G2451" s="34" t="s">
        <v>578</v>
      </c>
      <c r="H2451" s="36">
        <v>10157</v>
      </c>
      <c r="I2451" s="60">
        <v>68189</v>
      </c>
      <c r="J2451">
        <f>IFERROR(VLOOKUP(G2451,'LEAID Match'!$A$2:$B$526,2,FALSE),"")</f>
        <v>2921150</v>
      </c>
      <c r="K2451" s="68">
        <f t="shared" si="77"/>
        <v>8</v>
      </c>
    </row>
    <row r="2452" spans="1:11" x14ac:dyDescent="0.2">
      <c r="A2452">
        <f t="shared" si="76"/>
        <v>2921150</v>
      </c>
      <c r="B2452">
        <v>2017</v>
      </c>
      <c r="C2452" t="s">
        <v>739</v>
      </c>
      <c r="D2452" t="s">
        <v>740</v>
      </c>
      <c r="E2452" t="s">
        <v>743</v>
      </c>
      <c r="F2452" s="59">
        <v>406</v>
      </c>
      <c r="G2452" s="34" t="s">
        <v>578</v>
      </c>
      <c r="H2452" s="36">
        <v>13640</v>
      </c>
      <c r="I2452" s="58">
        <v>69525</v>
      </c>
      <c r="J2452">
        <f>IFERROR(VLOOKUP(G2452,'LEAID Match'!$A$2:$B$526,2,FALSE),"")</f>
        <v>2921150</v>
      </c>
      <c r="K2452" s="68">
        <f t="shared" si="77"/>
        <v>8</v>
      </c>
    </row>
    <row r="2453" spans="1:11" x14ac:dyDescent="0.2">
      <c r="A2453">
        <f t="shared" si="76"/>
        <v>2921150</v>
      </c>
      <c r="B2453">
        <v>2018</v>
      </c>
      <c r="C2453" t="s">
        <v>739</v>
      </c>
      <c r="D2453" t="s">
        <v>740</v>
      </c>
      <c r="E2453" t="s">
        <v>743</v>
      </c>
      <c r="F2453" s="59">
        <v>406</v>
      </c>
      <c r="G2453" s="34" t="s">
        <v>578</v>
      </c>
      <c r="H2453" s="36">
        <v>12876</v>
      </c>
      <c r="I2453" s="58">
        <v>67844</v>
      </c>
      <c r="J2453">
        <f>IFERROR(VLOOKUP(G2453,'LEAID Match'!$A$2:$B$526,2,FALSE),"")</f>
        <v>2921150</v>
      </c>
      <c r="K2453" s="68">
        <f t="shared" si="77"/>
        <v>8</v>
      </c>
    </row>
    <row r="2454" spans="1:11" x14ac:dyDescent="0.2">
      <c r="A2454">
        <f t="shared" si="76"/>
        <v>2921150</v>
      </c>
      <c r="B2454">
        <v>2019</v>
      </c>
      <c r="C2454" t="s">
        <v>739</v>
      </c>
      <c r="D2454" t="s">
        <v>740</v>
      </c>
      <c r="E2454" t="s">
        <v>743</v>
      </c>
      <c r="F2454" s="34">
        <v>406</v>
      </c>
      <c r="G2454" s="34" t="s">
        <v>578</v>
      </c>
      <c r="H2454" s="36">
        <v>12801</v>
      </c>
      <c r="I2454" s="58">
        <v>69498</v>
      </c>
      <c r="J2454">
        <f>IFERROR(VLOOKUP(G2454,'LEAID Match'!$A$2:$B$526,2,FALSE),"")</f>
        <v>2921150</v>
      </c>
      <c r="K2454" s="68">
        <f t="shared" si="77"/>
        <v>8</v>
      </c>
    </row>
    <row r="2455" spans="1:11" x14ac:dyDescent="0.2">
      <c r="A2455">
        <f t="shared" si="76"/>
        <v>2921150</v>
      </c>
      <c r="B2455">
        <v>2020</v>
      </c>
      <c r="C2455" t="s">
        <v>739</v>
      </c>
      <c r="D2455" t="s">
        <v>740</v>
      </c>
      <c r="E2455" t="s">
        <v>743</v>
      </c>
      <c r="F2455" s="34">
        <v>406</v>
      </c>
      <c r="G2455" s="34" t="s">
        <v>578</v>
      </c>
      <c r="H2455" s="36">
        <v>11516</v>
      </c>
      <c r="I2455" s="58">
        <v>78745</v>
      </c>
      <c r="J2455">
        <f>IFERROR(VLOOKUP(G2455,'LEAID Match'!$A$2:$B$526,2,FALSE),"")</f>
        <v>2921150</v>
      </c>
      <c r="K2455" s="68">
        <f t="shared" si="77"/>
        <v>8</v>
      </c>
    </row>
    <row r="2456" spans="1:11" x14ac:dyDescent="0.2">
      <c r="A2456">
        <f t="shared" si="76"/>
        <v>2921150</v>
      </c>
      <c r="B2456">
        <v>2021</v>
      </c>
      <c r="C2456" t="s">
        <v>739</v>
      </c>
      <c r="D2456" t="s">
        <v>740</v>
      </c>
      <c r="E2456" t="s">
        <v>743</v>
      </c>
      <c r="F2456" s="34">
        <v>406</v>
      </c>
      <c r="G2456" s="34" t="s">
        <v>578</v>
      </c>
      <c r="H2456" s="36">
        <v>10141</v>
      </c>
      <c r="I2456" s="58">
        <v>66254</v>
      </c>
      <c r="J2456">
        <f>IFERROR(VLOOKUP(G2456,'LEAID Match'!$A$2:$B$526,2,FALSE),"")</f>
        <v>2921150</v>
      </c>
      <c r="K2456" s="68">
        <f t="shared" si="77"/>
        <v>8</v>
      </c>
    </row>
    <row r="2457" spans="1:11" x14ac:dyDescent="0.2">
      <c r="A2457">
        <f t="shared" si="76"/>
        <v>2921150</v>
      </c>
      <c r="B2457">
        <v>2022</v>
      </c>
      <c r="C2457" t="s">
        <v>739</v>
      </c>
      <c r="D2457" t="s">
        <v>740</v>
      </c>
      <c r="E2457" t="s">
        <v>743</v>
      </c>
      <c r="F2457" s="34">
        <v>406</v>
      </c>
      <c r="G2457" s="34" t="s">
        <v>578</v>
      </c>
      <c r="H2457" s="36">
        <v>11147</v>
      </c>
      <c r="I2457" s="58">
        <v>82679</v>
      </c>
      <c r="J2457">
        <f>IFERROR(VLOOKUP(G2457,'LEAID Match'!$A$2:$B$526,2,FALSE),"")</f>
        <v>2921150</v>
      </c>
      <c r="K2457" s="68">
        <f t="shared" si="77"/>
        <v>8</v>
      </c>
    </row>
    <row r="2458" spans="1:11" x14ac:dyDescent="0.2">
      <c r="A2458">
        <f t="shared" si="76"/>
        <v>2921180</v>
      </c>
      <c r="B2458">
        <v>2015</v>
      </c>
      <c r="C2458" t="s">
        <v>739</v>
      </c>
      <c r="D2458" t="s">
        <v>740</v>
      </c>
      <c r="E2458" t="s">
        <v>743</v>
      </c>
      <c r="F2458" s="35">
        <v>407</v>
      </c>
      <c r="G2458" s="39" t="s">
        <v>579</v>
      </c>
      <c r="H2458" s="40">
        <v>4815</v>
      </c>
      <c r="I2458" s="58">
        <v>40797</v>
      </c>
      <c r="J2458">
        <f>IFERROR(VLOOKUP(G2458,'LEAID Match'!$A$2:$B$526,2,FALSE),"")</f>
        <v>2921180</v>
      </c>
      <c r="K2458" s="68">
        <f t="shared" si="77"/>
        <v>8</v>
      </c>
    </row>
    <row r="2459" spans="1:11" x14ac:dyDescent="0.2">
      <c r="A2459">
        <f t="shared" si="76"/>
        <v>2921180</v>
      </c>
      <c r="B2459">
        <v>2016</v>
      </c>
      <c r="C2459" t="s">
        <v>739</v>
      </c>
      <c r="D2459" t="s">
        <v>740</v>
      </c>
      <c r="E2459" t="s">
        <v>743</v>
      </c>
      <c r="F2459" s="59">
        <v>407</v>
      </c>
      <c r="G2459" s="34" t="s">
        <v>579</v>
      </c>
      <c r="H2459" s="36">
        <v>5090</v>
      </c>
      <c r="I2459" s="60">
        <v>43076</v>
      </c>
      <c r="J2459">
        <f>IFERROR(VLOOKUP(G2459,'LEAID Match'!$A$2:$B$526,2,FALSE),"")</f>
        <v>2921180</v>
      </c>
      <c r="K2459" s="68">
        <f t="shared" si="77"/>
        <v>8</v>
      </c>
    </row>
    <row r="2460" spans="1:11" x14ac:dyDescent="0.2">
      <c r="A2460">
        <f t="shared" si="76"/>
        <v>2921180</v>
      </c>
      <c r="B2460">
        <v>2017</v>
      </c>
      <c r="C2460" t="s">
        <v>739</v>
      </c>
      <c r="D2460" t="s">
        <v>740</v>
      </c>
      <c r="E2460" t="s">
        <v>743</v>
      </c>
      <c r="F2460" s="59">
        <v>407</v>
      </c>
      <c r="G2460" s="34" t="s">
        <v>579</v>
      </c>
      <c r="H2460" s="36">
        <v>5066</v>
      </c>
      <c r="I2460" s="58">
        <v>44084</v>
      </c>
      <c r="J2460">
        <f>IFERROR(VLOOKUP(G2460,'LEAID Match'!$A$2:$B$526,2,FALSE),"")</f>
        <v>2921180</v>
      </c>
      <c r="K2460" s="68">
        <f t="shared" si="77"/>
        <v>8</v>
      </c>
    </row>
    <row r="2461" spans="1:11" x14ac:dyDescent="0.2">
      <c r="A2461">
        <f t="shared" si="76"/>
        <v>2921180</v>
      </c>
      <c r="B2461">
        <v>2018</v>
      </c>
      <c r="C2461" t="s">
        <v>739</v>
      </c>
      <c r="D2461" t="s">
        <v>740</v>
      </c>
      <c r="E2461" t="s">
        <v>743</v>
      </c>
      <c r="F2461" s="59">
        <v>407</v>
      </c>
      <c r="G2461" s="34" t="s">
        <v>579</v>
      </c>
      <c r="H2461" s="36">
        <v>6158</v>
      </c>
      <c r="I2461" s="58">
        <v>43234</v>
      </c>
      <c r="J2461">
        <f>IFERROR(VLOOKUP(G2461,'LEAID Match'!$A$2:$B$526,2,FALSE),"")</f>
        <v>2921180</v>
      </c>
      <c r="K2461" s="68">
        <f t="shared" si="77"/>
        <v>8</v>
      </c>
    </row>
    <row r="2462" spans="1:11" x14ac:dyDescent="0.2">
      <c r="A2462">
        <f t="shared" si="76"/>
        <v>2921180</v>
      </c>
      <c r="B2462">
        <v>2019</v>
      </c>
      <c r="C2462" t="s">
        <v>739</v>
      </c>
      <c r="D2462" t="s">
        <v>740</v>
      </c>
      <c r="E2462" t="s">
        <v>743</v>
      </c>
      <c r="F2462" s="34">
        <v>407</v>
      </c>
      <c r="G2462" s="34" t="s">
        <v>579</v>
      </c>
      <c r="H2462" s="36">
        <v>8977</v>
      </c>
      <c r="I2462" s="58">
        <v>37866</v>
      </c>
      <c r="J2462">
        <f>IFERROR(VLOOKUP(G2462,'LEAID Match'!$A$2:$B$526,2,FALSE),"")</f>
        <v>2921180</v>
      </c>
      <c r="K2462" s="68">
        <f t="shared" si="77"/>
        <v>8</v>
      </c>
    </row>
    <row r="2463" spans="1:11" x14ac:dyDescent="0.2">
      <c r="A2463">
        <f t="shared" si="76"/>
        <v>2921180</v>
      </c>
      <c r="B2463">
        <v>2020</v>
      </c>
      <c r="C2463" t="s">
        <v>739</v>
      </c>
      <c r="D2463" t="s">
        <v>740</v>
      </c>
      <c r="E2463" t="s">
        <v>743</v>
      </c>
      <c r="F2463" s="34">
        <v>407</v>
      </c>
      <c r="G2463" s="34" t="s">
        <v>579</v>
      </c>
      <c r="H2463" s="36">
        <v>6737</v>
      </c>
      <c r="I2463" s="58">
        <v>43915</v>
      </c>
      <c r="J2463">
        <f>IFERROR(VLOOKUP(G2463,'LEAID Match'!$A$2:$B$526,2,FALSE),"")</f>
        <v>2921180</v>
      </c>
      <c r="K2463" s="68">
        <f t="shared" si="77"/>
        <v>8</v>
      </c>
    </row>
    <row r="2464" spans="1:11" x14ac:dyDescent="0.2">
      <c r="A2464">
        <f t="shared" si="76"/>
        <v>2921180</v>
      </c>
      <c r="B2464">
        <v>2021</v>
      </c>
      <c r="C2464" t="s">
        <v>739</v>
      </c>
      <c r="D2464" t="s">
        <v>740</v>
      </c>
      <c r="E2464" t="s">
        <v>743</v>
      </c>
      <c r="F2464" s="34">
        <v>407</v>
      </c>
      <c r="G2464" s="34" t="s">
        <v>579</v>
      </c>
      <c r="H2464" s="36">
        <v>7033</v>
      </c>
      <c r="I2464" s="58">
        <v>41419</v>
      </c>
      <c r="J2464">
        <f>IFERROR(VLOOKUP(G2464,'LEAID Match'!$A$2:$B$526,2,FALSE),"")</f>
        <v>2921180</v>
      </c>
      <c r="K2464" s="68">
        <f t="shared" si="77"/>
        <v>8</v>
      </c>
    </row>
    <row r="2465" spans="1:11" x14ac:dyDescent="0.2">
      <c r="A2465">
        <f t="shared" si="76"/>
        <v>2921180</v>
      </c>
      <c r="B2465">
        <v>2022</v>
      </c>
      <c r="C2465" t="s">
        <v>739</v>
      </c>
      <c r="D2465" t="s">
        <v>740</v>
      </c>
      <c r="E2465" t="s">
        <v>743</v>
      </c>
      <c r="F2465" s="34">
        <v>407</v>
      </c>
      <c r="G2465" s="34" t="s">
        <v>579</v>
      </c>
      <c r="H2465" s="36">
        <v>7153</v>
      </c>
      <c r="I2465" s="58">
        <v>48636</v>
      </c>
      <c r="J2465">
        <f>IFERROR(VLOOKUP(G2465,'LEAID Match'!$A$2:$B$526,2,FALSE),"")</f>
        <v>2921180</v>
      </c>
      <c r="K2465" s="68">
        <f t="shared" si="77"/>
        <v>8</v>
      </c>
    </row>
    <row r="2466" spans="1:11" x14ac:dyDescent="0.2">
      <c r="A2466" t="str">
        <f t="shared" si="76"/>
        <v/>
      </c>
      <c r="B2466">
        <v>2015</v>
      </c>
      <c r="C2466" t="s">
        <v>739</v>
      </c>
      <c r="D2466" t="s">
        <v>740</v>
      </c>
      <c r="E2466" t="s">
        <v>743</v>
      </c>
      <c r="F2466" s="35">
        <v>408</v>
      </c>
      <c r="G2466" s="39" t="s">
        <v>580</v>
      </c>
      <c r="H2466" s="40">
        <v>45752</v>
      </c>
      <c r="I2466" s="58">
        <v>367956</v>
      </c>
      <c r="J2466" t="str">
        <f>IFERROR(VLOOKUP(G2466,'LEAID Match'!$A$2:$B$526,2,FALSE),"")</f>
        <v/>
      </c>
      <c r="K2466" s="68">
        <f t="shared" si="77"/>
        <v>216</v>
      </c>
    </row>
    <row r="2467" spans="1:11" x14ac:dyDescent="0.2">
      <c r="A2467" t="str">
        <f t="shared" si="76"/>
        <v/>
      </c>
      <c r="B2467">
        <v>2016</v>
      </c>
      <c r="C2467" t="s">
        <v>739</v>
      </c>
      <c r="D2467" t="s">
        <v>740</v>
      </c>
      <c r="E2467" t="s">
        <v>743</v>
      </c>
      <c r="F2467" s="59">
        <v>408</v>
      </c>
      <c r="G2467" s="34" t="s">
        <v>580</v>
      </c>
      <c r="H2467" s="36">
        <v>42333</v>
      </c>
      <c r="I2467" s="60">
        <v>366446</v>
      </c>
      <c r="J2467" t="str">
        <f>IFERROR(VLOOKUP(G2467,'LEAID Match'!$A$2:$B$526,2,FALSE),"")</f>
        <v/>
      </c>
      <c r="K2467" s="68">
        <f t="shared" si="77"/>
        <v>216</v>
      </c>
    </row>
    <row r="2468" spans="1:11" x14ac:dyDescent="0.2">
      <c r="A2468" t="str">
        <f t="shared" si="76"/>
        <v/>
      </c>
      <c r="B2468">
        <v>2017</v>
      </c>
      <c r="C2468" t="s">
        <v>739</v>
      </c>
      <c r="D2468" t="s">
        <v>740</v>
      </c>
      <c r="E2468" t="s">
        <v>743</v>
      </c>
      <c r="F2468" s="59">
        <v>408</v>
      </c>
      <c r="G2468" s="34" t="s">
        <v>580</v>
      </c>
      <c r="H2468" s="36">
        <v>40759</v>
      </c>
      <c r="I2468" s="58">
        <v>365273</v>
      </c>
      <c r="J2468" t="str">
        <f>IFERROR(VLOOKUP(G2468,'LEAID Match'!$A$2:$B$526,2,FALSE),"")</f>
        <v/>
      </c>
      <c r="K2468" s="68">
        <f t="shared" si="77"/>
        <v>216</v>
      </c>
    </row>
    <row r="2469" spans="1:11" x14ac:dyDescent="0.2">
      <c r="A2469" t="str">
        <f t="shared" si="76"/>
        <v/>
      </c>
      <c r="B2469">
        <v>2018</v>
      </c>
      <c r="C2469" t="s">
        <v>739</v>
      </c>
      <c r="D2469" t="s">
        <v>740</v>
      </c>
      <c r="E2469" t="s">
        <v>743</v>
      </c>
      <c r="F2469" s="59">
        <v>408</v>
      </c>
      <c r="G2469" s="34" t="s">
        <v>580</v>
      </c>
      <c r="H2469" s="36">
        <v>40045</v>
      </c>
      <c r="I2469" s="58">
        <v>363074</v>
      </c>
      <c r="J2469" t="str">
        <f>IFERROR(VLOOKUP(G2469,'LEAID Match'!$A$2:$B$526,2,FALSE),"")</f>
        <v/>
      </c>
      <c r="K2469" s="68">
        <f t="shared" si="77"/>
        <v>216</v>
      </c>
    </row>
    <row r="2470" spans="1:11" x14ac:dyDescent="0.2">
      <c r="A2470" t="str">
        <f t="shared" si="76"/>
        <v/>
      </c>
      <c r="B2470">
        <v>2019</v>
      </c>
      <c r="C2470" t="s">
        <v>739</v>
      </c>
      <c r="D2470" t="s">
        <v>740</v>
      </c>
      <c r="E2470" t="s">
        <v>743</v>
      </c>
      <c r="F2470" s="34">
        <v>408</v>
      </c>
      <c r="G2470" s="34" t="s">
        <v>580</v>
      </c>
      <c r="H2470" s="36">
        <v>38419</v>
      </c>
      <c r="I2470" s="58">
        <v>377935</v>
      </c>
      <c r="J2470" t="str">
        <f>IFERROR(VLOOKUP(G2470,'LEAID Match'!$A$2:$B$526,2,FALSE),"")</f>
        <v/>
      </c>
      <c r="K2470" s="68">
        <f t="shared" si="77"/>
        <v>216</v>
      </c>
    </row>
    <row r="2471" spans="1:11" x14ac:dyDescent="0.2">
      <c r="A2471" t="str">
        <f t="shared" si="76"/>
        <v/>
      </c>
      <c r="B2471">
        <v>2020</v>
      </c>
      <c r="C2471" t="s">
        <v>739</v>
      </c>
      <c r="D2471" t="s">
        <v>740</v>
      </c>
      <c r="E2471" t="s">
        <v>743</v>
      </c>
      <c r="F2471" s="34">
        <v>408</v>
      </c>
      <c r="G2471" s="34" t="s">
        <v>580</v>
      </c>
      <c r="H2471" s="36">
        <v>38775</v>
      </c>
      <c r="I2471" s="58">
        <v>376867</v>
      </c>
      <c r="J2471" t="str">
        <f>IFERROR(VLOOKUP(G2471,'LEAID Match'!$A$2:$B$526,2,FALSE),"")</f>
        <v/>
      </c>
      <c r="K2471" s="68">
        <f t="shared" si="77"/>
        <v>216</v>
      </c>
    </row>
    <row r="2472" spans="1:11" x14ac:dyDescent="0.2">
      <c r="A2472" t="str">
        <f t="shared" si="76"/>
        <v/>
      </c>
      <c r="B2472">
        <v>2021</v>
      </c>
      <c r="C2472" t="s">
        <v>739</v>
      </c>
      <c r="D2472" t="s">
        <v>740</v>
      </c>
      <c r="E2472" t="s">
        <v>743</v>
      </c>
      <c r="F2472" s="34">
        <v>408</v>
      </c>
      <c r="G2472" s="34" t="s">
        <v>580</v>
      </c>
      <c r="H2472" s="36">
        <v>46129</v>
      </c>
      <c r="I2472" s="58">
        <v>380537</v>
      </c>
      <c r="J2472" t="str">
        <f>IFERROR(VLOOKUP(G2472,'LEAID Match'!$A$2:$B$526,2,FALSE),"")</f>
        <v/>
      </c>
      <c r="K2472" s="68">
        <f t="shared" si="77"/>
        <v>216</v>
      </c>
    </row>
    <row r="2473" spans="1:11" x14ac:dyDescent="0.2">
      <c r="A2473" t="str">
        <f t="shared" si="76"/>
        <v/>
      </c>
      <c r="B2473">
        <v>2022</v>
      </c>
      <c r="C2473" t="s">
        <v>739</v>
      </c>
      <c r="D2473" t="s">
        <v>740</v>
      </c>
      <c r="E2473" t="s">
        <v>743</v>
      </c>
      <c r="F2473" s="34">
        <v>408</v>
      </c>
      <c r="G2473" s="34" t="s">
        <v>580</v>
      </c>
      <c r="H2473" s="36">
        <v>69039</v>
      </c>
      <c r="I2473" s="58">
        <v>366276</v>
      </c>
      <c r="J2473" t="str">
        <f>IFERROR(VLOOKUP(G2473,'LEAID Match'!$A$2:$B$526,2,FALSE),"")</f>
        <v/>
      </c>
      <c r="K2473" s="68">
        <f t="shared" si="77"/>
        <v>216</v>
      </c>
    </row>
    <row r="2474" spans="1:11" x14ac:dyDescent="0.2">
      <c r="A2474" t="str">
        <f t="shared" si="76"/>
        <v/>
      </c>
      <c r="B2474">
        <v>2015</v>
      </c>
      <c r="C2474" t="s">
        <v>739</v>
      </c>
      <c r="D2474" t="s">
        <v>740</v>
      </c>
      <c r="E2474" t="s">
        <v>743</v>
      </c>
      <c r="F2474" s="35">
        <v>409</v>
      </c>
      <c r="G2474" s="39" t="s">
        <v>581</v>
      </c>
      <c r="H2474" s="40">
        <v>25681</v>
      </c>
      <c r="I2474" s="58">
        <v>143413</v>
      </c>
      <c r="J2474" t="str">
        <f>IFERROR(VLOOKUP(G2474,'LEAID Match'!$A$2:$B$526,2,FALSE),"")</f>
        <v/>
      </c>
      <c r="K2474" s="68">
        <f t="shared" si="77"/>
        <v>216</v>
      </c>
    </row>
    <row r="2475" spans="1:11" x14ac:dyDescent="0.2">
      <c r="A2475" t="str">
        <f t="shared" si="76"/>
        <v/>
      </c>
      <c r="B2475">
        <v>2016</v>
      </c>
      <c r="C2475" t="s">
        <v>739</v>
      </c>
      <c r="D2475" t="s">
        <v>740</v>
      </c>
      <c r="E2475" t="s">
        <v>743</v>
      </c>
      <c r="F2475" s="59">
        <v>409</v>
      </c>
      <c r="G2475" s="34" t="s">
        <v>581</v>
      </c>
      <c r="H2475" s="36">
        <v>23460</v>
      </c>
      <c r="I2475" s="60">
        <v>157019</v>
      </c>
      <c r="J2475" t="str">
        <f>IFERROR(VLOOKUP(G2475,'LEAID Match'!$A$2:$B$526,2,FALSE),"")</f>
        <v/>
      </c>
      <c r="K2475" s="68">
        <f t="shared" si="77"/>
        <v>216</v>
      </c>
    </row>
    <row r="2476" spans="1:11" x14ac:dyDescent="0.2">
      <c r="A2476" t="str">
        <f t="shared" si="76"/>
        <v/>
      </c>
      <c r="B2476">
        <v>2017</v>
      </c>
      <c r="C2476" t="s">
        <v>739</v>
      </c>
      <c r="D2476" t="s">
        <v>740</v>
      </c>
      <c r="E2476" t="s">
        <v>743</v>
      </c>
      <c r="F2476" s="59">
        <v>409</v>
      </c>
      <c r="G2476" s="34" t="s">
        <v>581</v>
      </c>
      <c r="H2476" s="36">
        <v>24307</v>
      </c>
      <c r="I2476" s="58">
        <v>157547</v>
      </c>
      <c r="J2476" t="str">
        <f>IFERROR(VLOOKUP(G2476,'LEAID Match'!$A$2:$B$526,2,FALSE),"")</f>
        <v/>
      </c>
      <c r="K2476" s="68">
        <f t="shared" si="77"/>
        <v>216</v>
      </c>
    </row>
    <row r="2477" spans="1:11" x14ac:dyDescent="0.2">
      <c r="A2477" t="str">
        <f t="shared" si="76"/>
        <v/>
      </c>
      <c r="B2477">
        <v>2018</v>
      </c>
      <c r="C2477" t="s">
        <v>739</v>
      </c>
      <c r="D2477" t="s">
        <v>740</v>
      </c>
      <c r="E2477" t="s">
        <v>743</v>
      </c>
      <c r="F2477" s="59">
        <v>409</v>
      </c>
      <c r="G2477" s="34" t="s">
        <v>581</v>
      </c>
      <c r="H2477" s="36">
        <v>24375</v>
      </c>
      <c r="I2477" s="58">
        <v>156855</v>
      </c>
      <c r="J2477" t="str">
        <f>IFERROR(VLOOKUP(G2477,'LEAID Match'!$A$2:$B$526,2,FALSE),"")</f>
        <v/>
      </c>
      <c r="K2477" s="68">
        <f t="shared" si="77"/>
        <v>216</v>
      </c>
    </row>
    <row r="2478" spans="1:11" x14ac:dyDescent="0.2">
      <c r="A2478" t="str">
        <f t="shared" si="76"/>
        <v/>
      </c>
      <c r="B2478">
        <v>2019</v>
      </c>
      <c r="C2478" t="s">
        <v>739</v>
      </c>
      <c r="D2478" t="s">
        <v>740</v>
      </c>
      <c r="E2478" t="s">
        <v>743</v>
      </c>
      <c r="F2478" s="34">
        <v>409</v>
      </c>
      <c r="G2478" s="34" t="s">
        <v>581</v>
      </c>
      <c r="H2478" s="36">
        <v>30162</v>
      </c>
      <c r="I2478" s="58">
        <v>156406</v>
      </c>
      <c r="J2478" t="str">
        <f>IFERROR(VLOOKUP(G2478,'LEAID Match'!$A$2:$B$526,2,FALSE),"")</f>
        <v/>
      </c>
      <c r="K2478" s="68">
        <f t="shared" si="77"/>
        <v>216</v>
      </c>
    </row>
    <row r="2479" spans="1:11" x14ac:dyDescent="0.2">
      <c r="A2479" t="str">
        <f t="shared" si="76"/>
        <v/>
      </c>
      <c r="B2479">
        <v>2020</v>
      </c>
      <c r="C2479" t="s">
        <v>739</v>
      </c>
      <c r="D2479" t="s">
        <v>740</v>
      </c>
      <c r="E2479" t="s">
        <v>743</v>
      </c>
      <c r="F2479" s="34">
        <v>409</v>
      </c>
      <c r="G2479" s="34" t="s">
        <v>581</v>
      </c>
      <c r="H2479" s="36">
        <v>32196</v>
      </c>
      <c r="I2479" s="58">
        <v>148128</v>
      </c>
      <c r="J2479" t="str">
        <f>IFERROR(VLOOKUP(G2479,'LEAID Match'!$A$2:$B$526,2,FALSE),"")</f>
        <v/>
      </c>
      <c r="K2479" s="68">
        <f t="shared" si="77"/>
        <v>216</v>
      </c>
    </row>
    <row r="2480" spans="1:11" x14ac:dyDescent="0.2">
      <c r="A2480" t="str">
        <f t="shared" si="76"/>
        <v/>
      </c>
      <c r="B2480">
        <v>2021</v>
      </c>
      <c r="C2480" t="s">
        <v>739</v>
      </c>
      <c r="D2480" t="s">
        <v>740</v>
      </c>
      <c r="E2480" t="s">
        <v>743</v>
      </c>
      <c r="F2480" s="34">
        <v>409</v>
      </c>
      <c r="G2480" s="34" t="s">
        <v>581</v>
      </c>
      <c r="H2480" s="36">
        <v>29287</v>
      </c>
      <c r="I2480" s="58">
        <v>153988</v>
      </c>
      <c r="J2480" t="str">
        <f>IFERROR(VLOOKUP(G2480,'LEAID Match'!$A$2:$B$526,2,FALSE),"")</f>
        <v/>
      </c>
      <c r="K2480" s="68">
        <f t="shared" si="77"/>
        <v>216</v>
      </c>
    </row>
    <row r="2481" spans="1:11" x14ac:dyDescent="0.2">
      <c r="A2481" t="str">
        <f t="shared" si="76"/>
        <v/>
      </c>
      <c r="B2481">
        <v>2022</v>
      </c>
      <c r="C2481" t="s">
        <v>739</v>
      </c>
      <c r="D2481" t="s">
        <v>740</v>
      </c>
      <c r="E2481" t="s">
        <v>743</v>
      </c>
      <c r="F2481" s="34">
        <v>409</v>
      </c>
      <c r="G2481" s="34" t="s">
        <v>581</v>
      </c>
      <c r="H2481" s="36">
        <v>31624</v>
      </c>
      <c r="I2481" s="58">
        <v>169022</v>
      </c>
      <c r="J2481" t="str">
        <f>IFERROR(VLOOKUP(G2481,'LEAID Match'!$A$2:$B$526,2,FALSE),"")</f>
        <v/>
      </c>
      <c r="K2481" s="68">
        <f t="shared" si="77"/>
        <v>216</v>
      </c>
    </row>
    <row r="2482" spans="1:11" x14ac:dyDescent="0.2">
      <c r="A2482">
        <f t="shared" si="76"/>
        <v>2909090</v>
      </c>
      <c r="B2482">
        <v>2015</v>
      </c>
      <c r="C2482" t="s">
        <v>739</v>
      </c>
      <c r="D2482" t="s">
        <v>740</v>
      </c>
      <c r="E2482" t="s">
        <v>743</v>
      </c>
      <c r="F2482" s="35">
        <v>410</v>
      </c>
      <c r="G2482" s="39" t="s">
        <v>582</v>
      </c>
      <c r="H2482" s="40">
        <v>6380</v>
      </c>
      <c r="I2482" s="58">
        <v>70492</v>
      </c>
      <c r="J2482">
        <f>IFERROR(VLOOKUP(G2482,'LEAID Match'!$A$2:$B$526,2,FALSE),"")</f>
        <v>2909090</v>
      </c>
      <c r="K2482" s="68">
        <f t="shared" si="77"/>
        <v>8</v>
      </c>
    </row>
    <row r="2483" spans="1:11" x14ac:dyDescent="0.2">
      <c r="A2483">
        <f t="shared" si="76"/>
        <v>2909090</v>
      </c>
      <c r="B2483">
        <v>2016</v>
      </c>
      <c r="C2483" t="s">
        <v>739</v>
      </c>
      <c r="D2483" t="s">
        <v>740</v>
      </c>
      <c r="E2483" t="s">
        <v>743</v>
      </c>
      <c r="F2483" s="59">
        <v>410</v>
      </c>
      <c r="G2483" s="34" t="s">
        <v>582</v>
      </c>
      <c r="H2483" s="36">
        <v>4859</v>
      </c>
      <c r="I2483" s="60">
        <v>66497</v>
      </c>
      <c r="J2483">
        <f>IFERROR(VLOOKUP(G2483,'LEAID Match'!$A$2:$B$526,2,FALSE),"")</f>
        <v>2909090</v>
      </c>
      <c r="K2483" s="68">
        <f t="shared" si="77"/>
        <v>8</v>
      </c>
    </row>
    <row r="2484" spans="1:11" x14ac:dyDescent="0.2">
      <c r="A2484">
        <f t="shared" si="76"/>
        <v>2909090</v>
      </c>
      <c r="B2484">
        <v>2017</v>
      </c>
      <c r="C2484" t="s">
        <v>739</v>
      </c>
      <c r="D2484" t="s">
        <v>740</v>
      </c>
      <c r="E2484" t="s">
        <v>743</v>
      </c>
      <c r="F2484" s="59">
        <v>410</v>
      </c>
      <c r="G2484" s="34" t="s">
        <v>582</v>
      </c>
      <c r="H2484" s="36">
        <v>5126</v>
      </c>
      <c r="I2484" s="58">
        <v>68912</v>
      </c>
      <c r="J2484">
        <f>IFERROR(VLOOKUP(G2484,'LEAID Match'!$A$2:$B$526,2,FALSE),"")</f>
        <v>2909090</v>
      </c>
      <c r="K2484" s="68">
        <f t="shared" si="77"/>
        <v>8</v>
      </c>
    </row>
    <row r="2485" spans="1:11" x14ac:dyDescent="0.2">
      <c r="A2485">
        <f t="shared" si="76"/>
        <v>2909090</v>
      </c>
      <c r="B2485">
        <v>2018</v>
      </c>
      <c r="C2485" t="s">
        <v>739</v>
      </c>
      <c r="D2485" t="s">
        <v>740</v>
      </c>
      <c r="E2485" t="s">
        <v>743</v>
      </c>
      <c r="F2485" s="59">
        <v>410</v>
      </c>
      <c r="G2485" s="34" t="s">
        <v>582</v>
      </c>
      <c r="H2485" s="36">
        <v>5891</v>
      </c>
      <c r="I2485" s="58">
        <v>68752</v>
      </c>
      <c r="J2485">
        <f>IFERROR(VLOOKUP(G2485,'LEAID Match'!$A$2:$B$526,2,FALSE),"")</f>
        <v>2909090</v>
      </c>
      <c r="K2485" s="68">
        <f t="shared" si="77"/>
        <v>8</v>
      </c>
    </row>
    <row r="2486" spans="1:11" x14ac:dyDescent="0.2">
      <c r="A2486">
        <f t="shared" si="76"/>
        <v>2909090</v>
      </c>
      <c r="B2486">
        <v>2019</v>
      </c>
      <c r="C2486" t="s">
        <v>739</v>
      </c>
      <c r="D2486" t="s">
        <v>740</v>
      </c>
      <c r="E2486" t="s">
        <v>743</v>
      </c>
      <c r="F2486" s="34">
        <v>410</v>
      </c>
      <c r="G2486" s="34" t="s">
        <v>582</v>
      </c>
      <c r="H2486" s="36">
        <v>4744</v>
      </c>
      <c r="I2486" s="58">
        <v>73343</v>
      </c>
      <c r="J2486">
        <f>IFERROR(VLOOKUP(G2486,'LEAID Match'!$A$2:$B$526,2,FALSE),"")</f>
        <v>2909090</v>
      </c>
      <c r="K2486" s="68">
        <f t="shared" si="77"/>
        <v>8</v>
      </c>
    </row>
    <row r="2487" spans="1:11" x14ac:dyDescent="0.2">
      <c r="A2487">
        <f t="shared" si="76"/>
        <v>2909090</v>
      </c>
      <c r="B2487">
        <v>2020</v>
      </c>
      <c r="C2487" t="s">
        <v>739</v>
      </c>
      <c r="D2487" t="s">
        <v>740</v>
      </c>
      <c r="E2487" t="s">
        <v>743</v>
      </c>
      <c r="F2487" s="34">
        <v>410</v>
      </c>
      <c r="G2487" s="34" t="s">
        <v>582</v>
      </c>
      <c r="H2487" s="36">
        <v>4817</v>
      </c>
      <c r="I2487" s="58">
        <v>74304</v>
      </c>
      <c r="J2487">
        <f>IFERROR(VLOOKUP(G2487,'LEAID Match'!$A$2:$B$526,2,FALSE),"")</f>
        <v>2909090</v>
      </c>
      <c r="K2487" s="68">
        <f t="shared" si="77"/>
        <v>8</v>
      </c>
    </row>
    <row r="2488" spans="1:11" x14ac:dyDescent="0.2">
      <c r="A2488">
        <f t="shared" si="76"/>
        <v>2909090</v>
      </c>
      <c r="B2488">
        <v>2021</v>
      </c>
      <c r="C2488" t="s">
        <v>739</v>
      </c>
      <c r="D2488" t="s">
        <v>740</v>
      </c>
      <c r="E2488" t="s">
        <v>743</v>
      </c>
      <c r="F2488" s="34">
        <v>410</v>
      </c>
      <c r="G2488" s="34" t="s">
        <v>582</v>
      </c>
      <c r="H2488" s="36">
        <v>4102</v>
      </c>
      <c r="I2488" s="58">
        <v>82271</v>
      </c>
      <c r="J2488">
        <f>IFERROR(VLOOKUP(G2488,'LEAID Match'!$A$2:$B$526,2,FALSE),"")</f>
        <v>2909090</v>
      </c>
      <c r="K2488" s="68">
        <f t="shared" si="77"/>
        <v>8</v>
      </c>
    </row>
    <row r="2489" spans="1:11" x14ac:dyDescent="0.2">
      <c r="A2489">
        <f t="shared" si="76"/>
        <v>2909090</v>
      </c>
      <c r="B2489">
        <v>2022</v>
      </c>
      <c r="C2489" t="s">
        <v>739</v>
      </c>
      <c r="D2489" t="s">
        <v>740</v>
      </c>
      <c r="E2489" t="s">
        <v>743</v>
      </c>
      <c r="F2489" s="34">
        <v>410</v>
      </c>
      <c r="G2489" s="34" t="s">
        <v>582</v>
      </c>
      <c r="H2489" s="36">
        <v>6256</v>
      </c>
      <c r="I2489" s="58">
        <v>85779</v>
      </c>
      <c r="J2489">
        <f>IFERROR(VLOOKUP(G2489,'LEAID Match'!$A$2:$B$526,2,FALSE),"")</f>
        <v>2909090</v>
      </c>
      <c r="K2489" s="68">
        <f t="shared" si="77"/>
        <v>8</v>
      </c>
    </row>
    <row r="2490" spans="1:11" x14ac:dyDescent="0.2">
      <c r="A2490">
        <f t="shared" si="76"/>
        <v>2921210</v>
      </c>
      <c r="B2490">
        <v>2015</v>
      </c>
      <c r="C2490" t="s">
        <v>739</v>
      </c>
      <c r="D2490" t="s">
        <v>740</v>
      </c>
      <c r="E2490" t="s">
        <v>743</v>
      </c>
      <c r="F2490" s="35">
        <v>412</v>
      </c>
      <c r="G2490" s="34" t="s">
        <v>583</v>
      </c>
      <c r="H2490" s="40">
        <v>75853</v>
      </c>
      <c r="I2490" s="58">
        <v>440141</v>
      </c>
      <c r="J2490">
        <f>IFERROR(VLOOKUP(G2490,'LEAID Match'!$A$2:$B$526,2,FALSE),"")</f>
        <v>2921210</v>
      </c>
      <c r="K2490" s="68">
        <f t="shared" si="77"/>
        <v>8</v>
      </c>
    </row>
    <row r="2491" spans="1:11" x14ac:dyDescent="0.2">
      <c r="A2491">
        <f t="shared" si="76"/>
        <v>2921210</v>
      </c>
      <c r="B2491">
        <v>2016</v>
      </c>
      <c r="C2491" t="s">
        <v>739</v>
      </c>
      <c r="D2491" t="s">
        <v>740</v>
      </c>
      <c r="E2491" t="s">
        <v>743</v>
      </c>
      <c r="F2491" s="59">
        <v>412</v>
      </c>
      <c r="G2491" s="34" t="s">
        <v>583</v>
      </c>
      <c r="H2491" s="36">
        <v>89412</v>
      </c>
      <c r="I2491" s="60">
        <v>440535</v>
      </c>
      <c r="J2491">
        <f>IFERROR(VLOOKUP(G2491,'LEAID Match'!$A$2:$B$526,2,FALSE),"")</f>
        <v>2921210</v>
      </c>
      <c r="K2491" s="68">
        <f t="shared" si="77"/>
        <v>8</v>
      </c>
    </row>
    <row r="2492" spans="1:11" x14ac:dyDescent="0.2">
      <c r="A2492">
        <f t="shared" si="76"/>
        <v>2921210</v>
      </c>
      <c r="B2492">
        <v>2017</v>
      </c>
      <c r="C2492" t="s">
        <v>739</v>
      </c>
      <c r="D2492" t="s">
        <v>740</v>
      </c>
      <c r="E2492" t="s">
        <v>743</v>
      </c>
      <c r="F2492" s="59">
        <v>412</v>
      </c>
      <c r="G2492" s="34" t="s">
        <v>583</v>
      </c>
      <c r="H2492" s="36">
        <v>91294</v>
      </c>
      <c r="I2492" s="58">
        <v>454181</v>
      </c>
      <c r="J2492">
        <f>IFERROR(VLOOKUP(G2492,'LEAID Match'!$A$2:$B$526,2,FALSE),"")</f>
        <v>2921210</v>
      </c>
      <c r="K2492" s="68">
        <f t="shared" si="77"/>
        <v>8</v>
      </c>
    </row>
    <row r="2493" spans="1:11" x14ac:dyDescent="0.2">
      <c r="A2493">
        <f t="shared" si="76"/>
        <v>2921210</v>
      </c>
      <c r="B2493">
        <v>2018</v>
      </c>
      <c r="C2493" t="s">
        <v>739</v>
      </c>
      <c r="D2493" t="s">
        <v>740</v>
      </c>
      <c r="E2493" t="s">
        <v>743</v>
      </c>
      <c r="F2493" s="59">
        <v>412</v>
      </c>
      <c r="G2493" s="34" t="s">
        <v>583</v>
      </c>
      <c r="H2493" s="36">
        <v>87606</v>
      </c>
      <c r="I2493" s="58">
        <v>458916</v>
      </c>
      <c r="J2493">
        <f>IFERROR(VLOOKUP(G2493,'LEAID Match'!$A$2:$B$526,2,FALSE),"")</f>
        <v>2921210</v>
      </c>
      <c r="K2493" s="68">
        <f t="shared" si="77"/>
        <v>8</v>
      </c>
    </row>
    <row r="2494" spans="1:11" x14ac:dyDescent="0.2">
      <c r="A2494">
        <f t="shared" si="76"/>
        <v>2921210</v>
      </c>
      <c r="B2494">
        <v>2019</v>
      </c>
      <c r="C2494" t="s">
        <v>739</v>
      </c>
      <c r="D2494" t="s">
        <v>740</v>
      </c>
      <c r="E2494" t="s">
        <v>743</v>
      </c>
      <c r="F2494" s="34">
        <v>412</v>
      </c>
      <c r="G2494" s="34" t="s">
        <v>583</v>
      </c>
      <c r="H2494" s="36">
        <v>88881</v>
      </c>
      <c r="I2494" s="58">
        <v>480883</v>
      </c>
      <c r="J2494">
        <f>IFERROR(VLOOKUP(G2494,'LEAID Match'!$A$2:$B$526,2,FALSE),"")</f>
        <v>2921210</v>
      </c>
      <c r="K2494" s="68">
        <f t="shared" si="77"/>
        <v>8</v>
      </c>
    </row>
    <row r="2495" spans="1:11" x14ac:dyDescent="0.2">
      <c r="A2495">
        <f t="shared" si="76"/>
        <v>2921210</v>
      </c>
      <c r="B2495">
        <v>2020</v>
      </c>
      <c r="C2495" t="s">
        <v>739</v>
      </c>
      <c r="D2495" t="s">
        <v>740</v>
      </c>
      <c r="E2495" t="s">
        <v>743</v>
      </c>
      <c r="F2495" s="34">
        <v>412</v>
      </c>
      <c r="G2495" s="34" t="s">
        <v>583</v>
      </c>
      <c r="H2495" s="36">
        <v>91078</v>
      </c>
      <c r="I2495" s="58">
        <v>495906</v>
      </c>
      <c r="J2495">
        <f>IFERROR(VLOOKUP(G2495,'LEAID Match'!$A$2:$B$526,2,FALSE),"")</f>
        <v>2921210</v>
      </c>
      <c r="K2495" s="68">
        <f t="shared" si="77"/>
        <v>8</v>
      </c>
    </row>
    <row r="2496" spans="1:11" x14ac:dyDescent="0.2">
      <c r="A2496">
        <f t="shared" si="76"/>
        <v>2921210</v>
      </c>
      <c r="B2496">
        <v>2021</v>
      </c>
      <c r="C2496" t="s">
        <v>739</v>
      </c>
      <c r="D2496" t="s">
        <v>740</v>
      </c>
      <c r="E2496" t="s">
        <v>743</v>
      </c>
      <c r="F2496" s="34">
        <v>412</v>
      </c>
      <c r="G2496" s="34" t="s">
        <v>583</v>
      </c>
      <c r="H2496" s="36">
        <v>91617</v>
      </c>
      <c r="I2496" s="58">
        <v>521746</v>
      </c>
      <c r="J2496">
        <f>IFERROR(VLOOKUP(G2496,'LEAID Match'!$A$2:$B$526,2,FALSE),"")</f>
        <v>2921210</v>
      </c>
      <c r="K2496" s="68">
        <f t="shared" si="77"/>
        <v>8</v>
      </c>
    </row>
    <row r="2497" spans="1:11" x14ac:dyDescent="0.2">
      <c r="A2497">
        <f t="shared" si="76"/>
        <v>2921210</v>
      </c>
      <c r="B2497">
        <v>2022</v>
      </c>
      <c r="C2497" t="s">
        <v>739</v>
      </c>
      <c r="D2497" t="s">
        <v>740</v>
      </c>
      <c r="E2497" t="s">
        <v>743</v>
      </c>
      <c r="F2497" s="34">
        <v>412</v>
      </c>
      <c r="G2497" s="34" t="s">
        <v>583</v>
      </c>
      <c r="H2497" s="36">
        <v>108825</v>
      </c>
      <c r="I2497" s="58">
        <v>539427</v>
      </c>
      <c r="J2497">
        <f>IFERROR(VLOOKUP(G2497,'LEAID Match'!$A$2:$B$526,2,FALSE),"")</f>
        <v>2921210</v>
      </c>
      <c r="K2497" s="68">
        <f t="shared" si="77"/>
        <v>8</v>
      </c>
    </row>
    <row r="2498" spans="1:11" x14ac:dyDescent="0.2">
      <c r="A2498">
        <f t="shared" si="76"/>
        <v>2923530</v>
      </c>
      <c r="B2498">
        <v>2015</v>
      </c>
      <c r="C2498" t="s">
        <v>739</v>
      </c>
      <c r="D2498" t="s">
        <v>740</v>
      </c>
      <c r="E2498" t="s">
        <v>743</v>
      </c>
      <c r="F2498" s="35">
        <v>413</v>
      </c>
      <c r="G2498" s="34" t="s">
        <v>584</v>
      </c>
      <c r="H2498" s="40">
        <v>34382</v>
      </c>
      <c r="I2498" s="58">
        <v>277727</v>
      </c>
      <c r="J2498">
        <f>IFERROR(VLOOKUP(G2498,'LEAID Match'!$A$2:$B$526,2,FALSE),"")</f>
        <v>2923530</v>
      </c>
      <c r="K2498" s="68">
        <f t="shared" si="77"/>
        <v>8</v>
      </c>
    </row>
    <row r="2499" spans="1:11" x14ac:dyDescent="0.2">
      <c r="A2499">
        <f t="shared" ref="A2499:A2562" si="78">J2499</f>
        <v>2923530</v>
      </c>
      <c r="B2499">
        <v>2016</v>
      </c>
      <c r="C2499" t="s">
        <v>739</v>
      </c>
      <c r="D2499" t="s">
        <v>740</v>
      </c>
      <c r="E2499" t="s">
        <v>743</v>
      </c>
      <c r="F2499" s="59">
        <v>413</v>
      </c>
      <c r="G2499" s="34" t="s">
        <v>584</v>
      </c>
      <c r="H2499" s="36">
        <v>35658</v>
      </c>
      <c r="I2499" s="60">
        <v>281642</v>
      </c>
      <c r="J2499">
        <f>IFERROR(VLOOKUP(G2499,'LEAID Match'!$A$2:$B$526,2,FALSE),"")</f>
        <v>2923530</v>
      </c>
      <c r="K2499" s="68">
        <f t="shared" ref="K2499:K2562" si="79">COUNTIF($J$2:$J$4295,J2499)</f>
        <v>8</v>
      </c>
    </row>
    <row r="2500" spans="1:11" x14ac:dyDescent="0.2">
      <c r="A2500">
        <f t="shared" si="78"/>
        <v>2923530</v>
      </c>
      <c r="B2500">
        <v>2017</v>
      </c>
      <c r="C2500" t="s">
        <v>739</v>
      </c>
      <c r="D2500" t="s">
        <v>740</v>
      </c>
      <c r="E2500" t="s">
        <v>743</v>
      </c>
      <c r="F2500" s="59">
        <v>413</v>
      </c>
      <c r="G2500" s="34" t="s">
        <v>584</v>
      </c>
      <c r="H2500" s="36">
        <v>36720</v>
      </c>
      <c r="I2500" s="58">
        <v>289654</v>
      </c>
      <c r="J2500">
        <f>IFERROR(VLOOKUP(G2500,'LEAID Match'!$A$2:$B$526,2,FALSE),"")</f>
        <v>2923530</v>
      </c>
      <c r="K2500" s="68">
        <f t="shared" si="79"/>
        <v>8</v>
      </c>
    </row>
    <row r="2501" spans="1:11" x14ac:dyDescent="0.2">
      <c r="A2501">
        <f t="shared" si="78"/>
        <v>2923530</v>
      </c>
      <c r="B2501">
        <v>2018</v>
      </c>
      <c r="C2501" t="s">
        <v>739</v>
      </c>
      <c r="D2501" t="s">
        <v>740</v>
      </c>
      <c r="E2501" t="s">
        <v>743</v>
      </c>
      <c r="F2501" s="59">
        <v>413</v>
      </c>
      <c r="G2501" s="34" t="s">
        <v>584</v>
      </c>
      <c r="H2501" s="36">
        <v>44290</v>
      </c>
      <c r="I2501" s="58">
        <v>299794</v>
      </c>
      <c r="J2501">
        <f>IFERROR(VLOOKUP(G2501,'LEAID Match'!$A$2:$B$526,2,FALSE),"")</f>
        <v>2923530</v>
      </c>
      <c r="K2501" s="68">
        <f t="shared" si="79"/>
        <v>8</v>
      </c>
    </row>
    <row r="2502" spans="1:11" x14ac:dyDescent="0.2">
      <c r="A2502">
        <f t="shared" si="78"/>
        <v>2923530</v>
      </c>
      <c r="B2502">
        <v>2019</v>
      </c>
      <c r="C2502" t="s">
        <v>739</v>
      </c>
      <c r="D2502" t="s">
        <v>740</v>
      </c>
      <c r="E2502" t="s">
        <v>743</v>
      </c>
      <c r="F2502" s="34">
        <v>413</v>
      </c>
      <c r="G2502" s="34" t="s">
        <v>584</v>
      </c>
      <c r="H2502" s="36">
        <v>48972</v>
      </c>
      <c r="I2502" s="58">
        <v>303216</v>
      </c>
      <c r="J2502">
        <f>IFERROR(VLOOKUP(G2502,'LEAID Match'!$A$2:$B$526,2,FALSE),"")</f>
        <v>2923530</v>
      </c>
      <c r="K2502" s="68">
        <f t="shared" si="79"/>
        <v>8</v>
      </c>
    </row>
    <row r="2503" spans="1:11" x14ac:dyDescent="0.2">
      <c r="A2503">
        <f t="shared" si="78"/>
        <v>2923530</v>
      </c>
      <c r="B2503">
        <v>2020</v>
      </c>
      <c r="C2503" t="s">
        <v>739</v>
      </c>
      <c r="D2503" t="s">
        <v>740</v>
      </c>
      <c r="E2503" t="s">
        <v>743</v>
      </c>
      <c r="F2503" s="34">
        <v>413</v>
      </c>
      <c r="G2503" s="34" t="s">
        <v>584</v>
      </c>
      <c r="H2503" s="36">
        <v>55584</v>
      </c>
      <c r="I2503" s="58">
        <v>325282</v>
      </c>
      <c r="J2503">
        <f>IFERROR(VLOOKUP(G2503,'LEAID Match'!$A$2:$B$526,2,FALSE),"")</f>
        <v>2923530</v>
      </c>
      <c r="K2503" s="68">
        <f t="shared" si="79"/>
        <v>8</v>
      </c>
    </row>
    <row r="2504" spans="1:11" x14ac:dyDescent="0.2">
      <c r="A2504">
        <f t="shared" si="78"/>
        <v>2923530</v>
      </c>
      <c r="B2504">
        <v>2021</v>
      </c>
      <c r="C2504" t="s">
        <v>739</v>
      </c>
      <c r="D2504" t="s">
        <v>740</v>
      </c>
      <c r="E2504" t="s">
        <v>743</v>
      </c>
      <c r="F2504" s="34">
        <v>413</v>
      </c>
      <c r="G2504" s="34" t="s">
        <v>584</v>
      </c>
      <c r="H2504" s="36">
        <v>60065</v>
      </c>
      <c r="I2504" s="58">
        <v>320087</v>
      </c>
      <c r="J2504">
        <f>IFERROR(VLOOKUP(G2504,'LEAID Match'!$A$2:$B$526,2,FALSE),"")</f>
        <v>2923530</v>
      </c>
      <c r="K2504" s="68">
        <f t="shared" si="79"/>
        <v>8</v>
      </c>
    </row>
    <row r="2505" spans="1:11" x14ac:dyDescent="0.2">
      <c r="A2505">
        <f t="shared" si="78"/>
        <v>2923530</v>
      </c>
      <c r="B2505">
        <v>2022</v>
      </c>
      <c r="C2505" t="s">
        <v>739</v>
      </c>
      <c r="D2505" t="s">
        <v>740</v>
      </c>
      <c r="E2505" t="s">
        <v>743</v>
      </c>
      <c r="F2505" s="34">
        <v>413</v>
      </c>
      <c r="G2505" s="34" t="s">
        <v>584</v>
      </c>
      <c r="H2505" s="36">
        <v>62467</v>
      </c>
      <c r="I2505" s="58">
        <v>348301</v>
      </c>
      <c r="J2505">
        <f>IFERROR(VLOOKUP(G2505,'LEAID Match'!$A$2:$B$526,2,FALSE),"")</f>
        <v>2923530</v>
      </c>
      <c r="K2505" s="68">
        <f t="shared" si="79"/>
        <v>8</v>
      </c>
    </row>
    <row r="2506" spans="1:11" x14ac:dyDescent="0.2">
      <c r="A2506">
        <f t="shared" si="78"/>
        <v>2920880</v>
      </c>
      <c r="B2506">
        <v>2015</v>
      </c>
      <c r="C2506" t="s">
        <v>739</v>
      </c>
      <c r="D2506" t="s">
        <v>740</v>
      </c>
      <c r="E2506" t="s">
        <v>743</v>
      </c>
      <c r="F2506" s="35">
        <v>414</v>
      </c>
      <c r="G2506" s="39" t="s">
        <v>585</v>
      </c>
      <c r="H2506" s="40">
        <v>8221</v>
      </c>
      <c r="I2506" s="58">
        <v>38112</v>
      </c>
      <c r="J2506">
        <f>IFERROR(VLOOKUP(G2506,'LEAID Match'!$A$2:$B$526,2,FALSE),"")</f>
        <v>2920880</v>
      </c>
      <c r="K2506" s="68">
        <f t="shared" si="79"/>
        <v>8</v>
      </c>
    </row>
    <row r="2507" spans="1:11" x14ac:dyDescent="0.2">
      <c r="A2507">
        <f t="shared" si="78"/>
        <v>2920880</v>
      </c>
      <c r="B2507">
        <v>2016</v>
      </c>
      <c r="C2507" t="s">
        <v>739</v>
      </c>
      <c r="D2507" t="s">
        <v>740</v>
      </c>
      <c r="E2507" t="s">
        <v>743</v>
      </c>
      <c r="F2507" s="59">
        <v>414</v>
      </c>
      <c r="G2507" s="34" t="s">
        <v>585</v>
      </c>
      <c r="H2507" s="36">
        <v>8297</v>
      </c>
      <c r="I2507" s="60">
        <v>34240</v>
      </c>
      <c r="J2507">
        <f>IFERROR(VLOOKUP(G2507,'LEAID Match'!$A$2:$B$526,2,FALSE),"")</f>
        <v>2920880</v>
      </c>
      <c r="K2507" s="68">
        <f t="shared" si="79"/>
        <v>8</v>
      </c>
    </row>
    <row r="2508" spans="1:11" x14ac:dyDescent="0.2">
      <c r="A2508">
        <f t="shared" si="78"/>
        <v>2920880</v>
      </c>
      <c r="B2508">
        <v>2017</v>
      </c>
      <c r="C2508" t="s">
        <v>739</v>
      </c>
      <c r="D2508" t="s">
        <v>740</v>
      </c>
      <c r="E2508" t="s">
        <v>743</v>
      </c>
      <c r="F2508" s="59">
        <v>414</v>
      </c>
      <c r="G2508" s="34" t="s">
        <v>585</v>
      </c>
      <c r="H2508" s="36">
        <v>8548</v>
      </c>
      <c r="I2508" s="58">
        <v>35317</v>
      </c>
      <c r="J2508">
        <f>IFERROR(VLOOKUP(G2508,'LEAID Match'!$A$2:$B$526,2,FALSE),"")</f>
        <v>2920880</v>
      </c>
      <c r="K2508" s="68">
        <f t="shared" si="79"/>
        <v>8</v>
      </c>
    </row>
    <row r="2509" spans="1:11" x14ac:dyDescent="0.2">
      <c r="A2509">
        <f t="shared" si="78"/>
        <v>2920880</v>
      </c>
      <c r="B2509">
        <v>2018</v>
      </c>
      <c r="C2509" t="s">
        <v>739</v>
      </c>
      <c r="D2509" t="s">
        <v>740</v>
      </c>
      <c r="E2509" t="s">
        <v>743</v>
      </c>
      <c r="F2509" s="59">
        <v>414</v>
      </c>
      <c r="G2509" s="34" t="s">
        <v>585</v>
      </c>
      <c r="H2509" s="36">
        <v>8442</v>
      </c>
      <c r="I2509" s="58">
        <v>36830</v>
      </c>
      <c r="J2509">
        <f>IFERROR(VLOOKUP(G2509,'LEAID Match'!$A$2:$B$526,2,FALSE),"")</f>
        <v>2920880</v>
      </c>
      <c r="K2509" s="68">
        <f t="shared" si="79"/>
        <v>8</v>
      </c>
    </row>
    <row r="2510" spans="1:11" x14ac:dyDescent="0.2">
      <c r="A2510">
        <f t="shared" si="78"/>
        <v>2920880</v>
      </c>
      <c r="B2510">
        <v>2019</v>
      </c>
      <c r="C2510" t="s">
        <v>739</v>
      </c>
      <c r="D2510" t="s">
        <v>740</v>
      </c>
      <c r="E2510" t="s">
        <v>743</v>
      </c>
      <c r="F2510" s="34">
        <v>414</v>
      </c>
      <c r="G2510" s="34" t="s">
        <v>585</v>
      </c>
      <c r="H2510" s="36">
        <v>8530</v>
      </c>
      <c r="I2510" s="58">
        <v>34851</v>
      </c>
      <c r="J2510">
        <f>IFERROR(VLOOKUP(G2510,'LEAID Match'!$A$2:$B$526,2,FALSE),"")</f>
        <v>2920880</v>
      </c>
      <c r="K2510" s="68">
        <f t="shared" si="79"/>
        <v>8</v>
      </c>
    </row>
    <row r="2511" spans="1:11" x14ac:dyDescent="0.2">
      <c r="A2511">
        <f t="shared" si="78"/>
        <v>2920880</v>
      </c>
      <c r="B2511">
        <v>2020</v>
      </c>
      <c r="C2511" t="s">
        <v>739</v>
      </c>
      <c r="D2511" t="s">
        <v>740</v>
      </c>
      <c r="E2511" t="s">
        <v>743</v>
      </c>
      <c r="F2511" s="34">
        <v>414</v>
      </c>
      <c r="G2511" s="34" t="s">
        <v>585</v>
      </c>
      <c r="H2511" s="36">
        <v>8808</v>
      </c>
      <c r="I2511" s="58">
        <v>30818</v>
      </c>
      <c r="J2511">
        <f>IFERROR(VLOOKUP(G2511,'LEAID Match'!$A$2:$B$526,2,FALSE),"")</f>
        <v>2920880</v>
      </c>
      <c r="K2511" s="68">
        <f t="shared" si="79"/>
        <v>8</v>
      </c>
    </row>
    <row r="2512" spans="1:11" x14ac:dyDescent="0.2">
      <c r="A2512">
        <f t="shared" si="78"/>
        <v>2920880</v>
      </c>
      <c r="B2512">
        <v>2021</v>
      </c>
      <c r="C2512" t="s">
        <v>739</v>
      </c>
      <c r="D2512" t="s">
        <v>740</v>
      </c>
      <c r="E2512" t="s">
        <v>743</v>
      </c>
      <c r="F2512" s="34">
        <v>414</v>
      </c>
      <c r="G2512" s="34" t="s">
        <v>585</v>
      </c>
      <c r="H2512" s="36">
        <v>6683</v>
      </c>
      <c r="I2512" s="58">
        <v>26373</v>
      </c>
      <c r="J2512">
        <f>IFERROR(VLOOKUP(G2512,'LEAID Match'!$A$2:$B$526,2,FALSE),"")</f>
        <v>2920880</v>
      </c>
      <c r="K2512" s="68">
        <f t="shared" si="79"/>
        <v>8</v>
      </c>
    </row>
    <row r="2513" spans="1:11" x14ac:dyDescent="0.2">
      <c r="A2513">
        <f t="shared" si="78"/>
        <v>2920880</v>
      </c>
      <c r="B2513">
        <v>2022</v>
      </c>
      <c r="C2513" t="s">
        <v>739</v>
      </c>
      <c r="D2513" t="s">
        <v>740</v>
      </c>
      <c r="E2513" t="s">
        <v>743</v>
      </c>
      <c r="F2513" s="34">
        <v>414</v>
      </c>
      <c r="G2513" s="34" t="s">
        <v>585</v>
      </c>
      <c r="H2513" s="36">
        <v>7319</v>
      </c>
      <c r="I2513" s="58">
        <v>29336</v>
      </c>
      <c r="J2513">
        <f>IFERROR(VLOOKUP(G2513,'LEAID Match'!$A$2:$B$526,2,FALSE),"")</f>
        <v>2920880</v>
      </c>
      <c r="K2513" s="68">
        <f t="shared" si="79"/>
        <v>8</v>
      </c>
    </row>
    <row r="2514" spans="1:11" x14ac:dyDescent="0.2">
      <c r="A2514">
        <f t="shared" si="78"/>
        <v>2914520</v>
      </c>
      <c r="B2514">
        <v>2015</v>
      </c>
      <c r="C2514" t="s">
        <v>739</v>
      </c>
      <c r="D2514" t="s">
        <v>740</v>
      </c>
      <c r="E2514" t="s">
        <v>743</v>
      </c>
      <c r="F2514" s="35">
        <v>415</v>
      </c>
      <c r="G2514" s="39" t="s">
        <v>586</v>
      </c>
      <c r="H2514" s="40">
        <v>7507</v>
      </c>
      <c r="I2514" s="58">
        <v>37924</v>
      </c>
      <c r="J2514">
        <f>IFERROR(VLOOKUP(G2514,'LEAID Match'!$A$2:$B$526,2,FALSE),"")</f>
        <v>2914520</v>
      </c>
      <c r="K2514" s="68">
        <f t="shared" si="79"/>
        <v>8</v>
      </c>
    </row>
    <row r="2515" spans="1:11" x14ac:dyDescent="0.2">
      <c r="A2515">
        <f t="shared" si="78"/>
        <v>2914520</v>
      </c>
      <c r="B2515">
        <v>2016</v>
      </c>
      <c r="C2515" t="s">
        <v>739</v>
      </c>
      <c r="D2515" t="s">
        <v>740</v>
      </c>
      <c r="E2515" t="s">
        <v>743</v>
      </c>
      <c r="F2515" s="59">
        <v>415</v>
      </c>
      <c r="G2515" s="34" t="s">
        <v>586</v>
      </c>
      <c r="H2515" s="36">
        <v>7140</v>
      </c>
      <c r="I2515" s="60">
        <v>42055</v>
      </c>
      <c r="J2515">
        <f>IFERROR(VLOOKUP(G2515,'LEAID Match'!$A$2:$B$526,2,FALSE),"")</f>
        <v>2914520</v>
      </c>
      <c r="K2515" s="68">
        <f t="shared" si="79"/>
        <v>8</v>
      </c>
    </row>
    <row r="2516" spans="1:11" x14ac:dyDescent="0.2">
      <c r="A2516">
        <f t="shared" si="78"/>
        <v>2914520</v>
      </c>
      <c r="B2516">
        <v>2017</v>
      </c>
      <c r="C2516" t="s">
        <v>739</v>
      </c>
      <c r="D2516" t="s">
        <v>740</v>
      </c>
      <c r="E2516" t="s">
        <v>743</v>
      </c>
      <c r="F2516" s="59">
        <v>415</v>
      </c>
      <c r="G2516" s="34" t="s">
        <v>586</v>
      </c>
      <c r="H2516" s="36">
        <v>7892</v>
      </c>
      <c r="I2516" s="58">
        <v>44448</v>
      </c>
      <c r="J2516">
        <f>IFERROR(VLOOKUP(G2516,'LEAID Match'!$A$2:$B$526,2,FALSE),"")</f>
        <v>2914520</v>
      </c>
      <c r="K2516" s="68">
        <f t="shared" si="79"/>
        <v>8</v>
      </c>
    </row>
    <row r="2517" spans="1:11" x14ac:dyDescent="0.2">
      <c r="A2517">
        <f t="shared" si="78"/>
        <v>2914520</v>
      </c>
      <c r="B2517">
        <v>2018</v>
      </c>
      <c r="C2517" t="s">
        <v>739</v>
      </c>
      <c r="D2517" t="s">
        <v>740</v>
      </c>
      <c r="E2517" t="s">
        <v>743</v>
      </c>
      <c r="F2517" s="59">
        <v>415</v>
      </c>
      <c r="G2517" s="34" t="s">
        <v>586</v>
      </c>
      <c r="H2517" s="36">
        <v>6841</v>
      </c>
      <c r="I2517" s="58">
        <v>49857</v>
      </c>
      <c r="J2517">
        <f>IFERROR(VLOOKUP(G2517,'LEAID Match'!$A$2:$B$526,2,FALSE),"")</f>
        <v>2914520</v>
      </c>
      <c r="K2517" s="68">
        <f t="shared" si="79"/>
        <v>8</v>
      </c>
    </row>
    <row r="2518" spans="1:11" x14ac:dyDescent="0.2">
      <c r="A2518">
        <f t="shared" si="78"/>
        <v>2914520</v>
      </c>
      <c r="B2518">
        <v>2019</v>
      </c>
      <c r="C2518" t="s">
        <v>739</v>
      </c>
      <c r="D2518" t="s">
        <v>740</v>
      </c>
      <c r="E2518" t="s">
        <v>743</v>
      </c>
      <c r="F2518" s="34">
        <v>415</v>
      </c>
      <c r="G2518" s="34" t="s">
        <v>586</v>
      </c>
      <c r="H2518" s="36">
        <v>7775</v>
      </c>
      <c r="I2518" s="58">
        <v>47605</v>
      </c>
      <c r="J2518">
        <f>IFERROR(VLOOKUP(G2518,'LEAID Match'!$A$2:$B$526,2,FALSE),"")</f>
        <v>2914520</v>
      </c>
      <c r="K2518" s="68">
        <f t="shared" si="79"/>
        <v>8</v>
      </c>
    </row>
    <row r="2519" spans="1:11" x14ac:dyDescent="0.2">
      <c r="A2519">
        <f t="shared" si="78"/>
        <v>2914520</v>
      </c>
      <c r="B2519">
        <v>2020</v>
      </c>
      <c r="C2519" t="s">
        <v>739</v>
      </c>
      <c r="D2519" t="s">
        <v>740</v>
      </c>
      <c r="E2519" t="s">
        <v>743</v>
      </c>
      <c r="F2519" s="34">
        <v>415</v>
      </c>
      <c r="G2519" s="34" t="s">
        <v>586</v>
      </c>
      <c r="H2519" s="36">
        <v>9409</v>
      </c>
      <c r="I2519" s="58">
        <v>48867</v>
      </c>
      <c r="J2519">
        <f>IFERROR(VLOOKUP(G2519,'LEAID Match'!$A$2:$B$526,2,FALSE),"")</f>
        <v>2914520</v>
      </c>
      <c r="K2519" s="68">
        <f t="shared" si="79"/>
        <v>8</v>
      </c>
    </row>
    <row r="2520" spans="1:11" x14ac:dyDescent="0.2">
      <c r="A2520">
        <f t="shared" si="78"/>
        <v>2914520</v>
      </c>
      <c r="B2520">
        <v>2021</v>
      </c>
      <c r="C2520" t="s">
        <v>739</v>
      </c>
      <c r="D2520" t="s">
        <v>740</v>
      </c>
      <c r="E2520" t="s">
        <v>743</v>
      </c>
      <c r="F2520" s="34">
        <v>415</v>
      </c>
      <c r="G2520" s="34" t="s">
        <v>586</v>
      </c>
      <c r="H2520" s="36">
        <v>6970</v>
      </c>
      <c r="I2520" s="58">
        <v>49506</v>
      </c>
      <c r="J2520">
        <f>IFERROR(VLOOKUP(G2520,'LEAID Match'!$A$2:$B$526,2,FALSE),"")</f>
        <v>2914520</v>
      </c>
      <c r="K2520" s="68">
        <f t="shared" si="79"/>
        <v>8</v>
      </c>
    </row>
    <row r="2521" spans="1:11" x14ac:dyDescent="0.2">
      <c r="A2521">
        <f t="shared" si="78"/>
        <v>2914520</v>
      </c>
      <c r="B2521">
        <v>2022</v>
      </c>
      <c r="C2521" t="s">
        <v>739</v>
      </c>
      <c r="D2521" t="s">
        <v>740</v>
      </c>
      <c r="E2521" t="s">
        <v>743</v>
      </c>
      <c r="F2521" s="34">
        <v>415</v>
      </c>
      <c r="G2521" s="34" t="s">
        <v>586</v>
      </c>
      <c r="H2521" s="36">
        <v>10329</v>
      </c>
      <c r="I2521" s="58">
        <v>46471</v>
      </c>
      <c r="J2521">
        <f>IFERROR(VLOOKUP(G2521,'LEAID Match'!$A$2:$B$526,2,FALSE),"")</f>
        <v>2914520</v>
      </c>
      <c r="K2521" s="68">
        <f t="shared" si="79"/>
        <v>8</v>
      </c>
    </row>
    <row r="2522" spans="1:11" x14ac:dyDescent="0.2">
      <c r="A2522">
        <f t="shared" si="78"/>
        <v>2919840</v>
      </c>
      <c r="B2522">
        <v>2015</v>
      </c>
      <c r="C2522" t="s">
        <v>739</v>
      </c>
      <c r="D2522" t="s">
        <v>740</v>
      </c>
      <c r="E2522" t="s">
        <v>743</v>
      </c>
      <c r="F2522" s="35">
        <v>416</v>
      </c>
      <c r="G2522" s="39" t="s">
        <v>587</v>
      </c>
      <c r="H2522" s="40">
        <v>17235</v>
      </c>
      <c r="I2522" s="58">
        <v>150761</v>
      </c>
      <c r="J2522">
        <f>IFERROR(VLOOKUP(G2522,'LEAID Match'!$A$2:$B$526,2,FALSE),"")</f>
        <v>2919840</v>
      </c>
      <c r="K2522" s="68">
        <f t="shared" si="79"/>
        <v>8</v>
      </c>
    </row>
    <row r="2523" spans="1:11" x14ac:dyDescent="0.2">
      <c r="A2523">
        <f t="shared" si="78"/>
        <v>2919840</v>
      </c>
      <c r="B2523">
        <v>2016</v>
      </c>
      <c r="C2523" t="s">
        <v>739</v>
      </c>
      <c r="D2523" t="s">
        <v>740</v>
      </c>
      <c r="E2523" t="s">
        <v>743</v>
      </c>
      <c r="F2523" s="59">
        <v>416</v>
      </c>
      <c r="G2523" s="34" t="s">
        <v>587</v>
      </c>
      <c r="H2523" s="36">
        <v>15059</v>
      </c>
      <c r="I2523" s="60">
        <v>147013</v>
      </c>
      <c r="J2523">
        <f>IFERROR(VLOOKUP(G2523,'LEAID Match'!$A$2:$B$526,2,FALSE),"")</f>
        <v>2919840</v>
      </c>
      <c r="K2523" s="68">
        <f t="shared" si="79"/>
        <v>8</v>
      </c>
    </row>
    <row r="2524" spans="1:11" x14ac:dyDescent="0.2">
      <c r="A2524">
        <f t="shared" si="78"/>
        <v>2919840</v>
      </c>
      <c r="B2524">
        <v>2017</v>
      </c>
      <c r="C2524" t="s">
        <v>739</v>
      </c>
      <c r="D2524" t="s">
        <v>740</v>
      </c>
      <c r="E2524" t="s">
        <v>743</v>
      </c>
      <c r="F2524" s="59">
        <v>416</v>
      </c>
      <c r="G2524" s="34" t="s">
        <v>587</v>
      </c>
      <c r="H2524" s="36">
        <v>17037</v>
      </c>
      <c r="I2524" s="58">
        <v>147332</v>
      </c>
      <c r="J2524">
        <f>IFERROR(VLOOKUP(G2524,'LEAID Match'!$A$2:$B$526,2,FALSE),"")</f>
        <v>2919840</v>
      </c>
      <c r="K2524" s="68">
        <f t="shared" si="79"/>
        <v>8</v>
      </c>
    </row>
    <row r="2525" spans="1:11" x14ac:dyDescent="0.2">
      <c r="A2525">
        <f t="shared" si="78"/>
        <v>2919840</v>
      </c>
      <c r="B2525">
        <v>2018</v>
      </c>
      <c r="C2525" t="s">
        <v>739</v>
      </c>
      <c r="D2525" t="s">
        <v>740</v>
      </c>
      <c r="E2525" t="s">
        <v>743</v>
      </c>
      <c r="F2525" s="59">
        <v>416</v>
      </c>
      <c r="G2525" s="34" t="s">
        <v>587</v>
      </c>
      <c r="H2525" s="36">
        <v>15626</v>
      </c>
      <c r="I2525" s="58">
        <v>142063</v>
      </c>
      <c r="J2525">
        <f>IFERROR(VLOOKUP(G2525,'LEAID Match'!$A$2:$B$526,2,FALSE),"")</f>
        <v>2919840</v>
      </c>
      <c r="K2525" s="68">
        <f t="shared" si="79"/>
        <v>8</v>
      </c>
    </row>
    <row r="2526" spans="1:11" x14ac:dyDescent="0.2">
      <c r="A2526">
        <f t="shared" si="78"/>
        <v>2919840</v>
      </c>
      <c r="B2526">
        <v>2019</v>
      </c>
      <c r="C2526" t="s">
        <v>739</v>
      </c>
      <c r="D2526" t="s">
        <v>740</v>
      </c>
      <c r="E2526" t="s">
        <v>743</v>
      </c>
      <c r="F2526" s="34">
        <v>416</v>
      </c>
      <c r="G2526" s="34" t="s">
        <v>587</v>
      </c>
      <c r="H2526" s="36">
        <v>13901</v>
      </c>
      <c r="I2526" s="58">
        <v>153974</v>
      </c>
      <c r="J2526">
        <f>IFERROR(VLOOKUP(G2526,'LEAID Match'!$A$2:$B$526,2,FALSE),"")</f>
        <v>2919840</v>
      </c>
      <c r="K2526" s="68">
        <f t="shared" si="79"/>
        <v>8</v>
      </c>
    </row>
    <row r="2527" spans="1:11" x14ac:dyDescent="0.2">
      <c r="A2527">
        <f t="shared" si="78"/>
        <v>2919840</v>
      </c>
      <c r="B2527">
        <v>2020</v>
      </c>
      <c r="C2527" t="s">
        <v>739</v>
      </c>
      <c r="D2527" t="s">
        <v>740</v>
      </c>
      <c r="E2527" t="s">
        <v>743</v>
      </c>
      <c r="F2527" s="34">
        <v>416</v>
      </c>
      <c r="G2527" s="34" t="s">
        <v>587</v>
      </c>
      <c r="H2527" s="36">
        <v>14350</v>
      </c>
      <c r="I2527" s="58">
        <v>176634</v>
      </c>
      <c r="J2527">
        <f>IFERROR(VLOOKUP(G2527,'LEAID Match'!$A$2:$B$526,2,FALSE),"")</f>
        <v>2919840</v>
      </c>
      <c r="K2527" s="68">
        <f t="shared" si="79"/>
        <v>8</v>
      </c>
    </row>
    <row r="2528" spans="1:11" x14ac:dyDescent="0.2">
      <c r="A2528">
        <f t="shared" si="78"/>
        <v>2919840</v>
      </c>
      <c r="B2528">
        <v>2021</v>
      </c>
      <c r="C2528" t="s">
        <v>739</v>
      </c>
      <c r="D2528" t="s">
        <v>740</v>
      </c>
      <c r="E2528" t="s">
        <v>743</v>
      </c>
      <c r="F2528" s="34">
        <v>416</v>
      </c>
      <c r="G2528" s="34" t="s">
        <v>587</v>
      </c>
      <c r="H2528" s="36">
        <v>15545</v>
      </c>
      <c r="I2528" s="58">
        <v>182849</v>
      </c>
      <c r="J2528">
        <f>IFERROR(VLOOKUP(G2528,'LEAID Match'!$A$2:$B$526,2,FALSE),"")</f>
        <v>2919840</v>
      </c>
      <c r="K2528" s="68">
        <f t="shared" si="79"/>
        <v>8</v>
      </c>
    </row>
    <row r="2529" spans="1:11" x14ac:dyDescent="0.2">
      <c r="A2529">
        <f t="shared" si="78"/>
        <v>2919840</v>
      </c>
      <c r="B2529">
        <v>2022</v>
      </c>
      <c r="C2529" t="s">
        <v>739</v>
      </c>
      <c r="D2529" t="s">
        <v>740</v>
      </c>
      <c r="E2529" t="s">
        <v>743</v>
      </c>
      <c r="F2529" s="34">
        <v>416</v>
      </c>
      <c r="G2529" s="34" t="s">
        <v>587</v>
      </c>
      <c r="H2529" s="36">
        <v>18689</v>
      </c>
      <c r="I2529" s="58">
        <v>188729</v>
      </c>
      <c r="J2529">
        <f>IFERROR(VLOOKUP(G2529,'LEAID Match'!$A$2:$B$526,2,FALSE),"")</f>
        <v>2919840</v>
      </c>
      <c r="K2529" s="68">
        <f t="shared" si="79"/>
        <v>8</v>
      </c>
    </row>
    <row r="2530" spans="1:11" x14ac:dyDescent="0.2">
      <c r="A2530">
        <f t="shared" si="78"/>
        <v>2931620</v>
      </c>
      <c r="B2530">
        <v>2015</v>
      </c>
      <c r="C2530" t="s">
        <v>739</v>
      </c>
      <c r="D2530" t="s">
        <v>740</v>
      </c>
      <c r="E2530" t="s">
        <v>743</v>
      </c>
      <c r="F2530" s="35">
        <v>417</v>
      </c>
      <c r="G2530" s="39" t="s">
        <v>588</v>
      </c>
      <c r="H2530" s="40">
        <v>38308</v>
      </c>
      <c r="I2530" s="58">
        <v>254920</v>
      </c>
      <c r="J2530">
        <f>IFERROR(VLOOKUP(G2530,'LEAID Match'!$A$2:$B$526,2,FALSE),"")</f>
        <v>2931620</v>
      </c>
      <c r="K2530" s="68">
        <f t="shared" si="79"/>
        <v>8</v>
      </c>
    </row>
    <row r="2531" spans="1:11" x14ac:dyDescent="0.2">
      <c r="A2531">
        <f t="shared" si="78"/>
        <v>2931620</v>
      </c>
      <c r="B2531">
        <v>2016</v>
      </c>
      <c r="C2531" t="s">
        <v>739</v>
      </c>
      <c r="D2531" t="s">
        <v>740</v>
      </c>
      <c r="E2531" t="s">
        <v>743</v>
      </c>
      <c r="F2531" s="59">
        <v>417</v>
      </c>
      <c r="G2531" s="34" t="s">
        <v>588</v>
      </c>
      <c r="H2531" s="36">
        <v>37234</v>
      </c>
      <c r="I2531" s="60">
        <v>257807</v>
      </c>
      <c r="J2531">
        <f>IFERROR(VLOOKUP(G2531,'LEAID Match'!$A$2:$B$526,2,FALSE),"")</f>
        <v>2931620</v>
      </c>
      <c r="K2531" s="68">
        <f t="shared" si="79"/>
        <v>8</v>
      </c>
    </row>
    <row r="2532" spans="1:11" x14ac:dyDescent="0.2">
      <c r="A2532">
        <f t="shared" si="78"/>
        <v>2931620</v>
      </c>
      <c r="B2532">
        <v>2017</v>
      </c>
      <c r="C2532" t="s">
        <v>739</v>
      </c>
      <c r="D2532" t="s">
        <v>740</v>
      </c>
      <c r="E2532" t="s">
        <v>743</v>
      </c>
      <c r="F2532" s="59">
        <v>417</v>
      </c>
      <c r="G2532" s="34" t="s">
        <v>588</v>
      </c>
      <c r="H2532" s="36">
        <v>39574</v>
      </c>
      <c r="I2532" s="58">
        <v>261336</v>
      </c>
      <c r="J2532">
        <f>IFERROR(VLOOKUP(G2532,'LEAID Match'!$A$2:$B$526,2,FALSE),"")</f>
        <v>2931620</v>
      </c>
      <c r="K2532" s="68">
        <f t="shared" si="79"/>
        <v>8</v>
      </c>
    </row>
    <row r="2533" spans="1:11" x14ac:dyDescent="0.2">
      <c r="A2533">
        <f t="shared" si="78"/>
        <v>2931620</v>
      </c>
      <c r="B2533">
        <v>2018</v>
      </c>
      <c r="C2533" t="s">
        <v>739</v>
      </c>
      <c r="D2533" t="s">
        <v>740</v>
      </c>
      <c r="E2533" t="s">
        <v>743</v>
      </c>
      <c r="F2533" s="59">
        <v>417</v>
      </c>
      <c r="G2533" s="34" t="s">
        <v>588</v>
      </c>
      <c r="H2533" s="36">
        <v>41461</v>
      </c>
      <c r="I2533" s="58">
        <v>275101</v>
      </c>
      <c r="J2533">
        <f>IFERROR(VLOOKUP(G2533,'LEAID Match'!$A$2:$B$526,2,FALSE),"")</f>
        <v>2931620</v>
      </c>
      <c r="K2533" s="68">
        <f t="shared" si="79"/>
        <v>8</v>
      </c>
    </row>
    <row r="2534" spans="1:11" x14ac:dyDescent="0.2">
      <c r="A2534">
        <f t="shared" si="78"/>
        <v>2931620</v>
      </c>
      <c r="B2534">
        <v>2019</v>
      </c>
      <c r="C2534" t="s">
        <v>739</v>
      </c>
      <c r="D2534" t="s">
        <v>740</v>
      </c>
      <c r="E2534" t="s">
        <v>743</v>
      </c>
      <c r="F2534" s="34">
        <v>417</v>
      </c>
      <c r="G2534" s="34" t="s">
        <v>588</v>
      </c>
      <c r="H2534" s="36">
        <v>50985</v>
      </c>
      <c r="I2534" s="58">
        <v>283538</v>
      </c>
      <c r="J2534">
        <f>IFERROR(VLOOKUP(G2534,'LEAID Match'!$A$2:$B$526,2,FALSE),"")</f>
        <v>2931620</v>
      </c>
      <c r="K2534" s="68">
        <f t="shared" si="79"/>
        <v>8</v>
      </c>
    </row>
    <row r="2535" spans="1:11" x14ac:dyDescent="0.2">
      <c r="A2535">
        <f t="shared" si="78"/>
        <v>2931620</v>
      </c>
      <c r="B2535">
        <v>2020</v>
      </c>
      <c r="C2535" t="s">
        <v>739</v>
      </c>
      <c r="D2535" t="s">
        <v>740</v>
      </c>
      <c r="E2535" t="s">
        <v>743</v>
      </c>
      <c r="F2535" s="34">
        <v>417</v>
      </c>
      <c r="G2535" s="34" t="s">
        <v>588</v>
      </c>
      <c r="H2535" s="36">
        <v>51965</v>
      </c>
      <c r="I2535" s="58">
        <v>297635</v>
      </c>
      <c r="J2535">
        <f>IFERROR(VLOOKUP(G2535,'LEAID Match'!$A$2:$B$526,2,FALSE),"")</f>
        <v>2931620</v>
      </c>
      <c r="K2535" s="68">
        <f t="shared" si="79"/>
        <v>8</v>
      </c>
    </row>
    <row r="2536" spans="1:11" x14ac:dyDescent="0.2">
      <c r="A2536">
        <f t="shared" si="78"/>
        <v>2931620</v>
      </c>
      <c r="B2536">
        <v>2021</v>
      </c>
      <c r="C2536" t="s">
        <v>739</v>
      </c>
      <c r="D2536" t="s">
        <v>740</v>
      </c>
      <c r="E2536" t="s">
        <v>743</v>
      </c>
      <c r="F2536" s="34">
        <v>417</v>
      </c>
      <c r="G2536" s="34" t="s">
        <v>588</v>
      </c>
      <c r="H2536" s="36">
        <v>48829</v>
      </c>
      <c r="I2536" s="58">
        <v>275708</v>
      </c>
      <c r="J2536">
        <f>IFERROR(VLOOKUP(G2536,'LEAID Match'!$A$2:$B$526,2,FALSE),"")</f>
        <v>2931620</v>
      </c>
      <c r="K2536" s="68">
        <f t="shared" si="79"/>
        <v>8</v>
      </c>
    </row>
    <row r="2537" spans="1:11" x14ac:dyDescent="0.2">
      <c r="A2537">
        <f t="shared" si="78"/>
        <v>2931620</v>
      </c>
      <c r="B2537">
        <v>2022</v>
      </c>
      <c r="C2537" t="s">
        <v>739</v>
      </c>
      <c r="D2537" t="s">
        <v>740</v>
      </c>
      <c r="E2537" t="s">
        <v>743</v>
      </c>
      <c r="F2537" s="34">
        <v>417</v>
      </c>
      <c r="G2537" s="34" t="s">
        <v>588</v>
      </c>
      <c r="H2537" s="36">
        <v>50364</v>
      </c>
      <c r="I2537" s="58">
        <v>278053</v>
      </c>
      <c r="J2537">
        <f>IFERROR(VLOOKUP(G2537,'LEAID Match'!$A$2:$B$526,2,FALSE),"")</f>
        <v>2931620</v>
      </c>
      <c r="K2537" s="68">
        <f t="shared" si="79"/>
        <v>8</v>
      </c>
    </row>
    <row r="2538" spans="1:11" x14ac:dyDescent="0.2">
      <c r="A2538">
        <f t="shared" si="78"/>
        <v>2921330</v>
      </c>
      <c r="B2538">
        <v>2015</v>
      </c>
      <c r="C2538" t="s">
        <v>739</v>
      </c>
      <c r="D2538" t="s">
        <v>740</v>
      </c>
      <c r="E2538" t="s">
        <v>743</v>
      </c>
      <c r="F2538" s="35">
        <v>418</v>
      </c>
      <c r="G2538" s="39" t="s">
        <v>589</v>
      </c>
      <c r="H2538" s="40">
        <v>105083</v>
      </c>
      <c r="I2538" s="58">
        <v>779085</v>
      </c>
      <c r="J2538">
        <f>IFERROR(VLOOKUP(G2538,'LEAID Match'!$A$2:$B$526,2,FALSE),"")</f>
        <v>2921330</v>
      </c>
      <c r="K2538" s="68">
        <f t="shared" si="79"/>
        <v>8</v>
      </c>
    </row>
    <row r="2539" spans="1:11" x14ac:dyDescent="0.2">
      <c r="A2539">
        <f t="shared" si="78"/>
        <v>2921330</v>
      </c>
      <c r="B2539">
        <v>2016</v>
      </c>
      <c r="C2539" t="s">
        <v>739</v>
      </c>
      <c r="D2539" t="s">
        <v>740</v>
      </c>
      <c r="E2539" t="s">
        <v>743</v>
      </c>
      <c r="F2539" s="59">
        <v>418</v>
      </c>
      <c r="G2539" s="34" t="s">
        <v>589</v>
      </c>
      <c r="H2539" s="36">
        <v>108101</v>
      </c>
      <c r="I2539" s="60">
        <v>799871</v>
      </c>
      <c r="J2539">
        <f>IFERROR(VLOOKUP(G2539,'LEAID Match'!$A$2:$B$526,2,FALSE),"")</f>
        <v>2921330</v>
      </c>
      <c r="K2539" s="68">
        <f t="shared" si="79"/>
        <v>8</v>
      </c>
    </row>
    <row r="2540" spans="1:11" x14ac:dyDescent="0.2">
      <c r="A2540">
        <f t="shared" si="78"/>
        <v>2921330</v>
      </c>
      <c r="B2540">
        <v>2017</v>
      </c>
      <c r="C2540" t="s">
        <v>739</v>
      </c>
      <c r="D2540" t="s">
        <v>740</v>
      </c>
      <c r="E2540" t="s">
        <v>743</v>
      </c>
      <c r="F2540" s="59">
        <v>418</v>
      </c>
      <c r="G2540" s="34" t="s">
        <v>589</v>
      </c>
      <c r="H2540" s="36">
        <v>114432</v>
      </c>
      <c r="I2540" s="58">
        <v>812539</v>
      </c>
      <c r="J2540">
        <f>IFERROR(VLOOKUP(G2540,'LEAID Match'!$A$2:$B$526,2,FALSE),"")</f>
        <v>2921330</v>
      </c>
      <c r="K2540" s="68">
        <f t="shared" si="79"/>
        <v>8</v>
      </c>
    </row>
    <row r="2541" spans="1:11" x14ac:dyDescent="0.2">
      <c r="A2541">
        <f t="shared" si="78"/>
        <v>2921330</v>
      </c>
      <c r="B2541">
        <v>2018</v>
      </c>
      <c r="C2541" t="s">
        <v>739</v>
      </c>
      <c r="D2541" t="s">
        <v>740</v>
      </c>
      <c r="E2541" t="s">
        <v>743</v>
      </c>
      <c r="F2541" s="59">
        <v>418</v>
      </c>
      <c r="G2541" s="34" t="s">
        <v>589</v>
      </c>
      <c r="H2541" s="36">
        <v>120057</v>
      </c>
      <c r="I2541" s="58">
        <v>777351</v>
      </c>
      <c r="J2541">
        <f>IFERROR(VLOOKUP(G2541,'LEAID Match'!$A$2:$B$526,2,FALSE),"")</f>
        <v>2921330</v>
      </c>
      <c r="K2541" s="68">
        <f t="shared" si="79"/>
        <v>8</v>
      </c>
    </row>
    <row r="2542" spans="1:11" x14ac:dyDescent="0.2">
      <c r="A2542">
        <f t="shared" si="78"/>
        <v>2921330</v>
      </c>
      <c r="B2542">
        <v>2019</v>
      </c>
      <c r="C2542" t="s">
        <v>739</v>
      </c>
      <c r="D2542" t="s">
        <v>740</v>
      </c>
      <c r="E2542" t="s">
        <v>743</v>
      </c>
      <c r="F2542" s="34">
        <v>418</v>
      </c>
      <c r="G2542" s="34" t="s">
        <v>589</v>
      </c>
      <c r="H2542" s="36">
        <v>128521</v>
      </c>
      <c r="I2542" s="58">
        <v>791358</v>
      </c>
      <c r="J2542">
        <f>IFERROR(VLOOKUP(G2542,'LEAID Match'!$A$2:$B$526,2,FALSE),"")</f>
        <v>2921330</v>
      </c>
      <c r="K2542" s="68">
        <f t="shared" si="79"/>
        <v>8</v>
      </c>
    </row>
    <row r="2543" spans="1:11" x14ac:dyDescent="0.2">
      <c r="A2543">
        <f t="shared" si="78"/>
        <v>2921330</v>
      </c>
      <c r="B2543">
        <v>2020</v>
      </c>
      <c r="C2543" t="s">
        <v>739</v>
      </c>
      <c r="D2543" t="s">
        <v>740</v>
      </c>
      <c r="E2543" t="s">
        <v>743</v>
      </c>
      <c r="F2543" s="34">
        <v>418</v>
      </c>
      <c r="G2543" s="34" t="s">
        <v>589</v>
      </c>
      <c r="H2543" s="36">
        <v>125998</v>
      </c>
      <c r="I2543" s="58">
        <v>801281</v>
      </c>
      <c r="J2543">
        <f>IFERROR(VLOOKUP(G2543,'LEAID Match'!$A$2:$B$526,2,FALSE),"")</f>
        <v>2921330</v>
      </c>
      <c r="K2543" s="68">
        <f t="shared" si="79"/>
        <v>8</v>
      </c>
    </row>
    <row r="2544" spans="1:11" x14ac:dyDescent="0.2">
      <c r="A2544">
        <f t="shared" si="78"/>
        <v>2921330</v>
      </c>
      <c r="B2544">
        <v>2021</v>
      </c>
      <c r="C2544" t="s">
        <v>739</v>
      </c>
      <c r="D2544" t="s">
        <v>740</v>
      </c>
      <c r="E2544" t="s">
        <v>743</v>
      </c>
      <c r="F2544" s="34">
        <v>418</v>
      </c>
      <c r="G2544" s="34" t="s">
        <v>589</v>
      </c>
      <c r="H2544" s="36">
        <v>132960</v>
      </c>
      <c r="I2544" s="58">
        <v>825114</v>
      </c>
      <c r="J2544">
        <f>IFERROR(VLOOKUP(G2544,'LEAID Match'!$A$2:$B$526,2,FALSE),"")</f>
        <v>2921330</v>
      </c>
      <c r="K2544" s="68">
        <f t="shared" si="79"/>
        <v>8</v>
      </c>
    </row>
    <row r="2545" spans="1:11" x14ac:dyDescent="0.2">
      <c r="A2545">
        <f t="shared" si="78"/>
        <v>2921330</v>
      </c>
      <c r="B2545">
        <v>2022</v>
      </c>
      <c r="C2545" t="s">
        <v>739</v>
      </c>
      <c r="D2545" t="s">
        <v>740</v>
      </c>
      <c r="E2545" t="s">
        <v>743</v>
      </c>
      <c r="F2545" s="34">
        <v>418</v>
      </c>
      <c r="G2545" s="34" t="s">
        <v>589</v>
      </c>
      <c r="H2545" s="36">
        <v>136591</v>
      </c>
      <c r="I2545" s="58">
        <v>869702</v>
      </c>
      <c r="J2545">
        <f>IFERROR(VLOOKUP(G2545,'LEAID Match'!$A$2:$B$526,2,FALSE),"")</f>
        <v>2921330</v>
      </c>
      <c r="K2545" s="68">
        <f t="shared" si="79"/>
        <v>8</v>
      </c>
    </row>
    <row r="2546" spans="1:11" x14ac:dyDescent="0.2">
      <c r="A2546">
        <f t="shared" si="78"/>
        <v>2929610</v>
      </c>
      <c r="B2546">
        <v>2015</v>
      </c>
      <c r="C2546" t="s">
        <v>739</v>
      </c>
      <c r="D2546" t="s">
        <v>740</v>
      </c>
      <c r="E2546" t="s">
        <v>743</v>
      </c>
      <c r="F2546" s="35">
        <v>419</v>
      </c>
      <c r="G2546" s="34" t="s">
        <v>590</v>
      </c>
      <c r="H2546" s="40">
        <v>56371</v>
      </c>
      <c r="I2546" s="58">
        <v>369629</v>
      </c>
      <c r="J2546">
        <f>IFERROR(VLOOKUP(G2546,'LEAID Match'!$A$2:$B$526,2,FALSE),"")</f>
        <v>2929610</v>
      </c>
      <c r="K2546" s="68">
        <f t="shared" si="79"/>
        <v>8</v>
      </c>
    </row>
    <row r="2547" spans="1:11" x14ac:dyDescent="0.2">
      <c r="A2547">
        <f t="shared" si="78"/>
        <v>2929610</v>
      </c>
      <c r="B2547">
        <v>2016</v>
      </c>
      <c r="C2547" t="s">
        <v>739</v>
      </c>
      <c r="D2547" t="s">
        <v>740</v>
      </c>
      <c r="E2547" t="s">
        <v>743</v>
      </c>
      <c r="F2547" s="59">
        <v>419</v>
      </c>
      <c r="G2547" s="34" t="s">
        <v>590</v>
      </c>
      <c r="H2547" s="36">
        <v>60106</v>
      </c>
      <c r="I2547" s="60">
        <v>403308</v>
      </c>
      <c r="J2547">
        <f>IFERROR(VLOOKUP(G2547,'LEAID Match'!$A$2:$B$526,2,FALSE),"")</f>
        <v>2929610</v>
      </c>
      <c r="K2547" s="68">
        <f t="shared" si="79"/>
        <v>8</v>
      </c>
    </row>
    <row r="2548" spans="1:11" x14ac:dyDescent="0.2">
      <c r="A2548">
        <f t="shared" si="78"/>
        <v>2929610</v>
      </c>
      <c r="B2548">
        <v>2017</v>
      </c>
      <c r="C2548" t="s">
        <v>739</v>
      </c>
      <c r="D2548" t="s">
        <v>740</v>
      </c>
      <c r="E2548" t="s">
        <v>743</v>
      </c>
      <c r="F2548" s="59">
        <v>419</v>
      </c>
      <c r="G2548" s="34" t="s">
        <v>590</v>
      </c>
      <c r="H2548" s="36">
        <v>67626</v>
      </c>
      <c r="I2548" s="58">
        <v>433015</v>
      </c>
      <c r="J2548">
        <f>IFERROR(VLOOKUP(G2548,'LEAID Match'!$A$2:$B$526,2,FALSE),"")</f>
        <v>2929610</v>
      </c>
      <c r="K2548" s="68">
        <f t="shared" si="79"/>
        <v>8</v>
      </c>
    </row>
    <row r="2549" spans="1:11" x14ac:dyDescent="0.2">
      <c r="A2549">
        <f t="shared" si="78"/>
        <v>2929610</v>
      </c>
      <c r="B2549">
        <v>2018</v>
      </c>
      <c r="C2549" t="s">
        <v>739</v>
      </c>
      <c r="D2549" t="s">
        <v>740</v>
      </c>
      <c r="E2549" t="s">
        <v>743</v>
      </c>
      <c r="F2549" s="59">
        <v>419</v>
      </c>
      <c r="G2549" s="34" t="s">
        <v>590</v>
      </c>
      <c r="H2549" s="36">
        <v>70329</v>
      </c>
      <c r="I2549" s="58">
        <v>460289</v>
      </c>
      <c r="J2549">
        <f>IFERROR(VLOOKUP(G2549,'LEAID Match'!$A$2:$B$526,2,FALSE),"")</f>
        <v>2929610</v>
      </c>
      <c r="K2549" s="68">
        <f t="shared" si="79"/>
        <v>8</v>
      </c>
    </row>
    <row r="2550" spans="1:11" x14ac:dyDescent="0.2">
      <c r="A2550">
        <f t="shared" si="78"/>
        <v>2929610</v>
      </c>
      <c r="B2550">
        <v>2019</v>
      </c>
      <c r="C2550" t="s">
        <v>739</v>
      </c>
      <c r="D2550" t="s">
        <v>740</v>
      </c>
      <c r="E2550" t="s">
        <v>743</v>
      </c>
      <c r="F2550" s="34">
        <v>419</v>
      </c>
      <c r="G2550" s="34" t="s">
        <v>590</v>
      </c>
      <c r="H2550" s="36">
        <v>81584</v>
      </c>
      <c r="I2550" s="58">
        <v>484128</v>
      </c>
      <c r="J2550">
        <f>IFERROR(VLOOKUP(G2550,'LEAID Match'!$A$2:$B$526,2,FALSE),"")</f>
        <v>2929610</v>
      </c>
      <c r="K2550" s="68">
        <f t="shared" si="79"/>
        <v>8</v>
      </c>
    </row>
    <row r="2551" spans="1:11" x14ac:dyDescent="0.2">
      <c r="A2551">
        <f t="shared" si="78"/>
        <v>2929610</v>
      </c>
      <c r="B2551">
        <v>2020</v>
      </c>
      <c r="C2551" t="s">
        <v>739</v>
      </c>
      <c r="D2551" t="s">
        <v>740</v>
      </c>
      <c r="E2551" t="s">
        <v>743</v>
      </c>
      <c r="F2551" s="34">
        <v>419</v>
      </c>
      <c r="G2551" s="34" t="s">
        <v>590</v>
      </c>
      <c r="H2551" s="36">
        <v>88962</v>
      </c>
      <c r="I2551" s="58">
        <v>484664</v>
      </c>
      <c r="J2551">
        <f>IFERROR(VLOOKUP(G2551,'LEAID Match'!$A$2:$B$526,2,FALSE),"")</f>
        <v>2929610</v>
      </c>
      <c r="K2551" s="68">
        <f t="shared" si="79"/>
        <v>8</v>
      </c>
    </row>
    <row r="2552" spans="1:11" x14ac:dyDescent="0.2">
      <c r="A2552">
        <f t="shared" si="78"/>
        <v>2929610</v>
      </c>
      <c r="B2552">
        <v>2021</v>
      </c>
      <c r="C2552" t="s">
        <v>739</v>
      </c>
      <c r="D2552" t="s">
        <v>740</v>
      </c>
      <c r="E2552" t="s">
        <v>743</v>
      </c>
      <c r="F2552" s="34">
        <v>419</v>
      </c>
      <c r="G2552" s="34" t="s">
        <v>590</v>
      </c>
      <c r="H2552" s="36">
        <v>106182</v>
      </c>
      <c r="I2552" s="58">
        <v>525609</v>
      </c>
      <c r="J2552">
        <f>IFERROR(VLOOKUP(G2552,'LEAID Match'!$A$2:$B$526,2,FALSE),"")</f>
        <v>2929610</v>
      </c>
      <c r="K2552" s="68">
        <f t="shared" si="79"/>
        <v>8</v>
      </c>
    </row>
    <row r="2553" spans="1:11" x14ac:dyDescent="0.2">
      <c r="A2553">
        <f t="shared" si="78"/>
        <v>2929610</v>
      </c>
      <c r="B2553">
        <v>2022</v>
      </c>
      <c r="C2553" t="s">
        <v>739</v>
      </c>
      <c r="D2553" t="s">
        <v>740</v>
      </c>
      <c r="E2553" t="s">
        <v>743</v>
      </c>
      <c r="F2553" s="34">
        <v>419</v>
      </c>
      <c r="G2553" s="34" t="s">
        <v>590</v>
      </c>
      <c r="H2553" s="36">
        <v>123081</v>
      </c>
      <c r="I2553" s="58">
        <v>530622</v>
      </c>
      <c r="J2553">
        <f>IFERROR(VLOOKUP(G2553,'LEAID Match'!$A$2:$B$526,2,FALSE),"")</f>
        <v>2929610</v>
      </c>
      <c r="K2553" s="68">
        <f t="shared" si="79"/>
        <v>8</v>
      </c>
    </row>
    <row r="2554" spans="1:11" x14ac:dyDescent="0.2">
      <c r="A2554">
        <f t="shared" si="78"/>
        <v>2930840</v>
      </c>
      <c r="B2554">
        <v>2015</v>
      </c>
      <c r="C2554" t="s">
        <v>739</v>
      </c>
      <c r="D2554" t="s">
        <v>740</v>
      </c>
      <c r="E2554" t="s">
        <v>743</v>
      </c>
      <c r="F2554" s="35">
        <v>420</v>
      </c>
      <c r="G2554" s="39" t="s">
        <v>591</v>
      </c>
      <c r="H2554" s="40">
        <v>116757</v>
      </c>
      <c r="I2554" s="58">
        <v>861256</v>
      </c>
      <c r="J2554">
        <f>IFERROR(VLOOKUP(G2554,'LEAID Match'!$A$2:$B$526,2,FALSE),"")</f>
        <v>2930840</v>
      </c>
      <c r="K2554" s="68">
        <f t="shared" si="79"/>
        <v>8</v>
      </c>
    </row>
    <row r="2555" spans="1:11" x14ac:dyDescent="0.2">
      <c r="A2555">
        <f t="shared" si="78"/>
        <v>2930840</v>
      </c>
      <c r="B2555">
        <v>2016</v>
      </c>
      <c r="C2555" t="s">
        <v>739</v>
      </c>
      <c r="D2555" t="s">
        <v>740</v>
      </c>
      <c r="E2555" t="s">
        <v>743</v>
      </c>
      <c r="F2555" s="59">
        <v>420</v>
      </c>
      <c r="G2555" s="34" t="s">
        <v>591</v>
      </c>
      <c r="H2555" s="36">
        <v>123885</v>
      </c>
      <c r="I2555" s="60">
        <v>876894</v>
      </c>
      <c r="J2555">
        <f>IFERROR(VLOOKUP(G2555,'LEAID Match'!$A$2:$B$526,2,FALSE),"")</f>
        <v>2930840</v>
      </c>
      <c r="K2555" s="68">
        <f t="shared" si="79"/>
        <v>8</v>
      </c>
    </row>
    <row r="2556" spans="1:11" x14ac:dyDescent="0.2">
      <c r="A2556">
        <f t="shared" si="78"/>
        <v>2930840</v>
      </c>
      <c r="B2556">
        <v>2017</v>
      </c>
      <c r="C2556" t="s">
        <v>739</v>
      </c>
      <c r="D2556" t="s">
        <v>740</v>
      </c>
      <c r="E2556" t="s">
        <v>743</v>
      </c>
      <c r="F2556" s="59">
        <v>420</v>
      </c>
      <c r="G2556" s="34" t="s">
        <v>591</v>
      </c>
      <c r="H2556" s="36">
        <v>135345</v>
      </c>
      <c r="I2556" s="58">
        <v>907347</v>
      </c>
      <c r="J2556">
        <f>IFERROR(VLOOKUP(G2556,'LEAID Match'!$A$2:$B$526,2,FALSE),"")</f>
        <v>2930840</v>
      </c>
      <c r="K2556" s="68">
        <f t="shared" si="79"/>
        <v>8</v>
      </c>
    </row>
    <row r="2557" spans="1:11" x14ac:dyDescent="0.2">
      <c r="A2557">
        <f t="shared" si="78"/>
        <v>2930840</v>
      </c>
      <c r="B2557">
        <v>2018</v>
      </c>
      <c r="C2557" t="s">
        <v>739</v>
      </c>
      <c r="D2557" t="s">
        <v>740</v>
      </c>
      <c r="E2557" t="s">
        <v>743</v>
      </c>
      <c r="F2557" s="59">
        <v>420</v>
      </c>
      <c r="G2557" s="34" t="s">
        <v>591</v>
      </c>
      <c r="H2557" s="36">
        <v>149328</v>
      </c>
      <c r="I2557" s="58">
        <v>924490</v>
      </c>
      <c r="J2557">
        <f>IFERROR(VLOOKUP(G2557,'LEAID Match'!$A$2:$B$526,2,FALSE),"")</f>
        <v>2930840</v>
      </c>
      <c r="K2557" s="68">
        <f t="shared" si="79"/>
        <v>8</v>
      </c>
    </row>
    <row r="2558" spans="1:11" x14ac:dyDescent="0.2">
      <c r="A2558">
        <f t="shared" si="78"/>
        <v>2930840</v>
      </c>
      <c r="B2558">
        <v>2019</v>
      </c>
      <c r="C2558" t="s">
        <v>739</v>
      </c>
      <c r="D2558" t="s">
        <v>740</v>
      </c>
      <c r="E2558" t="s">
        <v>743</v>
      </c>
      <c r="F2558" s="34">
        <v>420</v>
      </c>
      <c r="G2558" s="34" t="s">
        <v>591</v>
      </c>
      <c r="H2558" s="36">
        <v>153682</v>
      </c>
      <c r="I2558" s="58">
        <v>933570</v>
      </c>
      <c r="J2558">
        <f>IFERROR(VLOOKUP(G2558,'LEAID Match'!$A$2:$B$526,2,FALSE),"")</f>
        <v>2930840</v>
      </c>
      <c r="K2558" s="68">
        <f t="shared" si="79"/>
        <v>8</v>
      </c>
    </row>
    <row r="2559" spans="1:11" x14ac:dyDescent="0.2">
      <c r="A2559">
        <f t="shared" si="78"/>
        <v>2930840</v>
      </c>
      <c r="B2559">
        <v>2020</v>
      </c>
      <c r="C2559" t="s">
        <v>739</v>
      </c>
      <c r="D2559" t="s">
        <v>740</v>
      </c>
      <c r="E2559" t="s">
        <v>743</v>
      </c>
      <c r="F2559" s="34">
        <v>420</v>
      </c>
      <c r="G2559" s="34" t="s">
        <v>591</v>
      </c>
      <c r="H2559" s="36">
        <v>179047</v>
      </c>
      <c r="I2559" s="58">
        <v>948489</v>
      </c>
      <c r="J2559">
        <f>IFERROR(VLOOKUP(G2559,'LEAID Match'!$A$2:$B$526,2,FALSE),"")</f>
        <v>2930840</v>
      </c>
      <c r="K2559" s="68">
        <f t="shared" si="79"/>
        <v>8</v>
      </c>
    </row>
    <row r="2560" spans="1:11" x14ac:dyDescent="0.2">
      <c r="A2560">
        <f t="shared" si="78"/>
        <v>2930840</v>
      </c>
      <c r="B2560">
        <v>2021</v>
      </c>
      <c r="C2560" t="s">
        <v>739</v>
      </c>
      <c r="D2560" t="s">
        <v>740</v>
      </c>
      <c r="E2560" t="s">
        <v>743</v>
      </c>
      <c r="F2560" s="34">
        <v>420</v>
      </c>
      <c r="G2560" s="34" t="s">
        <v>591</v>
      </c>
      <c r="H2560" s="36">
        <v>182945</v>
      </c>
      <c r="I2560" s="58">
        <v>993023</v>
      </c>
      <c r="J2560">
        <f>IFERROR(VLOOKUP(G2560,'LEAID Match'!$A$2:$B$526,2,FALSE),"")</f>
        <v>2930840</v>
      </c>
      <c r="K2560" s="68">
        <f t="shared" si="79"/>
        <v>8</v>
      </c>
    </row>
    <row r="2561" spans="1:11" x14ac:dyDescent="0.2">
      <c r="A2561">
        <f t="shared" si="78"/>
        <v>2930840</v>
      </c>
      <c r="B2561">
        <v>2022</v>
      </c>
      <c r="C2561" t="s">
        <v>739</v>
      </c>
      <c r="D2561" t="s">
        <v>740</v>
      </c>
      <c r="E2561" t="s">
        <v>743</v>
      </c>
      <c r="F2561" s="34">
        <v>420</v>
      </c>
      <c r="G2561" s="34" t="s">
        <v>591</v>
      </c>
      <c r="H2561" s="36">
        <v>199420</v>
      </c>
      <c r="I2561" s="58">
        <v>1026124</v>
      </c>
      <c r="J2561">
        <f>IFERROR(VLOOKUP(G2561,'LEAID Match'!$A$2:$B$526,2,FALSE),"")</f>
        <v>2930840</v>
      </c>
      <c r="K2561" s="68">
        <f t="shared" si="79"/>
        <v>8</v>
      </c>
    </row>
    <row r="2562" spans="1:11" x14ac:dyDescent="0.2">
      <c r="A2562">
        <f t="shared" si="78"/>
        <v>2900004</v>
      </c>
      <c r="B2562">
        <v>2015</v>
      </c>
      <c r="C2562" t="s">
        <v>739</v>
      </c>
      <c r="D2562" t="s">
        <v>740</v>
      </c>
      <c r="E2562" t="s">
        <v>743</v>
      </c>
      <c r="F2562" s="35">
        <v>421</v>
      </c>
      <c r="G2562" s="34" t="s">
        <v>592</v>
      </c>
      <c r="H2562" s="40">
        <v>190227</v>
      </c>
      <c r="I2562" s="58">
        <v>1186208</v>
      </c>
      <c r="J2562">
        <f>IFERROR(VLOOKUP(G2562,'LEAID Match'!$A$2:$B$526,2,FALSE),"")</f>
        <v>2900004</v>
      </c>
      <c r="K2562" s="68">
        <f t="shared" si="79"/>
        <v>8</v>
      </c>
    </row>
    <row r="2563" spans="1:11" x14ac:dyDescent="0.2">
      <c r="A2563">
        <f t="shared" ref="A2563:A2626" si="80">J2563</f>
        <v>2900004</v>
      </c>
      <c r="B2563">
        <v>2016</v>
      </c>
      <c r="C2563" t="s">
        <v>739</v>
      </c>
      <c r="D2563" t="s">
        <v>740</v>
      </c>
      <c r="E2563" t="s">
        <v>743</v>
      </c>
      <c r="F2563" s="59">
        <v>421</v>
      </c>
      <c r="G2563" s="34" t="s">
        <v>592</v>
      </c>
      <c r="H2563" s="36">
        <v>199348</v>
      </c>
      <c r="I2563" s="60">
        <v>1270987</v>
      </c>
      <c r="J2563">
        <f>IFERROR(VLOOKUP(G2563,'LEAID Match'!$A$2:$B$526,2,FALSE),"")</f>
        <v>2900004</v>
      </c>
      <c r="K2563" s="68">
        <f t="shared" ref="K2563:K2626" si="81">COUNTIF($J$2:$J$4295,J2563)</f>
        <v>8</v>
      </c>
    </row>
    <row r="2564" spans="1:11" x14ac:dyDescent="0.2">
      <c r="A2564">
        <f t="shared" si="80"/>
        <v>2900004</v>
      </c>
      <c r="B2564">
        <v>2017</v>
      </c>
      <c r="C2564" t="s">
        <v>739</v>
      </c>
      <c r="D2564" t="s">
        <v>740</v>
      </c>
      <c r="E2564" t="s">
        <v>743</v>
      </c>
      <c r="F2564" s="59">
        <v>421</v>
      </c>
      <c r="G2564" s="34" t="s">
        <v>592</v>
      </c>
      <c r="H2564" s="36">
        <v>180990</v>
      </c>
      <c r="I2564" s="58">
        <v>1136269</v>
      </c>
      <c r="J2564">
        <f>IFERROR(VLOOKUP(G2564,'LEAID Match'!$A$2:$B$526,2,FALSE),"")</f>
        <v>2900004</v>
      </c>
      <c r="K2564" s="68">
        <f t="shared" si="81"/>
        <v>8</v>
      </c>
    </row>
    <row r="2565" spans="1:11" x14ac:dyDescent="0.2">
      <c r="A2565">
        <f t="shared" si="80"/>
        <v>2900004</v>
      </c>
      <c r="B2565">
        <v>2018</v>
      </c>
      <c r="C2565" t="s">
        <v>739</v>
      </c>
      <c r="D2565" t="s">
        <v>740</v>
      </c>
      <c r="E2565" t="s">
        <v>743</v>
      </c>
      <c r="F2565" s="59">
        <v>421</v>
      </c>
      <c r="G2565" s="34" t="s">
        <v>592</v>
      </c>
      <c r="H2565" s="36">
        <v>199729</v>
      </c>
      <c r="I2565" s="58">
        <v>1137274</v>
      </c>
      <c r="J2565">
        <f>IFERROR(VLOOKUP(G2565,'LEAID Match'!$A$2:$B$526,2,FALSE),"")</f>
        <v>2900004</v>
      </c>
      <c r="K2565" s="68">
        <f t="shared" si="81"/>
        <v>8</v>
      </c>
    </row>
    <row r="2566" spans="1:11" x14ac:dyDescent="0.2">
      <c r="A2566">
        <f t="shared" si="80"/>
        <v>2900004</v>
      </c>
      <c r="B2566">
        <v>2019</v>
      </c>
      <c r="C2566" t="s">
        <v>739</v>
      </c>
      <c r="D2566" t="s">
        <v>740</v>
      </c>
      <c r="E2566" t="s">
        <v>743</v>
      </c>
      <c r="F2566" s="34">
        <v>421</v>
      </c>
      <c r="G2566" s="34" t="s">
        <v>592</v>
      </c>
      <c r="H2566" s="36">
        <v>208034</v>
      </c>
      <c r="I2566" s="58">
        <v>1110292</v>
      </c>
      <c r="J2566">
        <f>IFERROR(VLOOKUP(G2566,'LEAID Match'!$A$2:$B$526,2,FALSE),"")</f>
        <v>2900004</v>
      </c>
      <c r="K2566" s="68">
        <f t="shared" si="81"/>
        <v>8</v>
      </c>
    </row>
    <row r="2567" spans="1:11" x14ac:dyDescent="0.2">
      <c r="A2567">
        <f t="shared" si="80"/>
        <v>2900004</v>
      </c>
      <c r="B2567">
        <v>2020</v>
      </c>
      <c r="C2567" t="s">
        <v>739</v>
      </c>
      <c r="D2567" t="s">
        <v>740</v>
      </c>
      <c r="E2567" t="s">
        <v>743</v>
      </c>
      <c r="F2567" s="34">
        <v>421</v>
      </c>
      <c r="G2567" s="34" t="s">
        <v>592</v>
      </c>
      <c r="H2567" s="36">
        <v>219036</v>
      </c>
      <c r="I2567" s="58">
        <v>1131114</v>
      </c>
      <c r="J2567">
        <f>IFERROR(VLOOKUP(G2567,'LEAID Match'!$A$2:$B$526,2,FALSE),"")</f>
        <v>2900004</v>
      </c>
      <c r="K2567" s="68">
        <f t="shared" si="81"/>
        <v>8</v>
      </c>
    </row>
    <row r="2568" spans="1:11" x14ac:dyDescent="0.2">
      <c r="A2568">
        <f t="shared" si="80"/>
        <v>2900004</v>
      </c>
      <c r="B2568">
        <v>2021</v>
      </c>
      <c r="C2568" t="s">
        <v>739</v>
      </c>
      <c r="D2568" t="s">
        <v>740</v>
      </c>
      <c r="E2568" t="s">
        <v>743</v>
      </c>
      <c r="F2568" s="34">
        <v>421</v>
      </c>
      <c r="G2568" s="34" t="s">
        <v>592</v>
      </c>
      <c r="H2568" s="36">
        <v>196681</v>
      </c>
      <c r="I2568" s="58">
        <v>1158886</v>
      </c>
      <c r="J2568">
        <f>IFERROR(VLOOKUP(G2568,'LEAID Match'!$A$2:$B$526,2,FALSE),"")</f>
        <v>2900004</v>
      </c>
      <c r="K2568" s="68">
        <f t="shared" si="81"/>
        <v>8</v>
      </c>
    </row>
    <row r="2569" spans="1:11" x14ac:dyDescent="0.2">
      <c r="A2569">
        <f t="shared" si="80"/>
        <v>2900004</v>
      </c>
      <c r="B2569">
        <v>2022</v>
      </c>
      <c r="C2569" t="s">
        <v>739</v>
      </c>
      <c r="D2569" t="s">
        <v>740</v>
      </c>
      <c r="E2569" t="s">
        <v>743</v>
      </c>
      <c r="F2569" s="34">
        <v>421</v>
      </c>
      <c r="G2569" s="34" t="s">
        <v>592</v>
      </c>
      <c r="H2569" s="36">
        <v>209078</v>
      </c>
      <c r="I2569" s="58">
        <v>1273425</v>
      </c>
      <c r="J2569">
        <f>IFERROR(VLOOKUP(G2569,'LEAID Match'!$A$2:$B$526,2,FALSE),"")</f>
        <v>2900004</v>
      </c>
      <c r="K2569" s="68">
        <f t="shared" si="81"/>
        <v>8</v>
      </c>
    </row>
    <row r="2570" spans="1:11" x14ac:dyDescent="0.2">
      <c r="A2570">
        <f t="shared" si="80"/>
        <v>2926610</v>
      </c>
      <c r="B2570">
        <v>2015</v>
      </c>
      <c r="C2570" t="s">
        <v>739</v>
      </c>
      <c r="D2570" t="s">
        <v>740</v>
      </c>
      <c r="E2570" t="s">
        <v>743</v>
      </c>
      <c r="F2570" s="35">
        <v>422</v>
      </c>
      <c r="G2570" s="39" t="s">
        <v>593</v>
      </c>
      <c r="H2570" s="40">
        <v>19255</v>
      </c>
      <c r="I2570" s="58">
        <v>107590</v>
      </c>
      <c r="J2570">
        <f>IFERROR(VLOOKUP(G2570,'LEAID Match'!$A$2:$B$526,2,FALSE),"")</f>
        <v>2926610</v>
      </c>
      <c r="K2570" s="68">
        <f t="shared" si="81"/>
        <v>8</v>
      </c>
    </row>
    <row r="2571" spans="1:11" x14ac:dyDescent="0.2">
      <c r="A2571">
        <f t="shared" si="80"/>
        <v>2926610</v>
      </c>
      <c r="B2571">
        <v>2016</v>
      </c>
      <c r="C2571" t="s">
        <v>739</v>
      </c>
      <c r="D2571" t="s">
        <v>740</v>
      </c>
      <c r="E2571" t="s">
        <v>743</v>
      </c>
      <c r="F2571" s="59">
        <v>422</v>
      </c>
      <c r="G2571" s="34" t="s">
        <v>593</v>
      </c>
      <c r="H2571" s="36">
        <v>26367</v>
      </c>
      <c r="I2571" s="60">
        <v>146000</v>
      </c>
      <c r="J2571">
        <f>IFERROR(VLOOKUP(G2571,'LEAID Match'!$A$2:$B$526,2,FALSE),"")</f>
        <v>2926610</v>
      </c>
      <c r="K2571" s="68">
        <f t="shared" si="81"/>
        <v>8</v>
      </c>
    </row>
    <row r="2572" spans="1:11" x14ac:dyDescent="0.2">
      <c r="A2572">
        <f t="shared" si="80"/>
        <v>2926610</v>
      </c>
      <c r="B2572">
        <v>2017</v>
      </c>
      <c r="C2572" t="s">
        <v>739</v>
      </c>
      <c r="D2572" t="s">
        <v>740</v>
      </c>
      <c r="E2572" t="s">
        <v>743</v>
      </c>
      <c r="F2572" s="59">
        <v>422</v>
      </c>
      <c r="G2572" s="34" t="s">
        <v>593</v>
      </c>
      <c r="H2572" s="36">
        <v>25124</v>
      </c>
      <c r="I2572" s="58">
        <v>144008</v>
      </c>
      <c r="J2572">
        <f>IFERROR(VLOOKUP(G2572,'LEAID Match'!$A$2:$B$526,2,FALSE),"")</f>
        <v>2926610</v>
      </c>
      <c r="K2572" s="68">
        <f t="shared" si="81"/>
        <v>8</v>
      </c>
    </row>
    <row r="2573" spans="1:11" x14ac:dyDescent="0.2">
      <c r="A2573">
        <f t="shared" si="80"/>
        <v>2926610</v>
      </c>
      <c r="B2573">
        <v>2018</v>
      </c>
      <c r="C2573" t="s">
        <v>739</v>
      </c>
      <c r="D2573" t="s">
        <v>740</v>
      </c>
      <c r="E2573" t="s">
        <v>743</v>
      </c>
      <c r="F2573" s="59">
        <v>422</v>
      </c>
      <c r="G2573" s="34" t="s">
        <v>593</v>
      </c>
      <c r="H2573" s="36">
        <v>24224</v>
      </c>
      <c r="I2573" s="58">
        <v>146830</v>
      </c>
      <c r="J2573">
        <f>IFERROR(VLOOKUP(G2573,'LEAID Match'!$A$2:$B$526,2,FALSE),"")</f>
        <v>2926610</v>
      </c>
      <c r="K2573" s="68">
        <f t="shared" si="81"/>
        <v>8</v>
      </c>
    </row>
    <row r="2574" spans="1:11" x14ac:dyDescent="0.2">
      <c r="A2574">
        <f t="shared" si="80"/>
        <v>2926610</v>
      </c>
      <c r="B2574">
        <v>2019</v>
      </c>
      <c r="C2574" t="s">
        <v>739</v>
      </c>
      <c r="D2574" t="s">
        <v>740</v>
      </c>
      <c r="E2574" t="s">
        <v>743</v>
      </c>
      <c r="F2574" s="34">
        <v>422</v>
      </c>
      <c r="G2574" s="34" t="s">
        <v>593</v>
      </c>
      <c r="H2574" s="36">
        <v>21106</v>
      </c>
      <c r="I2574" s="58">
        <v>162977</v>
      </c>
      <c r="J2574">
        <f>IFERROR(VLOOKUP(G2574,'LEAID Match'!$A$2:$B$526,2,FALSE),"")</f>
        <v>2926610</v>
      </c>
      <c r="K2574" s="68">
        <f t="shared" si="81"/>
        <v>8</v>
      </c>
    </row>
    <row r="2575" spans="1:11" x14ac:dyDescent="0.2">
      <c r="A2575">
        <f t="shared" si="80"/>
        <v>2926610</v>
      </c>
      <c r="B2575">
        <v>2020</v>
      </c>
      <c r="C2575" t="s">
        <v>739</v>
      </c>
      <c r="D2575" t="s">
        <v>740</v>
      </c>
      <c r="E2575" t="s">
        <v>743</v>
      </c>
      <c r="F2575" s="34">
        <v>422</v>
      </c>
      <c r="G2575" s="34" t="s">
        <v>593</v>
      </c>
      <c r="H2575" s="36">
        <v>21494</v>
      </c>
      <c r="I2575" s="58">
        <v>167402</v>
      </c>
      <c r="J2575">
        <f>IFERROR(VLOOKUP(G2575,'LEAID Match'!$A$2:$B$526,2,FALSE),"")</f>
        <v>2926610</v>
      </c>
      <c r="K2575" s="68">
        <f t="shared" si="81"/>
        <v>8</v>
      </c>
    </row>
    <row r="2576" spans="1:11" x14ac:dyDescent="0.2">
      <c r="A2576">
        <f t="shared" si="80"/>
        <v>2926610</v>
      </c>
      <c r="B2576">
        <v>2021</v>
      </c>
      <c r="C2576" t="s">
        <v>739</v>
      </c>
      <c r="D2576" t="s">
        <v>740</v>
      </c>
      <c r="E2576" t="s">
        <v>743</v>
      </c>
      <c r="F2576" s="34">
        <v>422</v>
      </c>
      <c r="G2576" s="34" t="s">
        <v>593</v>
      </c>
      <c r="H2576" s="36">
        <v>23344</v>
      </c>
      <c r="I2576" s="58">
        <v>177427</v>
      </c>
      <c r="J2576">
        <f>IFERROR(VLOOKUP(G2576,'LEAID Match'!$A$2:$B$526,2,FALSE),"")</f>
        <v>2926610</v>
      </c>
      <c r="K2576" s="68">
        <f t="shared" si="81"/>
        <v>8</v>
      </c>
    </row>
    <row r="2577" spans="1:11" x14ac:dyDescent="0.2">
      <c r="A2577">
        <f t="shared" si="80"/>
        <v>2926610</v>
      </c>
      <c r="B2577">
        <v>2022</v>
      </c>
      <c r="C2577" t="s">
        <v>739</v>
      </c>
      <c r="D2577" t="s">
        <v>740</v>
      </c>
      <c r="E2577" t="s">
        <v>743</v>
      </c>
      <c r="F2577" s="34">
        <v>422</v>
      </c>
      <c r="G2577" s="34" t="s">
        <v>593</v>
      </c>
      <c r="H2577" s="36">
        <v>22038</v>
      </c>
      <c r="I2577" s="58">
        <v>174662</v>
      </c>
      <c r="J2577">
        <f>IFERROR(VLOOKUP(G2577,'LEAID Match'!$A$2:$B$526,2,FALSE),"")</f>
        <v>2926610</v>
      </c>
      <c r="K2577" s="68">
        <f t="shared" si="81"/>
        <v>8</v>
      </c>
    </row>
    <row r="2578" spans="1:11" x14ac:dyDescent="0.2">
      <c r="A2578">
        <f t="shared" si="80"/>
        <v>2912780</v>
      </c>
      <c r="B2578">
        <v>2015</v>
      </c>
      <c r="C2578" t="s">
        <v>739</v>
      </c>
      <c r="D2578" t="s">
        <v>740</v>
      </c>
      <c r="E2578" t="s">
        <v>743</v>
      </c>
      <c r="F2578" s="35">
        <v>423</v>
      </c>
      <c r="G2578" s="39" t="s">
        <v>594</v>
      </c>
      <c r="H2578" s="40">
        <v>26852</v>
      </c>
      <c r="I2578" s="58">
        <v>198393</v>
      </c>
      <c r="J2578">
        <f>IFERROR(VLOOKUP(G2578,'LEAID Match'!$A$2:$B$526,2,FALSE),"")</f>
        <v>2912780</v>
      </c>
      <c r="K2578" s="68">
        <f t="shared" si="81"/>
        <v>8</v>
      </c>
    </row>
    <row r="2579" spans="1:11" x14ac:dyDescent="0.2">
      <c r="A2579">
        <f t="shared" si="80"/>
        <v>2912780</v>
      </c>
      <c r="B2579">
        <v>2016</v>
      </c>
      <c r="C2579" t="s">
        <v>739</v>
      </c>
      <c r="D2579" t="s">
        <v>740</v>
      </c>
      <c r="E2579" t="s">
        <v>743</v>
      </c>
      <c r="F2579" s="59">
        <v>423</v>
      </c>
      <c r="G2579" s="34" t="s">
        <v>594</v>
      </c>
      <c r="H2579" s="36">
        <v>27170</v>
      </c>
      <c r="I2579" s="60">
        <v>199639</v>
      </c>
      <c r="J2579">
        <f>IFERROR(VLOOKUP(G2579,'LEAID Match'!$A$2:$B$526,2,FALSE),"")</f>
        <v>2912780</v>
      </c>
      <c r="K2579" s="68">
        <f t="shared" si="81"/>
        <v>8</v>
      </c>
    </row>
    <row r="2580" spans="1:11" x14ac:dyDescent="0.2">
      <c r="A2580">
        <f t="shared" si="80"/>
        <v>2912780</v>
      </c>
      <c r="B2580">
        <v>2017</v>
      </c>
      <c r="C2580" t="s">
        <v>739</v>
      </c>
      <c r="D2580" t="s">
        <v>740</v>
      </c>
      <c r="E2580" t="s">
        <v>743</v>
      </c>
      <c r="F2580" s="59">
        <v>423</v>
      </c>
      <c r="G2580" s="34" t="s">
        <v>594</v>
      </c>
      <c r="H2580" s="36">
        <v>29418</v>
      </c>
      <c r="I2580" s="58">
        <v>202379</v>
      </c>
      <c r="J2580">
        <f>IFERROR(VLOOKUP(G2580,'LEAID Match'!$A$2:$B$526,2,FALSE),"")</f>
        <v>2912780</v>
      </c>
      <c r="K2580" s="68">
        <f t="shared" si="81"/>
        <v>8</v>
      </c>
    </row>
    <row r="2581" spans="1:11" x14ac:dyDescent="0.2">
      <c r="A2581">
        <f t="shared" si="80"/>
        <v>2912780</v>
      </c>
      <c r="B2581">
        <v>2018</v>
      </c>
      <c r="C2581" t="s">
        <v>739</v>
      </c>
      <c r="D2581" t="s">
        <v>740</v>
      </c>
      <c r="E2581" t="s">
        <v>743</v>
      </c>
      <c r="F2581" s="59">
        <v>423</v>
      </c>
      <c r="G2581" s="34" t="s">
        <v>594</v>
      </c>
      <c r="H2581" s="36">
        <v>28436</v>
      </c>
      <c r="I2581" s="58">
        <v>196978</v>
      </c>
      <c r="J2581">
        <f>IFERROR(VLOOKUP(G2581,'LEAID Match'!$A$2:$B$526,2,FALSE),"")</f>
        <v>2912780</v>
      </c>
      <c r="K2581" s="68">
        <f t="shared" si="81"/>
        <v>8</v>
      </c>
    </row>
    <row r="2582" spans="1:11" x14ac:dyDescent="0.2">
      <c r="A2582">
        <f t="shared" si="80"/>
        <v>2912780</v>
      </c>
      <c r="B2582">
        <v>2019</v>
      </c>
      <c r="C2582" t="s">
        <v>739</v>
      </c>
      <c r="D2582" t="s">
        <v>740</v>
      </c>
      <c r="E2582" t="s">
        <v>743</v>
      </c>
      <c r="F2582" s="34">
        <v>423</v>
      </c>
      <c r="G2582" s="34" t="s">
        <v>594</v>
      </c>
      <c r="H2582" s="36">
        <v>31964</v>
      </c>
      <c r="I2582" s="58">
        <v>190517</v>
      </c>
      <c r="J2582">
        <f>IFERROR(VLOOKUP(G2582,'LEAID Match'!$A$2:$B$526,2,FALSE),"")</f>
        <v>2912780</v>
      </c>
      <c r="K2582" s="68">
        <f t="shared" si="81"/>
        <v>8</v>
      </c>
    </row>
    <row r="2583" spans="1:11" x14ac:dyDescent="0.2">
      <c r="A2583">
        <f t="shared" si="80"/>
        <v>2912780</v>
      </c>
      <c r="B2583">
        <v>2020</v>
      </c>
      <c r="C2583" t="s">
        <v>739</v>
      </c>
      <c r="D2583" t="s">
        <v>740</v>
      </c>
      <c r="E2583" t="s">
        <v>743</v>
      </c>
      <c r="F2583" s="34">
        <v>423</v>
      </c>
      <c r="G2583" s="34" t="s">
        <v>594</v>
      </c>
      <c r="H2583" s="36">
        <v>30213</v>
      </c>
      <c r="I2583" s="58">
        <v>206235</v>
      </c>
      <c r="J2583">
        <f>IFERROR(VLOOKUP(G2583,'LEAID Match'!$A$2:$B$526,2,FALSE),"")</f>
        <v>2912780</v>
      </c>
      <c r="K2583" s="68">
        <f t="shared" si="81"/>
        <v>8</v>
      </c>
    </row>
    <row r="2584" spans="1:11" x14ac:dyDescent="0.2">
      <c r="A2584">
        <f t="shared" si="80"/>
        <v>2912780</v>
      </c>
      <c r="B2584">
        <v>2021</v>
      </c>
      <c r="C2584" t="s">
        <v>739</v>
      </c>
      <c r="D2584" t="s">
        <v>740</v>
      </c>
      <c r="E2584" t="s">
        <v>743</v>
      </c>
      <c r="F2584" s="34">
        <v>423</v>
      </c>
      <c r="G2584" s="34" t="s">
        <v>594</v>
      </c>
      <c r="H2584" s="36">
        <v>28790</v>
      </c>
      <c r="I2584" s="58">
        <v>197659</v>
      </c>
      <c r="J2584">
        <f>IFERROR(VLOOKUP(G2584,'LEAID Match'!$A$2:$B$526,2,FALSE),"")</f>
        <v>2912780</v>
      </c>
      <c r="K2584" s="68">
        <f t="shared" si="81"/>
        <v>8</v>
      </c>
    </row>
    <row r="2585" spans="1:11" x14ac:dyDescent="0.2">
      <c r="A2585">
        <f t="shared" si="80"/>
        <v>2912780</v>
      </c>
      <c r="B2585">
        <v>2022</v>
      </c>
      <c r="C2585" t="s">
        <v>739</v>
      </c>
      <c r="D2585" t="s">
        <v>740</v>
      </c>
      <c r="E2585" t="s">
        <v>743</v>
      </c>
      <c r="F2585" s="34">
        <v>423</v>
      </c>
      <c r="G2585" s="34" t="s">
        <v>594</v>
      </c>
      <c r="H2585" s="36">
        <v>41770</v>
      </c>
      <c r="I2585" s="58">
        <v>211071</v>
      </c>
      <c r="J2585">
        <f>IFERROR(VLOOKUP(G2585,'LEAID Match'!$A$2:$B$526,2,FALSE),"")</f>
        <v>2912780</v>
      </c>
      <c r="K2585" s="68">
        <f t="shared" si="81"/>
        <v>8</v>
      </c>
    </row>
    <row r="2586" spans="1:11" x14ac:dyDescent="0.2">
      <c r="A2586">
        <f t="shared" si="80"/>
        <v>2910800</v>
      </c>
      <c r="B2586">
        <v>2015</v>
      </c>
      <c r="C2586" t="s">
        <v>739</v>
      </c>
      <c r="D2586" t="s">
        <v>740</v>
      </c>
      <c r="E2586" t="s">
        <v>743</v>
      </c>
      <c r="F2586" s="35">
        <v>424</v>
      </c>
      <c r="G2586" s="39" t="s">
        <v>595</v>
      </c>
      <c r="H2586" s="40">
        <v>61868</v>
      </c>
      <c r="I2586" s="58">
        <v>519000</v>
      </c>
      <c r="J2586">
        <f>IFERROR(VLOOKUP(G2586,'LEAID Match'!$A$2:$B$526,2,FALSE),"")</f>
        <v>2910800</v>
      </c>
      <c r="K2586" s="68">
        <f t="shared" si="81"/>
        <v>8</v>
      </c>
    </row>
    <row r="2587" spans="1:11" x14ac:dyDescent="0.2">
      <c r="A2587">
        <f t="shared" si="80"/>
        <v>2910800</v>
      </c>
      <c r="B2587">
        <v>2016</v>
      </c>
      <c r="C2587" t="s">
        <v>739</v>
      </c>
      <c r="D2587" t="s">
        <v>740</v>
      </c>
      <c r="E2587" t="s">
        <v>743</v>
      </c>
      <c r="F2587" s="59">
        <v>424</v>
      </c>
      <c r="G2587" s="34" t="s">
        <v>595</v>
      </c>
      <c r="H2587" s="36">
        <v>64746</v>
      </c>
      <c r="I2587" s="60">
        <v>507397</v>
      </c>
      <c r="J2587">
        <f>IFERROR(VLOOKUP(G2587,'LEAID Match'!$A$2:$B$526,2,FALSE),"")</f>
        <v>2910800</v>
      </c>
      <c r="K2587" s="68">
        <f t="shared" si="81"/>
        <v>8</v>
      </c>
    </row>
    <row r="2588" spans="1:11" x14ac:dyDescent="0.2">
      <c r="A2588">
        <f t="shared" si="80"/>
        <v>2910800</v>
      </c>
      <c r="B2588">
        <v>2017</v>
      </c>
      <c r="C2588" t="s">
        <v>739</v>
      </c>
      <c r="D2588" t="s">
        <v>740</v>
      </c>
      <c r="E2588" t="s">
        <v>743</v>
      </c>
      <c r="F2588" s="59">
        <v>424</v>
      </c>
      <c r="G2588" s="34" t="s">
        <v>595</v>
      </c>
      <c r="H2588" s="36">
        <v>66620</v>
      </c>
      <c r="I2588" s="58">
        <v>515896</v>
      </c>
      <c r="J2588">
        <f>IFERROR(VLOOKUP(G2588,'LEAID Match'!$A$2:$B$526,2,FALSE),"")</f>
        <v>2910800</v>
      </c>
      <c r="K2588" s="68">
        <f t="shared" si="81"/>
        <v>8</v>
      </c>
    </row>
    <row r="2589" spans="1:11" x14ac:dyDescent="0.2">
      <c r="A2589">
        <f t="shared" si="80"/>
        <v>2910800</v>
      </c>
      <c r="B2589">
        <v>2018</v>
      </c>
      <c r="C2589" t="s">
        <v>739</v>
      </c>
      <c r="D2589" t="s">
        <v>740</v>
      </c>
      <c r="E2589" t="s">
        <v>743</v>
      </c>
      <c r="F2589" s="59">
        <v>424</v>
      </c>
      <c r="G2589" s="34" t="s">
        <v>595</v>
      </c>
      <c r="H2589" s="36">
        <v>70188</v>
      </c>
      <c r="I2589" s="58">
        <v>521373</v>
      </c>
      <c r="J2589">
        <f>IFERROR(VLOOKUP(G2589,'LEAID Match'!$A$2:$B$526,2,FALSE),"")</f>
        <v>2910800</v>
      </c>
      <c r="K2589" s="68">
        <f t="shared" si="81"/>
        <v>8</v>
      </c>
    </row>
    <row r="2590" spans="1:11" x14ac:dyDescent="0.2">
      <c r="A2590">
        <f t="shared" si="80"/>
        <v>2910800</v>
      </c>
      <c r="B2590">
        <v>2019</v>
      </c>
      <c r="C2590" t="s">
        <v>739</v>
      </c>
      <c r="D2590" t="s">
        <v>740</v>
      </c>
      <c r="E2590" t="s">
        <v>743</v>
      </c>
      <c r="F2590" s="34">
        <v>424</v>
      </c>
      <c r="G2590" s="34" t="s">
        <v>595</v>
      </c>
      <c r="H2590" s="36">
        <v>69415</v>
      </c>
      <c r="I2590" s="58">
        <v>532840</v>
      </c>
      <c r="J2590">
        <f>IFERROR(VLOOKUP(G2590,'LEAID Match'!$A$2:$B$526,2,FALSE),"")</f>
        <v>2910800</v>
      </c>
      <c r="K2590" s="68">
        <f t="shared" si="81"/>
        <v>8</v>
      </c>
    </row>
    <row r="2591" spans="1:11" x14ac:dyDescent="0.2">
      <c r="A2591">
        <f t="shared" si="80"/>
        <v>2910800</v>
      </c>
      <c r="B2591">
        <v>2020</v>
      </c>
      <c r="C2591" t="s">
        <v>739</v>
      </c>
      <c r="D2591" t="s">
        <v>740</v>
      </c>
      <c r="E2591" t="s">
        <v>743</v>
      </c>
      <c r="F2591" s="34">
        <v>424</v>
      </c>
      <c r="G2591" s="34" t="s">
        <v>595</v>
      </c>
      <c r="H2591" s="36">
        <v>71730</v>
      </c>
      <c r="I2591" s="58">
        <v>511498</v>
      </c>
      <c r="J2591">
        <f>IFERROR(VLOOKUP(G2591,'LEAID Match'!$A$2:$B$526,2,FALSE),"")</f>
        <v>2910800</v>
      </c>
      <c r="K2591" s="68">
        <f t="shared" si="81"/>
        <v>8</v>
      </c>
    </row>
    <row r="2592" spans="1:11" x14ac:dyDescent="0.2">
      <c r="A2592">
        <f t="shared" si="80"/>
        <v>2910800</v>
      </c>
      <c r="B2592">
        <v>2021</v>
      </c>
      <c r="C2592" t="s">
        <v>739</v>
      </c>
      <c r="D2592" t="s">
        <v>740</v>
      </c>
      <c r="E2592" t="s">
        <v>743</v>
      </c>
      <c r="F2592" s="34">
        <v>424</v>
      </c>
      <c r="G2592" s="34" t="s">
        <v>595</v>
      </c>
      <c r="H2592" s="36">
        <v>75900</v>
      </c>
      <c r="I2592" s="58">
        <v>502106</v>
      </c>
      <c r="J2592">
        <f>IFERROR(VLOOKUP(G2592,'LEAID Match'!$A$2:$B$526,2,FALSE),"")</f>
        <v>2910800</v>
      </c>
      <c r="K2592" s="68">
        <f t="shared" si="81"/>
        <v>8</v>
      </c>
    </row>
    <row r="2593" spans="1:11" x14ac:dyDescent="0.2">
      <c r="A2593">
        <f t="shared" si="80"/>
        <v>2910800</v>
      </c>
      <c r="B2593">
        <v>2022</v>
      </c>
      <c r="C2593" t="s">
        <v>739</v>
      </c>
      <c r="D2593" t="s">
        <v>740</v>
      </c>
      <c r="E2593" t="s">
        <v>743</v>
      </c>
      <c r="F2593" s="34">
        <v>424</v>
      </c>
      <c r="G2593" s="34" t="s">
        <v>595</v>
      </c>
      <c r="H2593" s="36">
        <v>85263</v>
      </c>
      <c r="I2593" s="58">
        <v>535317</v>
      </c>
      <c r="J2593">
        <f>IFERROR(VLOOKUP(G2593,'LEAID Match'!$A$2:$B$526,2,FALSE),"")</f>
        <v>2910800</v>
      </c>
      <c r="K2593" s="68">
        <f t="shared" si="81"/>
        <v>8</v>
      </c>
    </row>
    <row r="2594" spans="1:11" x14ac:dyDescent="0.2">
      <c r="A2594">
        <f t="shared" si="80"/>
        <v>2921810</v>
      </c>
      <c r="B2594">
        <v>2015</v>
      </c>
      <c r="C2594" t="s">
        <v>739</v>
      </c>
      <c r="D2594" t="s">
        <v>740</v>
      </c>
      <c r="E2594" t="s">
        <v>743</v>
      </c>
      <c r="F2594" s="35">
        <v>425</v>
      </c>
      <c r="G2594" s="39" t="s">
        <v>596</v>
      </c>
      <c r="H2594" s="40">
        <v>472586</v>
      </c>
      <c r="I2594" s="58">
        <v>2630245</v>
      </c>
      <c r="J2594">
        <f>IFERROR(VLOOKUP(G2594,'LEAID Match'!$A$2:$B$526,2,FALSE),"")</f>
        <v>2921810</v>
      </c>
      <c r="K2594" s="68">
        <f t="shared" si="81"/>
        <v>8</v>
      </c>
    </row>
    <row r="2595" spans="1:11" x14ac:dyDescent="0.2">
      <c r="A2595">
        <f t="shared" si="80"/>
        <v>2921810</v>
      </c>
      <c r="B2595">
        <v>2016</v>
      </c>
      <c r="C2595" t="s">
        <v>739</v>
      </c>
      <c r="D2595" t="s">
        <v>740</v>
      </c>
      <c r="E2595" t="s">
        <v>743</v>
      </c>
      <c r="F2595" s="59">
        <v>425</v>
      </c>
      <c r="G2595" s="34" t="s">
        <v>596</v>
      </c>
      <c r="H2595" s="36">
        <v>491446</v>
      </c>
      <c r="I2595" s="60">
        <v>2681412</v>
      </c>
      <c r="J2595">
        <f>IFERROR(VLOOKUP(G2595,'LEAID Match'!$A$2:$B$526,2,FALSE),"")</f>
        <v>2921810</v>
      </c>
      <c r="K2595" s="68">
        <f t="shared" si="81"/>
        <v>8</v>
      </c>
    </row>
    <row r="2596" spans="1:11" x14ac:dyDescent="0.2">
      <c r="A2596">
        <f t="shared" si="80"/>
        <v>2921810</v>
      </c>
      <c r="B2596">
        <v>2017</v>
      </c>
      <c r="C2596" t="s">
        <v>739</v>
      </c>
      <c r="D2596" t="s">
        <v>740</v>
      </c>
      <c r="E2596" t="s">
        <v>743</v>
      </c>
      <c r="F2596" s="59">
        <v>425</v>
      </c>
      <c r="G2596" s="34" t="s">
        <v>596</v>
      </c>
      <c r="H2596" s="36">
        <v>504229</v>
      </c>
      <c r="I2596" s="58">
        <v>2759698</v>
      </c>
      <c r="J2596">
        <f>IFERROR(VLOOKUP(G2596,'LEAID Match'!$A$2:$B$526,2,FALSE),"")</f>
        <v>2921810</v>
      </c>
      <c r="K2596" s="68">
        <f t="shared" si="81"/>
        <v>8</v>
      </c>
    </row>
    <row r="2597" spans="1:11" x14ac:dyDescent="0.2">
      <c r="A2597">
        <f t="shared" si="80"/>
        <v>2921810</v>
      </c>
      <c r="B2597">
        <v>2018</v>
      </c>
      <c r="C2597" t="s">
        <v>739</v>
      </c>
      <c r="D2597" t="s">
        <v>740</v>
      </c>
      <c r="E2597" t="s">
        <v>743</v>
      </c>
      <c r="F2597" s="59">
        <v>425</v>
      </c>
      <c r="G2597" s="34" t="s">
        <v>596</v>
      </c>
      <c r="H2597" s="36">
        <v>512161</v>
      </c>
      <c r="I2597" s="58">
        <v>2740046</v>
      </c>
      <c r="J2597">
        <f>IFERROR(VLOOKUP(G2597,'LEAID Match'!$A$2:$B$526,2,FALSE),"")</f>
        <v>2921810</v>
      </c>
      <c r="K2597" s="68">
        <f t="shared" si="81"/>
        <v>8</v>
      </c>
    </row>
    <row r="2598" spans="1:11" x14ac:dyDescent="0.2">
      <c r="A2598">
        <f t="shared" si="80"/>
        <v>2921810</v>
      </c>
      <c r="B2598">
        <v>2019</v>
      </c>
      <c r="C2598" t="s">
        <v>739</v>
      </c>
      <c r="D2598" t="s">
        <v>740</v>
      </c>
      <c r="E2598" t="s">
        <v>743</v>
      </c>
      <c r="F2598" s="34">
        <v>425</v>
      </c>
      <c r="G2598" s="34" t="s">
        <v>596</v>
      </c>
      <c r="H2598" s="36">
        <v>536036</v>
      </c>
      <c r="I2598" s="58">
        <v>2823293</v>
      </c>
      <c r="J2598">
        <f>IFERROR(VLOOKUP(G2598,'LEAID Match'!$A$2:$B$526,2,FALSE),"")</f>
        <v>2921810</v>
      </c>
      <c r="K2598" s="68">
        <f t="shared" si="81"/>
        <v>8</v>
      </c>
    </row>
    <row r="2599" spans="1:11" x14ac:dyDescent="0.2">
      <c r="A2599">
        <f t="shared" si="80"/>
        <v>2921810</v>
      </c>
      <c r="B2599">
        <v>2020</v>
      </c>
      <c r="C2599" t="s">
        <v>739</v>
      </c>
      <c r="D2599" t="s">
        <v>740</v>
      </c>
      <c r="E2599" t="s">
        <v>743</v>
      </c>
      <c r="F2599" s="34">
        <v>425</v>
      </c>
      <c r="G2599" s="34" t="s">
        <v>596</v>
      </c>
      <c r="H2599" s="36">
        <v>549795</v>
      </c>
      <c r="I2599" s="58">
        <v>2833295</v>
      </c>
      <c r="J2599">
        <f>IFERROR(VLOOKUP(G2599,'LEAID Match'!$A$2:$B$526,2,FALSE),"")</f>
        <v>2921810</v>
      </c>
      <c r="K2599" s="68">
        <f t="shared" si="81"/>
        <v>8</v>
      </c>
    </row>
    <row r="2600" spans="1:11" x14ac:dyDescent="0.2">
      <c r="A2600">
        <f t="shared" si="80"/>
        <v>2921810</v>
      </c>
      <c r="B2600">
        <v>2021</v>
      </c>
      <c r="C2600" t="s">
        <v>739</v>
      </c>
      <c r="D2600" t="s">
        <v>740</v>
      </c>
      <c r="E2600" t="s">
        <v>743</v>
      </c>
      <c r="F2600" s="34">
        <v>425</v>
      </c>
      <c r="G2600" s="34" t="s">
        <v>596</v>
      </c>
      <c r="H2600" s="36">
        <v>575267</v>
      </c>
      <c r="I2600" s="58">
        <v>3042329</v>
      </c>
      <c r="J2600">
        <f>IFERROR(VLOOKUP(G2600,'LEAID Match'!$A$2:$B$526,2,FALSE),"")</f>
        <v>2921810</v>
      </c>
      <c r="K2600" s="68">
        <f t="shared" si="81"/>
        <v>8</v>
      </c>
    </row>
    <row r="2601" spans="1:11" x14ac:dyDescent="0.2">
      <c r="A2601">
        <f t="shared" si="80"/>
        <v>2921810</v>
      </c>
      <c r="B2601">
        <v>2022</v>
      </c>
      <c r="C2601" t="s">
        <v>739</v>
      </c>
      <c r="D2601" t="s">
        <v>740</v>
      </c>
      <c r="E2601" t="s">
        <v>743</v>
      </c>
      <c r="F2601" s="34">
        <v>425</v>
      </c>
      <c r="G2601" s="34" t="s">
        <v>596</v>
      </c>
      <c r="H2601" s="36">
        <v>565342</v>
      </c>
      <c r="I2601" s="58">
        <v>3118472</v>
      </c>
      <c r="J2601">
        <f>IFERROR(VLOOKUP(G2601,'LEAID Match'!$A$2:$B$526,2,FALSE),"")</f>
        <v>2921810</v>
      </c>
      <c r="K2601" s="68">
        <f t="shared" si="81"/>
        <v>8</v>
      </c>
    </row>
    <row r="2602" spans="1:11" x14ac:dyDescent="0.2">
      <c r="A2602">
        <f t="shared" si="80"/>
        <v>2930420</v>
      </c>
      <c r="B2602">
        <v>2015</v>
      </c>
      <c r="C2602" t="s">
        <v>739</v>
      </c>
      <c r="D2602" t="s">
        <v>740</v>
      </c>
      <c r="E2602" t="s">
        <v>743</v>
      </c>
      <c r="F2602" s="35">
        <v>426</v>
      </c>
      <c r="G2602" s="39" t="s">
        <v>597</v>
      </c>
      <c r="H2602" s="40">
        <v>123418</v>
      </c>
      <c r="I2602" s="58">
        <v>976142</v>
      </c>
      <c r="J2602">
        <f>IFERROR(VLOOKUP(G2602,'LEAID Match'!$A$2:$B$526,2,FALSE),"")</f>
        <v>2930420</v>
      </c>
      <c r="K2602" s="68">
        <f t="shared" si="81"/>
        <v>8</v>
      </c>
    </row>
    <row r="2603" spans="1:11" x14ac:dyDescent="0.2">
      <c r="A2603">
        <f t="shared" si="80"/>
        <v>2930420</v>
      </c>
      <c r="B2603">
        <v>2016</v>
      </c>
      <c r="C2603" t="s">
        <v>739</v>
      </c>
      <c r="D2603" t="s">
        <v>740</v>
      </c>
      <c r="E2603" t="s">
        <v>743</v>
      </c>
      <c r="F2603" s="59">
        <v>426</v>
      </c>
      <c r="G2603" s="34" t="s">
        <v>597</v>
      </c>
      <c r="H2603" s="36">
        <v>124081</v>
      </c>
      <c r="I2603" s="60">
        <v>978471</v>
      </c>
      <c r="J2603">
        <f>IFERROR(VLOOKUP(G2603,'LEAID Match'!$A$2:$B$526,2,FALSE),"")</f>
        <v>2930420</v>
      </c>
      <c r="K2603" s="68">
        <f t="shared" si="81"/>
        <v>8</v>
      </c>
    </row>
    <row r="2604" spans="1:11" x14ac:dyDescent="0.2">
      <c r="A2604">
        <f t="shared" si="80"/>
        <v>2930420</v>
      </c>
      <c r="B2604">
        <v>2017</v>
      </c>
      <c r="C2604" t="s">
        <v>739</v>
      </c>
      <c r="D2604" t="s">
        <v>740</v>
      </c>
      <c r="E2604" t="s">
        <v>743</v>
      </c>
      <c r="F2604" s="59">
        <v>426</v>
      </c>
      <c r="G2604" s="34" t="s">
        <v>597</v>
      </c>
      <c r="H2604" s="36">
        <v>124290</v>
      </c>
      <c r="I2604" s="58">
        <v>992756</v>
      </c>
      <c r="J2604">
        <f>IFERROR(VLOOKUP(G2604,'LEAID Match'!$A$2:$B$526,2,FALSE),"")</f>
        <v>2930420</v>
      </c>
      <c r="K2604" s="68">
        <f t="shared" si="81"/>
        <v>8</v>
      </c>
    </row>
    <row r="2605" spans="1:11" x14ac:dyDescent="0.2">
      <c r="A2605">
        <f t="shared" si="80"/>
        <v>2930420</v>
      </c>
      <c r="B2605">
        <v>2018</v>
      </c>
      <c r="C2605" t="s">
        <v>739</v>
      </c>
      <c r="D2605" t="s">
        <v>740</v>
      </c>
      <c r="E2605" t="s">
        <v>743</v>
      </c>
      <c r="F2605" s="59">
        <v>426</v>
      </c>
      <c r="G2605" s="34" t="s">
        <v>597</v>
      </c>
      <c r="H2605" s="36">
        <v>117823</v>
      </c>
      <c r="I2605" s="58">
        <v>945130</v>
      </c>
      <c r="J2605">
        <f>IFERROR(VLOOKUP(G2605,'LEAID Match'!$A$2:$B$526,2,FALSE),"")</f>
        <v>2930420</v>
      </c>
      <c r="K2605" s="68">
        <f t="shared" si="81"/>
        <v>8</v>
      </c>
    </row>
    <row r="2606" spans="1:11" x14ac:dyDescent="0.2">
      <c r="A2606">
        <f t="shared" si="80"/>
        <v>2930420</v>
      </c>
      <c r="B2606">
        <v>2019</v>
      </c>
      <c r="C2606" t="s">
        <v>739</v>
      </c>
      <c r="D2606" t="s">
        <v>740</v>
      </c>
      <c r="E2606" t="s">
        <v>743</v>
      </c>
      <c r="F2606" s="34">
        <v>426</v>
      </c>
      <c r="G2606" s="34" t="s">
        <v>597</v>
      </c>
      <c r="H2606" s="36">
        <v>121560</v>
      </c>
      <c r="I2606" s="58">
        <v>891000</v>
      </c>
      <c r="J2606">
        <f>IFERROR(VLOOKUP(G2606,'LEAID Match'!$A$2:$B$526,2,FALSE),"")</f>
        <v>2930420</v>
      </c>
      <c r="K2606" s="68">
        <f t="shared" si="81"/>
        <v>8</v>
      </c>
    </row>
    <row r="2607" spans="1:11" x14ac:dyDescent="0.2">
      <c r="A2607">
        <f t="shared" si="80"/>
        <v>2930420</v>
      </c>
      <c r="B2607">
        <v>2020</v>
      </c>
      <c r="C2607" t="s">
        <v>739</v>
      </c>
      <c r="D2607" t="s">
        <v>740</v>
      </c>
      <c r="E2607" t="s">
        <v>743</v>
      </c>
      <c r="F2607" s="34">
        <v>426</v>
      </c>
      <c r="G2607" s="34" t="s">
        <v>597</v>
      </c>
      <c r="H2607" s="36">
        <v>116987</v>
      </c>
      <c r="I2607" s="58">
        <v>911651</v>
      </c>
      <c r="J2607">
        <f>IFERROR(VLOOKUP(G2607,'LEAID Match'!$A$2:$B$526,2,FALSE),"")</f>
        <v>2930420</v>
      </c>
      <c r="K2607" s="68">
        <f t="shared" si="81"/>
        <v>8</v>
      </c>
    </row>
    <row r="2608" spans="1:11" x14ac:dyDescent="0.2">
      <c r="A2608">
        <f t="shared" si="80"/>
        <v>2930420</v>
      </c>
      <c r="B2608">
        <v>2021</v>
      </c>
      <c r="C2608" t="s">
        <v>739</v>
      </c>
      <c r="D2608" t="s">
        <v>740</v>
      </c>
      <c r="E2608" t="s">
        <v>743</v>
      </c>
      <c r="F2608" s="34">
        <v>426</v>
      </c>
      <c r="G2608" s="34" t="s">
        <v>597</v>
      </c>
      <c r="H2608" s="36">
        <v>114013</v>
      </c>
      <c r="I2608" s="58">
        <v>913862</v>
      </c>
      <c r="J2608">
        <f>IFERROR(VLOOKUP(G2608,'LEAID Match'!$A$2:$B$526,2,FALSE),"")</f>
        <v>2930420</v>
      </c>
      <c r="K2608" s="68">
        <f t="shared" si="81"/>
        <v>8</v>
      </c>
    </row>
    <row r="2609" spans="1:11" x14ac:dyDescent="0.2">
      <c r="A2609">
        <f t="shared" si="80"/>
        <v>2930420</v>
      </c>
      <c r="B2609">
        <v>2022</v>
      </c>
      <c r="C2609" t="s">
        <v>739</v>
      </c>
      <c r="D2609" t="s">
        <v>740</v>
      </c>
      <c r="E2609" t="s">
        <v>743</v>
      </c>
      <c r="F2609" s="34">
        <v>426</v>
      </c>
      <c r="G2609" s="34" t="s">
        <v>597</v>
      </c>
      <c r="H2609" s="36">
        <v>139778</v>
      </c>
      <c r="I2609" s="58">
        <v>931754</v>
      </c>
      <c r="J2609">
        <f>IFERROR(VLOOKUP(G2609,'LEAID Match'!$A$2:$B$526,2,FALSE),"")</f>
        <v>2930420</v>
      </c>
      <c r="K2609" s="68">
        <f t="shared" si="81"/>
        <v>8</v>
      </c>
    </row>
    <row r="2610" spans="1:11" x14ac:dyDescent="0.2">
      <c r="A2610">
        <f t="shared" si="80"/>
        <v>2927900</v>
      </c>
      <c r="B2610">
        <v>2015</v>
      </c>
      <c r="C2610" t="s">
        <v>739</v>
      </c>
      <c r="D2610" t="s">
        <v>740</v>
      </c>
      <c r="E2610" t="s">
        <v>743</v>
      </c>
      <c r="F2610" s="35">
        <v>427</v>
      </c>
      <c r="G2610" s="39" t="s">
        <v>598</v>
      </c>
      <c r="H2610" s="40">
        <v>149068</v>
      </c>
      <c r="I2610" s="58">
        <v>868999</v>
      </c>
      <c r="J2610">
        <f>IFERROR(VLOOKUP(G2610,'LEAID Match'!$A$2:$B$526,2,FALSE),"")</f>
        <v>2927900</v>
      </c>
      <c r="K2610" s="68">
        <f t="shared" si="81"/>
        <v>8</v>
      </c>
    </row>
    <row r="2611" spans="1:11" x14ac:dyDescent="0.2">
      <c r="A2611">
        <f t="shared" si="80"/>
        <v>2927900</v>
      </c>
      <c r="B2611">
        <v>2016</v>
      </c>
      <c r="C2611" t="s">
        <v>739</v>
      </c>
      <c r="D2611" t="s">
        <v>740</v>
      </c>
      <c r="E2611" t="s">
        <v>743</v>
      </c>
      <c r="F2611" s="59">
        <v>427</v>
      </c>
      <c r="G2611" s="34" t="s">
        <v>598</v>
      </c>
      <c r="H2611" s="36">
        <v>148777</v>
      </c>
      <c r="I2611" s="60">
        <v>877458</v>
      </c>
      <c r="J2611">
        <f>IFERROR(VLOOKUP(G2611,'LEAID Match'!$A$2:$B$526,2,FALSE),"")</f>
        <v>2927900</v>
      </c>
      <c r="K2611" s="68">
        <f t="shared" si="81"/>
        <v>8</v>
      </c>
    </row>
    <row r="2612" spans="1:11" x14ac:dyDescent="0.2">
      <c r="A2612">
        <f t="shared" si="80"/>
        <v>2927900</v>
      </c>
      <c r="B2612">
        <v>2017</v>
      </c>
      <c r="C2612" t="s">
        <v>739</v>
      </c>
      <c r="D2612" t="s">
        <v>740</v>
      </c>
      <c r="E2612" t="s">
        <v>743</v>
      </c>
      <c r="F2612" s="59">
        <v>427</v>
      </c>
      <c r="G2612" s="34" t="s">
        <v>598</v>
      </c>
      <c r="H2612" s="36">
        <v>154774</v>
      </c>
      <c r="I2612" s="58">
        <v>903296</v>
      </c>
      <c r="J2612">
        <f>IFERROR(VLOOKUP(G2612,'LEAID Match'!$A$2:$B$526,2,FALSE),"")</f>
        <v>2927900</v>
      </c>
      <c r="K2612" s="68">
        <f t="shared" si="81"/>
        <v>8</v>
      </c>
    </row>
    <row r="2613" spans="1:11" x14ac:dyDescent="0.2">
      <c r="A2613">
        <f t="shared" si="80"/>
        <v>2927900</v>
      </c>
      <c r="B2613">
        <v>2018</v>
      </c>
      <c r="C2613" t="s">
        <v>739</v>
      </c>
      <c r="D2613" t="s">
        <v>740</v>
      </c>
      <c r="E2613" t="s">
        <v>743</v>
      </c>
      <c r="F2613" s="59">
        <v>427</v>
      </c>
      <c r="G2613" s="34" t="s">
        <v>598</v>
      </c>
      <c r="H2613" s="36">
        <v>155268</v>
      </c>
      <c r="I2613" s="58">
        <v>932240</v>
      </c>
      <c r="J2613">
        <f>IFERROR(VLOOKUP(G2613,'LEAID Match'!$A$2:$B$526,2,FALSE),"")</f>
        <v>2927900</v>
      </c>
      <c r="K2613" s="68">
        <f t="shared" si="81"/>
        <v>8</v>
      </c>
    </row>
    <row r="2614" spans="1:11" x14ac:dyDescent="0.2">
      <c r="A2614">
        <f t="shared" si="80"/>
        <v>2927900</v>
      </c>
      <c r="B2614">
        <v>2019</v>
      </c>
      <c r="C2614" t="s">
        <v>739</v>
      </c>
      <c r="D2614" t="s">
        <v>740</v>
      </c>
      <c r="E2614" t="s">
        <v>743</v>
      </c>
      <c r="F2614" s="34">
        <v>427</v>
      </c>
      <c r="G2614" s="34" t="s">
        <v>598</v>
      </c>
      <c r="H2614" s="36">
        <v>155436</v>
      </c>
      <c r="I2614" s="58">
        <v>952568</v>
      </c>
      <c r="J2614">
        <f>IFERROR(VLOOKUP(G2614,'LEAID Match'!$A$2:$B$526,2,FALSE),"")</f>
        <v>2927900</v>
      </c>
      <c r="K2614" s="68">
        <f t="shared" si="81"/>
        <v>8</v>
      </c>
    </row>
    <row r="2615" spans="1:11" x14ac:dyDescent="0.2">
      <c r="A2615">
        <f t="shared" si="80"/>
        <v>2927900</v>
      </c>
      <c r="B2615">
        <v>2020</v>
      </c>
      <c r="C2615" t="s">
        <v>739</v>
      </c>
      <c r="D2615" t="s">
        <v>740</v>
      </c>
      <c r="E2615" t="s">
        <v>743</v>
      </c>
      <c r="F2615" s="34">
        <v>427</v>
      </c>
      <c r="G2615" s="34" t="s">
        <v>598</v>
      </c>
      <c r="H2615" s="36">
        <v>159773</v>
      </c>
      <c r="I2615" s="58">
        <v>933516</v>
      </c>
      <c r="J2615">
        <f>IFERROR(VLOOKUP(G2615,'LEAID Match'!$A$2:$B$526,2,FALSE),"")</f>
        <v>2927900</v>
      </c>
      <c r="K2615" s="68">
        <f t="shared" si="81"/>
        <v>8</v>
      </c>
    </row>
    <row r="2616" spans="1:11" x14ac:dyDescent="0.2">
      <c r="A2616">
        <f t="shared" si="80"/>
        <v>2927900</v>
      </c>
      <c r="B2616">
        <v>2021</v>
      </c>
      <c r="C2616" t="s">
        <v>739</v>
      </c>
      <c r="D2616" t="s">
        <v>740</v>
      </c>
      <c r="E2616" t="s">
        <v>743</v>
      </c>
      <c r="F2616" s="34">
        <v>427</v>
      </c>
      <c r="G2616" s="34" t="s">
        <v>598</v>
      </c>
      <c r="H2616" s="36">
        <v>161535</v>
      </c>
      <c r="I2616" s="58">
        <v>954917</v>
      </c>
      <c r="J2616">
        <f>IFERROR(VLOOKUP(G2616,'LEAID Match'!$A$2:$B$526,2,FALSE),"")</f>
        <v>2927900</v>
      </c>
      <c r="K2616" s="68">
        <f t="shared" si="81"/>
        <v>8</v>
      </c>
    </row>
    <row r="2617" spans="1:11" x14ac:dyDescent="0.2">
      <c r="A2617">
        <f t="shared" si="80"/>
        <v>2927900</v>
      </c>
      <c r="B2617">
        <v>2022</v>
      </c>
      <c r="C2617" t="s">
        <v>739</v>
      </c>
      <c r="D2617" t="s">
        <v>740</v>
      </c>
      <c r="E2617" t="s">
        <v>743</v>
      </c>
      <c r="F2617" s="34">
        <v>427</v>
      </c>
      <c r="G2617" s="34" t="s">
        <v>598</v>
      </c>
      <c r="H2617" s="36">
        <v>168319</v>
      </c>
      <c r="I2617" s="58">
        <v>980099</v>
      </c>
      <c r="J2617">
        <f>IFERROR(VLOOKUP(G2617,'LEAID Match'!$A$2:$B$526,2,FALSE),"")</f>
        <v>2927900</v>
      </c>
      <c r="K2617" s="68">
        <f t="shared" si="81"/>
        <v>8</v>
      </c>
    </row>
    <row r="2618" spans="1:11" x14ac:dyDescent="0.2">
      <c r="A2618">
        <f t="shared" si="80"/>
        <v>2931890</v>
      </c>
      <c r="B2618">
        <v>2015</v>
      </c>
      <c r="C2618" t="s">
        <v>739</v>
      </c>
      <c r="D2618" t="s">
        <v>740</v>
      </c>
      <c r="E2618" t="s">
        <v>743</v>
      </c>
      <c r="F2618" s="35">
        <v>428</v>
      </c>
      <c r="G2618" s="39" t="s">
        <v>599</v>
      </c>
      <c r="H2618" s="40">
        <v>13350</v>
      </c>
      <c r="I2618" s="58">
        <v>96447</v>
      </c>
      <c r="J2618">
        <f>IFERROR(VLOOKUP(G2618,'LEAID Match'!$A$2:$B$526,2,FALSE),"")</f>
        <v>2931890</v>
      </c>
      <c r="K2618" s="68">
        <f t="shared" si="81"/>
        <v>8</v>
      </c>
    </row>
    <row r="2619" spans="1:11" x14ac:dyDescent="0.2">
      <c r="A2619">
        <f t="shared" si="80"/>
        <v>2931890</v>
      </c>
      <c r="B2619">
        <v>2016</v>
      </c>
      <c r="C2619" t="s">
        <v>739</v>
      </c>
      <c r="D2619" t="s">
        <v>740</v>
      </c>
      <c r="E2619" t="s">
        <v>743</v>
      </c>
      <c r="F2619" s="59">
        <v>428</v>
      </c>
      <c r="G2619" s="34" t="s">
        <v>599</v>
      </c>
      <c r="H2619" s="36">
        <v>12144</v>
      </c>
      <c r="I2619" s="60">
        <v>104706</v>
      </c>
      <c r="J2619">
        <f>IFERROR(VLOOKUP(G2619,'LEAID Match'!$A$2:$B$526,2,FALSE),"")</f>
        <v>2931890</v>
      </c>
      <c r="K2619" s="68">
        <f t="shared" si="81"/>
        <v>8</v>
      </c>
    </row>
    <row r="2620" spans="1:11" x14ac:dyDescent="0.2">
      <c r="A2620">
        <f t="shared" si="80"/>
        <v>2931890</v>
      </c>
      <c r="B2620">
        <v>2017</v>
      </c>
      <c r="C2620" t="s">
        <v>739</v>
      </c>
      <c r="D2620" t="s">
        <v>740</v>
      </c>
      <c r="E2620" t="s">
        <v>743</v>
      </c>
      <c r="F2620" s="59">
        <v>428</v>
      </c>
      <c r="G2620" s="34" t="s">
        <v>599</v>
      </c>
      <c r="H2620" s="36">
        <v>11279</v>
      </c>
      <c r="I2620" s="58">
        <v>92612</v>
      </c>
      <c r="J2620">
        <f>IFERROR(VLOOKUP(G2620,'LEAID Match'!$A$2:$B$526,2,FALSE),"")</f>
        <v>2931890</v>
      </c>
      <c r="K2620" s="68">
        <f t="shared" si="81"/>
        <v>8</v>
      </c>
    </row>
    <row r="2621" spans="1:11" x14ac:dyDescent="0.2">
      <c r="A2621">
        <f t="shared" si="80"/>
        <v>2931890</v>
      </c>
      <c r="B2621">
        <v>2018</v>
      </c>
      <c r="C2621" t="s">
        <v>739</v>
      </c>
      <c r="D2621" t="s">
        <v>740</v>
      </c>
      <c r="E2621" t="s">
        <v>743</v>
      </c>
      <c r="F2621" s="59">
        <v>428</v>
      </c>
      <c r="G2621" s="34" t="s">
        <v>599</v>
      </c>
      <c r="H2621" s="36">
        <v>12566</v>
      </c>
      <c r="I2621" s="58">
        <v>95771</v>
      </c>
      <c r="J2621">
        <f>IFERROR(VLOOKUP(G2621,'LEAID Match'!$A$2:$B$526,2,FALSE),"")</f>
        <v>2931890</v>
      </c>
      <c r="K2621" s="68">
        <f t="shared" si="81"/>
        <v>8</v>
      </c>
    </row>
    <row r="2622" spans="1:11" x14ac:dyDescent="0.2">
      <c r="A2622">
        <f t="shared" si="80"/>
        <v>2931890</v>
      </c>
      <c r="B2622">
        <v>2019</v>
      </c>
      <c r="C2622" t="s">
        <v>739</v>
      </c>
      <c r="D2622" t="s">
        <v>740</v>
      </c>
      <c r="E2622" t="s">
        <v>743</v>
      </c>
      <c r="F2622" s="34">
        <v>428</v>
      </c>
      <c r="G2622" s="34" t="s">
        <v>599</v>
      </c>
      <c r="H2622" s="36">
        <v>14488</v>
      </c>
      <c r="I2622" s="58">
        <v>101673</v>
      </c>
      <c r="J2622">
        <f>IFERROR(VLOOKUP(G2622,'LEAID Match'!$A$2:$B$526,2,FALSE),"")</f>
        <v>2931890</v>
      </c>
      <c r="K2622" s="68">
        <f t="shared" si="81"/>
        <v>8</v>
      </c>
    </row>
    <row r="2623" spans="1:11" x14ac:dyDescent="0.2">
      <c r="A2623">
        <f t="shared" si="80"/>
        <v>2931890</v>
      </c>
      <c r="B2623">
        <v>2020</v>
      </c>
      <c r="C2623" t="s">
        <v>739</v>
      </c>
      <c r="D2623" t="s">
        <v>740</v>
      </c>
      <c r="E2623" t="s">
        <v>743</v>
      </c>
      <c r="F2623" s="34">
        <v>428</v>
      </c>
      <c r="G2623" s="34" t="s">
        <v>599</v>
      </c>
      <c r="H2623" s="36">
        <v>14331</v>
      </c>
      <c r="I2623" s="58">
        <v>113462</v>
      </c>
      <c r="J2623">
        <f>IFERROR(VLOOKUP(G2623,'LEAID Match'!$A$2:$B$526,2,FALSE),"")</f>
        <v>2931890</v>
      </c>
      <c r="K2623" s="68">
        <f t="shared" si="81"/>
        <v>8</v>
      </c>
    </row>
    <row r="2624" spans="1:11" x14ac:dyDescent="0.2">
      <c r="A2624">
        <f t="shared" si="80"/>
        <v>2931890</v>
      </c>
      <c r="B2624">
        <v>2021</v>
      </c>
      <c r="C2624" t="s">
        <v>739</v>
      </c>
      <c r="D2624" t="s">
        <v>740</v>
      </c>
      <c r="E2624" t="s">
        <v>743</v>
      </c>
      <c r="F2624" s="34">
        <v>428</v>
      </c>
      <c r="G2624" s="34" t="s">
        <v>599</v>
      </c>
      <c r="H2624" s="36">
        <v>14830</v>
      </c>
      <c r="I2624" s="58">
        <v>117383</v>
      </c>
      <c r="J2624">
        <f>IFERROR(VLOOKUP(G2624,'LEAID Match'!$A$2:$B$526,2,FALSE),"")</f>
        <v>2931890</v>
      </c>
      <c r="K2624" s="68">
        <f t="shared" si="81"/>
        <v>8</v>
      </c>
    </row>
    <row r="2625" spans="1:11" x14ac:dyDescent="0.2">
      <c r="A2625">
        <f t="shared" si="80"/>
        <v>2931890</v>
      </c>
      <c r="B2625">
        <v>2022</v>
      </c>
      <c r="C2625" t="s">
        <v>739</v>
      </c>
      <c r="D2625" t="s">
        <v>740</v>
      </c>
      <c r="E2625" t="s">
        <v>743</v>
      </c>
      <c r="F2625" s="34">
        <v>428</v>
      </c>
      <c r="G2625" s="34" t="s">
        <v>599</v>
      </c>
      <c r="H2625" s="36">
        <v>17053</v>
      </c>
      <c r="I2625" s="58">
        <v>124206</v>
      </c>
      <c r="J2625">
        <f>IFERROR(VLOOKUP(G2625,'LEAID Match'!$A$2:$B$526,2,FALSE),"")</f>
        <v>2931890</v>
      </c>
      <c r="K2625" s="68">
        <f t="shared" si="81"/>
        <v>8</v>
      </c>
    </row>
    <row r="2626" spans="1:11" x14ac:dyDescent="0.2">
      <c r="A2626">
        <f t="shared" si="80"/>
        <v>2930900</v>
      </c>
      <c r="B2626">
        <v>2015</v>
      </c>
      <c r="C2626" t="s">
        <v>739</v>
      </c>
      <c r="D2626" t="s">
        <v>740</v>
      </c>
      <c r="E2626" t="s">
        <v>743</v>
      </c>
      <c r="F2626" s="35">
        <v>429</v>
      </c>
      <c r="G2626" s="34" t="s">
        <v>600</v>
      </c>
      <c r="H2626" s="40">
        <v>24258</v>
      </c>
      <c r="I2626" s="58">
        <v>207774</v>
      </c>
      <c r="J2626">
        <f>IFERROR(VLOOKUP(G2626,'LEAID Match'!$A$2:$B$526,2,FALSE),"")</f>
        <v>2930900</v>
      </c>
      <c r="K2626" s="68">
        <f t="shared" si="81"/>
        <v>8</v>
      </c>
    </row>
    <row r="2627" spans="1:11" x14ac:dyDescent="0.2">
      <c r="A2627">
        <f t="shared" ref="A2627:A2690" si="82">J2627</f>
        <v>2930900</v>
      </c>
      <c r="B2627">
        <v>2016</v>
      </c>
      <c r="C2627" t="s">
        <v>739</v>
      </c>
      <c r="D2627" t="s">
        <v>740</v>
      </c>
      <c r="E2627" t="s">
        <v>743</v>
      </c>
      <c r="F2627" s="59">
        <v>429</v>
      </c>
      <c r="G2627" s="34" t="s">
        <v>600</v>
      </c>
      <c r="H2627" s="36">
        <v>24928</v>
      </c>
      <c r="I2627" s="60">
        <v>210951</v>
      </c>
      <c r="J2627">
        <f>IFERROR(VLOOKUP(G2627,'LEAID Match'!$A$2:$B$526,2,FALSE),"")</f>
        <v>2930900</v>
      </c>
      <c r="K2627" s="68">
        <f t="shared" ref="K2627:K2690" si="83">COUNTIF($J$2:$J$4295,J2627)</f>
        <v>8</v>
      </c>
    </row>
    <row r="2628" spans="1:11" x14ac:dyDescent="0.2">
      <c r="A2628">
        <f t="shared" si="82"/>
        <v>2930900</v>
      </c>
      <c r="B2628">
        <v>2017</v>
      </c>
      <c r="C2628" t="s">
        <v>739</v>
      </c>
      <c r="D2628" t="s">
        <v>740</v>
      </c>
      <c r="E2628" t="s">
        <v>743</v>
      </c>
      <c r="F2628" s="59">
        <v>429</v>
      </c>
      <c r="G2628" s="34" t="s">
        <v>600</v>
      </c>
      <c r="H2628" s="36">
        <v>27212</v>
      </c>
      <c r="I2628" s="58">
        <v>224037</v>
      </c>
      <c r="J2628">
        <f>IFERROR(VLOOKUP(G2628,'LEAID Match'!$A$2:$B$526,2,FALSE),"")</f>
        <v>2930900</v>
      </c>
      <c r="K2628" s="68">
        <f t="shared" si="83"/>
        <v>8</v>
      </c>
    </row>
    <row r="2629" spans="1:11" x14ac:dyDescent="0.2">
      <c r="A2629">
        <f t="shared" si="82"/>
        <v>2930900</v>
      </c>
      <c r="B2629">
        <v>2018</v>
      </c>
      <c r="C2629" t="s">
        <v>739</v>
      </c>
      <c r="D2629" t="s">
        <v>740</v>
      </c>
      <c r="E2629" t="s">
        <v>743</v>
      </c>
      <c r="F2629" s="59">
        <v>429</v>
      </c>
      <c r="G2629" s="34" t="s">
        <v>600</v>
      </c>
      <c r="H2629" s="36">
        <v>32741</v>
      </c>
      <c r="I2629" s="58">
        <v>219951</v>
      </c>
      <c r="J2629">
        <f>IFERROR(VLOOKUP(G2629,'LEAID Match'!$A$2:$B$526,2,FALSE),"")</f>
        <v>2930900</v>
      </c>
      <c r="K2629" s="68">
        <f t="shared" si="83"/>
        <v>8</v>
      </c>
    </row>
    <row r="2630" spans="1:11" x14ac:dyDescent="0.2">
      <c r="A2630">
        <f t="shared" si="82"/>
        <v>2930900</v>
      </c>
      <c r="B2630">
        <v>2019</v>
      </c>
      <c r="C2630" t="s">
        <v>739</v>
      </c>
      <c r="D2630" t="s">
        <v>740</v>
      </c>
      <c r="E2630" t="s">
        <v>743</v>
      </c>
      <c r="F2630" s="34">
        <v>429</v>
      </c>
      <c r="G2630" s="34" t="s">
        <v>600</v>
      </c>
      <c r="H2630" s="36">
        <v>37678</v>
      </c>
      <c r="I2630" s="58">
        <v>217696</v>
      </c>
      <c r="J2630">
        <f>IFERROR(VLOOKUP(G2630,'LEAID Match'!$A$2:$B$526,2,FALSE),"")</f>
        <v>2930900</v>
      </c>
      <c r="K2630" s="68">
        <f t="shared" si="83"/>
        <v>8</v>
      </c>
    </row>
    <row r="2631" spans="1:11" x14ac:dyDescent="0.2">
      <c r="A2631">
        <f t="shared" si="82"/>
        <v>2930900</v>
      </c>
      <c r="B2631">
        <v>2020</v>
      </c>
      <c r="C2631" t="s">
        <v>739</v>
      </c>
      <c r="D2631" t="s">
        <v>740</v>
      </c>
      <c r="E2631" t="s">
        <v>743</v>
      </c>
      <c r="F2631" s="34">
        <v>429</v>
      </c>
      <c r="G2631" s="34" t="s">
        <v>600</v>
      </c>
      <c r="H2631" s="36">
        <v>39042</v>
      </c>
      <c r="I2631" s="58">
        <v>232541</v>
      </c>
      <c r="J2631">
        <f>IFERROR(VLOOKUP(G2631,'LEAID Match'!$A$2:$B$526,2,FALSE),"")</f>
        <v>2930900</v>
      </c>
      <c r="K2631" s="68">
        <f t="shared" si="83"/>
        <v>8</v>
      </c>
    </row>
    <row r="2632" spans="1:11" x14ac:dyDescent="0.2">
      <c r="A2632">
        <f t="shared" si="82"/>
        <v>2930900</v>
      </c>
      <c r="B2632">
        <v>2021</v>
      </c>
      <c r="C2632" t="s">
        <v>739</v>
      </c>
      <c r="D2632" t="s">
        <v>740</v>
      </c>
      <c r="E2632" t="s">
        <v>743</v>
      </c>
      <c r="F2632" s="34">
        <v>429</v>
      </c>
      <c r="G2632" s="34" t="s">
        <v>600</v>
      </c>
      <c r="H2632" s="36">
        <v>31481</v>
      </c>
      <c r="I2632" s="58">
        <v>193428</v>
      </c>
      <c r="J2632">
        <f>IFERROR(VLOOKUP(G2632,'LEAID Match'!$A$2:$B$526,2,FALSE),"")</f>
        <v>2930900</v>
      </c>
      <c r="K2632" s="68">
        <f t="shared" si="83"/>
        <v>8</v>
      </c>
    </row>
    <row r="2633" spans="1:11" x14ac:dyDescent="0.2">
      <c r="A2633">
        <f t="shared" si="82"/>
        <v>2930900</v>
      </c>
      <c r="B2633">
        <v>2022</v>
      </c>
      <c r="C2633" t="s">
        <v>739</v>
      </c>
      <c r="D2633" t="s">
        <v>740</v>
      </c>
      <c r="E2633" t="s">
        <v>743</v>
      </c>
      <c r="F2633" s="34">
        <v>429</v>
      </c>
      <c r="G2633" s="34" t="s">
        <v>600</v>
      </c>
      <c r="H2633" s="36">
        <v>25653</v>
      </c>
      <c r="I2633" s="58">
        <v>198441</v>
      </c>
      <c r="J2633">
        <f>IFERROR(VLOOKUP(G2633,'LEAID Match'!$A$2:$B$526,2,FALSE),"")</f>
        <v>2930900</v>
      </c>
      <c r="K2633" s="68">
        <f t="shared" si="83"/>
        <v>8</v>
      </c>
    </row>
    <row r="2634" spans="1:11" x14ac:dyDescent="0.2">
      <c r="A2634">
        <f t="shared" si="82"/>
        <v>2920490</v>
      </c>
      <c r="B2634">
        <v>2015</v>
      </c>
      <c r="C2634" t="s">
        <v>739</v>
      </c>
      <c r="D2634" t="s">
        <v>740</v>
      </c>
      <c r="E2634" t="s">
        <v>743</v>
      </c>
      <c r="F2634" s="35">
        <v>430</v>
      </c>
      <c r="G2634" s="34" t="s">
        <v>601</v>
      </c>
      <c r="H2634" s="40">
        <v>126260</v>
      </c>
      <c r="I2634" s="58">
        <v>1124045</v>
      </c>
      <c r="J2634">
        <f>IFERROR(VLOOKUP(G2634,'LEAID Match'!$A$2:$B$526,2,FALSE),"")</f>
        <v>2920490</v>
      </c>
      <c r="K2634" s="68">
        <f t="shared" si="83"/>
        <v>8</v>
      </c>
    </row>
    <row r="2635" spans="1:11" x14ac:dyDescent="0.2">
      <c r="A2635">
        <f t="shared" si="82"/>
        <v>2920490</v>
      </c>
      <c r="B2635">
        <v>2016</v>
      </c>
      <c r="C2635" t="s">
        <v>739</v>
      </c>
      <c r="D2635" t="s">
        <v>740</v>
      </c>
      <c r="E2635" t="s">
        <v>743</v>
      </c>
      <c r="F2635" s="59">
        <v>430</v>
      </c>
      <c r="G2635" s="34" t="s">
        <v>601</v>
      </c>
      <c r="H2635" s="36">
        <v>129410</v>
      </c>
      <c r="I2635" s="60">
        <v>1157367</v>
      </c>
      <c r="J2635">
        <f>IFERROR(VLOOKUP(G2635,'LEAID Match'!$A$2:$B$526,2,FALSE),"")</f>
        <v>2920490</v>
      </c>
      <c r="K2635" s="68">
        <f t="shared" si="83"/>
        <v>8</v>
      </c>
    </row>
    <row r="2636" spans="1:11" x14ac:dyDescent="0.2">
      <c r="A2636">
        <f t="shared" si="82"/>
        <v>2920490</v>
      </c>
      <c r="B2636">
        <v>2017</v>
      </c>
      <c r="C2636" t="s">
        <v>739</v>
      </c>
      <c r="D2636" t="s">
        <v>740</v>
      </c>
      <c r="E2636" t="s">
        <v>743</v>
      </c>
      <c r="F2636" s="59">
        <v>430</v>
      </c>
      <c r="G2636" s="34" t="s">
        <v>601</v>
      </c>
      <c r="H2636" s="36">
        <v>128646</v>
      </c>
      <c r="I2636" s="58">
        <v>1174902</v>
      </c>
      <c r="J2636">
        <f>IFERROR(VLOOKUP(G2636,'LEAID Match'!$A$2:$B$526,2,FALSE),"")</f>
        <v>2920490</v>
      </c>
      <c r="K2636" s="68">
        <f t="shared" si="83"/>
        <v>8</v>
      </c>
    </row>
    <row r="2637" spans="1:11" x14ac:dyDescent="0.2">
      <c r="A2637">
        <f t="shared" si="82"/>
        <v>2920490</v>
      </c>
      <c r="B2637">
        <v>2018</v>
      </c>
      <c r="C2637" t="s">
        <v>739</v>
      </c>
      <c r="D2637" t="s">
        <v>740</v>
      </c>
      <c r="E2637" t="s">
        <v>743</v>
      </c>
      <c r="F2637" s="59">
        <v>430</v>
      </c>
      <c r="G2637" s="34" t="s">
        <v>601</v>
      </c>
      <c r="H2637" s="36">
        <v>125032</v>
      </c>
      <c r="I2637" s="58">
        <v>1203907</v>
      </c>
      <c r="J2637">
        <f>IFERROR(VLOOKUP(G2637,'LEAID Match'!$A$2:$B$526,2,FALSE),"")</f>
        <v>2920490</v>
      </c>
      <c r="K2637" s="68">
        <f t="shared" si="83"/>
        <v>8</v>
      </c>
    </row>
    <row r="2638" spans="1:11" x14ac:dyDescent="0.2">
      <c r="A2638">
        <f t="shared" si="82"/>
        <v>2920490</v>
      </c>
      <c r="B2638">
        <v>2019</v>
      </c>
      <c r="C2638" t="s">
        <v>739</v>
      </c>
      <c r="D2638" t="s">
        <v>740</v>
      </c>
      <c r="E2638" t="s">
        <v>743</v>
      </c>
      <c r="F2638" s="34">
        <v>430</v>
      </c>
      <c r="G2638" s="34" t="s">
        <v>601</v>
      </c>
      <c r="H2638" s="36">
        <v>145523</v>
      </c>
      <c r="I2638" s="58">
        <v>1185100</v>
      </c>
      <c r="J2638">
        <f>IFERROR(VLOOKUP(G2638,'LEAID Match'!$A$2:$B$526,2,FALSE),"")</f>
        <v>2920490</v>
      </c>
      <c r="K2638" s="68">
        <f t="shared" si="83"/>
        <v>8</v>
      </c>
    </row>
    <row r="2639" spans="1:11" x14ac:dyDescent="0.2">
      <c r="A2639">
        <f t="shared" si="82"/>
        <v>2920490</v>
      </c>
      <c r="B2639">
        <v>2020</v>
      </c>
      <c r="C2639" t="s">
        <v>739</v>
      </c>
      <c r="D2639" t="s">
        <v>740</v>
      </c>
      <c r="E2639" t="s">
        <v>743</v>
      </c>
      <c r="F2639" s="34">
        <v>430</v>
      </c>
      <c r="G2639" s="34" t="s">
        <v>601</v>
      </c>
      <c r="H2639" s="36">
        <v>152408</v>
      </c>
      <c r="I2639" s="58">
        <v>1205349</v>
      </c>
      <c r="J2639">
        <f>IFERROR(VLOOKUP(G2639,'LEAID Match'!$A$2:$B$526,2,FALSE),"")</f>
        <v>2920490</v>
      </c>
      <c r="K2639" s="68">
        <f t="shared" si="83"/>
        <v>8</v>
      </c>
    </row>
    <row r="2640" spans="1:11" x14ac:dyDescent="0.2">
      <c r="A2640">
        <f t="shared" si="82"/>
        <v>2920490</v>
      </c>
      <c r="B2640">
        <v>2021</v>
      </c>
      <c r="C2640" t="s">
        <v>739</v>
      </c>
      <c r="D2640" t="s">
        <v>740</v>
      </c>
      <c r="E2640" t="s">
        <v>743</v>
      </c>
      <c r="F2640" s="34">
        <v>430</v>
      </c>
      <c r="G2640" s="34" t="s">
        <v>601</v>
      </c>
      <c r="H2640" s="36">
        <v>150040</v>
      </c>
      <c r="I2640" s="58">
        <v>1242124</v>
      </c>
      <c r="J2640">
        <f>IFERROR(VLOOKUP(G2640,'LEAID Match'!$A$2:$B$526,2,FALSE),"")</f>
        <v>2920490</v>
      </c>
      <c r="K2640" s="68">
        <f t="shared" si="83"/>
        <v>8</v>
      </c>
    </row>
    <row r="2641" spans="1:11" x14ac:dyDescent="0.2">
      <c r="A2641">
        <f t="shared" si="82"/>
        <v>2920490</v>
      </c>
      <c r="B2641">
        <v>2022</v>
      </c>
      <c r="C2641" t="s">
        <v>739</v>
      </c>
      <c r="D2641" t="s">
        <v>740</v>
      </c>
      <c r="E2641" t="s">
        <v>743</v>
      </c>
      <c r="F2641" s="34">
        <v>430</v>
      </c>
      <c r="G2641" s="34" t="s">
        <v>601</v>
      </c>
      <c r="H2641" s="36">
        <v>169807</v>
      </c>
      <c r="I2641" s="58">
        <v>1302692</v>
      </c>
      <c r="J2641">
        <f>IFERROR(VLOOKUP(G2641,'LEAID Match'!$A$2:$B$526,2,FALSE),"")</f>
        <v>2920490</v>
      </c>
      <c r="K2641" s="68">
        <f t="shared" si="83"/>
        <v>8</v>
      </c>
    </row>
    <row r="2642" spans="1:11" x14ac:dyDescent="0.2">
      <c r="A2642">
        <f t="shared" si="82"/>
        <v>2928500</v>
      </c>
      <c r="B2642">
        <v>2015</v>
      </c>
      <c r="C2642" t="s">
        <v>739</v>
      </c>
      <c r="D2642" t="s">
        <v>740</v>
      </c>
      <c r="E2642" t="s">
        <v>743</v>
      </c>
      <c r="F2642" s="35">
        <v>431</v>
      </c>
      <c r="G2642" s="39" t="s">
        <v>602</v>
      </c>
      <c r="H2642" s="40">
        <v>21924</v>
      </c>
      <c r="I2642" s="58">
        <v>166172</v>
      </c>
      <c r="J2642">
        <f>IFERROR(VLOOKUP(G2642,'LEAID Match'!$A$2:$B$526,2,FALSE),"")</f>
        <v>2928500</v>
      </c>
      <c r="K2642" s="68">
        <f t="shared" si="83"/>
        <v>8</v>
      </c>
    </row>
    <row r="2643" spans="1:11" x14ac:dyDescent="0.2">
      <c r="A2643">
        <f t="shared" si="82"/>
        <v>2928500</v>
      </c>
      <c r="B2643">
        <v>2016</v>
      </c>
      <c r="C2643" t="s">
        <v>739</v>
      </c>
      <c r="D2643" t="s">
        <v>740</v>
      </c>
      <c r="E2643" t="s">
        <v>743</v>
      </c>
      <c r="F2643" s="59">
        <v>431</v>
      </c>
      <c r="G2643" s="34" t="s">
        <v>602</v>
      </c>
      <c r="H2643" s="36">
        <v>21546</v>
      </c>
      <c r="I2643" s="60">
        <v>162971</v>
      </c>
      <c r="J2643">
        <f>IFERROR(VLOOKUP(G2643,'LEAID Match'!$A$2:$B$526,2,FALSE),"")</f>
        <v>2928500</v>
      </c>
      <c r="K2643" s="68">
        <f t="shared" si="83"/>
        <v>8</v>
      </c>
    </row>
    <row r="2644" spans="1:11" x14ac:dyDescent="0.2">
      <c r="A2644">
        <f t="shared" si="82"/>
        <v>2928500</v>
      </c>
      <c r="B2644">
        <v>2017</v>
      </c>
      <c r="C2644" t="s">
        <v>739</v>
      </c>
      <c r="D2644" t="s">
        <v>740</v>
      </c>
      <c r="E2644" t="s">
        <v>743</v>
      </c>
      <c r="F2644" s="59">
        <v>431</v>
      </c>
      <c r="G2644" s="34" t="s">
        <v>602</v>
      </c>
      <c r="H2644" s="36">
        <v>21001</v>
      </c>
      <c r="I2644" s="58">
        <v>161210</v>
      </c>
      <c r="J2644">
        <f>IFERROR(VLOOKUP(G2644,'LEAID Match'!$A$2:$B$526,2,FALSE),"")</f>
        <v>2928500</v>
      </c>
      <c r="K2644" s="68">
        <f t="shared" si="83"/>
        <v>8</v>
      </c>
    </row>
    <row r="2645" spans="1:11" x14ac:dyDescent="0.2">
      <c r="A2645">
        <f t="shared" si="82"/>
        <v>2928500</v>
      </c>
      <c r="B2645">
        <v>2018</v>
      </c>
      <c r="C2645" t="s">
        <v>739</v>
      </c>
      <c r="D2645" t="s">
        <v>740</v>
      </c>
      <c r="E2645" t="s">
        <v>743</v>
      </c>
      <c r="F2645" s="59">
        <v>431</v>
      </c>
      <c r="G2645" s="34" t="s">
        <v>602</v>
      </c>
      <c r="H2645" s="36">
        <v>20671</v>
      </c>
      <c r="I2645" s="58">
        <v>166942</v>
      </c>
      <c r="J2645">
        <f>IFERROR(VLOOKUP(G2645,'LEAID Match'!$A$2:$B$526,2,FALSE),"")</f>
        <v>2928500</v>
      </c>
      <c r="K2645" s="68">
        <f t="shared" si="83"/>
        <v>8</v>
      </c>
    </row>
    <row r="2646" spans="1:11" x14ac:dyDescent="0.2">
      <c r="A2646">
        <f t="shared" si="82"/>
        <v>2928500</v>
      </c>
      <c r="B2646">
        <v>2019</v>
      </c>
      <c r="C2646" t="s">
        <v>739</v>
      </c>
      <c r="D2646" t="s">
        <v>740</v>
      </c>
      <c r="E2646" t="s">
        <v>743</v>
      </c>
      <c r="F2646" s="34">
        <v>431</v>
      </c>
      <c r="G2646" s="34" t="s">
        <v>602</v>
      </c>
      <c r="H2646" s="36">
        <v>22466</v>
      </c>
      <c r="I2646" s="58">
        <v>168417</v>
      </c>
      <c r="J2646">
        <f>IFERROR(VLOOKUP(G2646,'LEAID Match'!$A$2:$B$526,2,FALSE),"")</f>
        <v>2928500</v>
      </c>
      <c r="K2646" s="68">
        <f t="shared" si="83"/>
        <v>8</v>
      </c>
    </row>
    <row r="2647" spans="1:11" x14ac:dyDescent="0.2">
      <c r="A2647">
        <f t="shared" si="82"/>
        <v>2928500</v>
      </c>
      <c r="B2647">
        <v>2020</v>
      </c>
      <c r="C2647" t="s">
        <v>739</v>
      </c>
      <c r="D2647" t="s">
        <v>740</v>
      </c>
      <c r="E2647" t="s">
        <v>743</v>
      </c>
      <c r="F2647" s="34">
        <v>431</v>
      </c>
      <c r="G2647" s="34" t="s">
        <v>602</v>
      </c>
      <c r="H2647" s="36">
        <v>26128</v>
      </c>
      <c r="I2647" s="58">
        <v>163987</v>
      </c>
      <c r="J2647">
        <f>IFERROR(VLOOKUP(G2647,'LEAID Match'!$A$2:$B$526,2,FALSE),"")</f>
        <v>2928500</v>
      </c>
      <c r="K2647" s="68">
        <f t="shared" si="83"/>
        <v>8</v>
      </c>
    </row>
    <row r="2648" spans="1:11" x14ac:dyDescent="0.2">
      <c r="A2648">
        <f t="shared" si="82"/>
        <v>2928500</v>
      </c>
      <c r="B2648">
        <v>2021</v>
      </c>
      <c r="C2648" t="s">
        <v>739</v>
      </c>
      <c r="D2648" t="s">
        <v>740</v>
      </c>
      <c r="E2648" t="s">
        <v>743</v>
      </c>
      <c r="F2648" s="34">
        <v>431</v>
      </c>
      <c r="G2648" s="34" t="s">
        <v>602</v>
      </c>
      <c r="H2648" s="36">
        <v>25022</v>
      </c>
      <c r="I2648" s="58">
        <v>164591</v>
      </c>
      <c r="J2648">
        <f>IFERROR(VLOOKUP(G2648,'LEAID Match'!$A$2:$B$526,2,FALSE),"")</f>
        <v>2928500</v>
      </c>
      <c r="K2648" s="68">
        <f t="shared" si="83"/>
        <v>8</v>
      </c>
    </row>
    <row r="2649" spans="1:11" x14ac:dyDescent="0.2">
      <c r="A2649">
        <f t="shared" si="82"/>
        <v>2928500</v>
      </c>
      <c r="B2649">
        <v>2022</v>
      </c>
      <c r="C2649" t="s">
        <v>739</v>
      </c>
      <c r="D2649" t="s">
        <v>740</v>
      </c>
      <c r="E2649" t="s">
        <v>743</v>
      </c>
      <c r="F2649" s="34">
        <v>431</v>
      </c>
      <c r="G2649" s="34" t="s">
        <v>602</v>
      </c>
      <c r="H2649" s="36">
        <v>22952</v>
      </c>
      <c r="I2649" s="58">
        <v>165666</v>
      </c>
      <c r="J2649">
        <f>IFERROR(VLOOKUP(G2649,'LEAID Match'!$A$2:$B$526,2,FALSE),"")</f>
        <v>2928500</v>
      </c>
      <c r="K2649" s="68">
        <f t="shared" si="83"/>
        <v>8</v>
      </c>
    </row>
    <row r="2650" spans="1:11" x14ac:dyDescent="0.2">
      <c r="A2650">
        <f t="shared" si="82"/>
        <v>2921660</v>
      </c>
      <c r="B2650">
        <v>2015</v>
      </c>
      <c r="C2650" t="s">
        <v>739</v>
      </c>
      <c r="D2650" t="s">
        <v>740</v>
      </c>
      <c r="E2650" t="s">
        <v>743</v>
      </c>
      <c r="F2650" s="35">
        <v>432</v>
      </c>
      <c r="G2650" s="39" t="s">
        <v>603</v>
      </c>
      <c r="H2650" s="40">
        <v>15371</v>
      </c>
      <c r="I2650" s="58">
        <v>173398</v>
      </c>
      <c r="J2650">
        <f>IFERROR(VLOOKUP(G2650,'LEAID Match'!$A$2:$B$526,2,FALSE),"")</f>
        <v>2921660</v>
      </c>
      <c r="K2650" s="68">
        <f t="shared" si="83"/>
        <v>8</v>
      </c>
    </row>
    <row r="2651" spans="1:11" x14ac:dyDescent="0.2">
      <c r="A2651">
        <f t="shared" si="82"/>
        <v>2921660</v>
      </c>
      <c r="B2651">
        <v>2016</v>
      </c>
      <c r="C2651" t="s">
        <v>739</v>
      </c>
      <c r="D2651" t="s">
        <v>740</v>
      </c>
      <c r="E2651" t="s">
        <v>743</v>
      </c>
      <c r="F2651" s="59">
        <v>432</v>
      </c>
      <c r="G2651" s="34" t="s">
        <v>603</v>
      </c>
      <c r="H2651" s="36">
        <v>16632</v>
      </c>
      <c r="I2651" s="60">
        <v>177306</v>
      </c>
      <c r="J2651">
        <f>IFERROR(VLOOKUP(G2651,'LEAID Match'!$A$2:$B$526,2,FALSE),"")</f>
        <v>2921660</v>
      </c>
      <c r="K2651" s="68">
        <f t="shared" si="83"/>
        <v>8</v>
      </c>
    </row>
    <row r="2652" spans="1:11" x14ac:dyDescent="0.2">
      <c r="A2652">
        <f t="shared" si="82"/>
        <v>2921660</v>
      </c>
      <c r="B2652">
        <v>2017</v>
      </c>
      <c r="C2652" t="s">
        <v>739</v>
      </c>
      <c r="D2652" t="s">
        <v>740</v>
      </c>
      <c r="E2652" t="s">
        <v>743</v>
      </c>
      <c r="F2652" s="59">
        <v>432</v>
      </c>
      <c r="G2652" s="34" t="s">
        <v>603</v>
      </c>
      <c r="H2652" s="36">
        <v>16224</v>
      </c>
      <c r="I2652" s="58">
        <v>184409</v>
      </c>
      <c r="J2652">
        <f>IFERROR(VLOOKUP(G2652,'LEAID Match'!$A$2:$B$526,2,FALSE),"")</f>
        <v>2921660</v>
      </c>
      <c r="K2652" s="68">
        <f t="shared" si="83"/>
        <v>8</v>
      </c>
    </row>
    <row r="2653" spans="1:11" x14ac:dyDescent="0.2">
      <c r="A2653">
        <f t="shared" si="82"/>
        <v>2921660</v>
      </c>
      <c r="B2653">
        <v>2018</v>
      </c>
      <c r="C2653" t="s">
        <v>739</v>
      </c>
      <c r="D2653" t="s">
        <v>740</v>
      </c>
      <c r="E2653" t="s">
        <v>743</v>
      </c>
      <c r="F2653" s="59">
        <v>432</v>
      </c>
      <c r="G2653" s="34" t="s">
        <v>603</v>
      </c>
      <c r="H2653" s="36">
        <v>15634</v>
      </c>
      <c r="I2653" s="58">
        <v>187492</v>
      </c>
      <c r="J2653">
        <f>IFERROR(VLOOKUP(G2653,'LEAID Match'!$A$2:$B$526,2,FALSE),"")</f>
        <v>2921660</v>
      </c>
      <c r="K2653" s="68">
        <f t="shared" si="83"/>
        <v>8</v>
      </c>
    </row>
    <row r="2654" spans="1:11" x14ac:dyDescent="0.2">
      <c r="A2654">
        <f t="shared" si="82"/>
        <v>2921660</v>
      </c>
      <c r="B2654">
        <v>2019</v>
      </c>
      <c r="C2654" t="s">
        <v>739</v>
      </c>
      <c r="D2654" t="s">
        <v>740</v>
      </c>
      <c r="E2654" t="s">
        <v>743</v>
      </c>
      <c r="F2654" s="34">
        <v>432</v>
      </c>
      <c r="G2654" s="34" t="s">
        <v>603</v>
      </c>
      <c r="H2654" s="36">
        <v>20172</v>
      </c>
      <c r="I2654" s="58">
        <v>192030</v>
      </c>
      <c r="J2654">
        <f>IFERROR(VLOOKUP(G2654,'LEAID Match'!$A$2:$B$526,2,FALSE),"")</f>
        <v>2921660</v>
      </c>
      <c r="K2654" s="68">
        <f t="shared" si="83"/>
        <v>8</v>
      </c>
    </row>
    <row r="2655" spans="1:11" x14ac:dyDescent="0.2">
      <c r="A2655">
        <f t="shared" si="82"/>
        <v>2921660</v>
      </c>
      <c r="B2655">
        <v>2020</v>
      </c>
      <c r="C2655" t="s">
        <v>739</v>
      </c>
      <c r="D2655" t="s">
        <v>740</v>
      </c>
      <c r="E2655" t="s">
        <v>743</v>
      </c>
      <c r="F2655" s="34">
        <v>432</v>
      </c>
      <c r="G2655" s="34" t="s">
        <v>603</v>
      </c>
      <c r="H2655" s="36">
        <v>24152</v>
      </c>
      <c r="I2655" s="58">
        <v>203696</v>
      </c>
      <c r="J2655">
        <f>IFERROR(VLOOKUP(G2655,'LEAID Match'!$A$2:$B$526,2,FALSE),"")</f>
        <v>2921660</v>
      </c>
      <c r="K2655" s="68">
        <f t="shared" si="83"/>
        <v>8</v>
      </c>
    </row>
    <row r="2656" spans="1:11" x14ac:dyDescent="0.2">
      <c r="A2656">
        <f t="shared" si="82"/>
        <v>2921660</v>
      </c>
      <c r="B2656">
        <v>2021</v>
      </c>
      <c r="C2656" t="s">
        <v>739</v>
      </c>
      <c r="D2656" t="s">
        <v>740</v>
      </c>
      <c r="E2656" t="s">
        <v>743</v>
      </c>
      <c r="F2656" s="34">
        <v>432</v>
      </c>
      <c r="G2656" s="34" t="s">
        <v>603</v>
      </c>
      <c r="H2656" s="36">
        <v>23885</v>
      </c>
      <c r="I2656" s="58">
        <v>212009</v>
      </c>
      <c r="J2656">
        <f>IFERROR(VLOOKUP(G2656,'LEAID Match'!$A$2:$B$526,2,FALSE),"")</f>
        <v>2921660</v>
      </c>
      <c r="K2656" s="68">
        <f t="shared" si="83"/>
        <v>8</v>
      </c>
    </row>
    <row r="2657" spans="1:11" x14ac:dyDescent="0.2">
      <c r="A2657">
        <f t="shared" si="82"/>
        <v>2921660</v>
      </c>
      <c r="B2657">
        <v>2022</v>
      </c>
      <c r="C2657" t="s">
        <v>739</v>
      </c>
      <c r="D2657" t="s">
        <v>740</v>
      </c>
      <c r="E2657" t="s">
        <v>743</v>
      </c>
      <c r="F2657" s="34">
        <v>432</v>
      </c>
      <c r="G2657" s="34" t="s">
        <v>603</v>
      </c>
      <c r="H2657" s="36">
        <v>28819</v>
      </c>
      <c r="I2657" s="58">
        <v>195325</v>
      </c>
      <c r="J2657">
        <f>IFERROR(VLOOKUP(G2657,'LEAID Match'!$A$2:$B$526,2,FALSE),"")</f>
        <v>2921660</v>
      </c>
      <c r="K2657" s="68">
        <f t="shared" si="83"/>
        <v>8</v>
      </c>
    </row>
    <row r="2658" spans="1:11" x14ac:dyDescent="0.2">
      <c r="A2658">
        <f t="shared" si="82"/>
        <v>2921690</v>
      </c>
      <c r="B2658">
        <v>2015</v>
      </c>
      <c r="C2658" t="s">
        <v>739</v>
      </c>
      <c r="D2658" t="s">
        <v>740</v>
      </c>
      <c r="E2658" t="s">
        <v>743</v>
      </c>
      <c r="F2658" s="35">
        <v>433</v>
      </c>
      <c r="G2658" s="39" t="s">
        <v>604</v>
      </c>
      <c r="H2658" s="40">
        <v>25242</v>
      </c>
      <c r="I2658" s="58">
        <v>190274</v>
      </c>
      <c r="J2658">
        <f>IFERROR(VLOOKUP(G2658,'LEAID Match'!$A$2:$B$526,2,FALSE),"")</f>
        <v>2921690</v>
      </c>
      <c r="K2658" s="68">
        <f t="shared" si="83"/>
        <v>8</v>
      </c>
    </row>
    <row r="2659" spans="1:11" x14ac:dyDescent="0.2">
      <c r="A2659">
        <f t="shared" si="82"/>
        <v>2921690</v>
      </c>
      <c r="B2659">
        <v>2016</v>
      </c>
      <c r="C2659" t="s">
        <v>739</v>
      </c>
      <c r="D2659" t="s">
        <v>740</v>
      </c>
      <c r="E2659" t="s">
        <v>743</v>
      </c>
      <c r="F2659" s="59">
        <v>433</v>
      </c>
      <c r="G2659" s="34" t="s">
        <v>604</v>
      </c>
      <c r="H2659" s="36">
        <v>25249</v>
      </c>
      <c r="I2659" s="60">
        <v>195969</v>
      </c>
      <c r="J2659">
        <f>IFERROR(VLOOKUP(G2659,'LEAID Match'!$A$2:$B$526,2,FALSE),"")</f>
        <v>2921690</v>
      </c>
      <c r="K2659" s="68">
        <f t="shared" si="83"/>
        <v>8</v>
      </c>
    </row>
    <row r="2660" spans="1:11" x14ac:dyDescent="0.2">
      <c r="A2660">
        <f t="shared" si="82"/>
        <v>2921690</v>
      </c>
      <c r="B2660">
        <v>2017</v>
      </c>
      <c r="C2660" t="s">
        <v>739</v>
      </c>
      <c r="D2660" t="s">
        <v>740</v>
      </c>
      <c r="E2660" t="s">
        <v>743</v>
      </c>
      <c r="F2660" s="59">
        <v>433</v>
      </c>
      <c r="G2660" s="34" t="s">
        <v>604</v>
      </c>
      <c r="H2660" s="36">
        <v>26961</v>
      </c>
      <c r="I2660" s="58">
        <v>195099</v>
      </c>
      <c r="J2660">
        <f>IFERROR(VLOOKUP(G2660,'LEAID Match'!$A$2:$B$526,2,FALSE),"")</f>
        <v>2921690</v>
      </c>
      <c r="K2660" s="68">
        <f t="shared" si="83"/>
        <v>8</v>
      </c>
    </row>
    <row r="2661" spans="1:11" x14ac:dyDescent="0.2">
      <c r="A2661">
        <f t="shared" si="82"/>
        <v>2921690</v>
      </c>
      <c r="B2661">
        <v>2018</v>
      </c>
      <c r="C2661" t="s">
        <v>739</v>
      </c>
      <c r="D2661" t="s">
        <v>740</v>
      </c>
      <c r="E2661" t="s">
        <v>743</v>
      </c>
      <c r="F2661" s="59">
        <v>433</v>
      </c>
      <c r="G2661" s="34" t="s">
        <v>604</v>
      </c>
      <c r="H2661" s="36">
        <v>33066</v>
      </c>
      <c r="I2661" s="58">
        <v>196891</v>
      </c>
      <c r="J2661">
        <f>IFERROR(VLOOKUP(G2661,'LEAID Match'!$A$2:$B$526,2,FALSE),"")</f>
        <v>2921690</v>
      </c>
      <c r="K2661" s="68">
        <f t="shared" si="83"/>
        <v>8</v>
      </c>
    </row>
    <row r="2662" spans="1:11" x14ac:dyDescent="0.2">
      <c r="A2662">
        <f t="shared" si="82"/>
        <v>2921690</v>
      </c>
      <c r="B2662">
        <v>2019</v>
      </c>
      <c r="C2662" t="s">
        <v>739</v>
      </c>
      <c r="D2662" t="s">
        <v>740</v>
      </c>
      <c r="E2662" t="s">
        <v>743</v>
      </c>
      <c r="F2662" s="34">
        <v>433</v>
      </c>
      <c r="G2662" s="34" t="s">
        <v>604</v>
      </c>
      <c r="H2662" s="36">
        <v>33478</v>
      </c>
      <c r="I2662" s="58">
        <v>188227</v>
      </c>
      <c r="J2662">
        <f>IFERROR(VLOOKUP(G2662,'LEAID Match'!$A$2:$B$526,2,FALSE),"")</f>
        <v>2921690</v>
      </c>
      <c r="K2662" s="68">
        <f t="shared" si="83"/>
        <v>8</v>
      </c>
    </row>
    <row r="2663" spans="1:11" x14ac:dyDescent="0.2">
      <c r="A2663">
        <f t="shared" si="82"/>
        <v>2921690</v>
      </c>
      <c r="B2663">
        <v>2020</v>
      </c>
      <c r="C2663" t="s">
        <v>739</v>
      </c>
      <c r="D2663" t="s">
        <v>740</v>
      </c>
      <c r="E2663" t="s">
        <v>743</v>
      </c>
      <c r="F2663" s="34">
        <v>433</v>
      </c>
      <c r="G2663" s="34" t="s">
        <v>604</v>
      </c>
      <c r="H2663" s="36">
        <v>31419</v>
      </c>
      <c r="I2663" s="58">
        <v>200505</v>
      </c>
      <c r="J2663">
        <f>IFERROR(VLOOKUP(G2663,'LEAID Match'!$A$2:$B$526,2,FALSE),"")</f>
        <v>2921690</v>
      </c>
      <c r="K2663" s="68">
        <f t="shared" si="83"/>
        <v>8</v>
      </c>
    </row>
    <row r="2664" spans="1:11" x14ac:dyDescent="0.2">
      <c r="A2664">
        <f t="shared" si="82"/>
        <v>2921690</v>
      </c>
      <c r="B2664">
        <v>2021</v>
      </c>
      <c r="C2664" t="s">
        <v>739</v>
      </c>
      <c r="D2664" t="s">
        <v>740</v>
      </c>
      <c r="E2664" t="s">
        <v>743</v>
      </c>
      <c r="F2664" s="34">
        <v>433</v>
      </c>
      <c r="G2664" s="34" t="s">
        <v>604</v>
      </c>
      <c r="H2664" s="36">
        <v>37363</v>
      </c>
      <c r="I2664" s="58">
        <v>200438</v>
      </c>
      <c r="J2664">
        <f>IFERROR(VLOOKUP(G2664,'LEAID Match'!$A$2:$B$526,2,FALSE),"")</f>
        <v>2921690</v>
      </c>
      <c r="K2664" s="68">
        <f t="shared" si="83"/>
        <v>8</v>
      </c>
    </row>
    <row r="2665" spans="1:11" x14ac:dyDescent="0.2">
      <c r="A2665">
        <f t="shared" si="82"/>
        <v>2921690</v>
      </c>
      <c r="B2665">
        <v>2022</v>
      </c>
      <c r="C2665" t="s">
        <v>739</v>
      </c>
      <c r="D2665" t="s">
        <v>740</v>
      </c>
      <c r="E2665" t="s">
        <v>743</v>
      </c>
      <c r="F2665" s="34">
        <v>433</v>
      </c>
      <c r="G2665" s="34" t="s">
        <v>604</v>
      </c>
      <c r="H2665" s="36">
        <v>35705</v>
      </c>
      <c r="I2665" s="58">
        <v>204471</v>
      </c>
      <c r="J2665">
        <f>IFERROR(VLOOKUP(G2665,'LEAID Match'!$A$2:$B$526,2,FALSE),"")</f>
        <v>2921690</v>
      </c>
      <c r="K2665" s="68">
        <f t="shared" si="83"/>
        <v>8</v>
      </c>
    </row>
    <row r="2666" spans="1:11" x14ac:dyDescent="0.2">
      <c r="A2666">
        <f t="shared" si="82"/>
        <v>2922560</v>
      </c>
      <c r="B2666">
        <v>2015</v>
      </c>
      <c r="C2666" t="s">
        <v>739</v>
      </c>
      <c r="D2666" t="s">
        <v>740</v>
      </c>
      <c r="E2666" t="s">
        <v>743</v>
      </c>
      <c r="F2666" s="35">
        <v>434</v>
      </c>
      <c r="G2666" s="39" t="s">
        <v>605</v>
      </c>
      <c r="H2666" s="40">
        <v>27433</v>
      </c>
      <c r="I2666" s="58">
        <v>178090</v>
      </c>
      <c r="J2666">
        <f>IFERROR(VLOOKUP(G2666,'LEAID Match'!$A$2:$B$526,2,FALSE),"")</f>
        <v>2922560</v>
      </c>
      <c r="K2666" s="68">
        <f t="shared" si="83"/>
        <v>8</v>
      </c>
    </row>
    <row r="2667" spans="1:11" x14ac:dyDescent="0.2">
      <c r="A2667">
        <f t="shared" si="82"/>
        <v>2922560</v>
      </c>
      <c r="B2667">
        <v>2016</v>
      </c>
      <c r="C2667" t="s">
        <v>739</v>
      </c>
      <c r="D2667" t="s">
        <v>740</v>
      </c>
      <c r="E2667" t="s">
        <v>743</v>
      </c>
      <c r="F2667" s="59">
        <v>434</v>
      </c>
      <c r="G2667" s="34" t="s">
        <v>605</v>
      </c>
      <c r="H2667" s="36">
        <v>30388</v>
      </c>
      <c r="I2667" s="60">
        <v>171587</v>
      </c>
      <c r="J2667">
        <f>IFERROR(VLOOKUP(G2667,'LEAID Match'!$A$2:$B$526,2,FALSE),"")</f>
        <v>2922560</v>
      </c>
      <c r="K2667" s="68">
        <f t="shared" si="83"/>
        <v>8</v>
      </c>
    </row>
    <row r="2668" spans="1:11" x14ac:dyDescent="0.2">
      <c r="A2668">
        <f t="shared" si="82"/>
        <v>2922560</v>
      </c>
      <c r="B2668">
        <v>2017</v>
      </c>
      <c r="C2668" t="s">
        <v>739</v>
      </c>
      <c r="D2668" t="s">
        <v>740</v>
      </c>
      <c r="E2668" t="s">
        <v>743</v>
      </c>
      <c r="F2668" s="59">
        <v>434</v>
      </c>
      <c r="G2668" s="34" t="s">
        <v>605</v>
      </c>
      <c r="H2668" s="36">
        <v>32834</v>
      </c>
      <c r="I2668" s="58">
        <v>171833</v>
      </c>
      <c r="J2668">
        <f>IFERROR(VLOOKUP(G2668,'LEAID Match'!$A$2:$B$526,2,FALSE),"")</f>
        <v>2922560</v>
      </c>
      <c r="K2668" s="68">
        <f t="shared" si="83"/>
        <v>8</v>
      </c>
    </row>
    <row r="2669" spans="1:11" x14ac:dyDescent="0.2">
      <c r="A2669">
        <f t="shared" si="82"/>
        <v>2922560</v>
      </c>
      <c r="B2669">
        <v>2018</v>
      </c>
      <c r="C2669" t="s">
        <v>739</v>
      </c>
      <c r="D2669" t="s">
        <v>740</v>
      </c>
      <c r="E2669" t="s">
        <v>743</v>
      </c>
      <c r="F2669" s="59">
        <v>434</v>
      </c>
      <c r="G2669" s="34" t="s">
        <v>605</v>
      </c>
      <c r="H2669" s="36">
        <v>35417</v>
      </c>
      <c r="I2669" s="58">
        <v>165402</v>
      </c>
      <c r="J2669">
        <f>IFERROR(VLOOKUP(G2669,'LEAID Match'!$A$2:$B$526,2,FALSE),"")</f>
        <v>2922560</v>
      </c>
      <c r="K2669" s="68">
        <f t="shared" si="83"/>
        <v>8</v>
      </c>
    </row>
    <row r="2670" spans="1:11" x14ac:dyDescent="0.2">
      <c r="A2670">
        <f t="shared" si="82"/>
        <v>2922560</v>
      </c>
      <c r="B2670">
        <v>2019</v>
      </c>
      <c r="C2670" t="s">
        <v>739</v>
      </c>
      <c r="D2670" t="s">
        <v>740</v>
      </c>
      <c r="E2670" t="s">
        <v>743</v>
      </c>
      <c r="F2670" s="34">
        <v>434</v>
      </c>
      <c r="G2670" s="34" t="s">
        <v>605</v>
      </c>
      <c r="H2670" s="36">
        <v>34722</v>
      </c>
      <c r="I2670" s="58">
        <v>159393</v>
      </c>
      <c r="J2670">
        <f>IFERROR(VLOOKUP(G2670,'LEAID Match'!$A$2:$B$526,2,FALSE),"")</f>
        <v>2922560</v>
      </c>
      <c r="K2670" s="68">
        <f t="shared" si="83"/>
        <v>8</v>
      </c>
    </row>
    <row r="2671" spans="1:11" x14ac:dyDescent="0.2">
      <c r="A2671">
        <f t="shared" si="82"/>
        <v>2922560</v>
      </c>
      <c r="B2671">
        <v>2020</v>
      </c>
      <c r="C2671" t="s">
        <v>739</v>
      </c>
      <c r="D2671" t="s">
        <v>740</v>
      </c>
      <c r="E2671" t="s">
        <v>743</v>
      </c>
      <c r="F2671" s="34">
        <v>434</v>
      </c>
      <c r="G2671" s="34" t="s">
        <v>605</v>
      </c>
      <c r="H2671" s="36">
        <v>29454</v>
      </c>
      <c r="I2671" s="58">
        <v>177578</v>
      </c>
      <c r="J2671">
        <f>IFERROR(VLOOKUP(G2671,'LEAID Match'!$A$2:$B$526,2,FALSE),"")</f>
        <v>2922560</v>
      </c>
      <c r="K2671" s="68">
        <f t="shared" si="83"/>
        <v>8</v>
      </c>
    </row>
    <row r="2672" spans="1:11" x14ac:dyDescent="0.2">
      <c r="A2672">
        <f t="shared" si="82"/>
        <v>2922560</v>
      </c>
      <c r="B2672">
        <v>2021</v>
      </c>
      <c r="C2672" t="s">
        <v>739</v>
      </c>
      <c r="D2672" t="s">
        <v>740</v>
      </c>
      <c r="E2672" t="s">
        <v>743</v>
      </c>
      <c r="F2672" s="34">
        <v>434</v>
      </c>
      <c r="G2672" s="34" t="s">
        <v>605</v>
      </c>
      <c r="H2672" s="36">
        <v>30515</v>
      </c>
      <c r="I2672" s="58">
        <v>182737</v>
      </c>
      <c r="J2672">
        <f>IFERROR(VLOOKUP(G2672,'LEAID Match'!$A$2:$B$526,2,FALSE),"")</f>
        <v>2922560</v>
      </c>
      <c r="K2672" s="68">
        <f t="shared" si="83"/>
        <v>8</v>
      </c>
    </row>
    <row r="2673" spans="1:11" x14ac:dyDescent="0.2">
      <c r="A2673">
        <f t="shared" si="82"/>
        <v>2922560</v>
      </c>
      <c r="B2673">
        <v>2022</v>
      </c>
      <c r="C2673" t="s">
        <v>739</v>
      </c>
      <c r="D2673" t="s">
        <v>740</v>
      </c>
      <c r="E2673" t="s">
        <v>743</v>
      </c>
      <c r="F2673" s="34">
        <v>434</v>
      </c>
      <c r="G2673" s="34" t="s">
        <v>605</v>
      </c>
      <c r="H2673" s="36">
        <v>27824</v>
      </c>
      <c r="I2673" s="58">
        <v>194231</v>
      </c>
      <c r="J2673">
        <f>IFERROR(VLOOKUP(G2673,'LEAID Match'!$A$2:$B$526,2,FALSE),"")</f>
        <v>2922560</v>
      </c>
      <c r="K2673" s="68">
        <f t="shared" si="83"/>
        <v>8</v>
      </c>
    </row>
    <row r="2674" spans="1:11" x14ac:dyDescent="0.2">
      <c r="A2674">
        <f t="shared" si="82"/>
        <v>2916200</v>
      </c>
      <c r="B2674">
        <v>2015</v>
      </c>
      <c r="C2674" t="s">
        <v>739</v>
      </c>
      <c r="D2674" t="s">
        <v>740</v>
      </c>
      <c r="E2674" t="s">
        <v>743</v>
      </c>
      <c r="F2674" s="35">
        <v>435</v>
      </c>
      <c r="G2674" s="39" t="s">
        <v>606</v>
      </c>
      <c r="H2674" s="40">
        <v>8441</v>
      </c>
      <c r="I2674" s="58">
        <v>161473</v>
      </c>
      <c r="J2674">
        <f>IFERROR(VLOOKUP(G2674,'LEAID Match'!$A$2:$B$526,2,FALSE),"")</f>
        <v>2916200</v>
      </c>
      <c r="K2674" s="68">
        <f t="shared" si="83"/>
        <v>8</v>
      </c>
    </row>
    <row r="2675" spans="1:11" x14ac:dyDescent="0.2">
      <c r="A2675">
        <f t="shared" si="82"/>
        <v>2916200</v>
      </c>
      <c r="B2675">
        <v>2016</v>
      </c>
      <c r="C2675" t="s">
        <v>739</v>
      </c>
      <c r="D2675" t="s">
        <v>740</v>
      </c>
      <c r="E2675" t="s">
        <v>743</v>
      </c>
      <c r="F2675" s="59">
        <v>435</v>
      </c>
      <c r="G2675" s="34" t="s">
        <v>606</v>
      </c>
      <c r="H2675" s="36">
        <v>9042</v>
      </c>
      <c r="I2675" s="60">
        <v>150740</v>
      </c>
      <c r="J2675">
        <f>IFERROR(VLOOKUP(G2675,'LEAID Match'!$A$2:$B$526,2,FALSE),"")</f>
        <v>2916200</v>
      </c>
      <c r="K2675" s="68">
        <f t="shared" si="83"/>
        <v>8</v>
      </c>
    </row>
    <row r="2676" spans="1:11" x14ac:dyDescent="0.2">
      <c r="A2676">
        <f t="shared" si="82"/>
        <v>2916200</v>
      </c>
      <c r="B2676">
        <v>2017</v>
      </c>
      <c r="C2676" t="s">
        <v>739</v>
      </c>
      <c r="D2676" t="s">
        <v>740</v>
      </c>
      <c r="E2676" t="s">
        <v>743</v>
      </c>
      <c r="F2676" s="59">
        <v>435</v>
      </c>
      <c r="G2676" s="34" t="s">
        <v>606</v>
      </c>
      <c r="H2676" s="36">
        <v>11455</v>
      </c>
      <c r="I2676" s="58">
        <v>157281</v>
      </c>
      <c r="J2676">
        <f>IFERROR(VLOOKUP(G2676,'LEAID Match'!$A$2:$B$526,2,FALSE),"")</f>
        <v>2916200</v>
      </c>
      <c r="K2676" s="68">
        <f t="shared" si="83"/>
        <v>8</v>
      </c>
    </row>
    <row r="2677" spans="1:11" x14ac:dyDescent="0.2">
      <c r="A2677">
        <f t="shared" si="82"/>
        <v>2916200</v>
      </c>
      <c r="B2677">
        <v>2018</v>
      </c>
      <c r="C2677" t="s">
        <v>739</v>
      </c>
      <c r="D2677" t="s">
        <v>740</v>
      </c>
      <c r="E2677" t="s">
        <v>743</v>
      </c>
      <c r="F2677" s="59">
        <v>435</v>
      </c>
      <c r="G2677" s="34" t="s">
        <v>606</v>
      </c>
      <c r="H2677" s="36">
        <v>12009</v>
      </c>
      <c r="I2677" s="58">
        <v>162389</v>
      </c>
      <c r="J2677">
        <f>IFERROR(VLOOKUP(G2677,'LEAID Match'!$A$2:$B$526,2,FALSE),"")</f>
        <v>2916200</v>
      </c>
      <c r="K2677" s="68">
        <f t="shared" si="83"/>
        <v>8</v>
      </c>
    </row>
    <row r="2678" spans="1:11" x14ac:dyDescent="0.2">
      <c r="A2678">
        <f t="shared" si="82"/>
        <v>2916200</v>
      </c>
      <c r="B2678">
        <v>2019</v>
      </c>
      <c r="C2678" t="s">
        <v>739</v>
      </c>
      <c r="D2678" t="s">
        <v>740</v>
      </c>
      <c r="E2678" t="s">
        <v>743</v>
      </c>
      <c r="F2678" s="34">
        <v>435</v>
      </c>
      <c r="G2678" s="34" t="s">
        <v>606</v>
      </c>
      <c r="H2678" s="36">
        <v>12563</v>
      </c>
      <c r="I2678" s="58">
        <v>164822</v>
      </c>
      <c r="J2678">
        <f>IFERROR(VLOOKUP(G2678,'LEAID Match'!$A$2:$B$526,2,FALSE),"")</f>
        <v>2916200</v>
      </c>
      <c r="K2678" s="68">
        <f t="shared" si="83"/>
        <v>8</v>
      </c>
    </row>
    <row r="2679" spans="1:11" x14ac:dyDescent="0.2">
      <c r="A2679">
        <f t="shared" si="82"/>
        <v>2916200</v>
      </c>
      <c r="B2679">
        <v>2020</v>
      </c>
      <c r="C2679" t="s">
        <v>739</v>
      </c>
      <c r="D2679" t="s">
        <v>740</v>
      </c>
      <c r="E2679" t="s">
        <v>743</v>
      </c>
      <c r="F2679" s="34">
        <v>435</v>
      </c>
      <c r="G2679" s="34" t="s">
        <v>606</v>
      </c>
      <c r="H2679" s="36">
        <v>12764</v>
      </c>
      <c r="I2679" s="58">
        <v>168186</v>
      </c>
      <c r="J2679">
        <f>IFERROR(VLOOKUP(G2679,'LEAID Match'!$A$2:$B$526,2,FALSE),"")</f>
        <v>2916200</v>
      </c>
      <c r="K2679" s="68">
        <f t="shared" si="83"/>
        <v>8</v>
      </c>
    </row>
    <row r="2680" spans="1:11" x14ac:dyDescent="0.2">
      <c r="A2680">
        <f t="shared" si="82"/>
        <v>2916200</v>
      </c>
      <c r="B2680">
        <v>2021</v>
      </c>
      <c r="C2680" t="s">
        <v>739</v>
      </c>
      <c r="D2680" t="s">
        <v>740</v>
      </c>
      <c r="E2680" t="s">
        <v>743</v>
      </c>
      <c r="F2680" s="34">
        <v>435</v>
      </c>
      <c r="G2680" s="34" t="s">
        <v>606</v>
      </c>
      <c r="H2680" s="36">
        <v>14682</v>
      </c>
      <c r="I2680" s="58">
        <v>157298</v>
      </c>
      <c r="J2680">
        <f>IFERROR(VLOOKUP(G2680,'LEAID Match'!$A$2:$B$526,2,FALSE),"")</f>
        <v>2916200</v>
      </c>
      <c r="K2680" s="68">
        <f t="shared" si="83"/>
        <v>8</v>
      </c>
    </row>
    <row r="2681" spans="1:11" x14ac:dyDescent="0.2">
      <c r="A2681">
        <f t="shared" si="82"/>
        <v>2916200</v>
      </c>
      <c r="B2681">
        <v>2022</v>
      </c>
      <c r="C2681" t="s">
        <v>739</v>
      </c>
      <c r="D2681" t="s">
        <v>740</v>
      </c>
      <c r="E2681" t="s">
        <v>743</v>
      </c>
      <c r="F2681" s="34">
        <v>435</v>
      </c>
      <c r="G2681" s="34" t="s">
        <v>606</v>
      </c>
      <c r="H2681" s="36">
        <v>15652</v>
      </c>
      <c r="I2681" s="58">
        <v>156950</v>
      </c>
      <c r="J2681">
        <f>IFERROR(VLOOKUP(G2681,'LEAID Match'!$A$2:$B$526,2,FALSE),"")</f>
        <v>2916200</v>
      </c>
      <c r="K2681" s="68">
        <f t="shared" si="83"/>
        <v>8</v>
      </c>
    </row>
    <row r="2682" spans="1:11" x14ac:dyDescent="0.2">
      <c r="A2682">
        <f t="shared" si="82"/>
        <v>2910200</v>
      </c>
      <c r="B2682">
        <v>2015</v>
      </c>
      <c r="C2682" t="s">
        <v>739</v>
      </c>
      <c r="D2682" t="s">
        <v>740</v>
      </c>
      <c r="E2682" t="s">
        <v>743</v>
      </c>
      <c r="F2682" s="35">
        <v>436</v>
      </c>
      <c r="G2682" s="34" t="s">
        <v>607</v>
      </c>
      <c r="H2682" s="40">
        <v>23800</v>
      </c>
      <c r="I2682" s="58">
        <v>142194</v>
      </c>
      <c r="J2682">
        <f>IFERROR(VLOOKUP(G2682,'LEAID Match'!$A$2:$B$526,2,FALSE),"")</f>
        <v>2910200</v>
      </c>
      <c r="K2682" s="68">
        <f t="shared" si="83"/>
        <v>8</v>
      </c>
    </row>
    <row r="2683" spans="1:11" x14ac:dyDescent="0.2">
      <c r="A2683">
        <f t="shared" si="82"/>
        <v>2910200</v>
      </c>
      <c r="B2683">
        <v>2016</v>
      </c>
      <c r="C2683" t="s">
        <v>739</v>
      </c>
      <c r="D2683" t="s">
        <v>740</v>
      </c>
      <c r="E2683" t="s">
        <v>743</v>
      </c>
      <c r="F2683" s="59">
        <v>436</v>
      </c>
      <c r="G2683" s="34" t="s">
        <v>607</v>
      </c>
      <c r="H2683" s="36">
        <v>25601</v>
      </c>
      <c r="I2683" s="60">
        <v>143437</v>
      </c>
      <c r="J2683">
        <f>IFERROR(VLOOKUP(G2683,'LEAID Match'!$A$2:$B$526,2,FALSE),"")</f>
        <v>2910200</v>
      </c>
      <c r="K2683" s="68">
        <f t="shared" si="83"/>
        <v>8</v>
      </c>
    </row>
    <row r="2684" spans="1:11" x14ac:dyDescent="0.2">
      <c r="A2684">
        <f t="shared" si="82"/>
        <v>2910200</v>
      </c>
      <c r="B2684">
        <v>2017</v>
      </c>
      <c r="C2684" t="s">
        <v>739</v>
      </c>
      <c r="D2684" t="s">
        <v>740</v>
      </c>
      <c r="E2684" t="s">
        <v>743</v>
      </c>
      <c r="F2684" s="59">
        <v>436</v>
      </c>
      <c r="G2684" s="34" t="s">
        <v>607</v>
      </c>
      <c r="H2684" s="36">
        <v>27160</v>
      </c>
      <c r="I2684" s="58">
        <v>135835</v>
      </c>
      <c r="J2684">
        <f>IFERROR(VLOOKUP(G2684,'LEAID Match'!$A$2:$B$526,2,FALSE),"")</f>
        <v>2910200</v>
      </c>
      <c r="K2684" s="68">
        <f t="shared" si="83"/>
        <v>8</v>
      </c>
    </row>
    <row r="2685" spans="1:11" x14ac:dyDescent="0.2">
      <c r="A2685">
        <f t="shared" si="82"/>
        <v>2910200</v>
      </c>
      <c r="B2685">
        <v>2018</v>
      </c>
      <c r="C2685" t="s">
        <v>739</v>
      </c>
      <c r="D2685" t="s">
        <v>740</v>
      </c>
      <c r="E2685" t="s">
        <v>743</v>
      </c>
      <c r="F2685" s="59">
        <v>436</v>
      </c>
      <c r="G2685" s="34" t="s">
        <v>607</v>
      </c>
      <c r="H2685" s="36">
        <v>29057</v>
      </c>
      <c r="I2685" s="58">
        <v>141182</v>
      </c>
      <c r="J2685">
        <f>IFERROR(VLOOKUP(G2685,'LEAID Match'!$A$2:$B$526,2,FALSE),"")</f>
        <v>2910200</v>
      </c>
      <c r="K2685" s="68">
        <f t="shared" si="83"/>
        <v>8</v>
      </c>
    </row>
    <row r="2686" spans="1:11" x14ac:dyDescent="0.2">
      <c r="A2686">
        <f t="shared" si="82"/>
        <v>2910200</v>
      </c>
      <c r="B2686">
        <v>2019</v>
      </c>
      <c r="C2686" t="s">
        <v>739</v>
      </c>
      <c r="D2686" t="s">
        <v>740</v>
      </c>
      <c r="E2686" t="s">
        <v>743</v>
      </c>
      <c r="F2686" s="34">
        <v>436</v>
      </c>
      <c r="G2686" s="34" t="s">
        <v>607</v>
      </c>
      <c r="H2686" s="36">
        <v>31365</v>
      </c>
      <c r="I2686" s="58">
        <v>142465</v>
      </c>
      <c r="J2686">
        <f>IFERROR(VLOOKUP(G2686,'LEAID Match'!$A$2:$B$526,2,FALSE),"")</f>
        <v>2910200</v>
      </c>
      <c r="K2686" s="68">
        <f t="shared" si="83"/>
        <v>8</v>
      </c>
    </row>
    <row r="2687" spans="1:11" x14ac:dyDescent="0.2">
      <c r="A2687">
        <f t="shared" si="82"/>
        <v>2910200</v>
      </c>
      <c r="B2687">
        <v>2020</v>
      </c>
      <c r="C2687" t="s">
        <v>739</v>
      </c>
      <c r="D2687" t="s">
        <v>740</v>
      </c>
      <c r="E2687" t="s">
        <v>743</v>
      </c>
      <c r="F2687" s="34">
        <v>436</v>
      </c>
      <c r="G2687" s="34" t="s">
        <v>607</v>
      </c>
      <c r="H2687" s="36">
        <v>34789</v>
      </c>
      <c r="I2687" s="58">
        <v>127573</v>
      </c>
      <c r="J2687">
        <f>IFERROR(VLOOKUP(G2687,'LEAID Match'!$A$2:$B$526,2,FALSE),"")</f>
        <v>2910200</v>
      </c>
      <c r="K2687" s="68">
        <f t="shared" si="83"/>
        <v>8</v>
      </c>
    </row>
    <row r="2688" spans="1:11" x14ac:dyDescent="0.2">
      <c r="A2688">
        <f t="shared" si="82"/>
        <v>2910200</v>
      </c>
      <c r="B2688">
        <v>2021</v>
      </c>
      <c r="C2688" t="s">
        <v>739</v>
      </c>
      <c r="D2688" t="s">
        <v>740</v>
      </c>
      <c r="E2688" t="s">
        <v>743</v>
      </c>
      <c r="F2688" s="34">
        <v>436</v>
      </c>
      <c r="G2688" s="34" t="s">
        <v>607</v>
      </c>
      <c r="H2688" s="36">
        <v>32558</v>
      </c>
      <c r="I2688" s="58">
        <v>116185</v>
      </c>
      <c r="J2688">
        <f>IFERROR(VLOOKUP(G2688,'LEAID Match'!$A$2:$B$526,2,FALSE),"")</f>
        <v>2910200</v>
      </c>
      <c r="K2688" s="68">
        <f t="shared" si="83"/>
        <v>8</v>
      </c>
    </row>
    <row r="2689" spans="1:11" x14ac:dyDescent="0.2">
      <c r="A2689">
        <f t="shared" si="82"/>
        <v>2910200</v>
      </c>
      <c r="B2689">
        <v>2022</v>
      </c>
      <c r="C2689" t="s">
        <v>739</v>
      </c>
      <c r="D2689" t="s">
        <v>740</v>
      </c>
      <c r="E2689" t="s">
        <v>743</v>
      </c>
      <c r="F2689" s="34">
        <v>436</v>
      </c>
      <c r="G2689" s="34" t="s">
        <v>607</v>
      </c>
      <c r="H2689" s="36">
        <v>33921</v>
      </c>
      <c r="I2689" s="58">
        <v>139700</v>
      </c>
      <c r="J2689">
        <f>IFERROR(VLOOKUP(G2689,'LEAID Match'!$A$2:$B$526,2,FALSE),"")</f>
        <v>2910200</v>
      </c>
      <c r="K2689" s="68">
        <f t="shared" si="83"/>
        <v>8</v>
      </c>
    </row>
    <row r="2690" spans="1:11" x14ac:dyDescent="0.2">
      <c r="A2690">
        <f t="shared" si="82"/>
        <v>2930270</v>
      </c>
      <c r="B2690">
        <v>2015</v>
      </c>
      <c r="C2690" t="s">
        <v>739</v>
      </c>
      <c r="D2690" t="s">
        <v>740</v>
      </c>
      <c r="E2690" t="s">
        <v>743</v>
      </c>
      <c r="F2690" s="35">
        <v>437</v>
      </c>
      <c r="G2690" s="39" t="s">
        <v>608</v>
      </c>
      <c r="H2690" s="40">
        <v>42888</v>
      </c>
      <c r="I2690" s="58">
        <v>424734</v>
      </c>
      <c r="J2690">
        <f>IFERROR(VLOOKUP(G2690,'LEAID Match'!$A$2:$B$526,2,FALSE),"")</f>
        <v>2930270</v>
      </c>
      <c r="K2690" s="68">
        <f t="shared" si="83"/>
        <v>8</v>
      </c>
    </row>
    <row r="2691" spans="1:11" x14ac:dyDescent="0.2">
      <c r="A2691">
        <f t="shared" ref="A2691:A2754" si="84">J2691</f>
        <v>2930270</v>
      </c>
      <c r="B2691">
        <v>2016</v>
      </c>
      <c r="C2691" t="s">
        <v>739</v>
      </c>
      <c r="D2691" t="s">
        <v>740</v>
      </c>
      <c r="E2691" t="s">
        <v>743</v>
      </c>
      <c r="F2691" s="59">
        <v>437</v>
      </c>
      <c r="G2691" s="34" t="s">
        <v>608</v>
      </c>
      <c r="H2691" s="36">
        <v>44516</v>
      </c>
      <c r="I2691" s="60">
        <v>439888</v>
      </c>
      <c r="J2691">
        <f>IFERROR(VLOOKUP(G2691,'LEAID Match'!$A$2:$B$526,2,FALSE),"")</f>
        <v>2930270</v>
      </c>
      <c r="K2691" s="68">
        <f t="shared" ref="K2691:K2754" si="85">COUNTIF($J$2:$J$4295,J2691)</f>
        <v>8</v>
      </c>
    </row>
    <row r="2692" spans="1:11" x14ac:dyDescent="0.2">
      <c r="A2692">
        <f t="shared" si="84"/>
        <v>2930270</v>
      </c>
      <c r="B2692">
        <v>2017</v>
      </c>
      <c r="C2692" t="s">
        <v>739</v>
      </c>
      <c r="D2692" t="s">
        <v>740</v>
      </c>
      <c r="E2692" t="s">
        <v>743</v>
      </c>
      <c r="F2692" s="59">
        <v>437</v>
      </c>
      <c r="G2692" s="34" t="s">
        <v>608</v>
      </c>
      <c r="H2692" s="36">
        <v>49276</v>
      </c>
      <c r="I2692" s="58">
        <v>452201</v>
      </c>
      <c r="J2692">
        <f>IFERROR(VLOOKUP(G2692,'LEAID Match'!$A$2:$B$526,2,FALSE),"")</f>
        <v>2930270</v>
      </c>
      <c r="K2692" s="68">
        <f t="shared" si="85"/>
        <v>8</v>
      </c>
    </row>
    <row r="2693" spans="1:11" x14ac:dyDescent="0.2">
      <c r="A2693">
        <f t="shared" si="84"/>
        <v>2930270</v>
      </c>
      <c r="B2693">
        <v>2018</v>
      </c>
      <c r="C2693" t="s">
        <v>739</v>
      </c>
      <c r="D2693" t="s">
        <v>740</v>
      </c>
      <c r="E2693" t="s">
        <v>743</v>
      </c>
      <c r="F2693" s="59">
        <v>437</v>
      </c>
      <c r="G2693" s="34" t="s">
        <v>608</v>
      </c>
      <c r="H2693" s="36">
        <v>60216</v>
      </c>
      <c r="I2693" s="58">
        <v>467355</v>
      </c>
      <c r="J2693">
        <f>IFERROR(VLOOKUP(G2693,'LEAID Match'!$A$2:$B$526,2,FALSE),"")</f>
        <v>2930270</v>
      </c>
      <c r="K2693" s="68">
        <f t="shared" si="85"/>
        <v>8</v>
      </c>
    </row>
    <row r="2694" spans="1:11" x14ac:dyDescent="0.2">
      <c r="A2694">
        <f t="shared" si="84"/>
        <v>2930270</v>
      </c>
      <c r="B2694">
        <v>2019</v>
      </c>
      <c r="C2694" t="s">
        <v>739</v>
      </c>
      <c r="D2694" t="s">
        <v>740</v>
      </c>
      <c r="E2694" t="s">
        <v>743</v>
      </c>
      <c r="F2694" s="34">
        <v>437</v>
      </c>
      <c r="G2694" s="34" t="s">
        <v>608</v>
      </c>
      <c r="H2694" s="36">
        <v>62478</v>
      </c>
      <c r="I2694" s="58">
        <v>501132</v>
      </c>
      <c r="J2694">
        <f>IFERROR(VLOOKUP(G2694,'LEAID Match'!$A$2:$B$526,2,FALSE),"")</f>
        <v>2930270</v>
      </c>
      <c r="K2694" s="68">
        <f t="shared" si="85"/>
        <v>8</v>
      </c>
    </row>
    <row r="2695" spans="1:11" x14ac:dyDescent="0.2">
      <c r="A2695">
        <f t="shared" si="84"/>
        <v>2930270</v>
      </c>
      <c r="B2695">
        <v>2020</v>
      </c>
      <c r="C2695" t="s">
        <v>739</v>
      </c>
      <c r="D2695" t="s">
        <v>740</v>
      </c>
      <c r="E2695" t="s">
        <v>743</v>
      </c>
      <c r="F2695" s="34">
        <v>437</v>
      </c>
      <c r="G2695" s="34" t="s">
        <v>608</v>
      </c>
      <c r="H2695" s="36">
        <v>64643</v>
      </c>
      <c r="I2695" s="58">
        <v>501881</v>
      </c>
      <c r="J2695">
        <f>IFERROR(VLOOKUP(G2695,'LEAID Match'!$A$2:$B$526,2,FALSE),"")</f>
        <v>2930270</v>
      </c>
      <c r="K2695" s="68">
        <f t="shared" si="85"/>
        <v>8</v>
      </c>
    </row>
    <row r="2696" spans="1:11" x14ac:dyDescent="0.2">
      <c r="A2696">
        <f t="shared" si="84"/>
        <v>2930270</v>
      </c>
      <c r="B2696">
        <v>2021</v>
      </c>
      <c r="C2696" t="s">
        <v>739</v>
      </c>
      <c r="D2696" t="s">
        <v>740</v>
      </c>
      <c r="E2696" t="s">
        <v>743</v>
      </c>
      <c r="F2696" s="34">
        <v>437</v>
      </c>
      <c r="G2696" s="34" t="s">
        <v>608</v>
      </c>
      <c r="H2696" s="36">
        <v>67181</v>
      </c>
      <c r="I2696" s="58">
        <v>520231</v>
      </c>
      <c r="J2696">
        <f>IFERROR(VLOOKUP(G2696,'LEAID Match'!$A$2:$B$526,2,FALSE),"")</f>
        <v>2930270</v>
      </c>
      <c r="K2696" s="68">
        <f t="shared" si="85"/>
        <v>8</v>
      </c>
    </row>
    <row r="2697" spans="1:11" x14ac:dyDescent="0.2">
      <c r="A2697">
        <f t="shared" si="84"/>
        <v>2930270</v>
      </c>
      <c r="B2697">
        <v>2022</v>
      </c>
      <c r="C2697" t="s">
        <v>739</v>
      </c>
      <c r="D2697" t="s">
        <v>740</v>
      </c>
      <c r="E2697" t="s">
        <v>743</v>
      </c>
      <c r="F2697" s="34">
        <v>437</v>
      </c>
      <c r="G2697" s="34" t="s">
        <v>608</v>
      </c>
      <c r="H2697" s="36">
        <v>86785</v>
      </c>
      <c r="I2697" s="58">
        <v>469306</v>
      </c>
      <c r="J2697">
        <f>IFERROR(VLOOKUP(G2697,'LEAID Match'!$A$2:$B$526,2,FALSE),"")</f>
        <v>2930270</v>
      </c>
      <c r="K2697" s="68">
        <f t="shared" si="85"/>
        <v>8</v>
      </c>
    </row>
    <row r="2698" spans="1:11" x14ac:dyDescent="0.2">
      <c r="A2698">
        <f t="shared" si="84"/>
        <v>2916860</v>
      </c>
      <c r="B2698">
        <v>2015</v>
      </c>
      <c r="C2698" t="s">
        <v>739</v>
      </c>
      <c r="D2698" t="s">
        <v>740</v>
      </c>
      <c r="E2698" t="s">
        <v>743</v>
      </c>
      <c r="F2698" s="35">
        <v>438</v>
      </c>
      <c r="G2698" s="39" t="s">
        <v>609</v>
      </c>
      <c r="H2698" s="40">
        <v>24357</v>
      </c>
      <c r="I2698" s="58">
        <v>181948</v>
      </c>
      <c r="J2698">
        <f>IFERROR(VLOOKUP(G2698,'LEAID Match'!$A$2:$B$526,2,FALSE),"")</f>
        <v>2916860</v>
      </c>
      <c r="K2698" s="68">
        <f t="shared" si="85"/>
        <v>8</v>
      </c>
    </row>
    <row r="2699" spans="1:11" x14ac:dyDescent="0.2">
      <c r="A2699">
        <f t="shared" si="84"/>
        <v>2916860</v>
      </c>
      <c r="B2699">
        <v>2016</v>
      </c>
      <c r="C2699" t="s">
        <v>739</v>
      </c>
      <c r="D2699" t="s">
        <v>740</v>
      </c>
      <c r="E2699" t="s">
        <v>743</v>
      </c>
      <c r="F2699" s="59">
        <v>438</v>
      </c>
      <c r="G2699" s="34" t="s">
        <v>609</v>
      </c>
      <c r="H2699" s="36">
        <v>23479</v>
      </c>
      <c r="I2699" s="60">
        <v>177671</v>
      </c>
      <c r="J2699">
        <f>IFERROR(VLOOKUP(G2699,'LEAID Match'!$A$2:$B$526,2,FALSE),"")</f>
        <v>2916860</v>
      </c>
      <c r="K2699" s="68">
        <f t="shared" si="85"/>
        <v>8</v>
      </c>
    </row>
    <row r="2700" spans="1:11" x14ac:dyDescent="0.2">
      <c r="A2700">
        <f t="shared" si="84"/>
        <v>2916860</v>
      </c>
      <c r="B2700">
        <v>2017</v>
      </c>
      <c r="C2700" t="s">
        <v>739</v>
      </c>
      <c r="D2700" t="s">
        <v>740</v>
      </c>
      <c r="E2700" t="s">
        <v>743</v>
      </c>
      <c r="F2700" s="59">
        <v>438</v>
      </c>
      <c r="G2700" s="34" t="s">
        <v>609</v>
      </c>
      <c r="H2700" s="36">
        <v>22639</v>
      </c>
      <c r="I2700" s="58">
        <v>181750</v>
      </c>
      <c r="J2700">
        <f>IFERROR(VLOOKUP(G2700,'LEAID Match'!$A$2:$B$526,2,FALSE),"")</f>
        <v>2916860</v>
      </c>
      <c r="K2700" s="68">
        <f t="shared" si="85"/>
        <v>8</v>
      </c>
    </row>
    <row r="2701" spans="1:11" x14ac:dyDescent="0.2">
      <c r="A2701">
        <f t="shared" si="84"/>
        <v>2916860</v>
      </c>
      <c r="B2701">
        <v>2018</v>
      </c>
      <c r="C2701" t="s">
        <v>739</v>
      </c>
      <c r="D2701" t="s">
        <v>740</v>
      </c>
      <c r="E2701" t="s">
        <v>743</v>
      </c>
      <c r="F2701" s="59">
        <v>438</v>
      </c>
      <c r="G2701" s="34" t="s">
        <v>609</v>
      </c>
      <c r="H2701" s="36">
        <v>23699</v>
      </c>
      <c r="I2701" s="58">
        <v>185405</v>
      </c>
      <c r="J2701">
        <f>IFERROR(VLOOKUP(G2701,'LEAID Match'!$A$2:$B$526,2,FALSE),"")</f>
        <v>2916860</v>
      </c>
      <c r="K2701" s="68">
        <f t="shared" si="85"/>
        <v>8</v>
      </c>
    </row>
    <row r="2702" spans="1:11" x14ac:dyDescent="0.2">
      <c r="A2702">
        <f t="shared" si="84"/>
        <v>2916860</v>
      </c>
      <c r="B2702">
        <v>2019</v>
      </c>
      <c r="C2702" t="s">
        <v>739</v>
      </c>
      <c r="D2702" t="s">
        <v>740</v>
      </c>
      <c r="E2702" t="s">
        <v>743</v>
      </c>
      <c r="F2702" s="34">
        <v>438</v>
      </c>
      <c r="G2702" s="34" t="s">
        <v>609</v>
      </c>
      <c r="H2702" s="36">
        <v>21443</v>
      </c>
      <c r="I2702" s="58">
        <v>184144</v>
      </c>
      <c r="J2702">
        <f>IFERROR(VLOOKUP(G2702,'LEAID Match'!$A$2:$B$526,2,FALSE),"")</f>
        <v>2916860</v>
      </c>
      <c r="K2702" s="68">
        <f t="shared" si="85"/>
        <v>8</v>
      </c>
    </row>
    <row r="2703" spans="1:11" x14ac:dyDescent="0.2">
      <c r="A2703">
        <f t="shared" si="84"/>
        <v>2916860</v>
      </c>
      <c r="B2703">
        <v>2020</v>
      </c>
      <c r="C2703" t="s">
        <v>739</v>
      </c>
      <c r="D2703" t="s">
        <v>740</v>
      </c>
      <c r="E2703" t="s">
        <v>743</v>
      </c>
      <c r="F2703" s="34">
        <v>438</v>
      </c>
      <c r="G2703" s="34" t="s">
        <v>609</v>
      </c>
      <c r="H2703" s="36">
        <v>26599</v>
      </c>
      <c r="I2703" s="58">
        <v>185085</v>
      </c>
      <c r="J2703">
        <f>IFERROR(VLOOKUP(G2703,'LEAID Match'!$A$2:$B$526,2,FALSE),"")</f>
        <v>2916860</v>
      </c>
      <c r="K2703" s="68">
        <f t="shared" si="85"/>
        <v>8</v>
      </c>
    </row>
    <row r="2704" spans="1:11" x14ac:dyDescent="0.2">
      <c r="A2704">
        <f t="shared" si="84"/>
        <v>2916860</v>
      </c>
      <c r="B2704">
        <v>2021</v>
      </c>
      <c r="C2704" t="s">
        <v>739</v>
      </c>
      <c r="D2704" t="s">
        <v>740</v>
      </c>
      <c r="E2704" t="s">
        <v>743</v>
      </c>
      <c r="F2704" s="34">
        <v>438</v>
      </c>
      <c r="G2704" s="34" t="s">
        <v>609</v>
      </c>
      <c r="H2704" s="36">
        <v>28974</v>
      </c>
      <c r="I2704" s="58">
        <v>181713</v>
      </c>
      <c r="J2704">
        <f>IFERROR(VLOOKUP(G2704,'LEAID Match'!$A$2:$B$526,2,FALSE),"")</f>
        <v>2916860</v>
      </c>
      <c r="K2704" s="68">
        <f t="shared" si="85"/>
        <v>8</v>
      </c>
    </row>
    <row r="2705" spans="1:11" x14ac:dyDescent="0.2">
      <c r="A2705">
        <f t="shared" si="84"/>
        <v>2916860</v>
      </c>
      <c r="B2705">
        <v>2022</v>
      </c>
      <c r="C2705" t="s">
        <v>739</v>
      </c>
      <c r="D2705" t="s">
        <v>740</v>
      </c>
      <c r="E2705" t="s">
        <v>743</v>
      </c>
      <c r="F2705" s="34">
        <v>438</v>
      </c>
      <c r="G2705" s="34" t="s">
        <v>609</v>
      </c>
      <c r="H2705" s="36">
        <v>31823</v>
      </c>
      <c r="I2705" s="58">
        <v>181450</v>
      </c>
      <c r="J2705">
        <f>IFERROR(VLOOKUP(G2705,'LEAID Match'!$A$2:$B$526,2,FALSE),"")</f>
        <v>2916860</v>
      </c>
      <c r="K2705" s="68">
        <f t="shared" si="85"/>
        <v>8</v>
      </c>
    </row>
    <row r="2706" spans="1:11" x14ac:dyDescent="0.2">
      <c r="A2706">
        <f t="shared" si="84"/>
        <v>2903060</v>
      </c>
      <c r="B2706">
        <v>2015</v>
      </c>
      <c r="C2706" t="s">
        <v>739</v>
      </c>
      <c r="D2706" t="s">
        <v>740</v>
      </c>
      <c r="E2706" t="s">
        <v>743</v>
      </c>
      <c r="F2706" s="35">
        <v>439</v>
      </c>
      <c r="G2706" s="39" t="s">
        <v>610</v>
      </c>
      <c r="H2706" s="40">
        <v>61992</v>
      </c>
      <c r="I2706" s="58">
        <v>493366</v>
      </c>
      <c r="J2706">
        <f>IFERROR(VLOOKUP(G2706,'LEAID Match'!$A$2:$B$526,2,FALSE),"")</f>
        <v>2903060</v>
      </c>
      <c r="K2706" s="68">
        <f t="shared" si="85"/>
        <v>8</v>
      </c>
    </row>
    <row r="2707" spans="1:11" x14ac:dyDescent="0.2">
      <c r="A2707">
        <f t="shared" si="84"/>
        <v>2903060</v>
      </c>
      <c r="B2707">
        <v>2016</v>
      </c>
      <c r="C2707" t="s">
        <v>739</v>
      </c>
      <c r="D2707" t="s">
        <v>740</v>
      </c>
      <c r="E2707" t="s">
        <v>743</v>
      </c>
      <c r="F2707" s="59">
        <v>439</v>
      </c>
      <c r="G2707" s="34" t="s">
        <v>610</v>
      </c>
      <c r="H2707" s="36">
        <v>65774</v>
      </c>
      <c r="I2707" s="60">
        <v>488098</v>
      </c>
      <c r="J2707">
        <f>IFERROR(VLOOKUP(G2707,'LEAID Match'!$A$2:$B$526,2,FALSE),"")</f>
        <v>2903060</v>
      </c>
      <c r="K2707" s="68">
        <f t="shared" si="85"/>
        <v>8</v>
      </c>
    </row>
    <row r="2708" spans="1:11" x14ac:dyDescent="0.2">
      <c r="A2708">
        <f t="shared" si="84"/>
        <v>2903060</v>
      </c>
      <c r="B2708">
        <v>2017</v>
      </c>
      <c r="C2708" t="s">
        <v>739</v>
      </c>
      <c r="D2708" t="s">
        <v>740</v>
      </c>
      <c r="E2708" t="s">
        <v>743</v>
      </c>
      <c r="F2708" s="59">
        <v>439</v>
      </c>
      <c r="G2708" s="34" t="s">
        <v>610</v>
      </c>
      <c r="H2708" s="36">
        <v>69780</v>
      </c>
      <c r="I2708" s="58">
        <v>481272</v>
      </c>
      <c r="J2708">
        <f>IFERROR(VLOOKUP(G2708,'LEAID Match'!$A$2:$B$526,2,FALSE),"")</f>
        <v>2903060</v>
      </c>
      <c r="K2708" s="68">
        <f t="shared" si="85"/>
        <v>8</v>
      </c>
    </row>
    <row r="2709" spans="1:11" x14ac:dyDescent="0.2">
      <c r="A2709">
        <f t="shared" si="84"/>
        <v>2903060</v>
      </c>
      <c r="B2709">
        <v>2018</v>
      </c>
      <c r="C2709" t="s">
        <v>739</v>
      </c>
      <c r="D2709" t="s">
        <v>740</v>
      </c>
      <c r="E2709" t="s">
        <v>743</v>
      </c>
      <c r="F2709" s="59">
        <v>439</v>
      </c>
      <c r="G2709" s="34" t="s">
        <v>610</v>
      </c>
      <c r="H2709" s="36">
        <v>67269</v>
      </c>
      <c r="I2709" s="58">
        <v>475938</v>
      </c>
      <c r="J2709">
        <f>IFERROR(VLOOKUP(G2709,'LEAID Match'!$A$2:$B$526,2,FALSE),"")</f>
        <v>2903060</v>
      </c>
      <c r="K2709" s="68">
        <f t="shared" si="85"/>
        <v>8</v>
      </c>
    </row>
    <row r="2710" spans="1:11" x14ac:dyDescent="0.2">
      <c r="A2710">
        <f t="shared" si="84"/>
        <v>2903060</v>
      </c>
      <c r="B2710">
        <v>2019</v>
      </c>
      <c r="C2710" t="s">
        <v>739</v>
      </c>
      <c r="D2710" t="s">
        <v>740</v>
      </c>
      <c r="E2710" t="s">
        <v>743</v>
      </c>
      <c r="F2710" s="34">
        <v>439</v>
      </c>
      <c r="G2710" s="34" t="s">
        <v>610</v>
      </c>
      <c r="H2710" s="36">
        <v>68888</v>
      </c>
      <c r="I2710" s="58">
        <v>479659</v>
      </c>
      <c r="J2710">
        <f>IFERROR(VLOOKUP(G2710,'LEAID Match'!$A$2:$B$526,2,FALSE),"")</f>
        <v>2903060</v>
      </c>
      <c r="K2710" s="68">
        <f t="shared" si="85"/>
        <v>8</v>
      </c>
    </row>
    <row r="2711" spans="1:11" x14ac:dyDescent="0.2">
      <c r="A2711">
        <f t="shared" si="84"/>
        <v>2903060</v>
      </c>
      <c r="B2711">
        <v>2020</v>
      </c>
      <c r="C2711" t="s">
        <v>739</v>
      </c>
      <c r="D2711" t="s">
        <v>740</v>
      </c>
      <c r="E2711" t="s">
        <v>743</v>
      </c>
      <c r="F2711" s="34">
        <v>439</v>
      </c>
      <c r="G2711" s="34" t="s">
        <v>610</v>
      </c>
      <c r="H2711" s="36">
        <v>73335</v>
      </c>
      <c r="I2711" s="58">
        <v>480245</v>
      </c>
      <c r="J2711">
        <f>IFERROR(VLOOKUP(G2711,'LEAID Match'!$A$2:$B$526,2,FALSE),"")</f>
        <v>2903060</v>
      </c>
      <c r="K2711" s="68">
        <f t="shared" si="85"/>
        <v>8</v>
      </c>
    </row>
    <row r="2712" spans="1:11" x14ac:dyDescent="0.2">
      <c r="A2712">
        <f t="shared" si="84"/>
        <v>2903060</v>
      </c>
      <c r="B2712">
        <v>2021</v>
      </c>
      <c r="C2712" t="s">
        <v>739</v>
      </c>
      <c r="D2712" t="s">
        <v>740</v>
      </c>
      <c r="E2712" t="s">
        <v>743</v>
      </c>
      <c r="F2712" s="34">
        <v>439</v>
      </c>
      <c r="G2712" s="34" t="s">
        <v>610</v>
      </c>
      <c r="H2712" s="36">
        <v>79477</v>
      </c>
      <c r="I2712" s="58">
        <v>490415</v>
      </c>
      <c r="J2712">
        <f>IFERROR(VLOOKUP(G2712,'LEAID Match'!$A$2:$B$526,2,FALSE),"")</f>
        <v>2903060</v>
      </c>
      <c r="K2712" s="68">
        <f t="shared" si="85"/>
        <v>8</v>
      </c>
    </row>
    <row r="2713" spans="1:11" x14ac:dyDescent="0.2">
      <c r="A2713">
        <f t="shared" si="84"/>
        <v>2903060</v>
      </c>
      <c r="B2713">
        <v>2022</v>
      </c>
      <c r="C2713" t="s">
        <v>739</v>
      </c>
      <c r="D2713" t="s">
        <v>740</v>
      </c>
      <c r="E2713" t="s">
        <v>743</v>
      </c>
      <c r="F2713" s="34">
        <v>439</v>
      </c>
      <c r="G2713" s="34" t="s">
        <v>610</v>
      </c>
      <c r="H2713" s="36">
        <v>73230</v>
      </c>
      <c r="I2713" s="58">
        <v>484498</v>
      </c>
      <c r="J2713">
        <f>IFERROR(VLOOKUP(G2713,'LEAID Match'!$A$2:$B$526,2,FALSE),"")</f>
        <v>2903060</v>
      </c>
      <c r="K2713" s="68">
        <f t="shared" si="85"/>
        <v>8</v>
      </c>
    </row>
    <row r="2714" spans="1:11" x14ac:dyDescent="0.2">
      <c r="A2714">
        <f t="shared" si="84"/>
        <v>2908490</v>
      </c>
      <c r="B2714">
        <v>2015</v>
      </c>
      <c r="C2714" t="s">
        <v>739</v>
      </c>
      <c r="D2714" t="s">
        <v>740</v>
      </c>
      <c r="E2714" t="s">
        <v>743</v>
      </c>
      <c r="F2714" s="35">
        <v>440</v>
      </c>
      <c r="G2714" s="34" t="s">
        <v>611</v>
      </c>
      <c r="H2714" s="40">
        <v>17780</v>
      </c>
      <c r="I2714" s="58">
        <v>149813</v>
      </c>
      <c r="J2714">
        <f>IFERROR(VLOOKUP(G2714,'LEAID Match'!$A$2:$B$526,2,FALSE),"")</f>
        <v>2908490</v>
      </c>
      <c r="K2714" s="68">
        <f t="shared" si="85"/>
        <v>8</v>
      </c>
    </row>
    <row r="2715" spans="1:11" x14ac:dyDescent="0.2">
      <c r="A2715">
        <f t="shared" si="84"/>
        <v>2908490</v>
      </c>
      <c r="B2715">
        <v>2016</v>
      </c>
      <c r="C2715" t="s">
        <v>739</v>
      </c>
      <c r="D2715" t="s">
        <v>740</v>
      </c>
      <c r="E2715" t="s">
        <v>743</v>
      </c>
      <c r="F2715" s="59">
        <v>440</v>
      </c>
      <c r="G2715" s="34" t="s">
        <v>611</v>
      </c>
      <c r="H2715" s="36">
        <v>19544</v>
      </c>
      <c r="I2715" s="60">
        <v>156034</v>
      </c>
      <c r="J2715">
        <f>IFERROR(VLOOKUP(G2715,'LEAID Match'!$A$2:$B$526,2,FALSE),"")</f>
        <v>2908490</v>
      </c>
      <c r="K2715" s="68">
        <f t="shared" si="85"/>
        <v>8</v>
      </c>
    </row>
    <row r="2716" spans="1:11" x14ac:dyDescent="0.2">
      <c r="A2716">
        <f t="shared" si="84"/>
        <v>2908490</v>
      </c>
      <c r="B2716">
        <v>2017</v>
      </c>
      <c r="C2716" t="s">
        <v>739</v>
      </c>
      <c r="D2716" t="s">
        <v>740</v>
      </c>
      <c r="E2716" t="s">
        <v>743</v>
      </c>
      <c r="F2716" s="59">
        <v>440</v>
      </c>
      <c r="G2716" s="34" t="s">
        <v>611</v>
      </c>
      <c r="H2716" s="36">
        <v>20628</v>
      </c>
      <c r="I2716" s="58">
        <v>161804</v>
      </c>
      <c r="J2716">
        <f>IFERROR(VLOOKUP(G2716,'LEAID Match'!$A$2:$B$526,2,FALSE),"")</f>
        <v>2908490</v>
      </c>
      <c r="K2716" s="68">
        <f t="shared" si="85"/>
        <v>8</v>
      </c>
    </row>
    <row r="2717" spans="1:11" x14ac:dyDescent="0.2">
      <c r="A2717">
        <f t="shared" si="84"/>
        <v>2908490</v>
      </c>
      <c r="B2717">
        <v>2018</v>
      </c>
      <c r="C2717" t="s">
        <v>739</v>
      </c>
      <c r="D2717" t="s">
        <v>740</v>
      </c>
      <c r="E2717" t="s">
        <v>743</v>
      </c>
      <c r="F2717" s="59">
        <v>440</v>
      </c>
      <c r="G2717" s="34" t="s">
        <v>611</v>
      </c>
      <c r="H2717" s="36">
        <v>20031</v>
      </c>
      <c r="I2717" s="58">
        <v>163672</v>
      </c>
      <c r="J2717">
        <f>IFERROR(VLOOKUP(G2717,'LEAID Match'!$A$2:$B$526,2,FALSE),"")</f>
        <v>2908490</v>
      </c>
      <c r="K2717" s="68">
        <f t="shared" si="85"/>
        <v>8</v>
      </c>
    </row>
    <row r="2718" spans="1:11" x14ac:dyDescent="0.2">
      <c r="A2718">
        <f t="shared" si="84"/>
        <v>2908490</v>
      </c>
      <c r="B2718">
        <v>2019</v>
      </c>
      <c r="C2718" t="s">
        <v>739</v>
      </c>
      <c r="D2718" t="s">
        <v>740</v>
      </c>
      <c r="E2718" t="s">
        <v>743</v>
      </c>
      <c r="F2718" s="34">
        <v>440</v>
      </c>
      <c r="G2718" s="34" t="s">
        <v>611</v>
      </c>
      <c r="H2718" s="36">
        <v>20131</v>
      </c>
      <c r="I2718" s="58">
        <v>167925</v>
      </c>
      <c r="J2718">
        <f>IFERROR(VLOOKUP(G2718,'LEAID Match'!$A$2:$B$526,2,FALSE),"")</f>
        <v>2908490</v>
      </c>
      <c r="K2718" s="68">
        <f t="shared" si="85"/>
        <v>8</v>
      </c>
    </row>
    <row r="2719" spans="1:11" x14ac:dyDescent="0.2">
      <c r="A2719">
        <f t="shared" si="84"/>
        <v>2908490</v>
      </c>
      <c r="B2719">
        <v>2020</v>
      </c>
      <c r="C2719" t="s">
        <v>739</v>
      </c>
      <c r="D2719" t="s">
        <v>740</v>
      </c>
      <c r="E2719" t="s">
        <v>743</v>
      </c>
      <c r="F2719" s="34">
        <v>440</v>
      </c>
      <c r="G2719" s="34" t="s">
        <v>611</v>
      </c>
      <c r="H2719" s="36">
        <v>21007</v>
      </c>
      <c r="I2719" s="58">
        <v>162893</v>
      </c>
      <c r="J2719">
        <f>IFERROR(VLOOKUP(G2719,'LEAID Match'!$A$2:$B$526,2,FALSE),"")</f>
        <v>2908490</v>
      </c>
      <c r="K2719" s="68">
        <f t="shared" si="85"/>
        <v>8</v>
      </c>
    </row>
    <row r="2720" spans="1:11" x14ac:dyDescent="0.2">
      <c r="A2720">
        <f t="shared" si="84"/>
        <v>2908490</v>
      </c>
      <c r="B2720">
        <v>2021</v>
      </c>
      <c r="C2720" t="s">
        <v>739</v>
      </c>
      <c r="D2720" t="s">
        <v>740</v>
      </c>
      <c r="E2720" t="s">
        <v>743</v>
      </c>
      <c r="F2720" s="34">
        <v>440</v>
      </c>
      <c r="G2720" s="34" t="s">
        <v>611</v>
      </c>
      <c r="H2720" s="36">
        <v>23372</v>
      </c>
      <c r="I2720" s="58">
        <v>166121</v>
      </c>
      <c r="J2720">
        <f>IFERROR(VLOOKUP(G2720,'LEAID Match'!$A$2:$B$526,2,FALSE),"")</f>
        <v>2908490</v>
      </c>
      <c r="K2720" s="68">
        <f t="shared" si="85"/>
        <v>8</v>
      </c>
    </row>
    <row r="2721" spans="1:11" x14ac:dyDescent="0.2">
      <c r="A2721">
        <f t="shared" si="84"/>
        <v>2908490</v>
      </c>
      <c r="B2721">
        <v>2022</v>
      </c>
      <c r="C2721" t="s">
        <v>739</v>
      </c>
      <c r="D2721" t="s">
        <v>740</v>
      </c>
      <c r="E2721" t="s">
        <v>743</v>
      </c>
      <c r="F2721" s="34">
        <v>440</v>
      </c>
      <c r="G2721" s="34" t="s">
        <v>611</v>
      </c>
      <c r="H2721" s="36">
        <v>24369</v>
      </c>
      <c r="I2721" s="58">
        <v>168145</v>
      </c>
      <c r="J2721">
        <f>IFERROR(VLOOKUP(G2721,'LEAID Match'!$A$2:$B$526,2,FALSE),"")</f>
        <v>2908490</v>
      </c>
      <c r="K2721" s="68">
        <f t="shared" si="85"/>
        <v>8</v>
      </c>
    </row>
    <row r="2722" spans="1:11" x14ac:dyDescent="0.2">
      <c r="A2722">
        <f t="shared" si="84"/>
        <v>2919080</v>
      </c>
      <c r="B2722">
        <v>2015</v>
      </c>
      <c r="C2722" t="s">
        <v>739</v>
      </c>
      <c r="D2722" t="s">
        <v>740</v>
      </c>
      <c r="E2722" t="s">
        <v>743</v>
      </c>
      <c r="F2722" s="35">
        <v>441</v>
      </c>
      <c r="G2722" s="34" t="s">
        <v>612</v>
      </c>
      <c r="H2722" s="40">
        <v>52290</v>
      </c>
      <c r="I2722" s="58">
        <v>354699</v>
      </c>
      <c r="J2722">
        <f>IFERROR(VLOOKUP(G2722,'LEAID Match'!$A$2:$B$526,2,FALSE),"")</f>
        <v>2919080</v>
      </c>
      <c r="K2722" s="68">
        <f t="shared" si="85"/>
        <v>8</v>
      </c>
    </row>
    <row r="2723" spans="1:11" x14ac:dyDescent="0.2">
      <c r="A2723">
        <f t="shared" si="84"/>
        <v>2919080</v>
      </c>
      <c r="B2723">
        <v>2016</v>
      </c>
      <c r="C2723" t="s">
        <v>739</v>
      </c>
      <c r="D2723" t="s">
        <v>740</v>
      </c>
      <c r="E2723" t="s">
        <v>743</v>
      </c>
      <c r="F2723" s="59">
        <v>441</v>
      </c>
      <c r="G2723" s="34" t="s">
        <v>612</v>
      </c>
      <c r="H2723" s="36">
        <v>51951</v>
      </c>
      <c r="I2723" s="60">
        <v>368493</v>
      </c>
      <c r="J2723">
        <f>IFERROR(VLOOKUP(G2723,'LEAID Match'!$A$2:$B$526,2,FALSE),"")</f>
        <v>2919080</v>
      </c>
      <c r="K2723" s="68">
        <f t="shared" si="85"/>
        <v>8</v>
      </c>
    </row>
    <row r="2724" spans="1:11" x14ac:dyDescent="0.2">
      <c r="A2724">
        <f t="shared" si="84"/>
        <v>2919080</v>
      </c>
      <c r="B2724">
        <v>2017</v>
      </c>
      <c r="C2724" t="s">
        <v>739</v>
      </c>
      <c r="D2724" t="s">
        <v>740</v>
      </c>
      <c r="E2724" t="s">
        <v>743</v>
      </c>
      <c r="F2724" s="59">
        <v>441</v>
      </c>
      <c r="G2724" s="34" t="s">
        <v>612</v>
      </c>
      <c r="H2724" s="36">
        <v>48314</v>
      </c>
      <c r="I2724" s="58">
        <v>381570</v>
      </c>
      <c r="J2724">
        <f>IFERROR(VLOOKUP(G2724,'LEAID Match'!$A$2:$B$526,2,FALSE),"")</f>
        <v>2919080</v>
      </c>
      <c r="K2724" s="68">
        <f t="shared" si="85"/>
        <v>8</v>
      </c>
    </row>
    <row r="2725" spans="1:11" x14ac:dyDescent="0.2">
      <c r="A2725">
        <f t="shared" si="84"/>
        <v>2919080</v>
      </c>
      <c r="B2725">
        <v>2018</v>
      </c>
      <c r="C2725" t="s">
        <v>739</v>
      </c>
      <c r="D2725" t="s">
        <v>740</v>
      </c>
      <c r="E2725" t="s">
        <v>743</v>
      </c>
      <c r="F2725" s="59">
        <v>441</v>
      </c>
      <c r="G2725" s="34" t="s">
        <v>612</v>
      </c>
      <c r="H2725" s="36">
        <v>51083</v>
      </c>
      <c r="I2725" s="58">
        <v>384225</v>
      </c>
      <c r="J2725">
        <f>IFERROR(VLOOKUP(G2725,'LEAID Match'!$A$2:$B$526,2,FALSE),"")</f>
        <v>2919080</v>
      </c>
      <c r="K2725" s="68">
        <f t="shared" si="85"/>
        <v>8</v>
      </c>
    </row>
    <row r="2726" spans="1:11" x14ac:dyDescent="0.2">
      <c r="A2726">
        <f t="shared" si="84"/>
        <v>2919080</v>
      </c>
      <c r="B2726">
        <v>2019</v>
      </c>
      <c r="C2726" t="s">
        <v>739</v>
      </c>
      <c r="D2726" t="s">
        <v>740</v>
      </c>
      <c r="E2726" t="s">
        <v>743</v>
      </c>
      <c r="F2726" s="34">
        <v>441</v>
      </c>
      <c r="G2726" s="34" t="s">
        <v>612</v>
      </c>
      <c r="H2726" s="36">
        <v>55002</v>
      </c>
      <c r="I2726" s="58">
        <v>414687</v>
      </c>
      <c r="J2726">
        <f>IFERROR(VLOOKUP(G2726,'LEAID Match'!$A$2:$B$526,2,FALSE),"")</f>
        <v>2919080</v>
      </c>
      <c r="K2726" s="68">
        <f t="shared" si="85"/>
        <v>8</v>
      </c>
    </row>
    <row r="2727" spans="1:11" x14ac:dyDescent="0.2">
      <c r="A2727">
        <f t="shared" si="84"/>
        <v>2919080</v>
      </c>
      <c r="B2727">
        <v>2020</v>
      </c>
      <c r="C2727" t="s">
        <v>739</v>
      </c>
      <c r="D2727" t="s">
        <v>740</v>
      </c>
      <c r="E2727" t="s">
        <v>743</v>
      </c>
      <c r="F2727" s="34">
        <v>441</v>
      </c>
      <c r="G2727" s="34" t="s">
        <v>612</v>
      </c>
      <c r="H2727" s="36">
        <v>59286</v>
      </c>
      <c r="I2727" s="58">
        <v>411619</v>
      </c>
      <c r="J2727">
        <f>IFERROR(VLOOKUP(G2727,'LEAID Match'!$A$2:$B$526,2,FALSE),"")</f>
        <v>2919080</v>
      </c>
      <c r="K2727" s="68">
        <f t="shared" si="85"/>
        <v>8</v>
      </c>
    </row>
    <row r="2728" spans="1:11" x14ac:dyDescent="0.2">
      <c r="A2728">
        <f t="shared" si="84"/>
        <v>2919080</v>
      </c>
      <c r="B2728">
        <v>2021</v>
      </c>
      <c r="C2728" t="s">
        <v>739</v>
      </c>
      <c r="D2728" t="s">
        <v>740</v>
      </c>
      <c r="E2728" t="s">
        <v>743</v>
      </c>
      <c r="F2728" s="34">
        <v>441</v>
      </c>
      <c r="G2728" s="34" t="s">
        <v>612</v>
      </c>
      <c r="H2728" s="36">
        <v>56954</v>
      </c>
      <c r="I2728" s="58">
        <v>408855</v>
      </c>
      <c r="J2728">
        <f>IFERROR(VLOOKUP(G2728,'LEAID Match'!$A$2:$B$526,2,FALSE),"")</f>
        <v>2919080</v>
      </c>
      <c r="K2728" s="68">
        <f t="shared" si="85"/>
        <v>8</v>
      </c>
    </row>
    <row r="2729" spans="1:11" x14ac:dyDescent="0.2">
      <c r="A2729">
        <f t="shared" si="84"/>
        <v>2919080</v>
      </c>
      <c r="B2729">
        <v>2022</v>
      </c>
      <c r="C2729" t="s">
        <v>739</v>
      </c>
      <c r="D2729" t="s">
        <v>740</v>
      </c>
      <c r="E2729" t="s">
        <v>743</v>
      </c>
      <c r="F2729" s="34">
        <v>441</v>
      </c>
      <c r="G2729" s="34" t="s">
        <v>612</v>
      </c>
      <c r="H2729" s="36">
        <v>53839</v>
      </c>
      <c r="I2729" s="58">
        <v>418562</v>
      </c>
      <c r="J2729">
        <f>IFERROR(VLOOKUP(G2729,'LEAID Match'!$A$2:$B$526,2,FALSE),"")</f>
        <v>2919080</v>
      </c>
      <c r="K2729" s="68">
        <f t="shared" si="85"/>
        <v>8</v>
      </c>
    </row>
    <row r="2730" spans="1:11" x14ac:dyDescent="0.2">
      <c r="A2730">
        <f t="shared" si="84"/>
        <v>2931830</v>
      </c>
      <c r="B2730">
        <v>2015</v>
      </c>
      <c r="C2730" t="s">
        <v>739</v>
      </c>
      <c r="D2730" t="s">
        <v>740</v>
      </c>
      <c r="E2730" t="s">
        <v>743</v>
      </c>
      <c r="F2730" s="35">
        <v>442</v>
      </c>
      <c r="G2730" s="39" t="s">
        <v>613</v>
      </c>
      <c r="H2730" s="40">
        <v>60936</v>
      </c>
      <c r="I2730" s="58">
        <v>490900</v>
      </c>
      <c r="J2730">
        <f>IFERROR(VLOOKUP(G2730,'LEAID Match'!$A$2:$B$526,2,FALSE),"")</f>
        <v>2931830</v>
      </c>
      <c r="K2730" s="68">
        <f t="shared" si="85"/>
        <v>8</v>
      </c>
    </row>
    <row r="2731" spans="1:11" x14ac:dyDescent="0.2">
      <c r="A2731">
        <f t="shared" si="84"/>
        <v>2931830</v>
      </c>
      <c r="B2731">
        <v>2016</v>
      </c>
      <c r="C2731" t="s">
        <v>739</v>
      </c>
      <c r="D2731" t="s">
        <v>740</v>
      </c>
      <c r="E2731" t="s">
        <v>743</v>
      </c>
      <c r="F2731" s="59">
        <v>442</v>
      </c>
      <c r="G2731" s="34" t="s">
        <v>613</v>
      </c>
      <c r="H2731" s="36">
        <v>61161</v>
      </c>
      <c r="I2731" s="60">
        <v>494422</v>
      </c>
      <c r="J2731">
        <f>IFERROR(VLOOKUP(G2731,'LEAID Match'!$A$2:$B$526,2,FALSE),"")</f>
        <v>2931830</v>
      </c>
      <c r="K2731" s="68">
        <f t="shared" si="85"/>
        <v>8</v>
      </c>
    </row>
    <row r="2732" spans="1:11" x14ac:dyDescent="0.2">
      <c r="A2732">
        <f t="shared" si="84"/>
        <v>2931830</v>
      </c>
      <c r="B2732">
        <v>2017</v>
      </c>
      <c r="C2732" t="s">
        <v>739</v>
      </c>
      <c r="D2732" t="s">
        <v>740</v>
      </c>
      <c r="E2732" t="s">
        <v>743</v>
      </c>
      <c r="F2732" s="59">
        <v>442</v>
      </c>
      <c r="G2732" s="34" t="s">
        <v>613</v>
      </c>
      <c r="H2732" s="36">
        <v>66257</v>
      </c>
      <c r="I2732" s="58">
        <v>497993</v>
      </c>
      <c r="J2732">
        <f>IFERROR(VLOOKUP(G2732,'LEAID Match'!$A$2:$B$526,2,FALSE),"")</f>
        <v>2931830</v>
      </c>
      <c r="K2732" s="68">
        <f t="shared" si="85"/>
        <v>8</v>
      </c>
    </row>
    <row r="2733" spans="1:11" x14ac:dyDescent="0.2">
      <c r="A2733">
        <f t="shared" si="84"/>
        <v>2931830</v>
      </c>
      <c r="B2733">
        <v>2018</v>
      </c>
      <c r="C2733" t="s">
        <v>739</v>
      </c>
      <c r="D2733" t="s">
        <v>740</v>
      </c>
      <c r="E2733" t="s">
        <v>743</v>
      </c>
      <c r="F2733" s="59">
        <v>442</v>
      </c>
      <c r="G2733" s="34" t="s">
        <v>613</v>
      </c>
      <c r="H2733" s="36">
        <v>71500</v>
      </c>
      <c r="I2733" s="58">
        <v>522728</v>
      </c>
      <c r="J2733">
        <f>IFERROR(VLOOKUP(G2733,'LEAID Match'!$A$2:$B$526,2,FALSE),"")</f>
        <v>2931830</v>
      </c>
      <c r="K2733" s="68">
        <f t="shared" si="85"/>
        <v>8</v>
      </c>
    </row>
    <row r="2734" spans="1:11" x14ac:dyDescent="0.2">
      <c r="A2734">
        <f t="shared" si="84"/>
        <v>2931830</v>
      </c>
      <c r="B2734">
        <v>2019</v>
      </c>
      <c r="C2734" t="s">
        <v>739</v>
      </c>
      <c r="D2734" t="s">
        <v>740</v>
      </c>
      <c r="E2734" t="s">
        <v>743</v>
      </c>
      <c r="F2734" s="34">
        <v>442</v>
      </c>
      <c r="G2734" s="34" t="s">
        <v>613</v>
      </c>
      <c r="H2734" s="36">
        <v>73802</v>
      </c>
      <c r="I2734" s="58">
        <v>541632</v>
      </c>
      <c r="J2734">
        <f>IFERROR(VLOOKUP(G2734,'LEAID Match'!$A$2:$B$526,2,FALSE),"")</f>
        <v>2931830</v>
      </c>
      <c r="K2734" s="68">
        <f t="shared" si="85"/>
        <v>8</v>
      </c>
    </row>
    <row r="2735" spans="1:11" x14ac:dyDescent="0.2">
      <c r="A2735">
        <f t="shared" si="84"/>
        <v>2931830</v>
      </c>
      <c r="B2735">
        <v>2020</v>
      </c>
      <c r="C2735" t="s">
        <v>739</v>
      </c>
      <c r="D2735" t="s">
        <v>740</v>
      </c>
      <c r="E2735" t="s">
        <v>743</v>
      </c>
      <c r="F2735" s="34">
        <v>442</v>
      </c>
      <c r="G2735" s="34" t="s">
        <v>613</v>
      </c>
      <c r="H2735" s="36">
        <v>74145</v>
      </c>
      <c r="I2735" s="58">
        <v>542269</v>
      </c>
      <c r="J2735">
        <f>IFERROR(VLOOKUP(G2735,'LEAID Match'!$A$2:$B$526,2,FALSE),"")</f>
        <v>2931830</v>
      </c>
      <c r="K2735" s="68">
        <f t="shared" si="85"/>
        <v>8</v>
      </c>
    </row>
    <row r="2736" spans="1:11" x14ac:dyDescent="0.2">
      <c r="A2736">
        <f t="shared" si="84"/>
        <v>2931830</v>
      </c>
      <c r="B2736">
        <v>2021</v>
      </c>
      <c r="C2736" t="s">
        <v>739</v>
      </c>
      <c r="D2736" t="s">
        <v>740</v>
      </c>
      <c r="E2736" t="s">
        <v>743</v>
      </c>
      <c r="F2736" s="34">
        <v>442</v>
      </c>
      <c r="G2736" s="34" t="s">
        <v>613</v>
      </c>
      <c r="H2736" s="36">
        <v>79936</v>
      </c>
      <c r="I2736" s="58">
        <v>553869</v>
      </c>
      <c r="J2736">
        <f>IFERROR(VLOOKUP(G2736,'LEAID Match'!$A$2:$B$526,2,FALSE),"")</f>
        <v>2931830</v>
      </c>
      <c r="K2736" s="68">
        <f t="shared" si="85"/>
        <v>8</v>
      </c>
    </row>
    <row r="2737" spans="1:11" x14ac:dyDescent="0.2">
      <c r="A2737">
        <f t="shared" si="84"/>
        <v>2931830</v>
      </c>
      <c r="B2737">
        <v>2022</v>
      </c>
      <c r="C2737" t="s">
        <v>739</v>
      </c>
      <c r="D2737" t="s">
        <v>740</v>
      </c>
      <c r="E2737" t="s">
        <v>743</v>
      </c>
      <c r="F2737" s="34">
        <v>442</v>
      </c>
      <c r="G2737" s="34" t="s">
        <v>613</v>
      </c>
      <c r="H2737" s="36">
        <v>82839</v>
      </c>
      <c r="I2737" s="58">
        <v>575806</v>
      </c>
      <c r="J2737">
        <f>IFERROR(VLOOKUP(G2737,'LEAID Match'!$A$2:$B$526,2,FALSE),"")</f>
        <v>2931830</v>
      </c>
      <c r="K2737" s="68">
        <f t="shared" si="85"/>
        <v>8</v>
      </c>
    </row>
    <row r="2738" spans="1:11" x14ac:dyDescent="0.2">
      <c r="A2738">
        <f t="shared" si="84"/>
        <v>2923370</v>
      </c>
      <c r="B2738">
        <v>2015</v>
      </c>
      <c r="C2738" t="s">
        <v>739</v>
      </c>
      <c r="D2738" t="s">
        <v>740</v>
      </c>
      <c r="E2738" t="s">
        <v>743</v>
      </c>
      <c r="F2738" s="35">
        <v>443</v>
      </c>
      <c r="G2738" s="34" t="s">
        <v>614</v>
      </c>
      <c r="H2738" s="40">
        <v>5225</v>
      </c>
      <c r="I2738" s="58">
        <v>45667</v>
      </c>
      <c r="J2738">
        <f>IFERROR(VLOOKUP(G2738,'LEAID Match'!$A$2:$B$526,2,FALSE),"")</f>
        <v>2923370</v>
      </c>
      <c r="K2738" s="68">
        <f t="shared" si="85"/>
        <v>8</v>
      </c>
    </row>
    <row r="2739" spans="1:11" x14ac:dyDescent="0.2">
      <c r="A2739">
        <f t="shared" si="84"/>
        <v>2923370</v>
      </c>
      <c r="B2739">
        <v>2016</v>
      </c>
      <c r="C2739" t="s">
        <v>739</v>
      </c>
      <c r="D2739" t="s">
        <v>740</v>
      </c>
      <c r="E2739" t="s">
        <v>743</v>
      </c>
      <c r="F2739" s="59">
        <v>443</v>
      </c>
      <c r="G2739" s="34" t="s">
        <v>614</v>
      </c>
      <c r="H2739" s="36">
        <v>4653</v>
      </c>
      <c r="I2739" s="60">
        <v>41974</v>
      </c>
      <c r="J2739">
        <f>IFERROR(VLOOKUP(G2739,'LEAID Match'!$A$2:$B$526,2,FALSE),"")</f>
        <v>2923370</v>
      </c>
      <c r="K2739" s="68">
        <f t="shared" si="85"/>
        <v>8</v>
      </c>
    </row>
    <row r="2740" spans="1:11" x14ac:dyDescent="0.2">
      <c r="A2740">
        <f t="shared" si="84"/>
        <v>2923370</v>
      </c>
      <c r="B2740">
        <v>2017</v>
      </c>
      <c r="C2740" t="s">
        <v>739</v>
      </c>
      <c r="D2740" t="s">
        <v>740</v>
      </c>
      <c r="E2740" t="s">
        <v>743</v>
      </c>
      <c r="F2740" s="59">
        <v>443</v>
      </c>
      <c r="G2740" s="34" t="s">
        <v>614</v>
      </c>
      <c r="H2740" s="36">
        <v>5685</v>
      </c>
      <c r="I2740" s="58">
        <v>41721</v>
      </c>
      <c r="J2740">
        <f>IFERROR(VLOOKUP(G2740,'LEAID Match'!$A$2:$B$526,2,FALSE),"")</f>
        <v>2923370</v>
      </c>
      <c r="K2740" s="68">
        <f t="shared" si="85"/>
        <v>8</v>
      </c>
    </row>
    <row r="2741" spans="1:11" x14ac:dyDescent="0.2">
      <c r="A2741">
        <f t="shared" si="84"/>
        <v>2923370</v>
      </c>
      <c r="B2741">
        <v>2018</v>
      </c>
      <c r="C2741" t="s">
        <v>739</v>
      </c>
      <c r="D2741" t="s">
        <v>740</v>
      </c>
      <c r="E2741" t="s">
        <v>743</v>
      </c>
      <c r="F2741" s="59">
        <v>443</v>
      </c>
      <c r="G2741" s="34" t="s">
        <v>614</v>
      </c>
      <c r="H2741" s="36">
        <v>5424</v>
      </c>
      <c r="I2741" s="58">
        <v>42684</v>
      </c>
      <c r="J2741">
        <f>IFERROR(VLOOKUP(G2741,'LEAID Match'!$A$2:$B$526,2,FALSE),"")</f>
        <v>2923370</v>
      </c>
      <c r="K2741" s="68">
        <f t="shared" si="85"/>
        <v>8</v>
      </c>
    </row>
    <row r="2742" spans="1:11" x14ac:dyDescent="0.2">
      <c r="A2742">
        <f t="shared" si="84"/>
        <v>2923370</v>
      </c>
      <c r="B2742">
        <v>2019</v>
      </c>
      <c r="C2742" t="s">
        <v>739</v>
      </c>
      <c r="D2742" t="s">
        <v>740</v>
      </c>
      <c r="E2742" t="s">
        <v>743</v>
      </c>
      <c r="F2742" s="34">
        <v>443</v>
      </c>
      <c r="G2742" s="34" t="s">
        <v>614</v>
      </c>
      <c r="H2742" s="36">
        <v>5876</v>
      </c>
      <c r="I2742" s="58">
        <v>41380</v>
      </c>
      <c r="J2742">
        <f>IFERROR(VLOOKUP(G2742,'LEAID Match'!$A$2:$B$526,2,FALSE),"")</f>
        <v>2923370</v>
      </c>
      <c r="K2742" s="68">
        <f t="shared" si="85"/>
        <v>8</v>
      </c>
    </row>
    <row r="2743" spans="1:11" x14ac:dyDescent="0.2">
      <c r="A2743">
        <f t="shared" si="84"/>
        <v>2923370</v>
      </c>
      <c r="B2743">
        <v>2020</v>
      </c>
      <c r="C2743" t="s">
        <v>739</v>
      </c>
      <c r="D2743" t="s">
        <v>740</v>
      </c>
      <c r="E2743" t="s">
        <v>743</v>
      </c>
      <c r="F2743" s="34">
        <v>443</v>
      </c>
      <c r="G2743" s="34" t="s">
        <v>614</v>
      </c>
      <c r="H2743" s="36">
        <v>6140</v>
      </c>
      <c r="I2743" s="58">
        <v>40337</v>
      </c>
      <c r="J2743">
        <f>IFERROR(VLOOKUP(G2743,'LEAID Match'!$A$2:$B$526,2,FALSE),"")</f>
        <v>2923370</v>
      </c>
      <c r="K2743" s="68">
        <f t="shared" si="85"/>
        <v>8</v>
      </c>
    </row>
    <row r="2744" spans="1:11" x14ac:dyDescent="0.2">
      <c r="A2744">
        <f t="shared" si="84"/>
        <v>2923370</v>
      </c>
      <c r="B2744">
        <v>2021</v>
      </c>
      <c r="C2744" t="s">
        <v>739</v>
      </c>
      <c r="D2744" t="s">
        <v>740</v>
      </c>
      <c r="E2744" t="s">
        <v>743</v>
      </c>
      <c r="F2744" s="34">
        <v>443</v>
      </c>
      <c r="G2744" s="34" t="s">
        <v>614</v>
      </c>
      <c r="H2744" s="36">
        <v>5649</v>
      </c>
      <c r="I2744" s="58">
        <v>40852</v>
      </c>
      <c r="J2744">
        <f>IFERROR(VLOOKUP(G2744,'LEAID Match'!$A$2:$B$526,2,FALSE),"")</f>
        <v>2923370</v>
      </c>
      <c r="K2744" s="68">
        <f t="shared" si="85"/>
        <v>8</v>
      </c>
    </row>
    <row r="2745" spans="1:11" x14ac:dyDescent="0.2">
      <c r="A2745">
        <f t="shared" si="84"/>
        <v>2923370</v>
      </c>
      <c r="B2745">
        <v>2022</v>
      </c>
      <c r="C2745" t="s">
        <v>739</v>
      </c>
      <c r="D2745" t="s">
        <v>740</v>
      </c>
      <c r="E2745" t="s">
        <v>743</v>
      </c>
      <c r="F2745" s="34">
        <v>443</v>
      </c>
      <c r="G2745" s="34" t="s">
        <v>614</v>
      </c>
      <c r="H2745" s="36">
        <v>6689</v>
      </c>
      <c r="I2745" s="58">
        <v>48056</v>
      </c>
      <c r="J2745">
        <f>IFERROR(VLOOKUP(G2745,'LEAID Match'!$A$2:$B$526,2,FALSE),"")</f>
        <v>2923370</v>
      </c>
      <c r="K2745" s="68">
        <f t="shared" si="85"/>
        <v>8</v>
      </c>
    </row>
    <row r="2746" spans="1:11" x14ac:dyDescent="0.2">
      <c r="A2746">
        <f t="shared" si="84"/>
        <v>2910950</v>
      </c>
      <c r="B2746">
        <v>2015</v>
      </c>
      <c r="C2746" t="s">
        <v>739</v>
      </c>
      <c r="D2746" t="s">
        <v>740</v>
      </c>
      <c r="E2746" t="s">
        <v>743</v>
      </c>
      <c r="F2746" s="35">
        <v>444</v>
      </c>
      <c r="G2746" s="39" t="s">
        <v>615</v>
      </c>
      <c r="H2746" s="40">
        <v>40825</v>
      </c>
      <c r="I2746" s="58">
        <v>210072</v>
      </c>
      <c r="J2746">
        <f>IFERROR(VLOOKUP(G2746,'LEAID Match'!$A$2:$B$526,2,FALSE),"")</f>
        <v>2910950</v>
      </c>
      <c r="K2746" s="68">
        <f t="shared" si="85"/>
        <v>8</v>
      </c>
    </row>
    <row r="2747" spans="1:11" x14ac:dyDescent="0.2">
      <c r="A2747">
        <f t="shared" si="84"/>
        <v>2910950</v>
      </c>
      <c r="B2747">
        <v>2016</v>
      </c>
      <c r="C2747" t="s">
        <v>739</v>
      </c>
      <c r="D2747" t="s">
        <v>740</v>
      </c>
      <c r="E2747" t="s">
        <v>743</v>
      </c>
      <c r="F2747" s="59">
        <v>444</v>
      </c>
      <c r="G2747" s="34" t="s">
        <v>615</v>
      </c>
      <c r="H2747" s="36">
        <v>38642</v>
      </c>
      <c r="I2747" s="60">
        <v>210946</v>
      </c>
      <c r="J2747">
        <f>IFERROR(VLOOKUP(G2747,'LEAID Match'!$A$2:$B$526,2,FALSE),"")</f>
        <v>2910950</v>
      </c>
      <c r="K2747" s="68">
        <f t="shared" si="85"/>
        <v>8</v>
      </c>
    </row>
    <row r="2748" spans="1:11" x14ac:dyDescent="0.2">
      <c r="A2748">
        <f t="shared" si="84"/>
        <v>2910950</v>
      </c>
      <c r="B2748">
        <v>2017</v>
      </c>
      <c r="C2748" t="s">
        <v>739</v>
      </c>
      <c r="D2748" t="s">
        <v>740</v>
      </c>
      <c r="E2748" t="s">
        <v>743</v>
      </c>
      <c r="F2748" s="59">
        <v>444</v>
      </c>
      <c r="G2748" s="34" t="s">
        <v>615</v>
      </c>
      <c r="H2748" s="36">
        <v>39635</v>
      </c>
      <c r="I2748" s="58">
        <v>196846</v>
      </c>
      <c r="J2748">
        <f>IFERROR(VLOOKUP(G2748,'LEAID Match'!$A$2:$B$526,2,FALSE),"")</f>
        <v>2910950</v>
      </c>
      <c r="K2748" s="68">
        <f t="shared" si="85"/>
        <v>8</v>
      </c>
    </row>
    <row r="2749" spans="1:11" x14ac:dyDescent="0.2">
      <c r="A2749">
        <f t="shared" si="84"/>
        <v>2910950</v>
      </c>
      <c r="B2749">
        <v>2018</v>
      </c>
      <c r="C2749" t="s">
        <v>739</v>
      </c>
      <c r="D2749" t="s">
        <v>740</v>
      </c>
      <c r="E2749" t="s">
        <v>743</v>
      </c>
      <c r="F2749" s="59">
        <v>444</v>
      </c>
      <c r="G2749" s="34" t="s">
        <v>615</v>
      </c>
      <c r="H2749" s="36">
        <v>42071</v>
      </c>
      <c r="I2749" s="58">
        <v>196684</v>
      </c>
      <c r="J2749">
        <f>IFERROR(VLOOKUP(G2749,'LEAID Match'!$A$2:$B$526,2,FALSE),"")</f>
        <v>2910950</v>
      </c>
      <c r="K2749" s="68">
        <f t="shared" si="85"/>
        <v>8</v>
      </c>
    </row>
    <row r="2750" spans="1:11" x14ac:dyDescent="0.2">
      <c r="A2750">
        <f t="shared" si="84"/>
        <v>2910950</v>
      </c>
      <c r="B2750">
        <v>2019</v>
      </c>
      <c r="C2750" t="s">
        <v>739</v>
      </c>
      <c r="D2750" t="s">
        <v>740</v>
      </c>
      <c r="E2750" t="s">
        <v>743</v>
      </c>
      <c r="F2750" s="34">
        <v>444</v>
      </c>
      <c r="G2750" s="34" t="s">
        <v>615</v>
      </c>
      <c r="H2750" s="36">
        <v>47292</v>
      </c>
      <c r="I2750" s="58">
        <v>204054</v>
      </c>
      <c r="J2750">
        <f>IFERROR(VLOOKUP(G2750,'LEAID Match'!$A$2:$B$526,2,FALSE),"")</f>
        <v>2910950</v>
      </c>
      <c r="K2750" s="68">
        <f t="shared" si="85"/>
        <v>8</v>
      </c>
    </row>
    <row r="2751" spans="1:11" x14ac:dyDescent="0.2">
      <c r="A2751">
        <f t="shared" si="84"/>
        <v>2910950</v>
      </c>
      <c r="B2751">
        <v>2020</v>
      </c>
      <c r="C2751" t="s">
        <v>739</v>
      </c>
      <c r="D2751" t="s">
        <v>740</v>
      </c>
      <c r="E2751" t="s">
        <v>743</v>
      </c>
      <c r="F2751" s="34">
        <v>444</v>
      </c>
      <c r="G2751" s="34" t="s">
        <v>615</v>
      </c>
      <c r="H2751" s="36">
        <v>47479</v>
      </c>
      <c r="I2751" s="58">
        <v>217633</v>
      </c>
      <c r="J2751">
        <f>IFERROR(VLOOKUP(G2751,'LEAID Match'!$A$2:$B$526,2,FALSE),"")</f>
        <v>2910950</v>
      </c>
      <c r="K2751" s="68">
        <f t="shared" si="85"/>
        <v>8</v>
      </c>
    </row>
    <row r="2752" spans="1:11" x14ac:dyDescent="0.2">
      <c r="A2752">
        <f t="shared" si="84"/>
        <v>2910950</v>
      </c>
      <c r="B2752">
        <v>2021</v>
      </c>
      <c r="C2752" t="s">
        <v>739</v>
      </c>
      <c r="D2752" t="s">
        <v>740</v>
      </c>
      <c r="E2752" t="s">
        <v>743</v>
      </c>
      <c r="F2752" s="34">
        <v>444</v>
      </c>
      <c r="G2752" s="34" t="s">
        <v>615</v>
      </c>
      <c r="H2752" s="36">
        <v>48717</v>
      </c>
      <c r="I2752" s="58">
        <v>215146</v>
      </c>
      <c r="J2752">
        <f>IFERROR(VLOOKUP(G2752,'LEAID Match'!$A$2:$B$526,2,FALSE),"")</f>
        <v>2910950</v>
      </c>
      <c r="K2752" s="68">
        <f t="shared" si="85"/>
        <v>8</v>
      </c>
    </row>
    <row r="2753" spans="1:11" x14ac:dyDescent="0.2">
      <c r="A2753">
        <f t="shared" si="84"/>
        <v>2910950</v>
      </c>
      <c r="B2753">
        <v>2022</v>
      </c>
      <c r="C2753" t="s">
        <v>739</v>
      </c>
      <c r="D2753" t="s">
        <v>740</v>
      </c>
      <c r="E2753" t="s">
        <v>743</v>
      </c>
      <c r="F2753" s="34">
        <v>444</v>
      </c>
      <c r="G2753" s="34" t="s">
        <v>615</v>
      </c>
      <c r="H2753" s="36">
        <v>56980</v>
      </c>
      <c r="I2753" s="58">
        <v>210035</v>
      </c>
      <c r="J2753">
        <f>IFERROR(VLOOKUP(G2753,'LEAID Match'!$A$2:$B$526,2,FALSE),"")</f>
        <v>2910950</v>
      </c>
      <c r="K2753" s="68">
        <f t="shared" si="85"/>
        <v>8</v>
      </c>
    </row>
    <row r="2754" spans="1:11" x14ac:dyDescent="0.2">
      <c r="A2754">
        <f t="shared" si="84"/>
        <v>2904140</v>
      </c>
      <c r="B2754">
        <v>2015</v>
      </c>
      <c r="C2754" t="s">
        <v>739</v>
      </c>
      <c r="D2754" t="s">
        <v>740</v>
      </c>
      <c r="E2754" t="s">
        <v>743</v>
      </c>
      <c r="F2754" s="35">
        <v>445</v>
      </c>
      <c r="G2754" s="39" t="s">
        <v>616</v>
      </c>
      <c r="H2754" s="40">
        <v>42295</v>
      </c>
      <c r="I2754" s="58">
        <v>260892</v>
      </c>
      <c r="J2754">
        <f>IFERROR(VLOOKUP(G2754,'LEAID Match'!$A$2:$B$526,2,FALSE),"")</f>
        <v>2904140</v>
      </c>
      <c r="K2754" s="68">
        <f t="shared" si="85"/>
        <v>8</v>
      </c>
    </row>
    <row r="2755" spans="1:11" x14ac:dyDescent="0.2">
      <c r="A2755">
        <f t="shared" ref="A2755:A2818" si="86">J2755</f>
        <v>2904140</v>
      </c>
      <c r="B2755">
        <v>2016</v>
      </c>
      <c r="C2755" t="s">
        <v>739</v>
      </c>
      <c r="D2755" t="s">
        <v>740</v>
      </c>
      <c r="E2755" t="s">
        <v>743</v>
      </c>
      <c r="F2755" s="59">
        <v>445</v>
      </c>
      <c r="G2755" s="34" t="s">
        <v>616</v>
      </c>
      <c r="H2755" s="36">
        <v>43329</v>
      </c>
      <c r="I2755" s="60">
        <v>258045</v>
      </c>
      <c r="J2755">
        <f>IFERROR(VLOOKUP(G2755,'LEAID Match'!$A$2:$B$526,2,FALSE),"")</f>
        <v>2904140</v>
      </c>
      <c r="K2755" s="68">
        <f t="shared" ref="K2755:K2818" si="87">COUNTIF($J$2:$J$4295,J2755)</f>
        <v>8</v>
      </c>
    </row>
    <row r="2756" spans="1:11" x14ac:dyDescent="0.2">
      <c r="A2756">
        <f t="shared" si="86"/>
        <v>2904140</v>
      </c>
      <c r="B2756">
        <v>2017</v>
      </c>
      <c r="C2756" t="s">
        <v>739</v>
      </c>
      <c r="D2756" t="s">
        <v>740</v>
      </c>
      <c r="E2756" t="s">
        <v>743</v>
      </c>
      <c r="F2756" s="59">
        <v>445</v>
      </c>
      <c r="G2756" s="34" t="s">
        <v>616</v>
      </c>
      <c r="H2756" s="36">
        <v>47070</v>
      </c>
      <c r="I2756" s="58">
        <v>252879</v>
      </c>
      <c r="J2756">
        <f>IFERROR(VLOOKUP(G2756,'LEAID Match'!$A$2:$B$526,2,FALSE),"")</f>
        <v>2904140</v>
      </c>
      <c r="K2756" s="68">
        <f t="shared" si="87"/>
        <v>8</v>
      </c>
    </row>
    <row r="2757" spans="1:11" x14ac:dyDescent="0.2">
      <c r="A2757">
        <f t="shared" si="86"/>
        <v>2904140</v>
      </c>
      <c r="B2757">
        <v>2018</v>
      </c>
      <c r="C2757" t="s">
        <v>739</v>
      </c>
      <c r="D2757" t="s">
        <v>740</v>
      </c>
      <c r="E2757" t="s">
        <v>743</v>
      </c>
      <c r="F2757" s="59">
        <v>445</v>
      </c>
      <c r="G2757" s="34" t="s">
        <v>616</v>
      </c>
      <c r="H2757" s="36">
        <v>47971</v>
      </c>
      <c r="I2757" s="58">
        <v>253535</v>
      </c>
      <c r="J2757">
        <f>IFERROR(VLOOKUP(G2757,'LEAID Match'!$A$2:$B$526,2,FALSE),"")</f>
        <v>2904140</v>
      </c>
      <c r="K2757" s="68">
        <f t="shared" si="87"/>
        <v>8</v>
      </c>
    </row>
    <row r="2758" spans="1:11" x14ac:dyDescent="0.2">
      <c r="A2758">
        <f t="shared" si="86"/>
        <v>2904140</v>
      </c>
      <c r="B2758">
        <v>2019</v>
      </c>
      <c r="C2758" t="s">
        <v>739</v>
      </c>
      <c r="D2758" t="s">
        <v>740</v>
      </c>
      <c r="E2758" t="s">
        <v>743</v>
      </c>
      <c r="F2758" s="34">
        <v>445</v>
      </c>
      <c r="G2758" s="34" t="s">
        <v>616</v>
      </c>
      <c r="H2758" s="36">
        <v>52456</v>
      </c>
      <c r="I2758" s="58">
        <v>270740</v>
      </c>
      <c r="J2758">
        <f>IFERROR(VLOOKUP(G2758,'LEAID Match'!$A$2:$B$526,2,FALSE),"")</f>
        <v>2904140</v>
      </c>
      <c r="K2758" s="68">
        <f t="shared" si="87"/>
        <v>8</v>
      </c>
    </row>
    <row r="2759" spans="1:11" x14ac:dyDescent="0.2">
      <c r="A2759">
        <f t="shared" si="86"/>
        <v>2904140</v>
      </c>
      <c r="B2759">
        <v>2020</v>
      </c>
      <c r="C2759" t="s">
        <v>739</v>
      </c>
      <c r="D2759" t="s">
        <v>740</v>
      </c>
      <c r="E2759" t="s">
        <v>743</v>
      </c>
      <c r="F2759" s="34">
        <v>445</v>
      </c>
      <c r="G2759" s="34" t="s">
        <v>616</v>
      </c>
      <c r="H2759" s="36">
        <v>49882</v>
      </c>
      <c r="I2759" s="58">
        <v>281802</v>
      </c>
      <c r="J2759">
        <f>IFERROR(VLOOKUP(G2759,'LEAID Match'!$A$2:$B$526,2,FALSE),"")</f>
        <v>2904140</v>
      </c>
      <c r="K2759" s="68">
        <f t="shared" si="87"/>
        <v>8</v>
      </c>
    </row>
    <row r="2760" spans="1:11" x14ac:dyDescent="0.2">
      <c r="A2760">
        <f t="shared" si="86"/>
        <v>2904140</v>
      </c>
      <c r="B2760">
        <v>2021</v>
      </c>
      <c r="C2760" t="s">
        <v>739</v>
      </c>
      <c r="D2760" t="s">
        <v>740</v>
      </c>
      <c r="E2760" t="s">
        <v>743</v>
      </c>
      <c r="F2760" s="34">
        <v>445</v>
      </c>
      <c r="G2760" s="34" t="s">
        <v>616</v>
      </c>
      <c r="H2760" s="36">
        <v>55574</v>
      </c>
      <c r="I2760" s="58">
        <v>272321</v>
      </c>
      <c r="J2760">
        <f>IFERROR(VLOOKUP(G2760,'LEAID Match'!$A$2:$B$526,2,FALSE),"")</f>
        <v>2904140</v>
      </c>
      <c r="K2760" s="68">
        <f t="shared" si="87"/>
        <v>8</v>
      </c>
    </row>
    <row r="2761" spans="1:11" x14ac:dyDescent="0.2">
      <c r="A2761">
        <f t="shared" si="86"/>
        <v>2904140</v>
      </c>
      <c r="B2761">
        <v>2022</v>
      </c>
      <c r="C2761" t="s">
        <v>739</v>
      </c>
      <c r="D2761" t="s">
        <v>740</v>
      </c>
      <c r="E2761" t="s">
        <v>743</v>
      </c>
      <c r="F2761" s="34">
        <v>445</v>
      </c>
      <c r="G2761" s="34" t="s">
        <v>616</v>
      </c>
      <c r="H2761" s="36">
        <v>51992</v>
      </c>
      <c r="I2761" s="58">
        <v>283926</v>
      </c>
      <c r="J2761">
        <f>IFERROR(VLOOKUP(G2761,'LEAID Match'!$A$2:$B$526,2,FALSE),"")</f>
        <v>2904140</v>
      </c>
      <c r="K2761" s="68">
        <f t="shared" si="87"/>
        <v>8</v>
      </c>
    </row>
    <row r="2762" spans="1:11" x14ac:dyDescent="0.2">
      <c r="A2762">
        <f t="shared" si="86"/>
        <v>2912600</v>
      </c>
      <c r="B2762">
        <v>2015</v>
      </c>
      <c r="C2762" t="s">
        <v>739</v>
      </c>
      <c r="D2762" t="s">
        <v>740</v>
      </c>
      <c r="E2762" t="s">
        <v>743</v>
      </c>
      <c r="F2762" s="35">
        <v>446</v>
      </c>
      <c r="G2762" s="39" t="s">
        <v>617</v>
      </c>
      <c r="H2762" s="40">
        <v>68405</v>
      </c>
      <c r="I2762" s="58">
        <v>382842</v>
      </c>
      <c r="J2762">
        <f>IFERROR(VLOOKUP(G2762,'LEAID Match'!$A$2:$B$526,2,FALSE),"")</f>
        <v>2912600</v>
      </c>
      <c r="K2762" s="68">
        <f t="shared" si="87"/>
        <v>8</v>
      </c>
    </row>
    <row r="2763" spans="1:11" x14ac:dyDescent="0.2">
      <c r="A2763">
        <f t="shared" si="86"/>
        <v>2912600</v>
      </c>
      <c r="B2763">
        <v>2016</v>
      </c>
      <c r="C2763" t="s">
        <v>739</v>
      </c>
      <c r="D2763" t="s">
        <v>740</v>
      </c>
      <c r="E2763" t="s">
        <v>743</v>
      </c>
      <c r="F2763" s="34">
        <v>446</v>
      </c>
      <c r="G2763" s="34" t="s">
        <v>617</v>
      </c>
      <c r="H2763" s="36">
        <v>69549</v>
      </c>
      <c r="I2763" s="60">
        <v>397787</v>
      </c>
      <c r="J2763">
        <f>IFERROR(VLOOKUP(G2763,'LEAID Match'!$A$2:$B$526,2,FALSE),"")</f>
        <v>2912600</v>
      </c>
      <c r="K2763" s="68">
        <f t="shared" si="87"/>
        <v>8</v>
      </c>
    </row>
    <row r="2764" spans="1:11" x14ac:dyDescent="0.2">
      <c r="A2764">
        <f t="shared" si="86"/>
        <v>2912600</v>
      </c>
      <c r="B2764">
        <v>2017</v>
      </c>
      <c r="C2764" t="s">
        <v>739</v>
      </c>
      <c r="D2764" t="s">
        <v>740</v>
      </c>
      <c r="E2764" t="s">
        <v>743</v>
      </c>
      <c r="F2764" s="34">
        <v>446</v>
      </c>
      <c r="G2764" s="34" t="s">
        <v>617</v>
      </c>
      <c r="H2764" s="36">
        <v>67283</v>
      </c>
      <c r="I2764" s="58">
        <v>415448</v>
      </c>
      <c r="J2764">
        <f>IFERROR(VLOOKUP(G2764,'LEAID Match'!$A$2:$B$526,2,FALSE),"")</f>
        <v>2912600</v>
      </c>
      <c r="K2764" s="68">
        <f t="shared" si="87"/>
        <v>8</v>
      </c>
    </row>
    <row r="2765" spans="1:11" x14ac:dyDescent="0.2">
      <c r="A2765">
        <f t="shared" si="86"/>
        <v>2912600</v>
      </c>
      <c r="B2765">
        <v>2018</v>
      </c>
      <c r="C2765" t="s">
        <v>739</v>
      </c>
      <c r="D2765" t="s">
        <v>740</v>
      </c>
      <c r="E2765" t="s">
        <v>743</v>
      </c>
      <c r="F2765" s="34">
        <v>446</v>
      </c>
      <c r="G2765" s="34" t="s">
        <v>617</v>
      </c>
      <c r="H2765" s="36">
        <v>65984</v>
      </c>
      <c r="I2765" s="58">
        <v>415804</v>
      </c>
      <c r="J2765">
        <f>IFERROR(VLOOKUP(G2765,'LEAID Match'!$A$2:$B$526,2,FALSE),"")</f>
        <v>2912600</v>
      </c>
      <c r="K2765" s="68">
        <f t="shared" si="87"/>
        <v>8</v>
      </c>
    </row>
    <row r="2766" spans="1:11" x14ac:dyDescent="0.2">
      <c r="A2766">
        <f t="shared" si="86"/>
        <v>2912600</v>
      </c>
      <c r="B2766">
        <v>2019</v>
      </c>
      <c r="C2766" t="s">
        <v>739</v>
      </c>
      <c r="D2766" t="s">
        <v>740</v>
      </c>
      <c r="E2766" t="s">
        <v>743</v>
      </c>
      <c r="F2766" s="34">
        <v>446</v>
      </c>
      <c r="G2766" s="34" t="s">
        <v>617</v>
      </c>
      <c r="H2766" s="36">
        <v>64225</v>
      </c>
      <c r="I2766" s="58">
        <v>434012</v>
      </c>
      <c r="J2766">
        <f>IFERROR(VLOOKUP(G2766,'LEAID Match'!$A$2:$B$526,2,FALSE),"")</f>
        <v>2912600</v>
      </c>
      <c r="K2766" s="68">
        <f t="shared" si="87"/>
        <v>8</v>
      </c>
    </row>
    <row r="2767" spans="1:11" x14ac:dyDescent="0.2">
      <c r="A2767">
        <f t="shared" si="86"/>
        <v>2912600</v>
      </c>
      <c r="B2767">
        <v>2020</v>
      </c>
      <c r="C2767" t="s">
        <v>739</v>
      </c>
      <c r="D2767" t="s">
        <v>740</v>
      </c>
      <c r="E2767" t="s">
        <v>743</v>
      </c>
      <c r="F2767" s="34">
        <v>446</v>
      </c>
      <c r="G2767" s="34" t="s">
        <v>617</v>
      </c>
      <c r="H2767" s="36">
        <v>69539</v>
      </c>
      <c r="I2767" s="58">
        <v>424368</v>
      </c>
      <c r="J2767">
        <f>IFERROR(VLOOKUP(G2767,'LEAID Match'!$A$2:$B$526,2,FALSE),"")</f>
        <v>2912600</v>
      </c>
      <c r="K2767" s="68">
        <f t="shared" si="87"/>
        <v>8</v>
      </c>
    </row>
    <row r="2768" spans="1:11" x14ac:dyDescent="0.2">
      <c r="A2768">
        <f t="shared" si="86"/>
        <v>2912600</v>
      </c>
      <c r="B2768">
        <v>2021</v>
      </c>
      <c r="C2768" t="s">
        <v>739</v>
      </c>
      <c r="D2768" t="s">
        <v>740</v>
      </c>
      <c r="E2768" t="s">
        <v>743</v>
      </c>
      <c r="F2768" s="34">
        <v>446</v>
      </c>
      <c r="G2768" s="34" t="s">
        <v>617</v>
      </c>
      <c r="H2768" s="36">
        <v>73478</v>
      </c>
      <c r="I2768" s="58">
        <v>405871</v>
      </c>
      <c r="J2768">
        <f>IFERROR(VLOOKUP(G2768,'LEAID Match'!$A$2:$B$526,2,FALSE),"")</f>
        <v>2912600</v>
      </c>
      <c r="K2768" s="68">
        <f t="shared" si="87"/>
        <v>8</v>
      </c>
    </row>
    <row r="2769" spans="1:11" x14ac:dyDescent="0.2">
      <c r="A2769">
        <f t="shared" si="86"/>
        <v>2912600</v>
      </c>
      <c r="B2769">
        <v>2022</v>
      </c>
      <c r="C2769" t="s">
        <v>739</v>
      </c>
      <c r="D2769" t="s">
        <v>740</v>
      </c>
      <c r="E2769" t="s">
        <v>743</v>
      </c>
      <c r="F2769" s="34">
        <v>446</v>
      </c>
      <c r="G2769" s="34" t="s">
        <v>617</v>
      </c>
      <c r="H2769" s="36">
        <v>74229</v>
      </c>
      <c r="I2769" s="58">
        <v>404221</v>
      </c>
      <c r="J2769">
        <f>IFERROR(VLOOKUP(G2769,'LEAID Match'!$A$2:$B$526,2,FALSE),"")</f>
        <v>2912600</v>
      </c>
      <c r="K2769" s="68">
        <f t="shared" si="87"/>
        <v>8</v>
      </c>
    </row>
    <row r="2770" spans="1:11" x14ac:dyDescent="0.2">
      <c r="A2770">
        <f t="shared" si="86"/>
        <v>2923400</v>
      </c>
      <c r="B2770">
        <v>2015</v>
      </c>
      <c r="C2770" t="s">
        <v>739</v>
      </c>
      <c r="D2770" t="s">
        <v>740</v>
      </c>
      <c r="E2770" t="s">
        <v>743</v>
      </c>
      <c r="F2770" s="35">
        <v>447</v>
      </c>
      <c r="G2770" s="39" t="s">
        <v>618</v>
      </c>
      <c r="H2770" s="40">
        <v>22650</v>
      </c>
      <c r="I2770" s="58">
        <v>149933</v>
      </c>
      <c r="J2770">
        <f>IFERROR(VLOOKUP(G2770,'LEAID Match'!$A$2:$B$526,2,FALSE),"")</f>
        <v>2923400</v>
      </c>
      <c r="K2770" s="68">
        <f t="shared" si="87"/>
        <v>8</v>
      </c>
    </row>
    <row r="2771" spans="1:11" x14ac:dyDescent="0.2">
      <c r="A2771">
        <f t="shared" si="86"/>
        <v>2923400</v>
      </c>
      <c r="B2771">
        <v>2016</v>
      </c>
      <c r="C2771" t="s">
        <v>739</v>
      </c>
      <c r="D2771" t="s">
        <v>740</v>
      </c>
      <c r="E2771" t="s">
        <v>743</v>
      </c>
      <c r="F2771" s="34">
        <v>447</v>
      </c>
      <c r="G2771" s="34" t="s">
        <v>618</v>
      </c>
      <c r="H2771" s="36">
        <v>22123</v>
      </c>
      <c r="I2771" s="60">
        <v>151553</v>
      </c>
      <c r="J2771">
        <f>IFERROR(VLOOKUP(G2771,'LEAID Match'!$A$2:$B$526,2,FALSE),"")</f>
        <v>2923400</v>
      </c>
      <c r="K2771" s="68">
        <f t="shared" si="87"/>
        <v>8</v>
      </c>
    </row>
    <row r="2772" spans="1:11" x14ac:dyDescent="0.2">
      <c r="A2772">
        <f t="shared" si="86"/>
        <v>2923400</v>
      </c>
      <c r="B2772">
        <v>2017</v>
      </c>
      <c r="C2772" t="s">
        <v>739</v>
      </c>
      <c r="D2772" t="s">
        <v>740</v>
      </c>
      <c r="E2772" t="s">
        <v>743</v>
      </c>
      <c r="F2772" s="34">
        <v>447</v>
      </c>
      <c r="G2772" s="34" t="s">
        <v>618</v>
      </c>
      <c r="H2772" s="36">
        <v>22346</v>
      </c>
      <c r="I2772" s="58">
        <v>150896</v>
      </c>
      <c r="J2772">
        <f>IFERROR(VLOOKUP(G2772,'LEAID Match'!$A$2:$B$526,2,FALSE),"")</f>
        <v>2923400</v>
      </c>
      <c r="K2772" s="68">
        <f t="shared" si="87"/>
        <v>8</v>
      </c>
    </row>
    <row r="2773" spans="1:11" x14ac:dyDescent="0.2">
      <c r="A2773">
        <f t="shared" si="86"/>
        <v>2923400</v>
      </c>
      <c r="B2773">
        <v>2018</v>
      </c>
      <c r="C2773" t="s">
        <v>739</v>
      </c>
      <c r="D2773" t="s">
        <v>740</v>
      </c>
      <c r="E2773" t="s">
        <v>743</v>
      </c>
      <c r="F2773" s="34">
        <v>447</v>
      </c>
      <c r="G2773" s="34" t="s">
        <v>618</v>
      </c>
      <c r="H2773" s="36">
        <v>20717</v>
      </c>
      <c r="I2773" s="58">
        <v>151402</v>
      </c>
      <c r="J2773">
        <f>IFERROR(VLOOKUP(G2773,'LEAID Match'!$A$2:$B$526,2,FALSE),"")</f>
        <v>2923400</v>
      </c>
      <c r="K2773" s="68">
        <f t="shared" si="87"/>
        <v>8</v>
      </c>
    </row>
    <row r="2774" spans="1:11" x14ac:dyDescent="0.2">
      <c r="A2774">
        <f t="shared" si="86"/>
        <v>2923400</v>
      </c>
      <c r="B2774">
        <v>2019</v>
      </c>
      <c r="C2774" t="s">
        <v>739</v>
      </c>
      <c r="D2774" t="s">
        <v>740</v>
      </c>
      <c r="E2774" t="s">
        <v>743</v>
      </c>
      <c r="F2774" s="34">
        <v>447</v>
      </c>
      <c r="G2774" s="34" t="s">
        <v>618</v>
      </c>
      <c r="H2774" s="36">
        <v>24226</v>
      </c>
      <c r="I2774" s="58">
        <v>127548</v>
      </c>
      <c r="J2774">
        <f>IFERROR(VLOOKUP(G2774,'LEAID Match'!$A$2:$B$526,2,FALSE),"")</f>
        <v>2923400</v>
      </c>
      <c r="K2774" s="68">
        <f t="shared" si="87"/>
        <v>8</v>
      </c>
    </row>
    <row r="2775" spans="1:11" x14ac:dyDescent="0.2">
      <c r="A2775">
        <f t="shared" si="86"/>
        <v>2923400</v>
      </c>
      <c r="B2775">
        <v>2020</v>
      </c>
      <c r="C2775" t="s">
        <v>739</v>
      </c>
      <c r="D2775" t="s">
        <v>740</v>
      </c>
      <c r="E2775" t="s">
        <v>743</v>
      </c>
      <c r="F2775" s="34">
        <v>447</v>
      </c>
      <c r="G2775" s="34" t="s">
        <v>618</v>
      </c>
      <c r="H2775" s="36">
        <v>27025</v>
      </c>
      <c r="I2775" s="58">
        <v>135876</v>
      </c>
      <c r="J2775">
        <f>IFERROR(VLOOKUP(G2775,'LEAID Match'!$A$2:$B$526,2,FALSE),"")</f>
        <v>2923400</v>
      </c>
      <c r="K2775" s="68">
        <f t="shared" si="87"/>
        <v>8</v>
      </c>
    </row>
    <row r="2776" spans="1:11" x14ac:dyDescent="0.2">
      <c r="A2776">
        <f t="shared" si="86"/>
        <v>2923400</v>
      </c>
      <c r="B2776">
        <v>2021</v>
      </c>
      <c r="C2776" t="s">
        <v>739</v>
      </c>
      <c r="D2776" t="s">
        <v>740</v>
      </c>
      <c r="E2776" t="s">
        <v>743</v>
      </c>
      <c r="F2776" s="34">
        <v>447</v>
      </c>
      <c r="G2776" s="34" t="s">
        <v>618</v>
      </c>
      <c r="H2776" s="36">
        <v>20979</v>
      </c>
      <c r="I2776" s="58">
        <v>126824</v>
      </c>
      <c r="J2776">
        <f>IFERROR(VLOOKUP(G2776,'LEAID Match'!$A$2:$B$526,2,FALSE),"")</f>
        <v>2923400</v>
      </c>
      <c r="K2776" s="68">
        <f t="shared" si="87"/>
        <v>8</v>
      </c>
    </row>
    <row r="2777" spans="1:11" x14ac:dyDescent="0.2">
      <c r="A2777">
        <f t="shared" si="86"/>
        <v>2923400</v>
      </c>
      <c r="B2777">
        <v>2022</v>
      </c>
      <c r="C2777" t="s">
        <v>739</v>
      </c>
      <c r="D2777" t="s">
        <v>740</v>
      </c>
      <c r="E2777" t="s">
        <v>743</v>
      </c>
      <c r="F2777" s="34">
        <v>447</v>
      </c>
      <c r="G2777" s="34" t="s">
        <v>618</v>
      </c>
      <c r="H2777" s="36">
        <v>26514</v>
      </c>
      <c r="I2777" s="58">
        <v>125960</v>
      </c>
      <c r="J2777">
        <f>IFERROR(VLOOKUP(G2777,'LEAID Match'!$A$2:$B$526,2,FALSE),"")</f>
        <v>2923400</v>
      </c>
      <c r="K2777" s="68">
        <f t="shared" si="87"/>
        <v>8</v>
      </c>
    </row>
    <row r="2778" spans="1:11" x14ac:dyDescent="0.2">
      <c r="A2778">
        <f t="shared" si="86"/>
        <v>2923760</v>
      </c>
      <c r="B2778">
        <v>2015</v>
      </c>
      <c r="C2778" t="s">
        <v>739</v>
      </c>
      <c r="D2778" t="s">
        <v>740</v>
      </c>
      <c r="E2778" t="s">
        <v>743</v>
      </c>
      <c r="F2778" s="35">
        <v>448</v>
      </c>
      <c r="G2778" s="39" t="s">
        <v>619</v>
      </c>
      <c r="H2778" s="40">
        <v>27314</v>
      </c>
      <c r="I2778" s="58">
        <v>180410</v>
      </c>
      <c r="J2778">
        <f>IFERROR(VLOOKUP(G2778,'LEAID Match'!$A$2:$B$526,2,FALSE),"")</f>
        <v>2923760</v>
      </c>
      <c r="K2778" s="68">
        <f t="shared" si="87"/>
        <v>8</v>
      </c>
    </row>
    <row r="2779" spans="1:11" x14ac:dyDescent="0.2">
      <c r="A2779">
        <f t="shared" si="86"/>
        <v>2923760</v>
      </c>
      <c r="B2779">
        <v>2016</v>
      </c>
      <c r="C2779" t="s">
        <v>739</v>
      </c>
      <c r="D2779" t="s">
        <v>740</v>
      </c>
      <c r="E2779" t="s">
        <v>743</v>
      </c>
      <c r="F2779" s="34">
        <v>448</v>
      </c>
      <c r="G2779" s="34" t="s">
        <v>619</v>
      </c>
      <c r="H2779" s="36">
        <v>27813</v>
      </c>
      <c r="I2779" s="60">
        <v>172955</v>
      </c>
      <c r="J2779">
        <f>IFERROR(VLOOKUP(G2779,'LEAID Match'!$A$2:$B$526,2,FALSE),"")</f>
        <v>2923760</v>
      </c>
      <c r="K2779" s="68">
        <f t="shared" si="87"/>
        <v>8</v>
      </c>
    </row>
    <row r="2780" spans="1:11" x14ac:dyDescent="0.2">
      <c r="A2780">
        <f t="shared" si="86"/>
        <v>2923760</v>
      </c>
      <c r="B2780">
        <v>2017</v>
      </c>
      <c r="C2780" t="s">
        <v>739</v>
      </c>
      <c r="D2780" t="s">
        <v>740</v>
      </c>
      <c r="E2780" t="s">
        <v>743</v>
      </c>
      <c r="F2780" s="34">
        <v>448</v>
      </c>
      <c r="G2780" s="34" t="s">
        <v>619</v>
      </c>
      <c r="H2780" s="36">
        <v>25923</v>
      </c>
      <c r="I2780" s="58">
        <v>173168</v>
      </c>
      <c r="J2780">
        <f>IFERROR(VLOOKUP(G2780,'LEAID Match'!$A$2:$B$526,2,FALSE),"")</f>
        <v>2923760</v>
      </c>
      <c r="K2780" s="68">
        <f t="shared" si="87"/>
        <v>8</v>
      </c>
    </row>
    <row r="2781" spans="1:11" x14ac:dyDescent="0.2">
      <c r="A2781">
        <f t="shared" si="86"/>
        <v>2923760</v>
      </c>
      <c r="B2781">
        <v>2018</v>
      </c>
      <c r="C2781" t="s">
        <v>739</v>
      </c>
      <c r="D2781" t="s">
        <v>740</v>
      </c>
      <c r="E2781" t="s">
        <v>743</v>
      </c>
      <c r="F2781" s="34">
        <v>448</v>
      </c>
      <c r="G2781" s="34" t="s">
        <v>619</v>
      </c>
      <c r="H2781" s="36">
        <v>25441</v>
      </c>
      <c r="I2781" s="58">
        <v>171885</v>
      </c>
      <c r="J2781">
        <f>IFERROR(VLOOKUP(G2781,'LEAID Match'!$A$2:$B$526,2,FALSE),"")</f>
        <v>2923760</v>
      </c>
      <c r="K2781" s="68">
        <f t="shared" si="87"/>
        <v>8</v>
      </c>
    </row>
    <row r="2782" spans="1:11" x14ac:dyDescent="0.2">
      <c r="A2782">
        <f t="shared" si="86"/>
        <v>2923760</v>
      </c>
      <c r="B2782">
        <v>2019</v>
      </c>
      <c r="C2782" t="s">
        <v>739</v>
      </c>
      <c r="D2782" t="s">
        <v>740</v>
      </c>
      <c r="E2782" t="s">
        <v>743</v>
      </c>
      <c r="F2782" s="34">
        <v>448</v>
      </c>
      <c r="G2782" s="34" t="s">
        <v>619</v>
      </c>
      <c r="H2782" s="36">
        <v>23766</v>
      </c>
      <c r="I2782" s="58">
        <v>176861</v>
      </c>
      <c r="J2782">
        <f>IFERROR(VLOOKUP(G2782,'LEAID Match'!$A$2:$B$526,2,FALSE),"")</f>
        <v>2923760</v>
      </c>
      <c r="K2782" s="68">
        <f t="shared" si="87"/>
        <v>8</v>
      </c>
    </row>
    <row r="2783" spans="1:11" x14ac:dyDescent="0.2">
      <c r="A2783">
        <f t="shared" si="86"/>
        <v>2923760</v>
      </c>
      <c r="B2783">
        <v>2020</v>
      </c>
      <c r="C2783" t="s">
        <v>739</v>
      </c>
      <c r="D2783" t="s">
        <v>740</v>
      </c>
      <c r="E2783" t="s">
        <v>743</v>
      </c>
      <c r="F2783" s="34">
        <v>448</v>
      </c>
      <c r="G2783" s="34" t="s">
        <v>619</v>
      </c>
      <c r="H2783" s="36">
        <v>19036</v>
      </c>
      <c r="I2783" s="58">
        <v>184629</v>
      </c>
      <c r="J2783">
        <f>IFERROR(VLOOKUP(G2783,'LEAID Match'!$A$2:$B$526,2,FALSE),"")</f>
        <v>2923760</v>
      </c>
      <c r="K2783" s="68">
        <f t="shared" si="87"/>
        <v>8</v>
      </c>
    </row>
    <row r="2784" spans="1:11" x14ac:dyDescent="0.2">
      <c r="A2784">
        <f t="shared" si="86"/>
        <v>2923760</v>
      </c>
      <c r="B2784">
        <v>2021</v>
      </c>
      <c r="C2784" t="s">
        <v>739</v>
      </c>
      <c r="D2784" t="s">
        <v>740</v>
      </c>
      <c r="E2784" t="s">
        <v>743</v>
      </c>
      <c r="F2784" s="34">
        <v>448</v>
      </c>
      <c r="G2784" s="34" t="s">
        <v>619</v>
      </c>
      <c r="H2784" s="36">
        <v>27325</v>
      </c>
      <c r="I2784" s="58">
        <v>176073</v>
      </c>
      <c r="J2784">
        <f>IFERROR(VLOOKUP(G2784,'LEAID Match'!$A$2:$B$526,2,FALSE),"")</f>
        <v>2923760</v>
      </c>
      <c r="K2784" s="68">
        <f t="shared" si="87"/>
        <v>8</v>
      </c>
    </row>
    <row r="2785" spans="1:11" x14ac:dyDescent="0.2">
      <c r="A2785">
        <f t="shared" si="86"/>
        <v>2923760</v>
      </c>
      <c r="B2785">
        <v>2022</v>
      </c>
      <c r="C2785" t="s">
        <v>739</v>
      </c>
      <c r="D2785" t="s">
        <v>740</v>
      </c>
      <c r="E2785" t="s">
        <v>743</v>
      </c>
      <c r="F2785" s="34">
        <v>448</v>
      </c>
      <c r="G2785" s="34" t="s">
        <v>619</v>
      </c>
      <c r="H2785" s="36">
        <v>27434</v>
      </c>
      <c r="I2785" s="58">
        <v>210751</v>
      </c>
      <c r="J2785">
        <f>IFERROR(VLOOKUP(G2785,'LEAID Match'!$A$2:$B$526,2,FALSE),"")</f>
        <v>2923760</v>
      </c>
      <c r="K2785" s="68">
        <f t="shared" si="87"/>
        <v>8</v>
      </c>
    </row>
    <row r="2786" spans="1:11" x14ac:dyDescent="0.2">
      <c r="A2786">
        <f t="shared" si="86"/>
        <v>2913800</v>
      </c>
      <c r="B2786">
        <v>2015</v>
      </c>
      <c r="C2786" t="s">
        <v>739</v>
      </c>
      <c r="D2786" t="s">
        <v>740</v>
      </c>
      <c r="E2786" t="s">
        <v>743</v>
      </c>
      <c r="F2786" s="35">
        <v>449</v>
      </c>
      <c r="G2786" s="39" t="s">
        <v>620</v>
      </c>
      <c r="H2786" s="40">
        <v>62347</v>
      </c>
      <c r="I2786" s="58">
        <v>492735</v>
      </c>
      <c r="J2786">
        <f>IFERROR(VLOOKUP(G2786,'LEAID Match'!$A$2:$B$526,2,FALSE),"")</f>
        <v>2913800</v>
      </c>
      <c r="K2786" s="68">
        <f t="shared" si="87"/>
        <v>8</v>
      </c>
    </row>
    <row r="2787" spans="1:11" x14ac:dyDescent="0.2">
      <c r="A2787">
        <f t="shared" si="86"/>
        <v>2913800</v>
      </c>
      <c r="B2787">
        <v>2016</v>
      </c>
      <c r="C2787" t="s">
        <v>739</v>
      </c>
      <c r="D2787" t="s">
        <v>740</v>
      </c>
      <c r="E2787" t="s">
        <v>743</v>
      </c>
      <c r="F2787" s="34">
        <v>449</v>
      </c>
      <c r="G2787" s="34" t="s">
        <v>620</v>
      </c>
      <c r="H2787" s="36">
        <v>63029</v>
      </c>
      <c r="I2787" s="60">
        <v>479834</v>
      </c>
      <c r="J2787">
        <f>IFERROR(VLOOKUP(G2787,'LEAID Match'!$A$2:$B$526,2,FALSE),"")</f>
        <v>2913800</v>
      </c>
      <c r="K2787" s="68">
        <f t="shared" si="87"/>
        <v>8</v>
      </c>
    </row>
    <row r="2788" spans="1:11" x14ac:dyDescent="0.2">
      <c r="A2788">
        <f t="shared" si="86"/>
        <v>2913800</v>
      </c>
      <c r="B2788">
        <v>2017</v>
      </c>
      <c r="C2788" t="s">
        <v>739</v>
      </c>
      <c r="D2788" t="s">
        <v>740</v>
      </c>
      <c r="E2788" t="s">
        <v>743</v>
      </c>
      <c r="F2788" s="34">
        <v>449</v>
      </c>
      <c r="G2788" s="34" t="s">
        <v>620</v>
      </c>
      <c r="H2788" s="36">
        <v>50361</v>
      </c>
      <c r="I2788" s="58">
        <v>467688</v>
      </c>
      <c r="J2788">
        <f>IFERROR(VLOOKUP(G2788,'LEAID Match'!$A$2:$B$526,2,FALSE),"")</f>
        <v>2913800</v>
      </c>
      <c r="K2788" s="68">
        <f t="shared" si="87"/>
        <v>8</v>
      </c>
    </row>
    <row r="2789" spans="1:11" x14ac:dyDescent="0.2">
      <c r="A2789">
        <f t="shared" si="86"/>
        <v>2913800</v>
      </c>
      <c r="B2789">
        <v>2018</v>
      </c>
      <c r="C2789" t="s">
        <v>739</v>
      </c>
      <c r="D2789" t="s">
        <v>740</v>
      </c>
      <c r="E2789" t="s">
        <v>743</v>
      </c>
      <c r="F2789" s="34">
        <v>449</v>
      </c>
      <c r="G2789" s="34" t="s">
        <v>620</v>
      </c>
      <c r="H2789" s="36">
        <v>40855</v>
      </c>
      <c r="I2789" s="58">
        <v>452335</v>
      </c>
      <c r="J2789">
        <f>IFERROR(VLOOKUP(G2789,'LEAID Match'!$A$2:$B$526,2,FALSE),"")</f>
        <v>2913800</v>
      </c>
      <c r="K2789" s="68">
        <f t="shared" si="87"/>
        <v>8</v>
      </c>
    </row>
    <row r="2790" spans="1:11" x14ac:dyDescent="0.2">
      <c r="A2790">
        <f t="shared" si="86"/>
        <v>2913800</v>
      </c>
      <c r="B2790">
        <v>2019</v>
      </c>
      <c r="C2790" t="s">
        <v>739</v>
      </c>
      <c r="D2790" t="s">
        <v>740</v>
      </c>
      <c r="E2790" t="s">
        <v>743</v>
      </c>
      <c r="F2790" s="34">
        <v>449</v>
      </c>
      <c r="G2790" s="34" t="s">
        <v>620</v>
      </c>
      <c r="H2790" s="36">
        <v>39099</v>
      </c>
      <c r="I2790" s="58">
        <v>439571</v>
      </c>
      <c r="J2790">
        <f>IFERROR(VLOOKUP(G2790,'LEAID Match'!$A$2:$B$526,2,FALSE),"")</f>
        <v>2913800</v>
      </c>
      <c r="K2790" s="68">
        <f t="shared" si="87"/>
        <v>8</v>
      </c>
    </row>
    <row r="2791" spans="1:11" x14ac:dyDescent="0.2">
      <c r="A2791">
        <f t="shared" si="86"/>
        <v>2913800</v>
      </c>
      <c r="B2791">
        <v>2020</v>
      </c>
      <c r="C2791" t="s">
        <v>739</v>
      </c>
      <c r="D2791" t="s">
        <v>740</v>
      </c>
      <c r="E2791" t="s">
        <v>743</v>
      </c>
      <c r="F2791" s="34">
        <v>449</v>
      </c>
      <c r="G2791" s="34" t="s">
        <v>620</v>
      </c>
      <c r="H2791" s="36">
        <v>50949</v>
      </c>
      <c r="I2791" s="58">
        <v>458411</v>
      </c>
      <c r="J2791">
        <f>IFERROR(VLOOKUP(G2791,'LEAID Match'!$A$2:$B$526,2,FALSE),"")</f>
        <v>2913800</v>
      </c>
      <c r="K2791" s="68">
        <f t="shared" si="87"/>
        <v>8</v>
      </c>
    </row>
    <row r="2792" spans="1:11" x14ac:dyDescent="0.2">
      <c r="A2792">
        <f t="shared" si="86"/>
        <v>2913800</v>
      </c>
      <c r="B2792">
        <v>2021</v>
      </c>
      <c r="C2792" t="s">
        <v>739</v>
      </c>
      <c r="D2792" t="s">
        <v>740</v>
      </c>
      <c r="E2792" t="s">
        <v>743</v>
      </c>
      <c r="F2792" s="34">
        <v>449</v>
      </c>
      <c r="G2792" s="34" t="s">
        <v>620</v>
      </c>
      <c r="H2792" s="36">
        <v>72195</v>
      </c>
      <c r="I2792" s="58">
        <v>454390</v>
      </c>
      <c r="J2792">
        <f>IFERROR(VLOOKUP(G2792,'LEAID Match'!$A$2:$B$526,2,FALSE),"")</f>
        <v>2913800</v>
      </c>
      <c r="K2792" s="68">
        <f t="shared" si="87"/>
        <v>8</v>
      </c>
    </row>
    <row r="2793" spans="1:11" x14ac:dyDescent="0.2">
      <c r="A2793">
        <f t="shared" si="86"/>
        <v>2913800</v>
      </c>
      <c r="B2793">
        <v>2022</v>
      </c>
      <c r="C2793" t="s">
        <v>739</v>
      </c>
      <c r="D2793" t="s">
        <v>740</v>
      </c>
      <c r="E2793" t="s">
        <v>743</v>
      </c>
      <c r="F2793" s="34">
        <v>449</v>
      </c>
      <c r="G2793" s="34" t="s">
        <v>620</v>
      </c>
      <c r="H2793" s="36">
        <v>73748</v>
      </c>
      <c r="I2793" s="58">
        <v>468146</v>
      </c>
      <c r="J2793">
        <f>IFERROR(VLOOKUP(G2793,'LEAID Match'!$A$2:$B$526,2,FALSE),"")</f>
        <v>2913800</v>
      </c>
      <c r="K2793" s="68">
        <f t="shared" si="87"/>
        <v>8</v>
      </c>
    </row>
    <row r="2794" spans="1:11" x14ac:dyDescent="0.2">
      <c r="A2794">
        <f t="shared" si="86"/>
        <v>2923790</v>
      </c>
      <c r="B2794">
        <v>2015</v>
      </c>
      <c r="C2794" t="s">
        <v>739</v>
      </c>
      <c r="D2794" t="s">
        <v>740</v>
      </c>
      <c r="E2794" t="s">
        <v>743</v>
      </c>
      <c r="F2794" s="35">
        <v>450</v>
      </c>
      <c r="G2794" s="39" t="s">
        <v>621</v>
      </c>
      <c r="H2794" s="40">
        <v>11821</v>
      </c>
      <c r="I2794" s="58">
        <v>91236</v>
      </c>
      <c r="J2794">
        <f>IFERROR(VLOOKUP(G2794,'LEAID Match'!$A$2:$B$526,2,FALSE),"")</f>
        <v>2923790</v>
      </c>
      <c r="K2794" s="68">
        <f t="shared" si="87"/>
        <v>8</v>
      </c>
    </row>
    <row r="2795" spans="1:11" x14ac:dyDescent="0.2">
      <c r="A2795">
        <f t="shared" si="86"/>
        <v>2923790</v>
      </c>
      <c r="B2795">
        <v>2016</v>
      </c>
      <c r="C2795" t="s">
        <v>739</v>
      </c>
      <c r="D2795" t="s">
        <v>740</v>
      </c>
      <c r="E2795" t="s">
        <v>743</v>
      </c>
      <c r="F2795" s="34">
        <v>450</v>
      </c>
      <c r="G2795" s="34" t="s">
        <v>621</v>
      </c>
      <c r="H2795" s="36">
        <v>13937</v>
      </c>
      <c r="I2795" s="60">
        <v>97310</v>
      </c>
      <c r="J2795">
        <f>IFERROR(VLOOKUP(G2795,'LEAID Match'!$A$2:$B$526,2,FALSE),"")</f>
        <v>2923790</v>
      </c>
      <c r="K2795" s="68">
        <f t="shared" si="87"/>
        <v>8</v>
      </c>
    </row>
    <row r="2796" spans="1:11" x14ac:dyDescent="0.2">
      <c r="A2796">
        <f t="shared" si="86"/>
        <v>2923790</v>
      </c>
      <c r="B2796">
        <v>2017</v>
      </c>
      <c r="C2796" t="s">
        <v>739</v>
      </c>
      <c r="D2796" t="s">
        <v>740</v>
      </c>
      <c r="E2796" t="s">
        <v>743</v>
      </c>
      <c r="F2796" s="34">
        <v>450</v>
      </c>
      <c r="G2796" s="34" t="s">
        <v>621</v>
      </c>
      <c r="H2796" s="36">
        <v>13670</v>
      </c>
      <c r="I2796" s="58">
        <v>98401</v>
      </c>
      <c r="J2796">
        <f>IFERROR(VLOOKUP(G2796,'LEAID Match'!$A$2:$B$526,2,FALSE),"")</f>
        <v>2923790</v>
      </c>
      <c r="K2796" s="68">
        <f t="shared" si="87"/>
        <v>8</v>
      </c>
    </row>
    <row r="2797" spans="1:11" x14ac:dyDescent="0.2">
      <c r="A2797">
        <f t="shared" si="86"/>
        <v>2923790</v>
      </c>
      <c r="B2797">
        <v>2018</v>
      </c>
      <c r="C2797" t="s">
        <v>739</v>
      </c>
      <c r="D2797" t="s">
        <v>740</v>
      </c>
      <c r="E2797" t="s">
        <v>743</v>
      </c>
      <c r="F2797" s="34">
        <v>450</v>
      </c>
      <c r="G2797" s="34" t="s">
        <v>621</v>
      </c>
      <c r="H2797" s="36">
        <v>14222</v>
      </c>
      <c r="I2797" s="58">
        <v>105839</v>
      </c>
      <c r="J2797">
        <f>IFERROR(VLOOKUP(G2797,'LEAID Match'!$A$2:$B$526,2,FALSE),"")</f>
        <v>2923790</v>
      </c>
      <c r="K2797" s="68">
        <f t="shared" si="87"/>
        <v>8</v>
      </c>
    </row>
    <row r="2798" spans="1:11" x14ac:dyDescent="0.2">
      <c r="A2798">
        <f t="shared" si="86"/>
        <v>2923790</v>
      </c>
      <c r="B2798">
        <v>2019</v>
      </c>
      <c r="C2798" t="s">
        <v>739</v>
      </c>
      <c r="D2798" t="s">
        <v>740</v>
      </c>
      <c r="E2798" t="s">
        <v>743</v>
      </c>
      <c r="F2798" s="34">
        <v>450</v>
      </c>
      <c r="G2798" s="34" t="s">
        <v>621</v>
      </c>
      <c r="H2798" s="36">
        <v>14496</v>
      </c>
      <c r="I2798" s="58">
        <v>110006</v>
      </c>
      <c r="J2798">
        <f>IFERROR(VLOOKUP(G2798,'LEAID Match'!$A$2:$B$526,2,FALSE),"")</f>
        <v>2923790</v>
      </c>
      <c r="K2798" s="68">
        <f t="shared" si="87"/>
        <v>8</v>
      </c>
    </row>
    <row r="2799" spans="1:11" x14ac:dyDescent="0.2">
      <c r="A2799">
        <f t="shared" si="86"/>
        <v>2923790</v>
      </c>
      <c r="B2799">
        <v>2020</v>
      </c>
      <c r="C2799" t="s">
        <v>739</v>
      </c>
      <c r="D2799" t="s">
        <v>740</v>
      </c>
      <c r="E2799" t="s">
        <v>743</v>
      </c>
      <c r="F2799" s="34">
        <v>450</v>
      </c>
      <c r="G2799" s="34" t="s">
        <v>621</v>
      </c>
      <c r="H2799" s="36">
        <v>14763</v>
      </c>
      <c r="I2799" s="58">
        <v>101988</v>
      </c>
      <c r="J2799">
        <f>IFERROR(VLOOKUP(G2799,'LEAID Match'!$A$2:$B$526,2,FALSE),"")</f>
        <v>2923790</v>
      </c>
      <c r="K2799" s="68">
        <f t="shared" si="87"/>
        <v>8</v>
      </c>
    </row>
    <row r="2800" spans="1:11" x14ac:dyDescent="0.2">
      <c r="A2800">
        <f t="shared" si="86"/>
        <v>2923790</v>
      </c>
      <c r="B2800">
        <v>2021</v>
      </c>
      <c r="C2800" t="s">
        <v>739</v>
      </c>
      <c r="D2800" t="s">
        <v>740</v>
      </c>
      <c r="E2800" t="s">
        <v>743</v>
      </c>
      <c r="F2800" s="34">
        <v>450</v>
      </c>
      <c r="G2800" s="34" t="s">
        <v>621</v>
      </c>
      <c r="H2800" s="36">
        <v>15910</v>
      </c>
      <c r="I2800" s="58">
        <v>126106</v>
      </c>
      <c r="J2800">
        <f>IFERROR(VLOOKUP(G2800,'LEAID Match'!$A$2:$B$526,2,FALSE),"")</f>
        <v>2923790</v>
      </c>
      <c r="K2800" s="68">
        <f t="shared" si="87"/>
        <v>8</v>
      </c>
    </row>
    <row r="2801" spans="1:11" x14ac:dyDescent="0.2">
      <c r="A2801">
        <f t="shared" si="86"/>
        <v>2923790</v>
      </c>
      <c r="B2801">
        <v>2022</v>
      </c>
      <c r="C2801" t="s">
        <v>739</v>
      </c>
      <c r="D2801" t="s">
        <v>740</v>
      </c>
      <c r="E2801" t="s">
        <v>743</v>
      </c>
      <c r="F2801" s="34">
        <v>450</v>
      </c>
      <c r="G2801" s="34" t="s">
        <v>621</v>
      </c>
      <c r="H2801" s="36">
        <v>19200</v>
      </c>
      <c r="I2801" s="58">
        <v>143615</v>
      </c>
      <c r="J2801">
        <f>IFERROR(VLOOKUP(G2801,'LEAID Match'!$A$2:$B$526,2,FALSE),"")</f>
        <v>2923790</v>
      </c>
      <c r="K2801" s="68">
        <f t="shared" si="87"/>
        <v>8</v>
      </c>
    </row>
    <row r="2802" spans="1:11" x14ac:dyDescent="0.2">
      <c r="A2802">
        <f t="shared" si="86"/>
        <v>2910140</v>
      </c>
      <c r="B2802">
        <v>2015</v>
      </c>
      <c r="C2802" t="s">
        <v>739</v>
      </c>
      <c r="D2802" t="s">
        <v>740</v>
      </c>
      <c r="E2802" t="s">
        <v>743</v>
      </c>
      <c r="F2802" s="35">
        <v>451</v>
      </c>
      <c r="G2802" s="39" t="s">
        <v>622</v>
      </c>
      <c r="H2802" s="40">
        <v>18653</v>
      </c>
      <c r="I2802" s="58">
        <v>159429</v>
      </c>
      <c r="J2802">
        <f>IFERROR(VLOOKUP(G2802,'LEAID Match'!$A$2:$B$526,2,FALSE),"")</f>
        <v>2910140</v>
      </c>
      <c r="K2802" s="68">
        <f t="shared" si="87"/>
        <v>8</v>
      </c>
    </row>
    <row r="2803" spans="1:11" x14ac:dyDescent="0.2">
      <c r="A2803">
        <f t="shared" si="86"/>
        <v>2910140</v>
      </c>
      <c r="B2803">
        <v>2016</v>
      </c>
      <c r="C2803" t="s">
        <v>739</v>
      </c>
      <c r="D2803" t="s">
        <v>740</v>
      </c>
      <c r="E2803" t="s">
        <v>743</v>
      </c>
      <c r="F2803" s="34">
        <v>451</v>
      </c>
      <c r="G2803" s="34" t="s">
        <v>622</v>
      </c>
      <c r="H2803" s="36">
        <v>15907</v>
      </c>
      <c r="I2803" s="60">
        <v>153406</v>
      </c>
      <c r="J2803">
        <f>IFERROR(VLOOKUP(G2803,'LEAID Match'!$A$2:$B$526,2,FALSE),"")</f>
        <v>2910140</v>
      </c>
      <c r="K2803" s="68">
        <f t="shared" si="87"/>
        <v>8</v>
      </c>
    </row>
    <row r="2804" spans="1:11" x14ac:dyDescent="0.2">
      <c r="A2804">
        <f t="shared" si="86"/>
        <v>2910140</v>
      </c>
      <c r="B2804">
        <v>2017</v>
      </c>
      <c r="C2804" t="s">
        <v>739</v>
      </c>
      <c r="D2804" t="s">
        <v>740</v>
      </c>
      <c r="E2804" t="s">
        <v>743</v>
      </c>
      <c r="F2804" s="34">
        <v>451</v>
      </c>
      <c r="G2804" s="34" t="s">
        <v>622</v>
      </c>
      <c r="H2804" s="36">
        <v>17613</v>
      </c>
      <c r="I2804" s="58">
        <v>160779</v>
      </c>
      <c r="J2804">
        <f>IFERROR(VLOOKUP(G2804,'LEAID Match'!$A$2:$B$526,2,FALSE),"")</f>
        <v>2910140</v>
      </c>
      <c r="K2804" s="68">
        <f t="shared" si="87"/>
        <v>8</v>
      </c>
    </row>
    <row r="2805" spans="1:11" x14ac:dyDescent="0.2">
      <c r="A2805">
        <f t="shared" si="86"/>
        <v>2910140</v>
      </c>
      <c r="B2805">
        <v>2018</v>
      </c>
      <c r="C2805" t="s">
        <v>739</v>
      </c>
      <c r="D2805" t="s">
        <v>740</v>
      </c>
      <c r="E2805" t="s">
        <v>743</v>
      </c>
      <c r="F2805" s="34">
        <v>451</v>
      </c>
      <c r="G2805" s="34" t="s">
        <v>622</v>
      </c>
      <c r="H2805" s="36">
        <v>21242</v>
      </c>
      <c r="I2805" s="58">
        <v>162297</v>
      </c>
      <c r="J2805">
        <f>IFERROR(VLOOKUP(G2805,'LEAID Match'!$A$2:$B$526,2,FALSE),"")</f>
        <v>2910140</v>
      </c>
      <c r="K2805" s="68">
        <f t="shared" si="87"/>
        <v>8</v>
      </c>
    </row>
    <row r="2806" spans="1:11" x14ac:dyDescent="0.2">
      <c r="A2806">
        <f t="shared" si="86"/>
        <v>2910140</v>
      </c>
      <c r="B2806">
        <v>2019</v>
      </c>
      <c r="C2806" t="s">
        <v>739</v>
      </c>
      <c r="D2806" t="s">
        <v>740</v>
      </c>
      <c r="E2806" t="s">
        <v>743</v>
      </c>
      <c r="F2806" s="34">
        <v>451</v>
      </c>
      <c r="G2806" s="34" t="s">
        <v>622</v>
      </c>
      <c r="H2806" s="36">
        <v>20592</v>
      </c>
      <c r="I2806" s="58">
        <v>157026</v>
      </c>
      <c r="J2806">
        <f>IFERROR(VLOOKUP(G2806,'LEAID Match'!$A$2:$B$526,2,FALSE),"")</f>
        <v>2910140</v>
      </c>
      <c r="K2806" s="68">
        <f t="shared" si="87"/>
        <v>8</v>
      </c>
    </row>
    <row r="2807" spans="1:11" x14ac:dyDescent="0.2">
      <c r="A2807">
        <f t="shared" si="86"/>
        <v>2910140</v>
      </c>
      <c r="B2807">
        <v>2020</v>
      </c>
      <c r="C2807" t="s">
        <v>739</v>
      </c>
      <c r="D2807" t="s">
        <v>740</v>
      </c>
      <c r="E2807" t="s">
        <v>743</v>
      </c>
      <c r="F2807" s="34">
        <v>451</v>
      </c>
      <c r="G2807" s="34" t="s">
        <v>622</v>
      </c>
      <c r="H2807" s="36">
        <v>17307</v>
      </c>
      <c r="I2807" s="58">
        <v>146816</v>
      </c>
      <c r="J2807">
        <f>IFERROR(VLOOKUP(G2807,'LEAID Match'!$A$2:$B$526,2,FALSE),"")</f>
        <v>2910140</v>
      </c>
      <c r="K2807" s="68">
        <f t="shared" si="87"/>
        <v>8</v>
      </c>
    </row>
    <row r="2808" spans="1:11" x14ac:dyDescent="0.2">
      <c r="A2808">
        <f t="shared" si="86"/>
        <v>2910140</v>
      </c>
      <c r="B2808">
        <v>2021</v>
      </c>
      <c r="C2808" t="s">
        <v>739</v>
      </c>
      <c r="D2808" t="s">
        <v>740</v>
      </c>
      <c r="E2808" t="s">
        <v>743</v>
      </c>
      <c r="F2808" s="34">
        <v>451</v>
      </c>
      <c r="G2808" s="34" t="s">
        <v>622</v>
      </c>
      <c r="H2808" s="36">
        <v>18348</v>
      </c>
      <c r="I2808" s="58">
        <v>150293</v>
      </c>
      <c r="J2808">
        <f>IFERROR(VLOOKUP(G2808,'LEAID Match'!$A$2:$B$526,2,FALSE),"")</f>
        <v>2910140</v>
      </c>
      <c r="K2808" s="68">
        <f t="shared" si="87"/>
        <v>8</v>
      </c>
    </row>
    <row r="2809" spans="1:11" x14ac:dyDescent="0.2">
      <c r="A2809">
        <f t="shared" si="86"/>
        <v>2910140</v>
      </c>
      <c r="B2809">
        <v>2022</v>
      </c>
      <c r="C2809" t="s">
        <v>739</v>
      </c>
      <c r="D2809" t="s">
        <v>740</v>
      </c>
      <c r="E2809" t="s">
        <v>743</v>
      </c>
      <c r="F2809" s="34">
        <v>451</v>
      </c>
      <c r="G2809" s="34" t="s">
        <v>622</v>
      </c>
      <c r="H2809" s="36">
        <v>18036</v>
      </c>
      <c r="I2809" s="58">
        <v>151646</v>
      </c>
      <c r="J2809">
        <f>IFERROR(VLOOKUP(G2809,'LEAID Match'!$A$2:$B$526,2,FALSE),"")</f>
        <v>2910140</v>
      </c>
      <c r="K2809" s="68">
        <f t="shared" si="87"/>
        <v>8</v>
      </c>
    </row>
    <row r="2810" spans="1:11" x14ac:dyDescent="0.2">
      <c r="A2810">
        <f t="shared" si="86"/>
        <v>2928530</v>
      </c>
      <c r="B2810">
        <v>2015</v>
      </c>
      <c r="C2810" t="s">
        <v>739</v>
      </c>
      <c r="D2810" t="s">
        <v>740</v>
      </c>
      <c r="E2810" t="s">
        <v>743</v>
      </c>
      <c r="F2810" s="35">
        <v>452</v>
      </c>
      <c r="G2810" s="39" t="s">
        <v>623</v>
      </c>
      <c r="H2810" s="40">
        <v>22006</v>
      </c>
      <c r="I2810" s="58">
        <v>413518</v>
      </c>
      <c r="J2810">
        <f>IFERROR(VLOOKUP(G2810,'LEAID Match'!$A$2:$B$526,2,FALSE),"")</f>
        <v>2928530</v>
      </c>
      <c r="K2810" s="68">
        <f t="shared" si="87"/>
        <v>8</v>
      </c>
    </row>
    <row r="2811" spans="1:11" x14ac:dyDescent="0.2">
      <c r="A2811">
        <f t="shared" si="86"/>
        <v>2928530</v>
      </c>
      <c r="B2811">
        <v>2016</v>
      </c>
      <c r="C2811" t="s">
        <v>739</v>
      </c>
      <c r="D2811" t="s">
        <v>740</v>
      </c>
      <c r="E2811" t="s">
        <v>743</v>
      </c>
      <c r="F2811" s="34">
        <v>452</v>
      </c>
      <c r="G2811" s="34" t="s">
        <v>623</v>
      </c>
      <c r="H2811" s="36">
        <v>20488</v>
      </c>
      <c r="I2811" s="60">
        <v>408256</v>
      </c>
      <c r="J2811">
        <f>IFERROR(VLOOKUP(G2811,'LEAID Match'!$A$2:$B$526,2,FALSE),"")</f>
        <v>2928530</v>
      </c>
      <c r="K2811" s="68">
        <f t="shared" si="87"/>
        <v>8</v>
      </c>
    </row>
    <row r="2812" spans="1:11" x14ac:dyDescent="0.2">
      <c r="A2812">
        <f t="shared" si="86"/>
        <v>2928530</v>
      </c>
      <c r="B2812">
        <v>2017</v>
      </c>
      <c r="C2812" t="s">
        <v>739</v>
      </c>
      <c r="D2812" t="s">
        <v>740</v>
      </c>
      <c r="E2812" t="s">
        <v>743</v>
      </c>
      <c r="F2812" s="34">
        <v>452</v>
      </c>
      <c r="G2812" s="34" t="s">
        <v>623</v>
      </c>
      <c r="H2812" s="36">
        <v>21216</v>
      </c>
      <c r="I2812" s="58">
        <v>423577</v>
      </c>
      <c r="J2812">
        <f>IFERROR(VLOOKUP(G2812,'LEAID Match'!$A$2:$B$526,2,FALSE),"")</f>
        <v>2928530</v>
      </c>
      <c r="K2812" s="68">
        <f t="shared" si="87"/>
        <v>8</v>
      </c>
    </row>
    <row r="2813" spans="1:11" x14ac:dyDescent="0.2">
      <c r="A2813">
        <f t="shared" si="86"/>
        <v>2928530</v>
      </c>
      <c r="B2813">
        <v>2018</v>
      </c>
      <c r="C2813" t="s">
        <v>739</v>
      </c>
      <c r="D2813" t="s">
        <v>740</v>
      </c>
      <c r="E2813" t="s">
        <v>743</v>
      </c>
      <c r="F2813" s="34">
        <v>452</v>
      </c>
      <c r="G2813" s="34" t="s">
        <v>623</v>
      </c>
      <c r="H2813" s="36">
        <v>22967</v>
      </c>
      <c r="I2813" s="58">
        <v>430554</v>
      </c>
      <c r="J2813">
        <f>IFERROR(VLOOKUP(G2813,'LEAID Match'!$A$2:$B$526,2,FALSE),"")</f>
        <v>2928530</v>
      </c>
      <c r="K2813" s="68">
        <f t="shared" si="87"/>
        <v>8</v>
      </c>
    </row>
    <row r="2814" spans="1:11" x14ac:dyDescent="0.2">
      <c r="A2814">
        <f t="shared" si="86"/>
        <v>2928530</v>
      </c>
      <c r="B2814">
        <v>2019</v>
      </c>
      <c r="C2814" t="s">
        <v>739</v>
      </c>
      <c r="D2814" t="s">
        <v>740</v>
      </c>
      <c r="E2814" t="s">
        <v>743</v>
      </c>
      <c r="F2814" s="34">
        <v>452</v>
      </c>
      <c r="G2814" s="34" t="s">
        <v>623</v>
      </c>
      <c r="H2814" s="36">
        <v>28846</v>
      </c>
      <c r="I2814" s="58">
        <v>428462</v>
      </c>
      <c r="J2814">
        <f>IFERROR(VLOOKUP(G2814,'LEAID Match'!$A$2:$B$526,2,FALSE),"")</f>
        <v>2928530</v>
      </c>
      <c r="K2814" s="68">
        <f t="shared" si="87"/>
        <v>8</v>
      </c>
    </row>
    <row r="2815" spans="1:11" x14ac:dyDescent="0.2">
      <c r="A2815">
        <f t="shared" si="86"/>
        <v>2928530</v>
      </c>
      <c r="B2815">
        <v>2020</v>
      </c>
      <c r="C2815" t="s">
        <v>739</v>
      </c>
      <c r="D2815" t="s">
        <v>740</v>
      </c>
      <c r="E2815" t="s">
        <v>743</v>
      </c>
      <c r="F2815" s="34">
        <v>452</v>
      </c>
      <c r="G2815" s="34" t="s">
        <v>623</v>
      </c>
      <c r="H2815" s="36">
        <v>39633</v>
      </c>
      <c r="I2815" s="58">
        <v>385823</v>
      </c>
      <c r="J2815">
        <f>IFERROR(VLOOKUP(G2815,'LEAID Match'!$A$2:$B$526,2,FALSE),"")</f>
        <v>2928530</v>
      </c>
      <c r="K2815" s="68">
        <f t="shared" si="87"/>
        <v>8</v>
      </c>
    </row>
    <row r="2816" spans="1:11" x14ac:dyDescent="0.2">
      <c r="A2816">
        <f t="shared" si="86"/>
        <v>2928530</v>
      </c>
      <c r="B2816">
        <v>2021</v>
      </c>
      <c r="C2816" t="s">
        <v>739</v>
      </c>
      <c r="D2816" t="s">
        <v>740</v>
      </c>
      <c r="E2816" t="s">
        <v>743</v>
      </c>
      <c r="F2816" s="34">
        <v>452</v>
      </c>
      <c r="G2816" s="34" t="s">
        <v>623</v>
      </c>
      <c r="H2816" s="36">
        <v>37727</v>
      </c>
      <c r="I2816" s="58">
        <v>402474</v>
      </c>
      <c r="J2816">
        <f>IFERROR(VLOOKUP(G2816,'LEAID Match'!$A$2:$B$526,2,FALSE),"")</f>
        <v>2928530</v>
      </c>
      <c r="K2816" s="68">
        <f t="shared" si="87"/>
        <v>8</v>
      </c>
    </row>
    <row r="2817" spans="1:11" x14ac:dyDescent="0.2">
      <c r="A2817">
        <f t="shared" si="86"/>
        <v>2928530</v>
      </c>
      <c r="B2817">
        <v>2022</v>
      </c>
      <c r="C2817" t="s">
        <v>739</v>
      </c>
      <c r="D2817" t="s">
        <v>740</v>
      </c>
      <c r="E2817" t="s">
        <v>743</v>
      </c>
      <c r="F2817" s="34">
        <v>452</v>
      </c>
      <c r="G2817" s="34" t="s">
        <v>623</v>
      </c>
      <c r="H2817" s="36">
        <v>41226</v>
      </c>
      <c r="I2817" s="58">
        <v>405772</v>
      </c>
      <c r="J2817">
        <f>IFERROR(VLOOKUP(G2817,'LEAID Match'!$A$2:$B$526,2,FALSE),"")</f>
        <v>2928530</v>
      </c>
      <c r="K2817" s="68">
        <f t="shared" si="87"/>
        <v>8</v>
      </c>
    </row>
    <row r="2818" spans="1:11" x14ac:dyDescent="0.2">
      <c r="A2818">
        <f t="shared" si="86"/>
        <v>2905730</v>
      </c>
      <c r="B2818">
        <v>2015</v>
      </c>
      <c r="C2818" t="s">
        <v>739</v>
      </c>
      <c r="D2818" t="s">
        <v>740</v>
      </c>
      <c r="E2818" t="s">
        <v>743</v>
      </c>
      <c r="F2818" s="35">
        <v>453</v>
      </c>
      <c r="G2818" s="39" t="s">
        <v>624</v>
      </c>
      <c r="H2818" s="40">
        <v>16229</v>
      </c>
      <c r="I2818" s="58">
        <v>146086</v>
      </c>
      <c r="J2818">
        <f>IFERROR(VLOOKUP(G2818,'LEAID Match'!$A$2:$B$526,2,FALSE),"")</f>
        <v>2905730</v>
      </c>
      <c r="K2818" s="68">
        <f t="shared" si="87"/>
        <v>8</v>
      </c>
    </row>
    <row r="2819" spans="1:11" x14ac:dyDescent="0.2">
      <c r="A2819">
        <f t="shared" ref="A2819:A2882" si="88">J2819</f>
        <v>2905730</v>
      </c>
      <c r="B2819">
        <v>2016</v>
      </c>
      <c r="C2819" t="s">
        <v>739</v>
      </c>
      <c r="D2819" t="s">
        <v>740</v>
      </c>
      <c r="E2819" t="s">
        <v>743</v>
      </c>
      <c r="F2819" s="34">
        <v>453</v>
      </c>
      <c r="G2819" s="34" t="s">
        <v>624</v>
      </c>
      <c r="H2819" s="36">
        <v>18171</v>
      </c>
      <c r="I2819" s="60">
        <v>153806</v>
      </c>
      <c r="J2819">
        <f>IFERROR(VLOOKUP(G2819,'LEAID Match'!$A$2:$B$526,2,FALSE),"")</f>
        <v>2905730</v>
      </c>
      <c r="K2819" s="68">
        <f t="shared" ref="K2819:K2882" si="89">COUNTIF($J$2:$J$4295,J2819)</f>
        <v>8</v>
      </c>
    </row>
    <row r="2820" spans="1:11" x14ac:dyDescent="0.2">
      <c r="A2820">
        <f t="shared" si="88"/>
        <v>2905730</v>
      </c>
      <c r="B2820">
        <v>2017</v>
      </c>
      <c r="C2820" t="s">
        <v>739</v>
      </c>
      <c r="D2820" t="s">
        <v>740</v>
      </c>
      <c r="E2820" t="s">
        <v>743</v>
      </c>
      <c r="F2820" s="34">
        <v>453</v>
      </c>
      <c r="G2820" s="34" t="s">
        <v>624</v>
      </c>
      <c r="H2820" s="36">
        <v>17335</v>
      </c>
      <c r="I2820" s="58">
        <v>154310</v>
      </c>
      <c r="J2820">
        <f>IFERROR(VLOOKUP(G2820,'LEAID Match'!$A$2:$B$526,2,FALSE),"")</f>
        <v>2905730</v>
      </c>
      <c r="K2820" s="68">
        <f t="shared" si="89"/>
        <v>8</v>
      </c>
    </row>
    <row r="2821" spans="1:11" x14ac:dyDescent="0.2">
      <c r="A2821">
        <f t="shared" si="88"/>
        <v>2905730</v>
      </c>
      <c r="B2821">
        <v>2018</v>
      </c>
      <c r="C2821" t="s">
        <v>739</v>
      </c>
      <c r="D2821" t="s">
        <v>740</v>
      </c>
      <c r="E2821" t="s">
        <v>743</v>
      </c>
      <c r="F2821" s="34">
        <v>453</v>
      </c>
      <c r="G2821" s="34" t="s">
        <v>624</v>
      </c>
      <c r="H2821" s="36">
        <v>17061</v>
      </c>
      <c r="I2821" s="58">
        <v>154707</v>
      </c>
      <c r="J2821">
        <f>IFERROR(VLOOKUP(G2821,'LEAID Match'!$A$2:$B$526,2,FALSE),"")</f>
        <v>2905730</v>
      </c>
      <c r="K2821" s="68">
        <f t="shared" si="89"/>
        <v>8</v>
      </c>
    </row>
    <row r="2822" spans="1:11" x14ac:dyDescent="0.2">
      <c r="A2822">
        <f t="shared" si="88"/>
        <v>2905730</v>
      </c>
      <c r="B2822">
        <v>2019</v>
      </c>
      <c r="C2822" t="s">
        <v>739</v>
      </c>
      <c r="D2822" t="s">
        <v>740</v>
      </c>
      <c r="E2822" t="s">
        <v>743</v>
      </c>
      <c r="F2822" s="34">
        <v>453</v>
      </c>
      <c r="G2822" s="34" t="s">
        <v>624</v>
      </c>
      <c r="H2822" s="36">
        <v>16414</v>
      </c>
      <c r="I2822" s="58">
        <v>153118</v>
      </c>
      <c r="J2822">
        <f>IFERROR(VLOOKUP(G2822,'LEAID Match'!$A$2:$B$526,2,FALSE),"")</f>
        <v>2905730</v>
      </c>
      <c r="K2822" s="68">
        <f t="shared" si="89"/>
        <v>8</v>
      </c>
    </row>
    <row r="2823" spans="1:11" x14ac:dyDescent="0.2">
      <c r="A2823">
        <f t="shared" si="88"/>
        <v>2905730</v>
      </c>
      <c r="B2823">
        <v>2020</v>
      </c>
      <c r="C2823" t="s">
        <v>739</v>
      </c>
      <c r="D2823" t="s">
        <v>740</v>
      </c>
      <c r="E2823" t="s">
        <v>743</v>
      </c>
      <c r="F2823" s="34">
        <v>453</v>
      </c>
      <c r="G2823" s="34" t="s">
        <v>624</v>
      </c>
      <c r="H2823" s="36">
        <v>20729</v>
      </c>
      <c r="I2823" s="58">
        <v>146026</v>
      </c>
      <c r="J2823">
        <f>IFERROR(VLOOKUP(G2823,'LEAID Match'!$A$2:$B$526,2,FALSE),"")</f>
        <v>2905730</v>
      </c>
      <c r="K2823" s="68">
        <f t="shared" si="89"/>
        <v>8</v>
      </c>
    </row>
    <row r="2824" spans="1:11" x14ac:dyDescent="0.2">
      <c r="A2824">
        <f t="shared" si="88"/>
        <v>2905730</v>
      </c>
      <c r="B2824">
        <v>2021</v>
      </c>
      <c r="C2824" t="s">
        <v>739</v>
      </c>
      <c r="D2824" t="s">
        <v>740</v>
      </c>
      <c r="E2824" t="s">
        <v>743</v>
      </c>
      <c r="F2824" s="34">
        <v>453</v>
      </c>
      <c r="G2824" s="34" t="s">
        <v>624</v>
      </c>
      <c r="H2824" s="36">
        <v>17042</v>
      </c>
      <c r="I2824" s="58">
        <v>158361</v>
      </c>
      <c r="J2824">
        <f>IFERROR(VLOOKUP(G2824,'LEAID Match'!$A$2:$B$526,2,FALSE),"")</f>
        <v>2905730</v>
      </c>
      <c r="K2824" s="68">
        <f t="shared" si="89"/>
        <v>8</v>
      </c>
    </row>
    <row r="2825" spans="1:11" x14ac:dyDescent="0.2">
      <c r="A2825">
        <f t="shared" si="88"/>
        <v>2905730</v>
      </c>
      <c r="B2825">
        <v>2022</v>
      </c>
      <c r="C2825" t="s">
        <v>739</v>
      </c>
      <c r="D2825" t="s">
        <v>740</v>
      </c>
      <c r="E2825" t="s">
        <v>743</v>
      </c>
      <c r="F2825" s="34">
        <v>453</v>
      </c>
      <c r="G2825" s="34" t="s">
        <v>624</v>
      </c>
      <c r="H2825" s="36">
        <v>18801</v>
      </c>
      <c r="I2825" s="58">
        <v>150911</v>
      </c>
      <c r="J2825">
        <f>IFERROR(VLOOKUP(G2825,'LEAID Match'!$A$2:$B$526,2,FALSE),"")</f>
        <v>2905730</v>
      </c>
      <c r="K2825" s="68">
        <f t="shared" si="89"/>
        <v>8</v>
      </c>
    </row>
    <row r="2826" spans="1:11" x14ac:dyDescent="0.2">
      <c r="A2826">
        <f t="shared" si="88"/>
        <v>2907470</v>
      </c>
      <c r="B2826">
        <v>2015</v>
      </c>
      <c r="C2826" t="s">
        <v>739</v>
      </c>
      <c r="D2826" t="s">
        <v>740</v>
      </c>
      <c r="E2826" t="s">
        <v>743</v>
      </c>
      <c r="F2826" s="35">
        <v>454</v>
      </c>
      <c r="G2826" s="39" t="s">
        <v>625</v>
      </c>
      <c r="H2826" s="40">
        <v>86303</v>
      </c>
      <c r="I2826" s="58">
        <v>613434</v>
      </c>
      <c r="J2826">
        <f>IFERROR(VLOOKUP(G2826,'LEAID Match'!$A$2:$B$526,2,FALSE),"")</f>
        <v>2907470</v>
      </c>
      <c r="K2826" s="68">
        <f t="shared" si="89"/>
        <v>8</v>
      </c>
    </row>
    <row r="2827" spans="1:11" x14ac:dyDescent="0.2">
      <c r="A2827">
        <f t="shared" si="88"/>
        <v>2907470</v>
      </c>
      <c r="B2827">
        <v>2016</v>
      </c>
      <c r="C2827" t="s">
        <v>739</v>
      </c>
      <c r="D2827" t="s">
        <v>740</v>
      </c>
      <c r="E2827" t="s">
        <v>743</v>
      </c>
      <c r="F2827" s="34">
        <v>454</v>
      </c>
      <c r="G2827" s="34" t="s">
        <v>625</v>
      </c>
      <c r="H2827" s="36">
        <v>79352</v>
      </c>
      <c r="I2827" s="60">
        <v>628479</v>
      </c>
      <c r="J2827">
        <f>IFERROR(VLOOKUP(G2827,'LEAID Match'!$A$2:$B$526,2,FALSE),"")</f>
        <v>2907470</v>
      </c>
      <c r="K2827" s="68">
        <f t="shared" si="89"/>
        <v>8</v>
      </c>
    </row>
    <row r="2828" spans="1:11" x14ac:dyDescent="0.2">
      <c r="A2828">
        <f t="shared" si="88"/>
        <v>2907470</v>
      </c>
      <c r="B2828">
        <v>2017</v>
      </c>
      <c r="C2828" t="s">
        <v>739</v>
      </c>
      <c r="D2828" t="s">
        <v>740</v>
      </c>
      <c r="E2828" t="s">
        <v>743</v>
      </c>
      <c r="F2828" s="34">
        <v>454</v>
      </c>
      <c r="G2828" s="34" t="s">
        <v>625</v>
      </c>
      <c r="H2828" s="36">
        <v>81786</v>
      </c>
      <c r="I2828" s="58">
        <v>590438</v>
      </c>
      <c r="J2828">
        <f>IFERROR(VLOOKUP(G2828,'LEAID Match'!$A$2:$B$526,2,FALSE),"")</f>
        <v>2907470</v>
      </c>
      <c r="K2828" s="68">
        <f t="shared" si="89"/>
        <v>8</v>
      </c>
    </row>
    <row r="2829" spans="1:11" x14ac:dyDescent="0.2">
      <c r="A2829">
        <f t="shared" si="88"/>
        <v>2907470</v>
      </c>
      <c r="B2829">
        <v>2018</v>
      </c>
      <c r="C2829" t="s">
        <v>739</v>
      </c>
      <c r="D2829" t="s">
        <v>740</v>
      </c>
      <c r="E2829" t="s">
        <v>743</v>
      </c>
      <c r="F2829" s="34">
        <v>454</v>
      </c>
      <c r="G2829" s="34" t="s">
        <v>625</v>
      </c>
      <c r="H2829" s="36">
        <v>84585</v>
      </c>
      <c r="I2829" s="58">
        <v>600485</v>
      </c>
      <c r="J2829">
        <f>IFERROR(VLOOKUP(G2829,'LEAID Match'!$A$2:$B$526,2,FALSE),"")</f>
        <v>2907470</v>
      </c>
      <c r="K2829" s="68">
        <f t="shared" si="89"/>
        <v>8</v>
      </c>
    </row>
    <row r="2830" spans="1:11" x14ac:dyDescent="0.2">
      <c r="A2830">
        <f t="shared" si="88"/>
        <v>2907470</v>
      </c>
      <c r="B2830">
        <v>2019</v>
      </c>
      <c r="C2830" t="s">
        <v>739</v>
      </c>
      <c r="D2830" t="s">
        <v>740</v>
      </c>
      <c r="E2830" t="s">
        <v>743</v>
      </c>
      <c r="F2830" s="34">
        <v>454</v>
      </c>
      <c r="G2830" s="34" t="s">
        <v>625</v>
      </c>
      <c r="H2830" s="36">
        <v>85137</v>
      </c>
      <c r="I2830" s="58">
        <v>603754</v>
      </c>
      <c r="J2830">
        <f>IFERROR(VLOOKUP(G2830,'LEAID Match'!$A$2:$B$526,2,FALSE),"")</f>
        <v>2907470</v>
      </c>
      <c r="K2830" s="68">
        <f t="shared" si="89"/>
        <v>8</v>
      </c>
    </row>
    <row r="2831" spans="1:11" x14ac:dyDescent="0.2">
      <c r="A2831">
        <f t="shared" si="88"/>
        <v>2907470</v>
      </c>
      <c r="B2831">
        <v>2020</v>
      </c>
      <c r="C2831" t="s">
        <v>739</v>
      </c>
      <c r="D2831" t="s">
        <v>740</v>
      </c>
      <c r="E2831" t="s">
        <v>743</v>
      </c>
      <c r="F2831" s="34">
        <v>454</v>
      </c>
      <c r="G2831" s="34" t="s">
        <v>625</v>
      </c>
      <c r="H2831" s="36">
        <v>92336</v>
      </c>
      <c r="I2831" s="58">
        <v>590418</v>
      </c>
      <c r="J2831">
        <f>IFERROR(VLOOKUP(G2831,'LEAID Match'!$A$2:$B$526,2,FALSE),"")</f>
        <v>2907470</v>
      </c>
      <c r="K2831" s="68">
        <f t="shared" si="89"/>
        <v>8</v>
      </c>
    </row>
    <row r="2832" spans="1:11" x14ac:dyDescent="0.2">
      <c r="A2832">
        <f t="shared" si="88"/>
        <v>2907470</v>
      </c>
      <c r="B2832">
        <v>2021</v>
      </c>
      <c r="C2832" t="s">
        <v>739</v>
      </c>
      <c r="D2832" t="s">
        <v>740</v>
      </c>
      <c r="E2832" t="s">
        <v>743</v>
      </c>
      <c r="F2832" s="34">
        <v>454</v>
      </c>
      <c r="G2832" s="34" t="s">
        <v>625</v>
      </c>
      <c r="H2832" s="36">
        <v>110784</v>
      </c>
      <c r="I2832" s="58">
        <v>581149</v>
      </c>
      <c r="J2832">
        <f>IFERROR(VLOOKUP(G2832,'LEAID Match'!$A$2:$B$526,2,FALSE),"")</f>
        <v>2907470</v>
      </c>
      <c r="K2832" s="68">
        <f t="shared" si="89"/>
        <v>8</v>
      </c>
    </row>
    <row r="2833" spans="1:11" x14ac:dyDescent="0.2">
      <c r="A2833">
        <f t="shared" si="88"/>
        <v>2907470</v>
      </c>
      <c r="B2833">
        <v>2022</v>
      </c>
      <c r="C2833" t="s">
        <v>739</v>
      </c>
      <c r="D2833" t="s">
        <v>740</v>
      </c>
      <c r="E2833" t="s">
        <v>743</v>
      </c>
      <c r="F2833" s="34">
        <v>454</v>
      </c>
      <c r="G2833" s="34" t="s">
        <v>625</v>
      </c>
      <c r="H2833" s="36">
        <v>130799</v>
      </c>
      <c r="I2833" s="58">
        <v>609804</v>
      </c>
      <c r="J2833">
        <f>IFERROR(VLOOKUP(G2833,'LEAID Match'!$A$2:$B$526,2,FALSE),"")</f>
        <v>2907470</v>
      </c>
      <c r="K2833" s="68">
        <f t="shared" si="89"/>
        <v>8</v>
      </c>
    </row>
    <row r="2834" spans="1:11" x14ac:dyDescent="0.2">
      <c r="A2834">
        <f t="shared" si="88"/>
        <v>2924530</v>
      </c>
      <c r="B2834">
        <v>2015</v>
      </c>
      <c r="C2834" t="s">
        <v>739</v>
      </c>
      <c r="D2834" t="s">
        <v>740</v>
      </c>
      <c r="E2834" t="s">
        <v>743</v>
      </c>
      <c r="F2834" s="35">
        <v>455</v>
      </c>
      <c r="G2834" s="39" t="s">
        <v>626</v>
      </c>
      <c r="H2834" s="40">
        <v>225247</v>
      </c>
      <c r="I2834" s="58">
        <v>1560360</v>
      </c>
      <c r="J2834">
        <f>IFERROR(VLOOKUP(G2834,'LEAID Match'!$A$2:$B$526,2,FALSE),"")</f>
        <v>2924530</v>
      </c>
      <c r="K2834" s="68">
        <f t="shared" si="89"/>
        <v>8</v>
      </c>
    </row>
    <row r="2835" spans="1:11" x14ac:dyDescent="0.2">
      <c r="A2835">
        <f t="shared" si="88"/>
        <v>2924530</v>
      </c>
      <c r="B2835">
        <v>2016</v>
      </c>
      <c r="C2835" t="s">
        <v>739</v>
      </c>
      <c r="D2835" t="s">
        <v>740</v>
      </c>
      <c r="E2835" t="s">
        <v>743</v>
      </c>
      <c r="F2835" s="34">
        <v>455</v>
      </c>
      <c r="G2835" s="34" t="s">
        <v>626</v>
      </c>
      <c r="H2835" s="36">
        <v>225769</v>
      </c>
      <c r="I2835" s="60">
        <v>1588890</v>
      </c>
      <c r="J2835">
        <f>IFERROR(VLOOKUP(G2835,'LEAID Match'!$A$2:$B$526,2,FALSE),"")</f>
        <v>2924530</v>
      </c>
      <c r="K2835" s="68">
        <f t="shared" si="89"/>
        <v>8</v>
      </c>
    </row>
    <row r="2836" spans="1:11" x14ac:dyDescent="0.2">
      <c r="A2836">
        <f t="shared" si="88"/>
        <v>2924530</v>
      </c>
      <c r="B2836">
        <v>2017</v>
      </c>
      <c r="C2836" t="s">
        <v>739</v>
      </c>
      <c r="D2836" t="s">
        <v>740</v>
      </c>
      <c r="E2836" t="s">
        <v>743</v>
      </c>
      <c r="F2836" s="34">
        <v>455</v>
      </c>
      <c r="G2836" s="34" t="s">
        <v>626</v>
      </c>
      <c r="H2836" s="36">
        <v>246598</v>
      </c>
      <c r="I2836" s="58">
        <v>1621588</v>
      </c>
      <c r="J2836">
        <f>IFERROR(VLOOKUP(G2836,'LEAID Match'!$A$2:$B$526,2,FALSE),"")</f>
        <v>2924530</v>
      </c>
      <c r="K2836" s="68">
        <f t="shared" si="89"/>
        <v>8</v>
      </c>
    </row>
    <row r="2837" spans="1:11" x14ac:dyDescent="0.2">
      <c r="A2837">
        <f t="shared" si="88"/>
        <v>2924530</v>
      </c>
      <c r="B2837">
        <v>2018</v>
      </c>
      <c r="C2837" t="s">
        <v>739</v>
      </c>
      <c r="D2837" t="s">
        <v>740</v>
      </c>
      <c r="E2837" t="s">
        <v>743</v>
      </c>
      <c r="F2837" s="34">
        <v>455</v>
      </c>
      <c r="G2837" s="34" t="s">
        <v>626</v>
      </c>
      <c r="H2837" s="36">
        <v>256452</v>
      </c>
      <c r="I2837" s="58">
        <v>1675921</v>
      </c>
      <c r="J2837">
        <f>IFERROR(VLOOKUP(G2837,'LEAID Match'!$A$2:$B$526,2,FALSE),"")</f>
        <v>2924530</v>
      </c>
      <c r="K2837" s="68">
        <f t="shared" si="89"/>
        <v>8</v>
      </c>
    </row>
    <row r="2838" spans="1:11" x14ac:dyDescent="0.2">
      <c r="A2838">
        <f t="shared" si="88"/>
        <v>2924530</v>
      </c>
      <c r="B2838">
        <v>2019</v>
      </c>
      <c r="C2838" t="s">
        <v>739</v>
      </c>
      <c r="D2838" t="s">
        <v>740</v>
      </c>
      <c r="E2838" t="s">
        <v>743</v>
      </c>
      <c r="F2838" s="34">
        <v>455</v>
      </c>
      <c r="G2838" s="34" t="s">
        <v>626</v>
      </c>
      <c r="H2838" s="36">
        <v>264974</v>
      </c>
      <c r="I2838" s="58">
        <v>1616075</v>
      </c>
      <c r="J2838">
        <f>IFERROR(VLOOKUP(G2838,'LEAID Match'!$A$2:$B$526,2,FALSE),"")</f>
        <v>2924530</v>
      </c>
      <c r="K2838" s="68">
        <f t="shared" si="89"/>
        <v>8</v>
      </c>
    </row>
    <row r="2839" spans="1:11" x14ac:dyDescent="0.2">
      <c r="A2839">
        <f t="shared" si="88"/>
        <v>2924530</v>
      </c>
      <c r="B2839">
        <v>2020</v>
      </c>
      <c r="C2839" t="s">
        <v>739</v>
      </c>
      <c r="D2839" t="s">
        <v>740</v>
      </c>
      <c r="E2839" t="s">
        <v>743</v>
      </c>
      <c r="F2839" s="34">
        <v>455</v>
      </c>
      <c r="G2839" s="34" t="s">
        <v>626</v>
      </c>
      <c r="H2839" s="36">
        <v>269379</v>
      </c>
      <c r="I2839" s="58">
        <v>1601431</v>
      </c>
      <c r="J2839">
        <f>IFERROR(VLOOKUP(G2839,'LEAID Match'!$A$2:$B$526,2,FALSE),"")</f>
        <v>2924530</v>
      </c>
      <c r="K2839" s="68">
        <f t="shared" si="89"/>
        <v>8</v>
      </c>
    </row>
    <row r="2840" spans="1:11" x14ac:dyDescent="0.2">
      <c r="A2840">
        <f t="shared" si="88"/>
        <v>2924530</v>
      </c>
      <c r="B2840">
        <v>2021</v>
      </c>
      <c r="C2840" t="s">
        <v>739</v>
      </c>
      <c r="D2840" t="s">
        <v>740</v>
      </c>
      <c r="E2840" t="s">
        <v>743</v>
      </c>
      <c r="F2840" s="34">
        <v>455</v>
      </c>
      <c r="G2840" s="34" t="s">
        <v>626</v>
      </c>
      <c r="H2840" s="36">
        <v>263260</v>
      </c>
      <c r="I2840" s="58">
        <v>1649815</v>
      </c>
      <c r="J2840">
        <f>IFERROR(VLOOKUP(G2840,'LEAID Match'!$A$2:$B$526,2,FALSE),"")</f>
        <v>2924530</v>
      </c>
      <c r="K2840" s="68">
        <f t="shared" si="89"/>
        <v>8</v>
      </c>
    </row>
    <row r="2841" spans="1:11" x14ac:dyDescent="0.2">
      <c r="A2841">
        <f t="shared" si="88"/>
        <v>2924530</v>
      </c>
      <c r="B2841">
        <v>2022</v>
      </c>
      <c r="C2841" t="s">
        <v>739</v>
      </c>
      <c r="D2841" t="s">
        <v>740</v>
      </c>
      <c r="E2841" t="s">
        <v>743</v>
      </c>
      <c r="F2841" s="34">
        <v>455</v>
      </c>
      <c r="G2841" s="34" t="s">
        <v>626</v>
      </c>
      <c r="H2841" s="36">
        <v>299467</v>
      </c>
      <c r="I2841" s="58">
        <v>1599729</v>
      </c>
      <c r="J2841">
        <f>IFERROR(VLOOKUP(G2841,'LEAID Match'!$A$2:$B$526,2,FALSE),"")</f>
        <v>2924530</v>
      </c>
      <c r="K2841" s="68">
        <f t="shared" si="89"/>
        <v>8</v>
      </c>
    </row>
    <row r="2842" spans="1:11" x14ac:dyDescent="0.2">
      <c r="A2842">
        <f t="shared" si="88"/>
        <v>2903040</v>
      </c>
      <c r="B2842">
        <v>2015</v>
      </c>
      <c r="C2842" t="s">
        <v>739</v>
      </c>
      <c r="D2842" t="s">
        <v>740</v>
      </c>
      <c r="E2842" t="s">
        <v>743</v>
      </c>
      <c r="F2842" s="35">
        <v>462</v>
      </c>
      <c r="G2842" s="39" t="s">
        <v>627</v>
      </c>
      <c r="H2842" s="40">
        <v>8138</v>
      </c>
      <c r="I2842" s="58">
        <v>88287</v>
      </c>
      <c r="J2842">
        <f>IFERROR(VLOOKUP(G2842,'LEAID Match'!$A$2:$B$526,2,FALSE),"")</f>
        <v>2903040</v>
      </c>
      <c r="K2842" s="68">
        <f t="shared" si="89"/>
        <v>8</v>
      </c>
    </row>
    <row r="2843" spans="1:11" x14ac:dyDescent="0.2">
      <c r="A2843">
        <f t="shared" si="88"/>
        <v>2903040</v>
      </c>
      <c r="B2843">
        <v>2016</v>
      </c>
      <c r="C2843" t="s">
        <v>739</v>
      </c>
      <c r="D2843" t="s">
        <v>740</v>
      </c>
      <c r="E2843" t="s">
        <v>743</v>
      </c>
      <c r="F2843" s="34">
        <v>462</v>
      </c>
      <c r="G2843" s="34" t="s">
        <v>627</v>
      </c>
      <c r="H2843" s="36">
        <v>10915</v>
      </c>
      <c r="I2843" s="60">
        <v>85284</v>
      </c>
      <c r="J2843">
        <f>IFERROR(VLOOKUP(G2843,'LEAID Match'!$A$2:$B$526,2,FALSE),"")</f>
        <v>2903040</v>
      </c>
      <c r="K2843" s="68">
        <f t="shared" si="89"/>
        <v>8</v>
      </c>
    </row>
    <row r="2844" spans="1:11" x14ac:dyDescent="0.2">
      <c r="A2844">
        <f t="shared" si="88"/>
        <v>2903040</v>
      </c>
      <c r="B2844">
        <v>2017</v>
      </c>
      <c r="C2844" t="s">
        <v>739</v>
      </c>
      <c r="D2844" t="s">
        <v>740</v>
      </c>
      <c r="E2844" t="s">
        <v>743</v>
      </c>
      <c r="F2844" s="34">
        <v>462</v>
      </c>
      <c r="G2844" s="34" t="s">
        <v>627</v>
      </c>
      <c r="H2844" s="36">
        <v>11353</v>
      </c>
      <c r="I2844" s="58">
        <v>68244</v>
      </c>
      <c r="J2844">
        <f>IFERROR(VLOOKUP(G2844,'LEAID Match'!$A$2:$B$526,2,FALSE),"")</f>
        <v>2903040</v>
      </c>
      <c r="K2844" s="68">
        <f t="shared" si="89"/>
        <v>8</v>
      </c>
    </row>
    <row r="2845" spans="1:11" x14ac:dyDescent="0.2">
      <c r="A2845">
        <f t="shared" si="88"/>
        <v>2903040</v>
      </c>
      <c r="B2845">
        <v>2018</v>
      </c>
      <c r="C2845" t="s">
        <v>739</v>
      </c>
      <c r="D2845" t="s">
        <v>740</v>
      </c>
      <c r="E2845" t="s">
        <v>743</v>
      </c>
      <c r="F2845" s="34">
        <v>462</v>
      </c>
      <c r="G2845" s="34" t="s">
        <v>627</v>
      </c>
      <c r="H2845" s="36">
        <v>10770</v>
      </c>
      <c r="I2845" s="58">
        <v>70401</v>
      </c>
      <c r="J2845">
        <f>IFERROR(VLOOKUP(G2845,'LEAID Match'!$A$2:$B$526,2,FALSE),"")</f>
        <v>2903040</v>
      </c>
      <c r="K2845" s="68">
        <f t="shared" si="89"/>
        <v>8</v>
      </c>
    </row>
    <row r="2846" spans="1:11" x14ac:dyDescent="0.2">
      <c r="A2846">
        <f t="shared" si="88"/>
        <v>2903040</v>
      </c>
      <c r="B2846">
        <v>2019</v>
      </c>
      <c r="C2846" t="s">
        <v>739</v>
      </c>
      <c r="D2846" t="s">
        <v>740</v>
      </c>
      <c r="E2846" t="s">
        <v>743</v>
      </c>
      <c r="F2846" s="34">
        <v>462</v>
      </c>
      <c r="G2846" s="34" t="s">
        <v>627</v>
      </c>
      <c r="H2846" s="36">
        <v>10594</v>
      </c>
      <c r="I2846" s="58">
        <v>74631</v>
      </c>
      <c r="J2846">
        <f>IFERROR(VLOOKUP(G2846,'LEAID Match'!$A$2:$B$526,2,FALSE),"")</f>
        <v>2903040</v>
      </c>
      <c r="K2846" s="68">
        <f t="shared" si="89"/>
        <v>8</v>
      </c>
    </row>
    <row r="2847" spans="1:11" x14ac:dyDescent="0.2">
      <c r="A2847">
        <f t="shared" si="88"/>
        <v>2903040</v>
      </c>
      <c r="B2847">
        <v>2020</v>
      </c>
      <c r="C2847" t="s">
        <v>739</v>
      </c>
      <c r="D2847" t="s">
        <v>740</v>
      </c>
      <c r="E2847" t="s">
        <v>743</v>
      </c>
      <c r="F2847" s="34">
        <v>462</v>
      </c>
      <c r="G2847" s="34" t="s">
        <v>627</v>
      </c>
      <c r="H2847" s="36">
        <v>11757</v>
      </c>
      <c r="I2847" s="58">
        <v>65761</v>
      </c>
      <c r="J2847">
        <f>IFERROR(VLOOKUP(G2847,'LEAID Match'!$A$2:$B$526,2,FALSE),"")</f>
        <v>2903040</v>
      </c>
      <c r="K2847" s="68">
        <f t="shared" si="89"/>
        <v>8</v>
      </c>
    </row>
    <row r="2848" spans="1:11" x14ac:dyDescent="0.2">
      <c r="A2848">
        <f t="shared" si="88"/>
        <v>2903040</v>
      </c>
      <c r="B2848">
        <v>2021</v>
      </c>
      <c r="C2848" t="s">
        <v>739</v>
      </c>
      <c r="D2848" t="s">
        <v>740</v>
      </c>
      <c r="E2848" t="s">
        <v>743</v>
      </c>
      <c r="F2848" s="34">
        <v>462</v>
      </c>
      <c r="G2848" s="34" t="s">
        <v>627</v>
      </c>
      <c r="H2848" s="36">
        <v>12667</v>
      </c>
      <c r="I2848" s="58">
        <v>72838</v>
      </c>
      <c r="J2848">
        <f>IFERROR(VLOOKUP(G2848,'LEAID Match'!$A$2:$B$526,2,FALSE),"")</f>
        <v>2903040</v>
      </c>
      <c r="K2848" s="68">
        <f t="shared" si="89"/>
        <v>8</v>
      </c>
    </row>
    <row r="2849" spans="1:11" x14ac:dyDescent="0.2">
      <c r="A2849">
        <f t="shared" si="88"/>
        <v>2903040</v>
      </c>
      <c r="B2849">
        <v>2022</v>
      </c>
      <c r="C2849" t="s">
        <v>739</v>
      </c>
      <c r="D2849" t="s">
        <v>740</v>
      </c>
      <c r="E2849" t="s">
        <v>743</v>
      </c>
      <c r="F2849" s="34">
        <v>462</v>
      </c>
      <c r="G2849" s="34" t="s">
        <v>627</v>
      </c>
      <c r="H2849" s="36">
        <v>12842</v>
      </c>
      <c r="I2849" s="58">
        <v>79916</v>
      </c>
      <c r="J2849">
        <f>IFERROR(VLOOKUP(G2849,'LEAID Match'!$A$2:$B$526,2,FALSE),"")</f>
        <v>2903040</v>
      </c>
      <c r="K2849" s="68">
        <f t="shared" si="89"/>
        <v>8</v>
      </c>
    </row>
    <row r="2850" spans="1:11" x14ac:dyDescent="0.2">
      <c r="A2850">
        <f t="shared" si="88"/>
        <v>2916920</v>
      </c>
      <c r="B2850">
        <v>2015</v>
      </c>
      <c r="C2850" t="s">
        <v>739</v>
      </c>
      <c r="D2850" t="s">
        <v>740</v>
      </c>
      <c r="E2850" t="s">
        <v>743</v>
      </c>
      <c r="F2850" s="35">
        <v>467</v>
      </c>
      <c r="G2850" s="39" t="s">
        <v>628</v>
      </c>
      <c r="H2850" s="40">
        <v>26924</v>
      </c>
      <c r="I2850" s="58">
        <v>268307</v>
      </c>
      <c r="J2850">
        <f>IFERROR(VLOOKUP(G2850,'LEAID Match'!$A$2:$B$526,2,FALSE),"")</f>
        <v>2916920</v>
      </c>
      <c r="K2850" s="68">
        <f t="shared" si="89"/>
        <v>8</v>
      </c>
    </row>
    <row r="2851" spans="1:11" x14ac:dyDescent="0.2">
      <c r="A2851">
        <f t="shared" si="88"/>
        <v>2916920</v>
      </c>
      <c r="B2851">
        <v>2016</v>
      </c>
      <c r="C2851" t="s">
        <v>739</v>
      </c>
      <c r="D2851" t="s">
        <v>740</v>
      </c>
      <c r="E2851" t="s">
        <v>743</v>
      </c>
      <c r="F2851" s="34">
        <v>467</v>
      </c>
      <c r="G2851" s="34" t="s">
        <v>628</v>
      </c>
      <c r="H2851" s="36">
        <v>32288</v>
      </c>
      <c r="I2851" s="60">
        <v>265459</v>
      </c>
      <c r="J2851">
        <f>IFERROR(VLOOKUP(G2851,'LEAID Match'!$A$2:$B$526,2,FALSE),"")</f>
        <v>2916920</v>
      </c>
      <c r="K2851" s="68">
        <f t="shared" si="89"/>
        <v>8</v>
      </c>
    </row>
    <row r="2852" spans="1:11" x14ac:dyDescent="0.2">
      <c r="A2852">
        <f t="shared" si="88"/>
        <v>2916920</v>
      </c>
      <c r="B2852">
        <v>2017</v>
      </c>
      <c r="C2852" t="s">
        <v>739</v>
      </c>
      <c r="D2852" t="s">
        <v>740</v>
      </c>
      <c r="E2852" t="s">
        <v>743</v>
      </c>
      <c r="F2852" s="34">
        <v>467</v>
      </c>
      <c r="G2852" s="34" t="s">
        <v>628</v>
      </c>
      <c r="H2852" s="36">
        <v>38140</v>
      </c>
      <c r="I2852" s="58">
        <v>275503</v>
      </c>
      <c r="J2852">
        <f>IFERROR(VLOOKUP(G2852,'LEAID Match'!$A$2:$B$526,2,FALSE),"")</f>
        <v>2916920</v>
      </c>
      <c r="K2852" s="68">
        <f t="shared" si="89"/>
        <v>8</v>
      </c>
    </row>
    <row r="2853" spans="1:11" x14ac:dyDescent="0.2">
      <c r="A2853">
        <f t="shared" si="88"/>
        <v>2916920</v>
      </c>
      <c r="B2853">
        <v>2018</v>
      </c>
      <c r="C2853" t="s">
        <v>739</v>
      </c>
      <c r="D2853" t="s">
        <v>740</v>
      </c>
      <c r="E2853" t="s">
        <v>743</v>
      </c>
      <c r="F2853" s="34">
        <v>467</v>
      </c>
      <c r="G2853" s="34" t="s">
        <v>628</v>
      </c>
      <c r="H2853" s="36">
        <v>36316</v>
      </c>
      <c r="I2853" s="58">
        <v>262407</v>
      </c>
      <c r="J2853">
        <f>IFERROR(VLOOKUP(G2853,'LEAID Match'!$A$2:$B$526,2,FALSE),"")</f>
        <v>2916920</v>
      </c>
      <c r="K2853" s="68">
        <f t="shared" si="89"/>
        <v>8</v>
      </c>
    </row>
    <row r="2854" spans="1:11" x14ac:dyDescent="0.2">
      <c r="A2854">
        <f t="shared" si="88"/>
        <v>2916920</v>
      </c>
      <c r="B2854">
        <v>2019</v>
      </c>
      <c r="C2854" t="s">
        <v>739</v>
      </c>
      <c r="D2854" t="s">
        <v>740</v>
      </c>
      <c r="E2854" t="s">
        <v>743</v>
      </c>
      <c r="F2854" s="34">
        <v>467</v>
      </c>
      <c r="G2854" s="34" t="s">
        <v>628</v>
      </c>
      <c r="H2854" s="36">
        <v>38156</v>
      </c>
      <c r="I2854" s="58">
        <v>245650</v>
      </c>
      <c r="J2854">
        <f>IFERROR(VLOOKUP(G2854,'LEAID Match'!$A$2:$B$526,2,FALSE),"")</f>
        <v>2916920</v>
      </c>
      <c r="K2854" s="68">
        <f t="shared" si="89"/>
        <v>8</v>
      </c>
    </row>
    <row r="2855" spans="1:11" x14ac:dyDescent="0.2">
      <c r="A2855">
        <f t="shared" si="88"/>
        <v>2916920</v>
      </c>
      <c r="B2855">
        <v>2020</v>
      </c>
      <c r="C2855" t="s">
        <v>739</v>
      </c>
      <c r="D2855" t="s">
        <v>740</v>
      </c>
      <c r="E2855" t="s">
        <v>743</v>
      </c>
      <c r="F2855" s="34">
        <v>467</v>
      </c>
      <c r="G2855" s="34" t="s">
        <v>628</v>
      </c>
      <c r="H2855" s="36">
        <v>38465</v>
      </c>
      <c r="I2855" s="58">
        <v>247521</v>
      </c>
      <c r="J2855">
        <f>IFERROR(VLOOKUP(G2855,'LEAID Match'!$A$2:$B$526,2,FALSE),"")</f>
        <v>2916920</v>
      </c>
      <c r="K2855" s="68">
        <f t="shared" si="89"/>
        <v>8</v>
      </c>
    </row>
    <row r="2856" spans="1:11" x14ac:dyDescent="0.2">
      <c r="A2856">
        <f t="shared" si="88"/>
        <v>2916920</v>
      </c>
      <c r="B2856">
        <v>2021</v>
      </c>
      <c r="C2856" t="s">
        <v>739</v>
      </c>
      <c r="D2856" t="s">
        <v>740</v>
      </c>
      <c r="E2856" t="s">
        <v>743</v>
      </c>
      <c r="F2856" s="34">
        <v>467</v>
      </c>
      <c r="G2856" s="34" t="s">
        <v>628</v>
      </c>
      <c r="H2856" s="36">
        <v>38682</v>
      </c>
      <c r="I2856" s="58">
        <v>233998</v>
      </c>
      <c r="J2856">
        <f>IFERROR(VLOOKUP(G2856,'LEAID Match'!$A$2:$B$526,2,FALSE),"")</f>
        <v>2916920</v>
      </c>
      <c r="K2856" s="68">
        <f t="shared" si="89"/>
        <v>8</v>
      </c>
    </row>
    <row r="2857" spans="1:11" x14ac:dyDescent="0.2">
      <c r="A2857">
        <f t="shared" si="88"/>
        <v>2916920</v>
      </c>
      <c r="B2857">
        <v>2022</v>
      </c>
      <c r="C2857" t="s">
        <v>739</v>
      </c>
      <c r="D2857" t="s">
        <v>740</v>
      </c>
      <c r="E2857" t="s">
        <v>743</v>
      </c>
      <c r="F2857" s="34">
        <v>467</v>
      </c>
      <c r="G2857" s="34" t="s">
        <v>628</v>
      </c>
      <c r="H2857" s="36">
        <v>44277</v>
      </c>
      <c r="I2857" s="58">
        <v>229542</v>
      </c>
      <c r="J2857">
        <f>IFERROR(VLOOKUP(G2857,'LEAID Match'!$A$2:$B$526,2,FALSE),"")</f>
        <v>2916920</v>
      </c>
      <c r="K2857" s="68">
        <f t="shared" si="89"/>
        <v>8</v>
      </c>
    </row>
    <row r="2858" spans="1:11" x14ac:dyDescent="0.2">
      <c r="A2858">
        <f t="shared" si="88"/>
        <v>2915270</v>
      </c>
      <c r="B2858">
        <v>2015</v>
      </c>
      <c r="C2858" t="s">
        <v>739</v>
      </c>
      <c r="D2858" t="s">
        <v>740</v>
      </c>
      <c r="E2858" t="s">
        <v>743</v>
      </c>
      <c r="F2858" s="35">
        <v>468</v>
      </c>
      <c r="G2858" s="39" t="s">
        <v>629</v>
      </c>
      <c r="H2858" s="40">
        <v>28846</v>
      </c>
      <c r="I2858" s="58">
        <v>212554</v>
      </c>
      <c r="J2858">
        <f>IFERROR(VLOOKUP(G2858,'LEAID Match'!$A$2:$B$526,2,FALSE),"")</f>
        <v>2915270</v>
      </c>
      <c r="K2858" s="68">
        <f t="shared" si="89"/>
        <v>8</v>
      </c>
    </row>
    <row r="2859" spans="1:11" x14ac:dyDescent="0.2">
      <c r="A2859">
        <f t="shared" si="88"/>
        <v>2915270</v>
      </c>
      <c r="B2859">
        <v>2016</v>
      </c>
      <c r="C2859" t="s">
        <v>739</v>
      </c>
      <c r="D2859" t="s">
        <v>740</v>
      </c>
      <c r="E2859" t="s">
        <v>743</v>
      </c>
      <c r="F2859" s="34">
        <v>468</v>
      </c>
      <c r="G2859" s="34" t="s">
        <v>629</v>
      </c>
      <c r="H2859" s="36">
        <v>28494</v>
      </c>
      <c r="I2859" s="60">
        <v>217731</v>
      </c>
      <c r="J2859">
        <f>IFERROR(VLOOKUP(G2859,'LEAID Match'!$A$2:$B$526,2,FALSE),"")</f>
        <v>2915270</v>
      </c>
      <c r="K2859" s="68">
        <f t="shared" si="89"/>
        <v>8</v>
      </c>
    </row>
    <row r="2860" spans="1:11" x14ac:dyDescent="0.2">
      <c r="A2860">
        <f t="shared" si="88"/>
        <v>2915270</v>
      </c>
      <c r="B2860">
        <v>2017</v>
      </c>
      <c r="C2860" t="s">
        <v>739</v>
      </c>
      <c r="D2860" t="s">
        <v>740</v>
      </c>
      <c r="E2860" t="s">
        <v>743</v>
      </c>
      <c r="F2860" s="34">
        <v>468</v>
      </c>
      <c r="G2860" s="34" t="s">
        <v>629</v>
      </c>
      <c r="H2860" s="36">
        <v>34547</v>
      </c>
      <c r="I2860" s="58">
        <v>208695</v>
      </c>
      <c r="J2860">
        <f>IFERROR(VLOOKUP(G2860,'LEAID Match'!$A$2:$B$526,2,FALSE),"")</f>
        <v>2915270</v>
      </c>
      <c r="K2860" s="68">
        <f t="shared" si="89"/>
        <v>8</v>
      </c>
    </row>
    <row r="2861" spans="1:11" x14ac:dyDescent="0.2">
      <c r="A2861">
        <f t="shared" si="88"/>
        <v>2915270</v>
      </c>
      <c r="B2861">
        <v>2018</v>
      </c>
      <c r="C2861" t="s">
        <v>739</v>
      </c>
      <c r="D2861" t="s">
        <v>740</v>
      </c>
      <c r="E2861" t="s">
        <v>743</v>
      </c>
      <c r="F2861" s="34">
        <v>468</v>
      </c>
      <c r="G2861" s="34" t="s">
        <v>629</v>
      </c>
      <c r="H2861" s="36">
        <v>34254</v>
      </c>
      <c r="I2861" s="58">
        <v>220721</v>
      </c>
      <c r="J2861">
        <f>IFERROR(VLOOKUP(G2861,'LEAID Match'!$A$2:$B$526,2,FALSE),"")</f>
        <v>2915270</v>
      </c>
      <c r="K2861" s="68">
        <f t="shared" si="89"/>
        <v>8</v>
      </c>
    </row>
    <row r="2862" spans="1:11" x14ac:dyDescent="0.2">
      <c r="A2862">
        <f t="shared" si="88"/>
        <v>2915270</v>
      </c>
      <c r="B2862">
        <v>2019</v>
      </c>
      <c r="C2862" t="s">
        <v>739</v>
      </c>
      <c r="D2862" t="s">
        <v>740</v>
      </c>
      <c r="E2862" t="s">
        <v>743</v>
      </c>
      <c r="F2862" s="34">
        <v>468</v>
      </c>
      <c r="G2862" s="34" t="s">
        <v>629</v>
      </c>
      <c r="H2862" s="36">
        <v>36432</v>
      </c>
      <c r="I2862" s="58">
        <v>218117</v>
      </c>
      <c r="J2862">
        <f>IFERROR(VLOOKUP(G2862,'LEAID Match'!$A$2:$B$526,2,FALSE),"")</f>
        <v>2915270</v>
      </c>
      <c r="K2862" s="68">
        <f t="shared" si="89"/>
        <v>8</v>
      </c>
    </row>
    <row r="2863" spans="1:11" x14ac:dyDescent="0.2">
      <c r="A2863">
        <f t="shared" si="88"/>
        <v>2915270</v>
      </c>
      <c r="B2863">
        <v>2020</v>
      </c>
      <c r="C2863" t="s">
        <v>739</v>
      </c>
      <c r="D2863" t="s">
        <v>740</v>
      </c>
      <c r="E2863" t="s">
        <v>743</v>
      </c>
      <c r="F2863" s="34">
        <v>468</v>
      </c>
      <c r="G2863" s="34" t="s">
        <v>629</v>
      </c>
      <c r="H2863" s="36">
        <v>38198</v>
      </c>
      <c r="I2863" s="58">
        <v>224648</v>
      </c>
      <c r="J2863">
        <f>IFERROR(VLOOKUP(G2863,'LEAID Match'!$A$2:$B$526,2,FALSE),"")</f>
        <v>2915270</v>
      </c>
      <c r="K2863" s="68">
        <f t="shared" si="89"/>
        <v>8</v>
      </c>
    </row>
    <row r="2864" spans="1:11" x14ac:dyDescent="0.2">
      <c r="A2864">
        <f t="shared" si="88"/>
        <v>2915270</v>
      </c>
      <c r="B2864">
        <v>2021</v>
      </c>
      <c r="C2864" t="s">
        <v>739</v>
      </c>
      <c r="D2864" t="s">
        <v>740</v>
      </c>
      <c r="E2864" t="s">
        <v>743</v>
      </c>
      <c r="F2864" s="34">
        <v>468</v>
      </c>
      <c r="G2864" s="34" t="s">
        <v>629</v>
      </c>
      <c r="H2864" s="36">
        <v>36896</v>
      </c>
      <c r="I2864" s="58">
        <v>232428</v>
      </c>
      <c r="J2864">
        <f>IFERROR(VLOOKUP(G2864,'LEAID Match'!$A$2:$B$526,2,FALSE),"")</f>
        <v>2915270</v>
      </c>
      <c r="K2864" s="68">
        <f t="shared" si="89"/>
        <v>8</v>
      </c>
    </row>
    <row r="2865" spans="1:11" x14ac:dyDescent="0.2">
      <c r="A2865">
        <f t="shared" si="88"/>
        <v>2915270</v>
      </c>
      <c r="B2865">
        <v>2022</v>
      </c>
      <c r="C2865" t="s">
        <v>739</v>
      </c>
      <c r="D2865" t="s">
        <v>740</v>
      </c>
      <c r="E2865" t="s">
        <v>743</v>
      </c>
      <c r="F2865" s="34">
        <v>468</v>
      </c>
      <c r="G2865" s="34" t="s">
        <v>629</v>
      </c>
      <c r="H2865" s="36">
        <v>40678</v>
      </c>
      <c r="I2865" s="58">
        <v>252842</v>
      </c>
      <c r="J2865">
        <f>IFERROR(VLOOKUP(G2865,'LEAID Match'!$A$2:$B$526,2,FALSE),"")</f>
        <v>2915270</v>
      </c>
      <c r="K2865" s="68">
        <f t="shared" si="89"/>
        <v>8</v>
      </c>
    </row>
    <row r="2866" spans="1:11" x14ac:dyDescent="0.2">
      <c r="A2866">
        <f t="shared" si="88"/>
        <v>2928380</v>
      </c>
      <c r="B2866">
        <v>2015</v>
      </c>
      <c r="C2866" t="s">
        <v>739</v>
      </c>
      <c r="D2866" t="s">
        <v>740</v>
      </c>
      <c r="E2866" t="s">
        <v>743</v>
      </c>
      <c r="F2866" s="35">
        <v>469</v>
      </c>
      <c r="G2866" s="39" t="s">
        <v>630</v>
      </c>
      <c r="H2866" s="40">
        <v>48257</v>
      </c>
      <c r="I2866" s="58">
        <v>372391</v>
      </c>
      <c r="J2866">
        <f>IFERROR(VLOOKUP(G2866,'LEAID Match'!$A$2:$B$526,2,FALSE),"")</f>
        <v>2928380</v>
      </c>
      <c r="K2866" s="68">
        <f t="shared" si="89"/>
        <v>8</v>
      </c>
    </row>
    <row r="2867" spans="1:11" x14ac:dyDescent="0.2">
      <c r="A2867">
        <f t="shared" si="88"/>
        <v>2928380</v>
      </c>
      <c r="B2867">
        <v>2016</v>
      </c>
      <c r="C2867" t="s">
        <v>739</v>
      </c>
      <c r="D2867" t="s">
        <v>740</v>
      </c>
      <c r="E2867" t="s">
        <v>743</v>
      </c>
      <c r="F2867" s="34">
        <v>469</v>
      </c>
      <c r="G2867" s="34" t="s">
        <v>630</v>
      </c>
      <c r="H2867" s="36">
        <v>45872</v>
      </c>
      <c r="I2867" s="60">
        <v>375691</v>
      </c>
      <c r="J2867">
        <f>IFERROR(VLOOKUP(G2867,'LEAID Match'!$A$2:$B$526,2,FALSE),"")</f>
        <v>2928380</v>
      </c>
      <c r="K2867" s="68">
        <f t="shared" si="89"/>
        <v>8</v>
      </c>
    </row>
    <row r="2868" spans="1:11" x14ac:dyDescent="0.2">
      <c r="A2868">
        <f t="shared" si="88"/>
        <v>2928380</v>
      </c>
      <c r="B2868">
        <v>2017</v>
      </c>
      <c r="C2868" t="s">
        <v>739</v>
      </c>
      <c r="D2868" t="s">
        <v>740</v>
      </c>
      <c r="E2868" t="s">
        <v>743</v>
      </c>
      <c r="F2868" s="34">
        <v>469</v>
      </c>
      <c r="G2868" s="34" t="s">
        <v>630</v>
      </c>
      <c r="H2868" s="36">
        <v>41011</v>
      </c>
      <c r="I2868" s="58">
        <v>366339</v>
      </c>
      <c r="J2868">
        <f>IFERROR(VLOOKUP(G2868,'LEAID Match'!$A$2:$B$526,2,FALSE),"")</f>
        <v>2928380</v>
      </c>
      <c r="K2868" s="68">
        <f t="shared" si="89"/>
        <v>8</v>
      </c>
    </row>
    <row r="2869" spans="1:11" x14ac:dyDescent="0.2">
      <c r="A2869">
        <f t="shared" si="88"/>
        <v>2928380</v>
      </c>
      <c r="B2869">
        <v>2018</v>
      </c>
      <c r="C2869" t="s">
        <v>739</v>
      </c>
      <c r="D2869" t="s">
        <v>740</v>
      </c>
      <c r="E2869" t="s">
        <v>743</v>
      </c>
      <c r="F2869" s="34">
        <v>469</v>
      </c>
      <c r="G2869" s="34" t="s">
        <v>630</v>
      </c>
      <c r="H2869" s="36">
        <v>40648</v>
      </c>
      <c r="I2869" s="58">
        <v>373994</v>
      </c>
      <c r="J2869">
        <f>IFERROR(VLOOKUP(G2869,'LEAID Match'!$A$2:$B$526,2,FALSE),"")</f>
        <v>2928380</v>
      </c>
      <c r="K2869" s="68">
        <f t="shared" si="89"/>
        <v>8</v>
      </c>
    </row>
    <row r="2870" spans="1:11" x14ac:dyDescent="0.2">
      <c r="A2870">
        <f t="shared" si="88"/>
        <v>2928380</v>
      </c>
      <c r="B2870">
        <v>2019</v>
      </c>
      <c r="C2870" t="s">
        <v>739</v>
      </c>
      <c r="D2870" t="s">
        <v>740</v>
      </c>
      <c r="E2870" t="s">
        <v>743</v>
      </c>
      <c r="F2870" s="34">
        <v>469</v>
      </c>
      <c r="G2870" s="34" t="s">
        <v>630</v>
      </c>
      <c r="H2870" s="36">
        <v>43500</v>
      </c>
      <c r="I2870" s="58">
        <v>373671</v>
      </c>
      <c r="J2870">
        <f>IFERROR(VLOOKUP(G2870,'LEAID Match'!$A$2:$B$526,2,FALSE),"")</f>
        <v>2928380</v>
      </c>
      <c r="K2870" s="68">
        <f t="shared" si="89"/>
        <v>8</v>
      </c>
    </row>
    <row r="2871" spans="1:11" x14ac:dyDescent="0.2">
      <c r="A2871">
        <f t="shared" si="88"/>
        <v>2928380</v>
      </c>
      <c r="B2871">
        <v>2020</v>
      </c>
      <c r="C2871" t="s">
        <v>739</v>
      </c>
      <c r="D2871" t="s">
        <v>740</v>
      </c>
      <c r="E2871" t="s">
        <v>743</v>
      </c>
      <c r="F2871" s="34">
        <v>469</v>
      </c>
      <c r="G2871" s="34" t="s">
        <v>630</v>
      </c>
      <c r="H2871" s="36">
        <v>45332</v>
      </c>
      <c r="I2871" s="58">
        <v>391827</v>
      </c>
      <c r="J2871">
        <f>IFERROR(VLOOKUP(G2871,'LEAID Match'!$A$2:$B$526,2,FALSE),"")</f>
        <v>2928380</v>
      </c>
      <c r="K2871" s="68">
        <f t="shared" si="89"/>
        <v>8</v>
      </c>
    </row>
    <row r="2872" spans="1:11" x14ac:dyDescent="0.2">
      <c r="A2872">
        <f t="shared" si="88"/>
        <v>2928380</v>
      </c>
      <c r="B2872">
        <v>2021</v>
      </c>
      <c r="C2872" t="s">
        <v>739</v>
      </c>
      <c r="D2872" t="s">
        <v>740</v>
      </c>
      <c r="E2872" t="s">
        <v>743</v>
      </c>
      <c r="F2872" s="34">
        <v>469</v>
      </c>
      <c r="G2872" s="34" t="s">
        <v>630</v>
      </c>
      <c r="H2872" s="36">
        <v>43934</v>
      </c>
      <c r="I2872" s="58">
        <v>387679</v>
      </c>
      <c r="J2872">
        <f>IFERROR(VLOOKUP(G2872,'LEAID Match'!$A$2:$B$526,2,FALSE),"")</f>
        <v>2928380</v>
      </c>
      <c r="K2872" s="68">
        <f t="shared" si="89"/>
        <v>8</v>
      </c>
    </row>
    <row r="2873" spans="1:11" x14ac:dyDescent="0.2">
      <c r="A2873">
        <f t="shared" si="88"/>
        <v>2928380</v>
      </c>
      <c r="B2873">
        <v>2022</v>
      </c>
      <c r="C2873" t="s">
        <v>739</v>
      </c>
      <c r="D2873" t="s">
        <v>740</v>
      </c>
      <c r="E2873" t="s">
        <v>743</v>
      </c>
      <c r="F2873" s="34">
        <v>469</v>
      </c>
      <c r="G2873" s="34" t="s">
        <v>630</v>
      </c>
      <c r="H2873" s="36">
        <v>49670</v>
      </c>
      <c r="I2873" s="58">
        <v>406236</v>
      </c>
      <c r="J2873">
        <f>IFERROR(VLOOKUP(G2873,'LEAID Match'!$A$2:$B$526,2,FALSE),"")</f>
        <v>2928380</v>
      </c>
      <c r="K2873" s="68">
        <f t="shared" si="89"/>
        <v>8</v>
      </c>
    </row>
    <row r="2874" spans="1:11" x14ac:dyDescent="0.2">
      <c r="A2874">
        <f t="shared" si="88"/>
        <v>2913290</v>
      </c>
      <c r="B2874">
        <v>2015</v>
      </c>
      <c r="C2874" t="s">
        <v>739</v>
      </c>
      <c r="D2874" t="s">
        <v>740</v>
      </c>
      <c r="E2874" t="s">
        <v>743</v>
      </c>
      <c r="F2874" s="35">
        <v>470</v>
      </c>
      <c r="G2874" s="39" t="s">
        <v>631</v>
      </c>
      <c r="H2874" s="40">
        <v>39346</v>
      </c>
      <c r="I2874" s="58">
        <v>253592</v>
      </c>
      <c r="J2874">
        <f>IFERROR(VLOOKUP(G2874,'LEAID Match'!$A$2:$B$526,2,FALSE),"")</f>
        <v>2913290</v>
      </c>
      <c r="K2874" s="68">
        <f t="shared" si="89"/>
        <v>8</v>
      </c>
    </row>
    <row r="2875" spans="1:11" x14ac:dyDescent="0.2">
      <c r="A2875">
        <f t="shared" si="88"/>
        <v>2913290</v>
      </c>
      <c r="B2875">
        <v>2016</v>
      </c>
      <c r="C2875" t="s">
        <v>739</v>
      </c>
      <c r="D2875" t="s">
        <v>740</v>
      </c>
      <c r="E2875" t="s">
        <v>743</v>
      </c>
      <c r="F2875" s="34">
        <v>470</v>
      </c>
      <c r="G2875" s="34" t="s">
        <v>631</v>
      </c>
      <c r="H2875" s="36">
        <v>40384</v>
      </c>
      <c r="I2875" s="60">
        <v>255178</v>
      </c>
      <c r="J2875">
        <f>IFERROR(VLOOKUP(G2875,'LEAID Match'!$A$2:$B$526,2,FALSE),"")</f>
        <v>2913290</v>
      </c>
      <c r="K2875" s="68">
        <f t="shared" si="89"/>
        <v>8</v>
      </c>
    </row>
    <row r="2876" spans="1:11" x14ac:dyDescent="0.2">
      <c r="A2876">
        <f t="shared" si="88"/>
        <v>2913290</v>
      </c>
      <c r="B2876">
        <v>2017</v>
      </c>
      <c r="C2876" t="s">
        <v>739</v>
      </c>
      <c r="D2876" t="s">
        <v>740</v>
      </c>
      <c r="E2876" t="s">
        <v>743</v>
      </c>
      <c r="F2876" s="34">
        <v>470</v>
      </c>
      <c r="G2876" s="34" t="s">
        <v>631</v>
      </c>
      <c r="H2876" s="36">
        <v>42129</v>
      </c>
      <c r="I2876" s="58">
        <v>228925</v>
      </c>
      <c r="J2876">
        <f>IFERROR(VLOOKUP(G2876,'LEAID Match'!$A$2:$B$526,2,FALSE),"")</f>
        <v>2913290</v>
      </c>
      <c r="K2876" s="68">
        <f t="shared" si="89"/>
        <v>8</v>
      </c>
    </row>
    <row r="2877" spans="1:11" x14ac:dyDescent="0.2">
      <c r="A2877">
        <f t="shared" si="88"/>
        <v>2913290</v>
      </c>
      <c r="B2877">
        <v>2018</v>
      </c>
      <c r="C2877" t="s">
        <v>739</v>
      </c>
      <c r="D2877" t="s">
        <v>740</v>
      </c>
      <c r="E2877" t="s">
        <v>743</v>
      </c>
      <c r="F2877" s="34">
        <v>470</v>
      </c>
      <c r="G2877" s="34" t="s">
        <v>631</v>
      </c>
      <c r="H2877" s="36">
        <v>41530</v>
      </c>
      <c r="I2877" s="58">
        <v>240657</v>
      </c>
      <c r="J2877">
        <f>IFERROR(VLOOKUP(G2877,'LEAID Match'!$A$2:$B$526,2,FALSE),"")</f>
        <v>2913290</v>
      </c>
      <c r="K2877" s="68">
        <f t="shared" si="89"/>
        <v>8</v>
      </c>
    </row>
    <row r="2878" spans="1:11" x14ac:dyDescent="0.2">
      <c r="A2878">
        <f t="shared" si="88"/>
        <v>2913290</v>
      </c>
      <c r="B2878">
        <v>2019</v>
      </c>
      <c r="C2878" t="s">
        <v>739</v>
      </c>
      <c r="D2878" t="s">
        <v>740</v>
      </c>
      <c r="E2878" t="s">
        <v>743</v>
      </c>
      <c r="F2878" s="34">
        <v>470</v>
      </c>
      <c r="G2878" s="34" t="s">
        <v>631</v>
      </c>
      <c r="H2878" s="36">
        <v>46235</v>
      </c>
      <c r="I2878" s="58">
        <v>254771</v>
      </c>
      <c r="J2878">
        <f>IFERROR(VLOOKUP(G2878,'LEAID Match'!$A$2:$B$526,2,FALSE),"")</f>
        <v>2913290</v>
      </c>
      <c r="K2878" s="68">
        <f t="shared" si="89"/>
        <v>8</v>
      </c>
    </row>
    <row r="2879" spans="1:11" x14ac:dyDescent="0.2">
      <c r="A2879">
        <f t="shared" si="88"/>
        <v>2913290</v>
      </c>
      <c r="B2879">
        <v>2020</v>
      </c>
      <c r="C2879" t="s">
        <v>739</v>
      </c>
      <c r="D2879" t="s">
        <v>740</v>
      </c>
      <c r="E2879" t="s">
        <v>743</v>
      </c>
      <c r="F2879" s="34">
        <v>470</v>
      </c>
      <c r="G2879" s="34" t="s">
        <v>631</v>
      </c>
      <c r="H2879" s="36">
        <v>47633</v>
      </c>
      <c r="I2879" s="58">
        <v>252416</v>
      </c>
      <c r="J2879">
        <f>IFERROR(VLOOKUP(G2879,'LEAID Match'!$A$2:$B$526,2,FALSE),"")</f>
        <v>2913290</v>
      </c>
      <c r="K2879" s="68">
        <f t="shared" si="89"/>
        <v>8</v>
      </c>
    </row>
    <row r="2880" spans="1:11" x14ac:dyDescent="0.2">
      <c r="A2880">
        <f t="shared" si="88"/>
        <v>2913290</v>
      </c>
      <c r="B2880">
        <v>2021</v>
      </c>
      <c r="C2880" t="s">
        <v>739</v>
      </c>
      <c r="D2880" t="s">
        <v>740</v>
      </c>
      <c r="E2880" t="s">
        <v>743</v>
      </c>
      <c r="F2880" s="34">
        <v>470</v>
      </c>
      <c r="G2880" s="34" t="s">
        <v>631</v>
      </c>
      <c r="H2880" s="36">
        <v>57055</v>
      </c>
      <c r="I2880" s="58">
        <v>257027</v>
      </c>
      <c r="J2880">
        <f>IFERROR(VLOOKUP(G2880,'LEAID Match'!$A$2:$B$526,2,FALSE),"")</f>
        <v>2913290</v>
      </c>
      <c r="K2880" s="68">
        <f t="shared" si="89"/>
        <v>8</v>
      </c>
    </row>
    <row r="2881" spans="1:11" x14ac:dyDescent="0.2">
      <c r="A2881">
        <f t="shared" si="88"/>
        <v>2913290</v>
      </c>
      <c r="B2881">
        <v>2022</v>
      </c>
      <c r="C2881" t="s">
        <v>739</v>
      </c>
      <c r="D2881" t="s">
        <v>740</v>
      </c>
      <c r="E2881" t="s">
        <v>743</v>
      </c>
      <c r="F2881" s="34">
        <v>470</v>
      </c>
      <c r="G2881" s="34" t="s">
        <v>631</v>
      </c>
      <c r="H2881" s="36">
        <v>56913</v>
      </c>
      <c r="I2881" s="58">
        <v>268499</v>
      </c>
      <c r="J2881">
        <f>IFERROR(VLOOKUP(G2881,'LEAID Match'!$A$2:$B$526,2,FALSE),"")</f>
        <v>2913290</v>
      </c>
      <c r="K2881" s="68">
        <f t="shared" si="89"/>
        <v>8</v>
      </c>
    </row>
    <row r="2882" spans="1:11" x14ac:dyDescent="0.2">
      <c r="A2882">
        <f t="shared" si="88"/>
        <v>2924690</v>
      </c>
      <c r="B2882">
        <v>2015</v>
      </c>
      <c r="C2882" t="s">
        <v>739</v>
      </c>
      <c r="D2882" t="s">
        <v>740</v>
      </c>
      <c r="E2882" t="s">
        <v>743</v>
      </c>
      <c r="F2882" s="35">
        <v>471</v>
      </c>
      <c r="G2882" s="39" t="s">
        <v>632</v>
      </c>
      <c r="H2882" s="40">
        <v>29219</v>
      </c>
      <c r="I2882" s="58">
        <v>148220</v>
      </c>
      <c r="J2882">
        <f>IFERROR(VLOOKUP(G2882,'LEAID Match'!$A$2:$B$526,2,FALSE),"")</f>
        <v>2924690</v>
      </c>
      <c r="K2882" s="68">
        <f t="shared" si="89"/>
        <v>8</v>
      </c>
    </row>
    <row r="2883" spans="1:11" x14ac:dyDescent="0.2">
      <c r="A2883">
        <f t="shared" ref="A2883:A2946" si="90">J2883</f>
        <v>2924690</v>
      </c>
      <c r="B2883">
        <v>2016</v>
      </c>
      <c r="C2883" t="s">
        <v>739</v>
      </c>
      <c r="D2883" t="s">
        <v>740</v>
      </c>
      <c r="E2883" t="s">
        <v>743</v>
      </c>
      <c r="F2883" s="34">
        <v>471</v>
      </c>
      <c r="G2883" s="34" t="s">
        <v>632</v>
      </c>
      <c r="H2883" s="36">
        <v>26262</v>
      </c>
      <c r="I2883" s="60">
        <v>143183</v>
      </c>
      <c r="J2883">
        <f>IFERROR(VLOOKUP(G2883,'LEAID Match'!$A$2:$B$526,2,FALSE),"")</f>
        <v>2924690</v>
      </c>
      <c r="K2883" s="68">
        <f t="shared" ref="K2883:K2946" si="91">COUNTIF($J$2:$J$4295,J2883)</f>
        <v>8</v>
      </c>
    </row>
    <row r="2884" spans="1:11" x14ac:dyDescent="0.2">
      <c r="A2884">
        <f t="shared" si="90"/>
        <v>2924690</v>
      </c>
      <c r="B2884">
        <v>2017</v>
      </c>
      <c r="C2884" t="s">
        <v>739</v>
      </c>
      <c r="D2884" t="s">
        <v>740</v>
      </c>
      <c r="E2884" t="s">
        <v>743</v>
      </c>
      <c r="F2884" s="34">
        <v>471</v>
      </c>
      <c r="G2884" s="34" t="s">
        <v>632</v>
      </c>
      <c r="H2884" s="36">
        <v>26398</v>
      </c>
      <c r="I2884" s="58">
        <v>150668</v>
      </c>
      <c r="J2884">
        <f>IFERROR(VLOOKUP(G2884,'LEAID Match'!$A$2:$B$526,2,FALSE),"")</f>
        <v>2924690</v>
      </c>
      <c r="K2884" s="68">
        <f t="shared" si="91"/>
        <v>8</v>
      </c>
    </row>
    <row r="2885" spans="1:11" x14ac:dyDescent="0.2">
      <c r="A2885">
        <f t="shared" si="90"/>
        <v>2924690</v>
      </c>
      <c r="B2885">
        <v>2018</v>
      </c>
      <c r="C2885" t="s">
        <v>739</v>
      </c>
      <c r="D2885" t="s">
        <v>740</v>
      </c>
      <c r="E2885" t="s">
        <v>743</v>
      </c>
      <c r="F2885" s="34">
        <v>471</v>
      </c>
      <c r="G2885" s="34" t="s">
        <v>632</v>
      </c>
      <c r="H2885" s="36">
        <v>25927</v>
      </c>
      <c r="I2885" s="58">
        <v>157927</v>
      </c>
      <c r="J2885">
        <f>IFERROR(VLOOKUP(G2885,'LEAID Match'!$A$2:$B$526,2,FALSE),"")</f>
        <v>2924690</v>
      </c>
      <c r="K2885" s="68">
        <f t="shared" si="91"/>
        <v>8</v>
      </c>
    </row>
    <row r="2886" spans="1:11" x14ac:dyDescent="0.2">
      <c r="A2886">
        <f t="shared" si="90"/>
        <v>2924690</v>
      </c>
      <c r="B2886">
        <v>2019</v>
      </c>
      <c r="C2886" t="s">
        <v>739</v>
      </c>
      <c r="D2886" t="s">
        <v>740</v>
      </c>
      <c r="E2886" t="s">
        <v>743</v>
      </c>
      <c r="F2886" s="34">
        <v>471</v>
      </c>
      <c r="G2886" s="34" t="s">
        <v>632</v>
      </c>
      <c r="H2886" s="36">
        <v>28559</v>
      </c>
      <c r="I2886" s="58">
        <v>159758</v>
      </c>
      <c r="J2886">
        <f>IFERROR(VLOOKUP(G2886,'LEAID Match'!$A$2:$B$526,2,FALSE),"")</f>
        <v>2924690</v>
      </c>
      <c r="K2886" s="68">
        <f t="shared" si="91"/>
        <v>8</v>
      </c>
    </row>
    <row r="2887" spans="1:11" x14ac:dyDescent="0.2">
      <c r="A2887">
        <f t="shared" si="90"/>
        <v>2924690</v>
      </c>
      <c r="B2887">
        <v>2020</v>
      </c>
      <c r="C2887" t="s">
        <v>739</v>
      </c>
      <c r="D2887" t="s">
        <v>740</v>
      </c>
      <c r="E2887" t="s">
        <v>743</v>
      </c>
      <c r="F2887" s="34">
        <v>471</v>
      </c>
      <c r="G2887" s="34" t="s">
        <v>632</v>
      </c>
      <c r="H2887" s="36">
        <v>29743</v>
      </c>
      <c r="I2887" s="58">
        <v>157188</v>
      </c>
      <c r="J2887">
        <f>IFERROR(VLOOKUP(G2887,'LEAID Match'!$A$2:$B$526,2,FALSE),"")</f>
        <v>2924690</v>
      </c>
      <c r="K2887" s="68">
        <f t="shared" si="91"/>
        <v>8</v>
      </c>
    </row>
    <row r="2888" spans="1:11" x14ac:dyDescent="0.2">
      <c r="A2888">
        <f t="shared" si="90"/>
        <v>2924690</v>
      </c>
      <c r="B2888">
        <v>2021</v>
      </c>
      <c r="C2888" t="s">
        <v>739</v>
      </c>
      <c r="D2888" t="s">
        <v>740</v>
      </c>
      <c r="E2888" t="s">
        <v>743</v>
      </c>
      <c r="F2888" s="34">
        <v>471</v>
      </c>
      <c r="G2888" s="34" t="s">
        <v>632</v>
      </c>
      <c r="H2888" s="36">
        <v>28754</v>
      </c>
      <c r="I2888" s="58">
        <v>161845</v>
      </c>
      <c r="J2888">
        <f>IFERROR(VLOOKUP(G2888,'LEAID Match'!$A$2:$B$526,2,FALSE),"")</f>
        <v>2924690</v>
      </c>
      <c r="K2888" s="68">
        <f t="shared" si="91"/>
        <v>8</v>
      </c>
    </row>
    <row r="2889" spans="1:11" x14ac:dyDescent="0.2">
      <c r="A2889">
        <f t="shared" si="90"/>
        <v>2924690</v>
      </c>
      <c r="B2889">
        <v>2022</v>
      </c>
      <c r="C2889" t="s">
        <v>739</v>
      </c>
      <c r="D2889" t="s">
        <v>740</v>
      </c>
      <c r="E2889" t="s">
        <v>743</v>
      </c>
      <c r="F2889" s="34">
        <v>471</v>
      </c>
      <c r="G2889" s="34" t="s">
        <v>632</v>
      </c>
      <c r="H2889" s="36">
        <v>29173</v>
      </c>
      <c r="I2889" s="58">
        <v>174177</v>
      </c>
      <c r="J2889">
        <f>IFERROR(VLOOKUP(G2889,'LEAID Match'!$A$2:$B$526,2,FALSE),"")</f>
        <v>2924690</v>
      </c>
      <c r="K2889" s="68">
        <f t="shared" si="91"/>
        <v>8</v>
      </c>
    </row>
    <row r="2890" spans="1:11" x14ac:dyDescent="0.2">
      <c r="A2890">
        <f t="shared" si="90"/>
        <v>2927830</v>
      </c>
      <c r="B2890">
        <v>2015</v>
      </c>
      <c r="C2890" t="s">
        <v>739</v>
      </c>
      <c r="D2890" t="s">
        <v>740</v>
      </c>
      <c r="E2890" t="s">
        <v>743</v>
      </c>
      <c r="F2890" s="35">
        <v>472</v>
      </c>
      <c r="G2890" s="34" t="s">
        <v>633</v>
      </c>
      <c r="H2890" s="40">
        <v>435479</v>
      </c>
      <c r="I2890" s="58">
        <v>2829983</v>
      </c>
      <c r="J2890">
        <f>IFERROR(VLOOKUP(G2890,'LEAID Match'!$A$2:$B$526,2,FALSE),"")</f>
        <v>2927830</v>
      </c>
      <c r="K2890" s="68">
        <f t="shared" si="91"/>
        <v>8</v>
      </c>
    </row>
    <row r="2891" spans="1:11" x14ac:dyDescent="0.2">
      <c r="A2891">
        <f t="shared" si="90"/>
        <v>2927830</v>
      </c>
      <c r="B2891">
        <v>2016</v>
      </c>
      <c r="C2891" t="s">
        <v>739</v>
      </c>
      <c r="D2891" t="s">
        <v>740</v>
      </c>
      <c r="E2891" t="s">
        <v>743</v>
      </c>
      <c r="F2891" s="34">
        <v>472</v>
      </c>
      <c r="G2891" s="34" t="s">
        <v>633</v>
      </c>
      <c r="H2891" s="36">
        <v>468328</v>
      </c>
      <c r="I2891" s="60">
        <v>2947908</v>
      </c>
      <c r="J2891">
        <f>IFERROR(VLOOKUP(G2891,'LEAID Match'!$A$2:$B$526,2,FALSE),"")</f>
        <v>2927830</v>
      </c>
      <c r="K2891" s="68">
        <f t="shared" si="91"/>
        <v>8</v>
      </c>
    </row>
    <row r="2892" spans="1:11" x14ac:dyDescent="0.2">
      <c r="A2892">
        <f t="shared" si="90"/>
        <v>2927830</v>
      </c>
      <c r="B2892">
        <v>2017</v>
      </c>
      <c r="C2892" t="s">
        <v>739</v>
      </c>
      <c r="D2892" t="s">
        <v>740</v>
      </c>
      <c r="E2892" t="s">
        <v>743</v>
      </c>
      <c r="F2892" s="34">
        <v>472</v>
      </c>
      <c r="G2892" s="34" t="s">
        <v>633</v>
      </c>
      <c r="H2892" s="36">
        <v>494987</v>
      </c>
      <c r="I2892" s="58">
        <v>3066486</v>
      </c>
      <c r="J2892">
        <f>IFERROR(VLOOKUP(G2892,'LEAID Match'!$A$2:$B$526,2,FALSE),"")</f>
        <v>2927830</v>
      </c>
      <c r="K2892" s="68">
        <f t="shared" si="91"/>
        <v>8</v>
      </c>
    </row>
    <row r="2893" spans="1:11" x14ac:dyDescent="0.2">
      <c r="A2893">
        <f t="shared" si="90"/>
        <v>2927830</v>
      </c>
      <c r="B2893">
        <v>2018</v>
      </c>
      <c r="C2893" t="s">
        <v>739</v>
      </c>
      <c r="D2893" t="s">
        <v>740</v>
      </c>
      <c r="E2893" t="s">
        <v>743</v>
      </c>
      <c r="F2893" s="34">
        <v>472</v>
      </c>
      <c r="G2893" s="34" t="s">
        <v>633</v>
      </c>
      <c r="H2893" s="36">
        <v>528678</v>
      </c>
      <c r="I2893" s="58">
        <v>3139559</v>
      </c>
      <c r="J2893">
        <f>IFERROR(VLOOKUP(G2893,'LEAID Match'!$A$2:$B$526,2,FALSE),"")</f>
        <v>2927830</v>
      </c>
      <c r="K2893" s="68">
        <f t="shared" si="91"/>
        <v>8</v>
      </c>
    </row>
    <row r="2894" spans="1:11" x14ac:dyDescent="0.2">
      <c r="A2894">
        <f t="shared" si="90"/>
        <v>2927830</v>
      </c>
      <c r="B2894">
        <v>2019</v>
      </c>
      <c r="C2894" t="s">
        <v>739</v>
      </c>
      <c r="D2894" t="s">
        <v>740</v>
      </c>
      <c r="E2894" t="s">
        <v>743</v>
      </c>
      <c r="F2894" s="34">
        <v>472</v>
      </c>
      <c r="G2894" s="34" t="s">
        <v>633</v>
      </c>
      <c r="H2894" s="36">
        <v>555837</v>
      </c>
      <c r="I2894" s="58">
        <v>3247362</v>
      </c>
      <c r="J2894">
        <f>IFERROR(VLOOKUP(G2894,'LEAID Match'!$A$2:$B$526,2,FALSE),"")</f>
        <v>2927830</v>
      </c>
      <c r="K2894" s="68">
        <f t="shared" si="91"/>
        <v>8</v>
      </c>
    </row>
    <row r="2895" spans="1:11" x14ac:dyDescent="0.2">
      <c r="A2895">
        <f t="shared" si="90"/>
        <v>2927830</v>
      </c>
      <c r="B2895">
        <v>2020</v>
      </c>
      <c r="C2895" t="s">
        <v>739</v>
      </c>
      <c r="D2895" t="s">
        <v>740</v>
      </c>
      <c r="E2895" t="s">
        <v>743</v>
      </c>
      <c r="F2895" s="34">
        <v>472</v>
      </c>
      <c r="G2895" s="34" t="s">
        <v>633</v>
      </c>
      <c r="H2895" s="36">
        <v>576536</v>
      </c>
      <c r="I2895" s="58">
        <v>3423362</v>
      </c>
      <c r="J2895">
        <f>IFERROR(VLOOKUP(G2895,'LEAID Match'!$A$2:$B$526,2,FALSE),"")</f>
        <v>2927830</v>
      </c>
      <c r="K2895" s="68">
        <f t="shared" si="91"/>
        <v>8</v>
      </c>
    </row>
    <row r="2896" spans="1:11" x14ac:dyDescent="0.2">
      <c r="A2896">
        <f t="shared" si="90"/>
        <v>2927830</v>
      </c>
      <c r="B2896">
        <v>2021</v>
      </c>
      <c r="C2896" t="s">
        <v>739</v>
      </c>
      <c r="D2896" t="s">
        <v>740</v>
      </c>
      <c r="E2896" t="s">
        <v>743</v>
      </c>
      <c r="F2896" s="34">
        <v>472</v>
      </c>
      <c r="G2896" s="34" t="s">
        <v>633</v>
      </c>
      <c r="H2896" s="36">
        <v>584890</v>
      </c>
      <c r="I2896" s="58">
        <v>3532674</v>
      </c>
      <c r="J2896">
        <f>IFERROR(VLOOKUP(G2896,'LEAID Match'!$A$2:$B$526,2,FALSE),"")</f>
        <v>2927830</v>
      </c>
      <c r="K2896" s="68">
        <f t="shared" si="91"/>
        <v>8</v>
      </c>
    </row>
    <row r="2897" spans="1:11" x14ac:dyDescent="0.2">
      <c r="A2897">
        <f t="shared" si="90"/>
        <v>2927830</v>
      </c>
      <c r="B2897">
        <v>2022</v>
      </c>
      <c r="C2897" t="s">
        <v>739</v>
      </c>
      <c r="D2897" t="s">
        <v>740</v>
      </c>
      <c r="E2897" t="s">
        <v>743</v>
      </c>
      <c r="F2897" s="34">
        <v>472</v>
      </c>
      <c r="G2897" s="34" t="s">
        <v>633</v>
      </c>
      <c r="H2897" s="36">
        <v>657915</v>
      </c>
      <c r="I2897" s="58">
        <v>3606179</v>
      </c>
      <c r="J2897">
        <f>IFERROR(VLOOKUP(G2897,'LEAID Match'!$A$2:$B$526,2,FALSE),"")</f>
        <v>2927830</v>
      </c>
      <c r="K2897" s="68">
        <f t="shared" si="91"/>
        <v>8</v>
      </c>
    </row>
    <row r="2898" spans="1:11" x14ac:dyDescent="0.2">
      <c r="A2898">
        <f t="shared" si="90"/>
        <v>2929250</v>
      </c>
      <c r="B2898">
        <v>2015</v>
      </c>
      <c r="C2898" t="s">
        <v>739</v>
      </c>
      <c r="D2898" t="s">
        <v>740</v>
      </c>
      <c r="E2898" t="s">
        <v>743</v>
      </c>
      <c r="F2898" s="35">
        <v>476</v>
      </c>
      <c r="G2898" s="39" t="s">
        <v>634</v>
      </c>
      <c r="H2898" s="40">
        <v>157327</v>
      </c>
      <c r="I2898" s="58">
        <v>1094141</v>
      </c>
      <c r="J2898">
        <f>IFERROR(VLOOKUP(G2898,'LEAID Match'!$A$2:$B$526,2,FALSE),"")</f>
        <v>2929250</v>
      </c>
      <c r="K2898" s="68">
        <f t="shared" si="91"/>
        <v>8</v>
      </c>
    </row>
    <row r="2899" spans="1:11" x14ac:dyDescent="0.2">
      <c r="A2899">
        <f t="shared" si="90"/>
        <v>2929250</v>
      </c>
      <c r="B2899">
        <v>2016</v>
      </c>
      <c r="C2899" t="s">
        <v>739</v>
      </c>
      <c r="D2899" t="s">
        <v>740</v>
      </c>
      <c r="E2899" t="s">
        <v>743</v>
      </c>
      <c r="F2899" s="34">
        <v>476</v>
      </c>
      <c r="G2899" s="34" t="s">
        <v>634</v>
      </c>
      <c r="H2899" s="36">
        <v>151954</v>
      </c>
      <c r="I2899" s="60">
        <v>1126412</v>
      </c>
      <c r="J2899">
        <f>IFERROR(VLOOKUP(G2899,'LEAID Match'!$A$2:$B$526,2,FALSE),"")</f>
        <v>2929250</v>
      </c>
      <c r="K2899" s="68">
        <f t="shared" si="91"/>
        <v>8</v>
      </c>
    </row>
    <row r="2900" spans="1:11" x14ac:dyDescent="0.2">
      <c r="A2900">
        <f t="shared" si="90"/>
        <v>2929250</v>
      </c>
      <c r="B2900">
        <v>2017</v>
      </c>
      <c r="C2900" t="s">
        <v>739</v>
      </c>
      <c r="D2900" t="s">
        <v>740</v>
      </c>
      <c r="E2900" t="s">
        <v>743</v>
      </c>
      <c r="F2900" s="34">
        <v>476</v>
      </c>
      <c r="G2900" s="34" t="s">
        <v>634</v>
      </c>
      <c r="H2900" s="36">
        <v>160058</v>
      </c>
      <c r="I2900" s="58">
        <v>1172812</v>
      </c>
      <c r="J2900">
        <f>IFERROR(VLOOKUP(G2900,'LEAID Match'!$A$2:$B$526,2,FALSE),"")</f>
        <v>2929250</v>
      </c>
      <c r="K2900" s="68">
        <f t="shared" si="91"/>
        <v>8</v>
      </c>
    </row>
    <row r="2901" spans="1:11" x14ac:dyDescent="0.2">
      <c r="A2901">
        <f t="shared" si="90"/>
        <v>2929250</v>
      </c>
      <c r="B2901">
        <v>2018</v>
      </c>
      <c r="C2901" t="s">
        <v>739</v>
      </c>
      <c r="D2901" t="s">
        <v>740</v>
      </c>
      <c r="E2901" t="s">
        <v>743</v>
      </c>
      <c r="F2901" s="34">
        <v>476</v>
      </c>
      <c r="G2901" s="34" t="s">
        <v>634</v>
      </c>
      <c r="H2901" s="36">
        <v>170016</v>
      </c>
      <c r="I2901" s="58">
        <v>1221349</v>
      </c>
      <c r="J2901">
        <f>IFERROR(VLOOKUP(G2901,'LEAID Match'!$A$2:$B$526,2,FALSE),"")</f>
        <v>2929250</v>
      </c>
      <c r="K2901" s="68">
        <f t="shared" si="91"/>
        <v>8</v>
      </c>
    </row>
    <row r="2902" spans="1:11" x14ac:dyDescent="0.2">
      <c r="A2902">
        <f t="shared" si="90"/>
        <v>2929250</v>
      </c>
      <c r="B2902">
        <v>2019</v>
      </c>
      <c r="C2902" t="s">
        <v>739</v>
      </c>
      <c r="D2902" t="s">
        <v>740</v>
      </c>
      <c r="E2902" t="s">
        <v>743</v>
      </c>
      <c r="F2902" s="34">
        <v>476</v>
      </c>
      <c r="G2902" s="34" t="s">
        <v>634</v>
      </c>
      <c r="H2902" s="36">
        <v>180127</v>
      </c>
      <c r="I2902" s="58">
        <v>1261162</v>
      </c>
      <c r="J2902">
        <f>IFERROR(VLOOKUP(G2902,'LEAID Match'!$A$2:$B$526,2,FALSE),"")</f>
        <v>2929250</v>
      </c>
      <c r="K2902" s="68">
        <f t="shared" si="91"/>
        <v>8</v>
      </c>
    </row>
    <row r="2903" spans="1:11" x14ac:dyDescent="0.2">
      <c r="A2903">
        <f t="shared" si="90"/>
        <v>2929250</v>
      </c>
      <c r="B2903">
        <v>2020</v>
      </c>
      <c r="C2903" t="s">
        <v>739</v>
      </c>
      <c r="D2903" t="s">
        <v>740</v>
      </c>
      <c r="E2903" t="s">
        <v>743</v>
      </c>
      <c r="F2903" s="34">
        <v>476</v>
      </c>
      <c r="G2903" s="34" t="s">
        <v>634</v>
      </c>
      <c r="H2903" s="36">
        <v>179641</v>
      </c>
      <c r="I2903" s="58">
        <v>1250069</v>
      </c>
      <c r="J2903">
        <f>IFERROR(VLOOKUP(G2903,'LEAID Match'!$A$2:$B$526,2,FALSE),"")</f>
        <v>2929250</v>
      </c>
      <c r="K2903" s="68">
        <f t="shared" si="91"/>
        <v>8</v>
      </c>
    </row>
    <row r="2904" spans="1:11" x14ac:dyDescent="0.2">
      <c r="A2904">
        <f t="shared" si="90"/>
        <v>2929250</v>
      </c>
      <c r="B2904">
        <v>2021</v>
      </c>
      <c r="C2904" t="s">
        <v>739</v>
      </c>
      <c r="D2904" t="s">
        <v>740</v>
      </c>
      <c r="E2904" t="s">
        <v>743</v>
      </c>
      <c r="F2904" s="34">
        <v>476</v>
      </c>
      <c r="G2904" s="34" t="s">
        <v>634</v>
      </c>
      <c r="H2904" s="36">
        <v>175728</v>
      </c>
      <c r="I2904" s="58">
        <v>1291297</v>
      </c>
      <c r="J2904">
        <f>IFERROR(VLOOKUP(G2904,'LEAID Match'!$A$2:$B$526,2,FALSE),"")</f>
        <v>2929250</v>
      </c>
      <c r="K2904" s="68">
        <f t="shared" si="91"/>
        <v>8</v>
      </c>
    </row>
    <row r="2905" spans="1:11" x14ac:dyDescent="0.2">
      <c r="A2905">
        <f t="shared" si="90"/>
        <v>2929250</v>
      </c>
      <c r="B2905">
        <v>2022</v>
      </c>
      <c r="C2905" t="s">
        <v>739</v>
      </c>
      <c r="D2905" t="s">
        <v>740</v>
      </c>
      <c r="E2905" t="s">
        <v>743</v>
      </c>
      <c r="F2905" s="34">
        <v>476</v>
      </c>
      <c r="G2905" s="34" t="s">
        <v>634</v>
      </c>
      <c r="H2905" s="36">
        <v>180037</v>
      </c>
      <c r="I2905" s="58">
        <v>1341880</v>
      </c>
      <c r="J2905">
        <f>IFERROR(VLOOKUP(G2905,'LEAID Match'!$A$2:$B$526,2,FALSE),"")</f>
        <v>2929250</v>
      </c>
      <c r="K2905" s="68">
        <f t="shared" si="91"/>
        <v>8</v>
      </c>
    </row>
    <row r="2906" spans="1:11" x14ac:dyDescent="0.2">
      <c r="A2906">
        <f t="shared" si="90"/>
        <v>2922140</v>
      </c>
      <c r="B2906">
        <v>2015</v>
      </c>
      <c r="C2906" t="s">
        <v>739</v>
      </c>
      <c r="D2906" t="s">
        <v>740</v>
      </c>
      <c r="E2906" t="s">
        <v>743</v>
      </c>
      <c r="F2906" s="35">
        <v>477</v>
      </c>
      <c r="G2906" s="39" t="s">
        <v>635</v>
      </c>
      <c r="H2906" s="40">
        <v>50052</v>
      </c>
      <c r="I2906" s="58">
        <v>297547</v>
      </c>
      <c r="J2906">
        <f>IFERROR(VLOOKUP(G2906,'LEAID Match'!$A$2:$B$526,2,FALSE),"")</f>
        <v>2922140</v>
      </c>
      <c r="K2906" s="68">
        <f t="shared" si="91"/>
        <v>8</v>
      </c>
    </row>
    <row r="2907" spans="1:11" x14ac:dyDescent="0.2">
      <c r="A2907">
        <f t="shared" si="90"/>
        <v>2922140</v>
      </c>
      <c r="B2907">
        <v>2016</v>
      </c>
      <c r="C2907" t="s">
        <v>739</v>
      </c>
      <c r="D2907" t="s">
        <v>740</v>
      </c>
      <c r="E2907" t="s">
        <v>743</v>
      </c>
      <c r="F2907" s="34">
        <v>477</v>
      </c>
      <c r="G2907" s="34" t="s">
        <v>635</v>
      </c>
      <c r="H2907" s="36">
        <v>48387</v>
      </c>
      <c r="I2907" s="60">
        <v>270397</v>
      </c>
      <c r="J2907">
        <f>IFERROR(VLOOKUP(G2907,'LEAID Match'!$A$2:$B$526,2,FALSE),"")</f>
        <v>2922140</v>
      </c>
      <c r="K2907" s="68">
        <f t="shared" si="91"/>
        <v>8</v>
      </c>
    </row>
    <row r="2908" spans="1:11" x14ac:dyDescent="0.2">
      <c r="A2908">
        <f t="shared" si="90"/>
        <v>2922140</v>
      </c>
      <c r="B2908">
        <v>2017</v>
      </c>
      <c r="C2908" t="s">
        <v>739</v>
      </c>
      <c r="D2908" t="s">
        <v>740</v>
      </c>
      <c r="E2908" t="s">
        <v>743</v>
      </c>
      <c r="F2908" s="34">
        <v>477</v>
      </c>
      <c r="G2908" s="34" t="s">
        <v>635</v>
      </c>
      <c r="H2908" s="36">
        <v>52958</v>
      </c>
      <c r="I2908" s="58">
        <v>271107</v>
      </c>
      <c r="J2908">
        <f>IFERROR(VLOOKUP(G2908,'LEAID Match'!$A$2:$B$526,2,FALSE),"")</f>
        <v>2922140</v>
      </c>
      <c r="K2908" s="68">
        <f t="shared" si="91"/>
        <v>8</v>
      </c>
    </row>
    <row r="2909" spans="1:11" x14ac:dyDescent="0.2">
      <c r="A2909">
        <f t="shared" si="90"/>
        <v>2922140</v>
      </c>
      <c r="B2909">
        <v>2018</v>
      </c>
      <c r="C2909" t="s">
        <v>739</v>
      </c>
      <c r="D2909" t="s">
        <v>740</v>
      </c>
      <c r="E2909" t="s">
        <v>743</v>
      </c>
      <c r="F2909" s="34">
        <v>477</v>
      </c>
      <c r="G2909" s="34" t="s">
        <v>635</v>
      </c>
      <c r="H2909" s="36">
        <v>47967</v>
      </c>
      <c r="I2909" s="58">
        <v>280055</v>
      </c>
      <c r="J2909">
        <f>IFERROR(VLOOKUP(G2909,'LEAID Match'!$A$2:$B$526,2,FALSE),"")</f>
        <v>2922140</v>
      </c>
      <c r="K2909" s="68">
        <f t="shared" si="91"/>
        <v>8</v>
      </c>
    </row>
    <row r="2910" spans="1:11" x14ac:dyDescent="0.2">
      <c r="A2910">
        <f t="shared" si="90"/>
        <v>2922140</v>
      </c>
      <c r="B2910">
        <v>2019</v>
      </c>
      <c r="C2910" t="s">
        <v>739</v>
      </c>
      <c r="D2910" t="s">
        <v>740</v>
      </c>
      <c r="E2910" t="s">
        <v>743</v>
      </c>
      <c r="F2910" s="34">
        <v>477</v>
      </c>
      <c r="G2910" s="34" t="s">
        <v>635</v>
      </c>
      <c r="H2910" s="36">
        <v>52451</v>
      </c>
      <c r="I2910" s="58">
        <v>271065</v>
      </c>
      <c r="J2910">
        <f>IFERROR(VLOOKUP(G2910,'LEAID Match'!$A$2:$B$526,2,FALSE),"")</f>
        <v>2922140</v>
      </c>
      <c r="K2910" s="68">
        <f t="shared" si="91"/>
        <v>8</v>
      </c>
    </row>
    <row r="2911" spans="1:11" x14ac:dyDescent="0.2">
      <c r="A2911">
        <f t="shared" si="90"/>
        <v>2922140</v>
      </c>
      <c r="B2911">
        <v>2020</v>
      </c>
      <c r="C2911" t="s">
        <v>739</v>
      </c>
      <c r="D2911" t="s">
        <v>740</v>
      </c>
      <c r="E2911" t="s">
        <v>743</v>
      </c>
      <c r="F2911" s="34">
        <v>477</v>
      </c>
      <c r="G2911" s="34" t="s">
        <v>635</v>
      </c>
      <c r="H2911" s="36">
        <v>53126</v>
      </c>
      <c r="I2911" s="58">
        <v>288429</v>
      </c>
      <c r="J2911">
        <f>IFERROR(VLOOKUP(G2911,'LEAID Match'!$A$2:$B$526,2,FALSE),"")</f>
        <v>2922140</v>
      </c>
      <c r="K2911" s="68">
        <f t="shared" si="91"/>
        <v>8</v>
      </c>
    </row>
    <row r="2912" spans="1:11" x14ac:dyDescent="0.2">
      <c r="A2912">
        <f t="shared" si="90"/>
        <v>2922140</v>
      </c>
      <c r="B2912">
        <v>2021</v>
      </c>
      <c r="C2912" t="s">
        <v>739</v>
      </c>
      <c r="D2912" t="s">
        <v>740</v>
      </c>
      <c r="E2912" t="s">
        <v>743</v>
      </c>
      <c r="F2912" s="34">
        <v>477</v>
      </c>
      <c r="G2912" s="34" t="s">
        <v>635</v>
      </c>
      <c r="H2912" s="36">
        <v>54114</v>
      </c>
      <c r="I2912" s="58">
        <v>303587</v>
      </c>
      <c r="J2912">
        <f>IFERROR(VLOOKUP(G2912,'LEAID Match'!$A$2:$B$526,2,FALSE),"")</f>
        <v>2922140</v>
      </c>
      <c r="K2912" s="68">
        <f t="shared" si="91"/>
        <v>8</v>
      </c>
    </row>
    <row r="2913" spans="1:11" x14ac:dyDescent="0.2">
      <c r="A2913">
        <f t="shared" si="90"/>
        <v>2922140</v>
      </c>
      <c r="B2913">
        <v>2022</v>
      </c>
      <c r="C2913" t="s">
        <v>739</v>
      </c>
      <c r="D2913" t="s">
        <v>740</v>
      </c>
      <c r="E2913" t="s">
        <v>743</v>
      </c>
      <c r="F2913" s="34">
        <v>477</v>
      </c>
      <c r="G2913" s="34" t="s">
        <v>635</v>
      </c>
      <c r="H2913" s="36">
        <v>64660</v>
      </c>
      <c r="I2913" s="58">
        <v>270423</v>
      </c>
      <c r="J2913">
        <f>IFERROR(VLOOKUP(G2913,'LEAID Match'!$A$2:$B$526,2,FALSE),"")</f>
        <v>2922140</v>
      </c>
      <c r="K2913" s="68">
        <f t="shared" si="91"/>
        <v>8</v>
      </c>
    </row>
    <row r="2914" spans="1:11" x14ac:dyDescent="0.2">
      <c r="A2914">
        <f t="shared" si="90"/>
        <v>2925080</v>
      </c>
      <c r="B2914">
        <v>2015</v>
      </c>
      <c r="C2914" t="s">
        <v>739</v>
      </c>
      <c r="D2914" t="s">
        <v>740</v>
      </c>
      <c r="E2914" t="s">
        <v>743</v>
      </c>
      <c r="F2914" s="35">
        <v>478</v>
      </c>
      <c r="G2914" s="39" t="s">
        <v>636</v>
      </c>
      <c r="H2914" s="40">
        <v>24536</v>
      </c>
      <c r="I2914" s="58">
        <v>135240</v>
      </c>
      <c r="J2914">
        <f>IFERROR(VLOOKUP(G2914,'LEAID Match'!$A$2:$B$526,2,FALSE),"")</f>
        <v>2925080</v>
      </c>
      <c r="K2914" s="68">
        <f t="shared" si="91"/>
        <v>8</v>
      </c>
    </row>
    <row r="2915" spans="1:11" x14ac:dyDescent="0.2">
      <c r="A2915">
        <f t="shared" si="90"/>
        <v>2925080</v>
      </c>
      <c r="B2915">
        <v>2016</v>
      </c>
      <c r="C2915" t="s">
        <v>739</v>
      </c>
      <c r="D2915" t="s">
        <v>740</v>
      </c>
      <c r="E2915" t="s">
        <v>743</v>
      </c>
      <c r="F2915" s="34">
        <v>478</v>
      </c>
      <c r="G2915" s="34" t="s">
        <v>636</v>
      </c>
      <c r="H2915" s="36">
        <v>27764</v>
      </c>
      <c r="I2915" s="60">
        <v>125025</v>
      </c>
      <c r="J2915">
        <f>IFERROR(VLOOKUP(G2915,'LEAID Match'!$A$2:$B$526,2,FALSE),"")</f>
        <v>2925080</v>
      </c>
      <c r="K2915" s="68">
        <f t="shared" si="91"/>
        <v>8</v>
      </c>
    </row>
    <row r="2916" spans="1:11" x14ac:dyDescent="0.2">
      <c r="A2916">
        <f t="shared" si="90"/>
        <v>2925080</v>
      </c>
      <c r="B2916">
        <v>2017</v>
      </c>
      <c r="C2916" t="s">
        <v>739</v>
      </c>
      <c r="D2916" t="s">
        <v>740</v>
      </c>
      <c r="E2916" t="s">
        <v>743</v>
      </c>
      <c r="F2916" s="34">
        <v>478</v>
      </c>
      <c r="G2916" s="34" t="s">
        <v>636</v>
      </c>
      <c r="H2916" s="36">
        <v>32538</v>
      </c>
      <c r="I2916" s="58">
        <v>128745</v>
      </c>
      <c r="J2916">
        <f>IFERROR(VLOOKUP(G2916,'LEAID Match'!$A$2:$B$526,2,FALSE),"")</f>
        <v>2925080</v>
      </c>
      <c r="K2916" s="68">
        <f t="shared" si="91"/>
        <v>8</v>
      </c>
    </row>
    <row r="2917" spans="1:11" x14ac:dyDescent="0.2">
      <c r="A2917">
        <f t="shared" si="90"/>
        <v>2925080</v>
      </c>
      <c r="B2917">
        <v>2018</v>
      </c>
      <c r="C2917" t="s">
        <v>739</v>
      </c>
      <c r="D2917" t="s">
        <v>740</v>
      </c>
      <c r="E2917" t="s">
        <v>743</v>
      </c>
      <c r="F2917" s="34">
        <v>478</v>
      </c>
      <c r="G2917" s="34" t="s">
        <v>636</v>
      </c>
      <c r="H2917" s="36">
        <v>33660</v>
      </c>
      <c r="I2917" s="58">
        <v>127219</v>
      </c>
      <c r="J2917">
        <f>IFERROR(VLOOKUP(G2917,'LEAID Match'!$A$2:$B$526,2,FALSE),"")</f>
        <v>2925080</v>
      </c>
      <c r="K2917" s="68">
        <f t="shared" si="91"/>
        <v>8</v>
      </c>
    </row>
    <row r="2918" spans="1:11" x14ac:dyDescent="0.2">
      <c r="A2918">
        <f t="shared" si="90"/>
        <v>2925080</v>
      </c>
      <c r="B2918">
        <v>2019</v>
      </c>
      <c r="C2918" t="s">
        <v>739</v>
      </c>
      <c r="D2918" t="s">
        <v>740</v>
      </c>
      <c r="E2918" t="s">
        <v>743</v>
      </c>
      <c r="F2918" s="34">
        <v>478</v>
      </c>
      <c r="G2918" s="34" t="s">
        <v>636</v>
      </c>
      <c r="H2918" s="36">
        <v>29740</v>
      </c>
      <c r="I2918" s="58">
        <v>129364</v>
      </c>
      <c r="J2918">
        <f>IFERROR(VLOOKUP(G2918,'LEAID Match'!$A$2:$B$526,2,FALSE),"")</f>
        <v>2925080</v>
      </c>
      <c r="K2918" s="68">
        <f t="shared" si="91"/>
        <v>8</v>
      </c>
    </row>
    <row r="2919" spans="1:11" x14ac:dyDescent="0.2">
      <c r="A2919">
        <f t="shared" si="90"/>
        <v>2925080</v>
      </c>
      <c r="B2919">
        <v>2020</v>
      </c>
      <c r="C2919" t="s">
        <v>739</v>
      </c>
      <c r="D2919" t="s">
        <v>740</v>
      </c>
      <c r="E2919" t="s">
        <v>743</v>
      </c>
      <c r="F2919" s="34">
        <v>478</v>
      </c>
      <c r="G2919" s="34" t="s">
        <v>636</v>
      </c>
      <c r="H2919" s="36">
        <v>29753</v>
      </c>
      <c r="I2919" s="58">
        <v>131917</v>
      </c>
      <c r="J2919">
        <f>IFERROR(VLOOKUP(G2919,'LEAID Match'!$A$2:$B$526,2,FALSE),"")</f>
        <v>2925080</v>
      </c>
      <c r="K2919" s="68">
        <f t="shared" si="91"/>
        <v>8</v>
      </c>
    </row>
    <row r="2920" spans="1:11" x14ac:dyDescent="0.2">
      <c r="A2920">
        <f t="shared" si="90"/>
        <v>2925080</v>
      </c>
      <c r="B2920">
        <v>2021</v>
      </c>
      <c r="C2920" t="s">
        <v>739</v>
      </c>
      <c r="D2920" t="s">
        <v>740</v>
      </c>
      <c r="E2920" t="s">
        <v>743</v>
      </c>
      <c r="F2920" s="34">
        <v>478</v>
      </c>
      <c r="G2920" s="34" t="s">
        <v>636</v>
      </c>
      <c r="H2920" s="36">
        <v>29261</v>
      </c>
      <c r="I2920" s="58">
        <v>133382</v>
      </c>
      <c r="J2920">
        <f>IFERROR(VLOOKUP(G2920,'LEAID Match'!$A$2:$B$526,2,FALSE),"")</f>
        <v>2925080</v>
      </c>
      <c r="K2920" s="68">
        <f t="shared" si="91"/>
        <v>8</v>
      </c>
    </row>
    <row r="2921" spans="1:11" x14ac:dyDescent="0.2">
      <c r="A2921">
        <f t="shared" si="90"/>
        <v>2925080</v>
      </c>
      <c r="B2921">
        <v>2022</v>
      </c>
      <c r="C2921" t="s">
        <v>739</v>
      </c>
      <c r="D2921" t="s">
        <v>740</v>
      </c>
      <c r="E2921" t="s">
        <v>743</v>
      </c>
      <c r="F2921" s="34">
        <v>478</v>
      </c>
      <c r="G2921" s="34" t="s">
        <v>636</v>
      </c>
      <c r="H2921" s="36">
        <v>30199</v>
      </c>
      <c r="I2921" s="58">
        <v>138209</v>
      </c>
      <c r="J2921">
        <f>IFERROR(VLOOKUP(G2921,'LEAID Match'!$A$2:$B$526,2,FALSE),"")</f>
        <v>2925080</v>
      </c>
      <c r="K2921" s="68">
        <f t="shared" si="91"/>
        <v>8</v>
      </c>
    </row>
    <row r="2922" spans="1:11" x14ac:dyDescent="0.2">
      <c r="A2922">
        <f t="shared" si="90"/>
        <v>2926890</v>
      </c>
      <c r="B2922">
        <v>2015</v>
      </c>
      <c r="C2922" t="s">
        <v>739</v>
      </c>
      <c r="D2922" t="s">
        <v>740</v>
      </c>
      <c r="E2922" t="s">
        <v>743</v>
      </c>
      <c r="F2922" s="35">
        <v>479</v>
      </c>
      <c r="G2922" s="39" t="s">
        <v>637</v>
      </c>
      <c r="H2922" s="40">
        <v>403184</v>
      </c>
      <c r="I2922" s="58">
        <v>2911936</v>
      </c>
      <c r="J2922">
        <f>IFERROR(VLOOKUP(G2922,'LEAID Match'!$A$2:$B$526,2,FALSE),"")</f>
        <v>2926890</v>
      </c>
      <c r="K2922" s="68">
        <f t="shared" si="91"/>
        <v>8</v>
      </c>
    </row>
    <row r="2923" spans="1:11" x14ac:dyDescent="0.2">
      <c r="A2923">
        <f t="shared" si="90"/>
        <v>2926890</v>
      </c>
      <c r="B2923">
        <v>2016</v>
      </c>
      <c r="C2923" t="s">
        <v>739</v>
      </c>
      <c r="D2923" t="s">
        <v>740</v>
      </c>
      <c r="E2923" t="s">
        <v>743</v>
      </c>
      <c r="F2923" s="34">
        <v>479</v>
      </c>
      <c r="G2923" s="34" t="s">
        <v>637</v>
      </c>
      <c r="H2923" s="36">
        <v>396443</v>
      </c>
      <c r="I2923" s="60">
        <v>2955156</v>
      </c>
      <c r="J2923">
        <f>IFERROR(VLOOKUP(G2923,'LEAID Match'!$A$2:$B$526,2,FALSE),"")</f>
        <v>2926890</v>
      </c>
      <c r="K2923" s="68">
        <f t="shared" si="91"/>
        <v>8</v>
      </c>
    </row>
    <row r="2924" spans="1:11" x14ac:dyDescent="0.2">
      <c r="A2924">
        <f t="shared" si="90"/>
        <v>2926890</v>
      </c>
      <c r="B2924">
        <v>2017</v>
      </c>
      <c r="C2924" t="s">
        <v>739</v>
      </c>
      <c r="D2924" t="s">
        <v>740</v>
      </c>
      <c r="E2924" t="s">
        <v>743</v>
      </c>
      <c r="F2924" s="34">
        <v>479</v>
      </c>
      <c r="G2924" s="34" t="s">
        <v>637</v>
      </c>
      <c r="H2924" s="36">
        <v>407826</v>
      </c>
      <c r="I2924" s="58">
        <v>3004027</v>
      </c>
      <c r="J2924">
        <f>IFERROR(VLOOKUP(G2924,'LEAID Match'!$A$2:$B$526,2,FALSE),"")</f>
        <v>2926890</v>
      </c>
      <c r="K2924" s="68">
        <f t="shared" si="91"/>
        <v>8</v>
      </c>
    </row>
    <row r="2925" spans="1:11" x14ac:dyDescent="0.2">
      <c r="A2925">
        <f t="shared" si="90"/>
        <v>2926890</v>
      </c>
      <c r="B2925">
        <v>2018</v>
      </c>
      <c r="C2925" t="s">
        <v>739</v>
      </c>
      <c r="D2925" t="s">
        <v>740</v>
      </c>
      <c r="E2925" t="s">
        <v>743</v>
      </c>
      <c r="F2925" s="34">
        <v>479</v>
      </c>
      <c r="G2925" s="34" t="s">
        <v>637</v>
      </c>
      <c r="H2925" s="36">
        <v>436519</v>
      </c>
      <c r="I2925" s="58">
        <v>3166848</v>
      </c>
      <c r="J2925">
        <f>IFERROR(VLOOKUP(G2925,'LEAID Match'!$A$2:$B$526,2,FALSE),"")</f>
        <v>2926890</v>
      </c>
      <c r="K2925" s="68">
        <f t="shared" si="91"/>
        <v>8</v>
      </c>
    </row>
    <row r="2926" spans="1:11" x14ac:dyDescent="0.2">
      <c r="A2926">
        <f t="shared" si="90"/>
        <v>2926890</v>
      </c>
      <c r="B2926">
        <v>2019</v>
      </c>
      <c r="C2926" t="s">
        <v>739</v>
      </c>
      <c r="D2926" t="s">
        <v>740</v>
      </c>
      <c r="E2926" t="s">
        <v>743</v>
      </c>
      <c r="F2926" s="34">
        <v>479</v>
      </c>
      <c r="G2926" s="34" t="s">
        <v>637</v>
      </c>
      <c r="H2926" s="36">
        <v>448652</v>
      </c>
      <c r="I2926" s="58">
        <v>3243078</v>
      </c>
      <c r="J2926">
        <f>IFERROR(VLOOKUP(G2926,'LEAID Match'!$A$2:$B$526,2,FALSE),"")</f>
        <v>2926890</v>
      </c>
      <c r="K2926" s="68">
        <f t="shared" si="91"/>
        <v>8</v>
      </c>
    </row>
    <row r="2927" spans="1:11" x14ac:dyDescent="0.2">
      <c r="A2927">
        <f t="shared" si="90"/>
        <v>2926890</v>
      </c>
      <c r="B2927">
        <v>2020</v>
      </c>
      <c r="C2927" t="s">
        <v>739</v>
      </c>
      <c r="D2927" t="s">
        <v>740</v>
      </c>
      <c r="E2927" t="s">
        <v>743</v>
      </c>
      <c r="F2927" s="34">
        <v>479</v>
      </c>
      <c r="G2927" s="34" t="s">
        <v>637</v>
      </c>
      <c r="H2927" s="36">
        <v>466531</v>
      </c>
      <c r="I2927" s="58">
        <v>3301241</v>
      </c>
      <c r="J2927">
        <f>IFERROR(VLOOKUP(G2927,'LEAID Match'!$A$2:$B$526,2,FALSE),"")</f>
        <v>2926890</v>
      </c>
      <c r="K2927" s="68">
        <f t="shared" si="91"/>
        <v>8</v>
      </c>
    </row>
    <row r="2928" spans="1:11" x14ac:dyDescent="0.2">
      <c r="A2928">
        <f t="shared" si="90"/>
        <v>2926890</v>
      </c>
      <c r="B2928">
        <v>2021</v>
      </c>
      <c r="C2928" t="s">
        <v>739</v>
      </c>
      <c r="D2928" t="s">
        <v>740</v>
      </c>
      <c r="E2928" t="s">
        <v>743</v>
      </c>
      <c r="F2928" s="34">
        <v>479</v>
      </c>
      <c r="G2928" s="34" t="s">
        <v>637</v>
      </c>
      <c r="H2928" s="36">
        <v>473221</v>
      </c>
      <c r="I2928" s="58">
        <v>3412204</v>
      </c>
      <c r="J2928">
        <f>IFERROR(VLOOKUP(G2928,'LEAID Match'!$A$2:$B$526,2,FALSE),"")</f>
        <v>2926890</v>
      </c>
      <c r="K2928" s="68">
        <f t="shared" si="91"/>
        <v>8</v>
      </c>
    </row>
    <row r="2929" spans="1:11" x14ac:dyDescent="0.2">
      <c r="A2929">
        <f t="shared" si="90"/>
        <v>2926890</v>
      </c>
      <c r="B2929">
        <v>2022</v>
      </c>
      <c r="C2929" t="s">
        <v>739</v>
      </c>
      <c r="D2929" t="s">
        <v>740</v>
      </c>
      <c r="E2929" t="s">
        <v>743</v>
      </c>
      <c r="F2929" s="34">
        <v>479</v>
      </c>
      <c r="G2929" s="34" t="s">
        <v>637</v>
      </c>
      <c r="H2929" s="36">
        <v>501181</v>
      </c>
      <c r="I2929" s="58">
        <v>3489766</v>
      </c>
      <c r="J2929">
        <f>IFERROR(VLOOKUP(G2929,'LEAID Match'!$A$2:$B$526,2,FALSE),"")</f>
        <v>2926890</v>
      </c>
      <c r="K2929" s="68">
        <f t="shared" si="91"/>
        <v>8</v>
      </c>
    </row>
    <row r="2930" spans="1:11" x14ac:dyDescent="0.2">
      <c r="A2930">
        <f t="shared" si="90"/>
        <v>2905660</v>
      </c>
      <c r="B2930">
        <v>2015</v>
      </c>
      <c r="C2930" t="s">
        <v>739</v>
      </c>
      <c r="D2930" t="s">
        <v>740</v>
      </c>
      <c r="E2930" t="s">
        <v>743</v>
      </c>
      <c r="F2930" s="35">
        <v>485</v>
      </c>
      <c r="G2930" s="34" t="s">
        <v>638</v>
      </c>
      <c r="H2930" s="40">
        <v>108232</v>
      </c>
      <c r="I2930" s="58">
        <v>749328</v>
      </c>
      <c r="J2930">
        <f>IFERROR(VLOOKUP(G2930,'LEAID Match'!$A$2:$B$526,2,FALSE),"")</f>
        <v>2905660</v>
      </c>
      <c r="K2930" s="68">
        <f t="shared" si="91"/>
        <v>8</v>
      </c>
    </row>
    <row r="2931" spans="1:11" x14ac:dyDescent="0.2">
      <c r="A2931">
        <f t="shared" si="90"/>
        <v>2905660</v>
      </c>
      <c r="B2931">
        <v>2016</v>
      </c>
      <c r="C2931" t="s">
        <v>739</v>
      </c>
      <c r="D2931" t="s">
        <v>740</v>
      </c>
      <c r="E2931" t="s">
        <v>743</v>
      </c>
      <c r="F2931" s="34">
        <v>485</v>
      </c>
      <c r="G2931" s="34" t="s">
        <v>638</v>
      </c>
      <c r="H2931" s="36">
        <v>105265</v>
      </c>
      <c r="I2931" s="60">
        <v>741982</v>
      </c>
      <c r="J2931">
        <f>IFERROR(VLOOKUP(G2931,'LEAID Match'!$A$2:$B$526,2,FALSE),"")</f>
        <v>2905660</v>
      </c>
      <c r="K2931" s="68">
        <f t="shared" si="91"/>
        <v>8</v>
      </c>
    </row>
    <row r="2932" spans="1:11" x14ac:dyDescent="0.2">
      <c r="A2932">
        <f t="shared" si="90"/>
        <v>2905660</v>
      </c>
      <c r="B2932">
        <v>2017</v>
      </c>
      <c r="C2932" t="s">
        <v>739</v>
      </c>
      <c r="D2932" t="s">
        <v>740</v>
      </c>
      <c r="E2932" t="s">
        <v>743</v>
      </c>
      <c r="F2932" s="34">
        <v>485</v>
      </c>
      <c r="G2932" s="34" t="s">
        <v>638</v>
      </c>
      <c r="H2932" s="36">
        <v>97744</v>
      </c>
      <c r="I2932" s="58">
        <v>775949</v>
      </c>
      <c r="J2932">
        <f>IFERROR(VLOOKUP(G2932,'LEAID Match'!$A$2:$B$526,2,FALSE),"")</f>
        <v>2905660</v>
      </c>
      <c r="K2932" s="68">
        <f t="shared" si="91"/>
        <v>8</v>
      </c>
    </row>
    <row r="2933" spans="1:11" x14ac:dyDescent="0.2">
      <c r="A2933">
        <f t="shared" si="90"/>
        <v>2905660</v>
      </c>
      <c r="B2933">
        <v>2018</v>
      </c>
      <c r="C2933" t="s">
        <v>739</v>
      </c>
      <c r="D2933" t="s">
        <v>740</v>
      </c>
      <c r="E2933" t="s">
        <v>743</v>
      </c>
      <c r="F2933" s="34">
        <v>485</v>
      </c>
      <c r="G2933" s="34" t="s">
        <v>638</v>
      </c>
      <c r="H2933" s="36">
        <v>103511</v>
      </c>
      <c r="I2933" s="58">
        <v>813747</v>
      </c>
      <c r="J2933">
        <f>IFERROR(VLOOKUP(G2933,'LEAID Match'!$A$2:$B$526,2,FALSE),"")</f>
        <v>2905660</v>
      </c>
      <c r="K2933" s="68">
        <f t="shared" si="91"/>
        <v>8</v>
      </c>
    </row>
    <row r="2934" spans="1:11" x14ac:dyDescent="0.2">
      <c r="A2934">
        <f t="shared" si="90"/>
        <v>2905660</v>
      </c>
      <c r="B2934">
        <v>2019</v>
      </c>
      <c r="C2934" t="s">
        <v>739</v>
      </c>
      <c r="D2934" t="s">
        <v>740</v>
      </c>
      <c r="E2934" t="s">
        <v>743</v>
      </c>
      <c r="F2934" s="34">
        <v>485</v>
      </c>
      <c r="G2934" s="34" t="s">
        <v>638</v>
      </c>
      <c r="H2934" s="36">
        <v>116166</v>
      </c>
      <c r="I2934" s="58">
        <v>867889</v>
      </c>
      <c r="J2934">
        <f>IFERROR(VLOOKUP(G2934,'LEAID Match'!$A$2:$B$526,2,FALSE),"")</f>
        <v>2905660</v>
      </c>
      <c r="K2934" s="68">
        <f t="shared" si="91"/>
        <v>8</v>
      </c>
    </row>
    <row r="2935" spans="1:11" x14ac:dyDescent="0.2">
      <c r="A2935">
        <f t="shared" si="90"/>
        <v>2905660</v>
      </c>
      <c r="B2935">
        <v>2020</v>
      </c>
      <c r="C2935" t="s">
        <v>739</v>
      </c>
      <c r="D2935" t="s">
        <v>740</v>
      </c>
      <c r="E2935" t="s">
        <v>743</v>
      </c>
      <c r="F2935" s="34">
        <v>485</v>
      </c>
      <c r="G2935" s="34" t="s">
        <v>638</v>
      </c>
      <c r="H2935" s="36">
        <v>115362</v>
      </c>
      <c r="I2935" s="58">
        <v>889776</v>
      </c>
      <c r="J2935">
        <f>IFERROR(VLOOKUP(G2935,'LEAID Match'!$A$2:$B$526,2,FALSE),"")</f>
        <v>2905660</v>
      </c>
      <c r="K2935" s="68">
        <f t="shared" si="91"/>
        <v>8</v>
      </c>
    </row>
    <row r="2936" spans="1:11" x14ac:dyDescent="0.2">
      <c r="A2936">
        <f t="shared" si="90"/>
        <v>2905660</v>
      </c>
      <c r="B2936">
        <v>2021</v>
      </c>
      <c r="C2936" t="s">
        <v>739</v>
      </c>
      <c r="D2936" t="s">
        <v>740</v>
      </c>
      <c r="E2936" t="s">
        <v>743</v>
      </c>
      <c r="F2936" s="34">
        <v>485</v>
      </c>
      <c r="G2936" s="34" t="s">
        <v>638</v>
      </c>
      <c r="H2936" s="36">
        <v>134073</v>
      </c>
      <c r="I2936" s="58">
        <v>990255</v>
      </c>
      <c r="J2936">
        <f>IFERROR(VLOOKUP(G2936,'LEAID Match'!$A$2:$B$526,2,FALSE),"")</f>
        <v>2905660</v>
      </c>
      <c r="K2936" s="68">
        <f t="shared" si="91"/>
        <v>8</v>
      </c>
    </row>
    <row r="2937" spans="1:11" x14ac:dyDescent="0.2">
      <c r="A2937">
        <f t="shared" si="90"/>
        <v>2905660</v>
      </c>
      <c r="B2937">
        <v>2022</v>
      </c>
      <c r="C2937" t="s">
        <v>739</v>
      </c>
      <c r="D2937" t="s">
        <v>740</v>
      </c>
      <c r="E2937" t="s">
        <v>743</v>
      </c>
      <c r="F2937" s="34">
        <v>485</v>
      </c>
      <c r="G2937" s="34" t="s">
        <v>638</v>
      </c>
      <c r="H2937" s="36">
        <v>150362</v>
      </c>
      <c r="I2937" s="58">
        <v>1010329</v>
      </c>
      <c r="J2937">
        <f>IFERROR(VLOOKUP(G2937,'LEAID Match'!$A$2:$B$526,2,FALSE),"")</f>
        <v>2905660</v>
      </c>
      <c r="K2937" s="68">
        <f t="shared" si="91"/>
        <v>8</v>
      </c>
    </row>
    <row r="2938" spans="1:11" x14ac:dyDescent="0.2">
      <c r="A2938">
        <f t="shared" si="90"/>
        <v>2919260</v>
      </c>
      <c r="B2938">
        <v>2015</v>
      </c>
      <c r="C2938" t="s">
        <v>739</v>
      </c>
      <c r="D2938" t="s">
        <v>740</v>
      </c>
      <c r="E2938" t="s">
        <v>743</v>
      </c>
      <c r="F2938" s="35">
        <v>486</v>
      </c>
      <c r="G2938" s="39" t="s">
        <v>639</v>
      </c>
      <c r="H2938" s="40">
        <v>70770</v>
      </c>
      <c r="I2938" s="58">
        <v>464843</v>
      </c>
      <c r="J2938">
        <f>IFERROR(VLOOKUP(G2938,'LEAID Match'!$A$2:$B$526,2,FALSE),"")</f>
        <v>2919260</v>
      </c>
      <c r="K2938" s="68">
        <f t="shared" si="91"/>
        <v>8</v>
      </c>
    </row>
    <row r="2939" spans="1:11" x14ac:dyDescent="0.2">
      <c r="A2939">
        <f t="shared" si="90"/>
        <v>2919260</v>
      </c>
      <c r="B2939">
        <v>2016</v>
      </c>
      <c r="C2939" t="s">
        <v>739</v>
      </c>
      <c r="D2939" t="s">
        <v>740</v>
      </c>
      <c r="E2939" t="s">
        <v>743</v>
      </c>
      <c r="F2939" s="34">
        <v>486</v>
      </c>
      <c r="G2939" s="34" t="s">
        <v>639</v>
      </c>
      <c r="H2939" s="36">
        <v>73264</v>
      </c>
      <c r="I2939" s="60">
        <v>493956</v>
      </c>
      <c r="J2939">
        <f>IFERROR(VLOOKUP(G2939,'LEAID Match'!$A$2:$B$526,2,FALSE),"")</f>
        <v>2919260</v>
      </c>
      <c r="K2939" s="68">
        <f t="shared" si="91"/>
        <v>8</v>
      </c>
    </row>
    <row r="2940" spans="1:11" x14ac:dyDescent="0.2">
      <c r="A2940">
        <f t="shared" si="90"/>
        <v>2919260</v>
      </c>
      <c r="B2940">
        <v>2017</v>
      </c>
      <c r="C2940" t="s">
        <v>739</v>
      </c>
      <c r="D2940" t="s">
        <v>740</v>
      </c>
      <c r="E2940" t="s">
        <v>743</v>
      </c>
      <c r="F2940" s="34">
        <v>486</v>
      </c>
      <c r="G2940" s="34" t="s">
        <v>639</v>
      </c>
      <c r="H2940" s="36">
        <v>80680</v>
      </c>
      <c r="I2940" s="58">
        <v>506579</v>
      </c>
      <c r="J2940">
        <f>IFERROR(VLOOKUP(G2940,'LEAID Match'!$A$2:$B$526,2,FALSE),"")</f>
        <v>2919260</v>
      </c>
      <c r="K2940" s="68">
        <f t="shared" si="91"/>
        <v>8</v>
      </c>
    </row>
    <row r="2941" spans="1:11" x14ac:dyDescent="0.2">
      <c r="A2941">
        <f t="shared" si="90"/>
        <v>2919260</v>
      </c>
      <c r="B2941">
        <v>2018</v>
      </c>
      <c r="C2941" t="s">
        <v>739</v>
      </c>
      <c r="D2941" t="s">
        <v>740</v>
      </c>
      <c r="E2941" t="s">
        <v>743</v>
      </c>
      <c r="F2941" s="34">
        <v>486</v>
      </c>
      <c r="G2941" s="34" t="s">
        <v>639</v>
      </c>
      <c r="H2941" s="36">
        <v>84270</v>
      </c>
      <c r="I2941" s="58">
        <v>515126</v>
      </c>
      <c r="J2941">
        <f>IFERROR(VLOOKUP(G2941,'LEAID Match'!$A$2:$B$526,2,FALSE),"")</f>
        <v>2919260</v>
      </c>
      <c r="K2941" s="68">
        <f t="shared" si="91"/>
        <v>8</v>
      </c>
    </row>
    <row r="2942" spans="1:11" x14ac:dyDescent="0.2">
      <c r="A2942">
        <f t="shared" si="90"/>
        <v>2919260</v>
      </c>
      <c r="B2942">
        <v>2019</v>
      </c>
      <c r="C2942" t="s">
        <v>739</v>
      </c>
      <c r="D2942" t="s">
        <v>740</v>
      </c>
      <c r="E2942" t="s">
        <v>743</v>
      </c>
      <c r="F2942" s="34">
        <v>486</v>
      </c>
      <c r="G2942" s="34" t="s">
        <v>639</v>
      </c>
      <c r="H2942" s="36">
        <v>85813</v>
      </c>
      <c r="I2942" s="58">
        <v>541365</v>
      </c>
      <c r="J2942">
        <f>IFERROR(VLOOKUP(G2942,'LEAID Match'!$A$2:$B$526,2,FALSE),"")</f>
        <v>2919260</v>
      </c>
      <c r="K2942" s="68">
        <f t="shared" si="91"/>
        <v>8</v>
      </c>
    </row>
    <row r="2943" spans="1:11" x14ac:dyDescent="0.2">
      <c r="A2943">
        <f t="shared" si="90"/>
        <v>2919260</v>
      </c>
      <c r="B2943">
        <v>2020</v>
      </c>
      <c r="C2943" t="s">
        <v>739</v>
      </c>
      <c r="D2943" t="s">
        <v>740</v>
      </c>
      <c r="E2943" t="s">
        <v>743</v>
      </c>
      <c r="F2943" s="34">
        <v>486</v>
      </c>
      <c r="G2943" s="34" t="s">
        <v>639</v>
      </c>
      <c r="H2943" s="36">
        <v>85944</v>
      </c>
      <c r="I2943" s="58">
        <v>561522</v>
      </c>
      <c r="J2943">
        <f>IFERROR(VLOOKUP(G2943,'LEAID Match'!$A$2:$B$526,2,FALSE),"")</f>
        <v>2919260</v>
      </c>
      <c r="K2943" s="68">
        <f t="shared" si="91"/>
        <v>8</v>
      </c>
    </row>
    <row r="2944" spans="1:11" x14ac:dyDescent="0.2">
      <c r="A2944">
        <f t="shared" si="90"/>
        <v>2919260</v>
      </c>
      <c r="B2944">
        <v>2021</v>
      </c>
      <c r="C2944" t="s">
        <v>739</v>
      </c>
      <c r="D2944" t="s">
        <v>740</v>
      </c>
      <c r="E2944" t="s">
        <v>743</v>
      </c>
      <c r="F2944" s="34">
        <v>486</v>
      </c>
      <c r="G2944" s="34" t="s">
        <v>639</v>
      </c>
      <c r="H2944" s="36">
        <v>86283</v>
      </c>
      <c r="I2944" s="58">
        <v>533608</v>
      </c>
      <c r="J2944">
        <f>IFERROR(VLOOKUP(G2944,'LEAID Match'!$A$2:$B$526,2,FALSE),"")</f>
        <v>2919260</v>
      </c>
      <c r="K2944" s="68">
        <f t="shared" si="91"/>
        <v>8</v>
      </c>
    </row>
    <row r="2945" spans="1:11" x14ac:dyDescent="0.2">
      <c r="A2945">
        <f t="shared" si="90"/>
        <v>2919260</v>
      </c>
      <c r="B2945">
        <v>2022</v>
      </c>
      <c r="C2945" t="s">
        <v>739</v>
      </c>
      <c r="D2945" t="s">
        <v>740</v>
      </c>
      <c r="E2945" t="s">
        <v>743</v>
      </c>
      <c r="F2945" s="34">
        <v>486</v>
      </c>
      <c r="G2945" s="34" t="s">
        <v>639</v>
      </c>
      <c r="H2945" s="36">
        <v>107718</v>
      </c>
      <c r="I2945" s="58">
        <v>532972</v>
      </c>
      <c r="J2945">
        <f>IFERROR(VLOOKUP(G2945,'LEAID Match'!$A$2:$B$526,2,FALSE),"")</f>
        <v>2919260</v>
      </c>
      <c r="K2945" s="68">
        <f t="shared" si="91"/>
        <v>8</v>
      </c>
    </row>
    <row r="2946" spans="1:11" x14ac:dyDescent="0.2">
      <c r="A2946">
        <f t="shared" si="90"/>
        <v>2925140</v>
      </c>
      <c r="B2946">
        <v>2015</v>
      </c>
      <c r="C2946" t="s">
        <v>739</v>
      </c>
      <c r="D2946" t="s">
        <v>740</v>
      </c>
      <c r="E2946" t="s">
        <v>743</v>
      </c>
      <c r="F2946" s="35">
        <v>487</v>
      </c>
      <c r="G2946" s="39" t="s">
        <v>640</v>
      </c>
      <c r="H2946" s="40">
        <v>67806</v>
      </c>
      <c r="I2946" s="58">
        <v>386685</v>
      </c>
      <c r="J2946">
        <f>IFERROR(VLOOKUP(G2946,'LEAID Match'!$A$2:$B$526,2,FALSE),"")</f>
        <v>2925140</v>
      </c>
      <c r="K2946" s="68">
        <f t="shared" si="91"/>
        <v>8</v>
      </c>
    </row>
    <row r="2947" spans="1:11" x14ac:dyDescent="0.2">
      <c r="A2947">
        <f t="shared" ref="A2947:A3010" si="92">J2947</f>
        <v>2925140</v>
      </c>
      <c r="B2947">
        <v>2016</v>
      </c>
      <c r="C2947" t="s">
        <v>739</v>
      </c>
      <c r="D2947" t="s">
        <v>740</v>
      </c>
      <c r="E2947" t="s">
        <v>743</v>
      </c>
      <c r="F2947" s="34">
        <v>487</v>
      </c>
      <c r="G2947" s="34" t="s">
        <v>640</v>
      </c>
      <c r="H2947" s="36">
        <v>76541</v>
      </c>
      <c r="I2947" s="60">
        <v>435308</v>
      </c>
      <c r="J2947">
        <f>IFERROR(VLOOKUP(G2947,'LEAID Match'!$A$2:$B$526,2,FALSE),"")</f>
        <v>2925140</v>
      </c>
      <c r="K2947" s="68">
        <f t="shared" ref="K2947:K3010" si="93">COUNTIF($J$2:$J$4295,J2947)</f>
        <v>8</v>
      </c>
    </row>
    <row r="2948" spans="1:11" x14ac:dyDescent="0.2">
      <c r="A2948">
        <f t="shared" si="92"/>
        <v>2925140</v>
      </c>
      <c r="B2948">
        <v>2017</v>
      </c>
      <c r="C2948" t="s">
        <v>739</v>
      </c>
      <c r="D2948" t="s">
        <v>740</v>
      </c>
      <c r="E2948" t="s">
        <v>743</v>
      </c>
      <c r="F2948" s="34">
        <v>487</v>
      </c>
      <c r="G2948" s="34" t="s">
        <v>640</v>
      </c>
      <c r="H2948" s="36">
        <v>79810</v>
      </c>
      <c r="I2948" s="58">
        <v>436915</v>
      </c>
      <c r="J2948">
        <f>IFERROR(VLOOKUP(G2948,'LEAID Match'!$A$2:$B$526,2,FALSE),"")</f>
        <v>2925140</v>
      </c>
      <c r="K2948" s="68">
        <f t="shared" si="93"/>
        <v>8</v>
      </c>
    </row>
    <row r="2949" spans="1:11" x14ac:dyDescent="0.2">
      <c r="A2949">
        <f t="shared" si="92"/>
        <v>2925140</v>
      </c>
      <c r="B2949">
        <v>2018</v>
      </c>
      <c r="C2949" t="s">
        <v>739</v>
      </c>
      <c r="D2949" t="s">
        <v>740</v>
      </c>
      <c r="E2949" t="s">
        <v>743</v>
      </c>
      <c r="F2949" s="34">
        <v>487</v>
      </c>
      <c r="G2949" s="34" t="s">
        <v>640</v>
      </c>
      <c r="H2949" s="36">
        <v>69957</v>
      </c>
      <c r="I2949" s="58">
        <v>439215</v>
      </c>
      <c r="J2949">
        <f>IFERROR(VLOOKUP(G2949,'LEAID Match'!$A$2:$B$526,2,FALSE),"")</f>
        <v>2925140</v>
      </c>
      <c r="K2949" s="68">
        <f t="shared" si="93"/>
        <v>8</v>
      </c>
    </row>
    <row r="2950" spans="1:11" x14ac:dyDescent="0.2">
      <c r="A2950">
        <f t="shared" si="92"/>
        <v>2925140</v>
      </c>
      <c r="B2950">
        <v>2019</v>
      </c>
      <c r="C2950" t="s">
        <v>739</v>
      </c>
      <c r="D2950" t="s">
        <v>740</v>
      </c>
      <c r="E2950" t="s">
        <v>743</v>
      </c>
      <c r="F2950" s="34">
        <v>487</v>
      </c>
      <c r="G2950" s="34" t="s">
        <v>640</v>
      </c>
      <c r="H2950" s="36">
        <v>56181</v>
      </c>
      <c r="I2950" s="58">
        <v>356634</v>
      </c>
      <c r="J2950">
        <f>IFERROR(VLOOKUP(G2950,'LEAID Match'!$A$2:$B$526,2,FALSE),"")</f>
        <v>2925140</v>
      </c>
      <c r="K2950" s="68">
        <f t="shared" si="93"/>
        <v>8</v>
      </c>
    </row>
    <row r="2951" spans="1:11" x14ac:dyDescent="0.2">
      <c r="A2951">
        <f t="shared" si="92"/>
        <v>2925140</v>
      </c>
      <c r="B2951">
        <v>2020</v>
      </c>
      <c r="C2951" t="s">
        <v>739</v>
      </c>
      <c r="D2951" t="s">
        <v>740</v>
      </c>
      <c r="E2951" t="s">
        <v>743</v>
      </c>
      <c r="F2951" s="34">
        <v>487</v>
      </c>
      <c r="G2951" s="34" t="s">
        <v>640</v>
      </c>
      <c r="H2951" s="36">
        <v>61984</v>
      </c>
      <c r="I2951" s="58">
        <v>365657</v>
      </c>
      <c r="J2951">
        <f>IFERROR(VLOOKUP(G2951,'LEAID Match'!$A$2:$B$526,2,FALSE),"")</f>
        <v>2925140</v>
      </c>
      <c r="K2951" s="68">
        <f t="shared" si="93"/>
        <v>8</v>
      </c>
    </row>
    <row r="2952" spans="1:11" x14ac:dyDescent="0.2">
      <c r="A2952">
        <f t="shared" si="92"/>
        <v>2925140</v>
      </c>
      <c r="B2952">
        <v>2021</v>
      </c>
      <c r="C2952" t="s">
        <v>739</v>
      </c>
      <c r="D2952" t="s">
        <v>740</v>
      </c>
      <c r="E2952" t="s">
        <v>743</v>
      </c>
      <c r="F2952" s="34">
        <v>487</v>
      </c>
      <c r="G2952" s="34" t="s">
        <v>640</v>
      </c>
      <c r="H2952" s="36">
        <v>65036</v>
      </c>
      <c r="I2952" s="58">
        <v>387674</v>
      </c>
      <c r="J2952">
        <f>IFERROR(VLOOKUP(G2952,'LEAID Match'!$A$2:$B$526,2,FALSE),"")</f>
        <v>2925140</v>
      </c>
      <c r="K2952" s="68">
        <f t="shared" si="93"/>
        <v>8</v>
      </c>
    </row>
    <row r="2953" spans="1:11" x14ac:dyDescent="0.2">
      <c r="A2953">
        <f t="shared" si="92"/>
        <v>2925140</v>
      </c>
      <c r="B2953">
        <v>2022</v>
      </c>
      <c r="C2953" t="s">
        <v>739</v>
      </c>
      <c r="D2953" t="s">
        <v>740</v>
      </c>
      <c r="E2953" t="s">
        <v>743</v>
      </c>
      <c r="F2953" s="34">
        <v>487</v>
      </c>
      <c r="G2953" s="34" t="s">
        <v>640</v>
      </c>
      <c r="H2953" s="36">
        <v>74273</v>
      </c>
      <c r="I2953" s="58">
        <v>411753</v>
      </c>
      <c r="J2953">
        <f>IFERROR(VLOOKUP(G2953,'LEAID Match'!$A$2:$B$526,2,FALSE),"")</f>
        <v>2925140</v>
      </c>
      <c r="K2953" s="68">
        <f t="shared" si="93"/>
        <v>8</v>
      </c>
    </row>
    <row r="2954" spans="1:11" x14ac:dyDescent="0.2">
      <c r="A2954">
        <f t="shared" si="92"/>
        <v>2905400</v>
      </c>
      <c r="B2954">
        <v>2015</v>
      </c>
      <c r="C2954" t="s">
        <v>739</v>
      </c>
      <c r="D2954" t="s">
        <v>740</v>
      </c>
      <c r="E2954" t="s">
        <v>743</v>
      </c>
      <c r="F2954" s="35">
        <v>489</v>
      </c>
      <c r="G2954" s="39" t="s">
        <v>641</v>
      </c>
      <c r="H2954" s="40">
        <v>6565</v>
      </c>
      <c r="I2954" s="58">
        <v>50142</v>
      </c>
      <c r="J2954">
        <f>IFERROR(VLOOKUP(G2954,'LEAID Match'!$A$2:$B$526,2,FALSE),"")</f>
        <v>2905400</v>
      </c>
      <c r="K2954" s="68">
        <f t="shared" si="93"/>
        <v>8</v>
      </c>
    </row>
    <row r="2955" spans="1:11" x14ac:dyDescent="0.2">
      <c r="A2955">
        <f t="shared" si="92"/>
        <v>2905400</v>
      </c>
      <c r="B2955">
        <v>2016</v>
      </c>
      <c r="C2955" t="s">
        <v>739</v>
      </c>
      <c r="D2955" t="s">
        <v>740</v>
      </c>
      <c r="E2955" t="s">
        <v>743</v>
      </c>
      <c r="F2955" s="34">
        <v>489</v>
      </c>
      <c r="G2955" s="34" t="s">
        <v>641</v>
      </c>
      <c r="H2955" s="36">
        <v>6354</v>
      </c>
      <c r="I2955" s="60">
        <v>52859</v>
      </c>
      <c r="J2955">
        <f>IFERROR(VLOOKUP(G2955,'LEAID Match'!$A$2:$B$526,2,FALSE),"")</f>
        <v>2905400</v>
      </c>
      <c r="K2955" s="68">
        <f t="shared" si="93"/>
        <v>8</v>
      </c>
    </row>
    <row r="2956" spans="1:11" x14ac:dyDescent="0.2">
      <c r="A2956">
        <f t="shared" si="92"/>
        <v>2905400</v>
      </c>
      <c r="B2956">
        <v>2017</v>
      </c>
      <c r="C2956" t="s">
        <v>739</v>
      </c>
      <c r="D2956" t="s">
        <v>740</v>
      </c>
      <c r="E2956" t="s">
        <v>743</v>
      </c>
      <c r="F2956" s="34">
        <v>489</v>
      </c>
      <c r="G2956" s="34" t="s">
        <v>641</v>
      </c>
      <c r="H2956" s="36">
        <v>8763</v>
      </c>
      <c r="I2956" s="58">
        <v>50014</v>
      </c>
      <c r="J2956">
        <f>IFERROR(VLOOKUP(G2956,'LEAID Match'!$A$2:$B$526,2,FALSE),"")</f>
        <v>2905400</v>
      </c>
      <c r="K2956" s="68">
        <f t="shared" si="93"/>
        <v>8</v>
      </c>
    </row>
    <row r="2957" spans="1:11" x14ac:dyDescent="0.2">
      <c r="A2957">
        <f t="shared" si="92"/>
        <v>2905400</v>
      </c>
      <c r="B2957">
        <v>2018</v>
      </c>
      <c r="C2957" t="s">
        <v>739</v>
      </c>
      <c r="D2957" t="s">
        <v>740</v>
      </c>
      <c r="E2957" t="s">
        <v>743</v>
      </c>
      <c r="F2957" s="34">
        <v>489</v>
      </c>
      <c r="G2957" s="34" t="s">
        <v>641</v>
      </c>
      <c r="H2957" s="36">
        <v>12576</v>
      </c>
      <c r="I2957" s="58">
        <v>46674</v>
      </c>
      <c r="J2957">
        <f>IFERROR(VLOOKUP(G2957,'LEAID Match'!$A$2:$B$526,2,FALSE),"")</f>
        <v>2905400</v>
      </c>
      <c r="K2957" s="68">
        <f t="shared" si="93"/>
        <v>8</v>
      </c>
    </row>
    <row r="2958" spans="1:11" x14ac:dyDescent="0.2">
      <c r="A2958">
        <f t="shared" si="92"/>
        <v>2905400</v>
      </c>
      <c r="B2958">
        <v>2019</v>
      </c>
      <c r="C2958" t="s">
        <v>739</v>
      </c>
      <c r="D2958" t="s">
        <v>740</v>
      </c>
      <c r="E2958" t="s">
        <v>743</v>
      </c>
      <c r="F2958" s="34">
        <v>489</v>
      </c>
      <c r="G2958" s="34" t="s">
        <v>641</v>
      </c>
      <c r="H2958" s="36">
        <v>11081</v>
      </c>
      <c r="I2958" s="58">
        <v>47795</v>
      </c>
      <c r="J2958">
        <f>IFERROR(VLOOKUP(G2958,'LEAID Match'!$A$2:$B$526,2,FALSE),"")</f>
        <v>2905400</v>
      </c>
      <c r="K2958" s="68">
        <f t="shared" si="93"/>
        <v>8</v>
      </c>
    </row>
    <row r="2959" spans="1:11" x14ac:dyDescent="0.2">
      <c r="A2959">
        <f t="shared" si="92"/>
        <v>2905400</v>
      </c>
      <c r="B2959">
        <v>2020</v>
      </c>
      <c r="C2959" t="s">
        <v>739</v>
      </c>
      <c r="D2959" t="s">
        <v>740</v>
      </c>
      <c r="E2959" t="s">
        <v>743</v>
      </c>
      <c r="F2959" s="34">
        <v>489</v>
      </c>
      <c r="G2959" s="34" t="s">
        <v>641</v>
      </c>
      <c r="H2959" s="36">
        <v>9681</v>
      </c>
      <c r="I2959" s="58">
        <v>51178</v>
      </c>
      <c r="J2959">
        <f>IFERROR(VLOOKUP(G2959,'LEAID Match'!$A$2:$B$526,2,FALSE),"")</f>
        <v>2905400</v>
      </c>
      <c r="K2959" s="68">
        <f t="shared" si="93"/>
        <v>8</v>
      </c>
    </row>
    <row r="2960" spans="1:11" x14ac:dyDescent="0.2">
      <c r="A2960">
        <f t="shared" si="92"/>
        <v>2905400</v>
      </c>
      <c r="B2960">
        <v>2021</v>
      </c>
      <c r="C2960" t="s">
        <v>739</v>
      </c>
      <c r="D2960" t="s">
        <v>740</v>
      </c>
      <c r="E2960" t="s">
        <v>743</v>
      </c>
      <c r="F2960" s="34">
        <v>489</v>
      </c>
      <c r="G2960" s="34" t="s">
        <v>641</v>
      </c>
      <c r="H2960" s="36">
        <v>11191</v>
      </c>
      <c r="I2960" s="58">
        <v>54026</v>
      </c>
      <c r="J2960">
        <f>IFERROR(VLOOKUP(G2960,'LEAID Match'!$A$2:$B$526,2,FALSE),"")</f>
        <v>2905400</v>
      </c>
      <c r="K2960" s="68">
        <f t="shared" si="93"/>
        <v>8</v>
      </c>
    </row>
    <row r="2961" spans="1:11" x14ac:dyDescent="0.2">
      <c r="A2961">
        <f t="shared" si="92"/>
        <v>2905400</v>
      </c>
      <c r="B2961">
        <v>2022</v>
      </c>
      <c r="C2961" t="s">
        <v>739</v>
      </c>
      <c r="D2961" t="s">
        <v>740</v>
      </c>
      <c r="E2961" t="s">
        <v>743</v>
      </c>
      <c r="F2961" s="34">
        <v>489</v>
      </c>
      <c r="G2961" s="34" t="s">
        <v>641</v>
      </c>
      <c r="H2961" s="36">
        <v>10276</v>
      </c>
      <c r="I2961" s="58">
        <v>54625</v>
      </c>
      <c r="J2961">
        <f>IFERROR(VLOOKUP(G2961,'LEAID Match'!$A$2:$B$526,2,FALSE),"")</f>
        <v>2905400</v>
      </c>
      <c r="K2961" s="68">
        <f t="shared" si="93"/>
        <v>8</v>
      </c>
    </row>
    <row r="2962" spans="1:11" x14ac:dyDescent="0.2">
      <c r="A2962">
        <f t="shared" si="92"/>
        <v>2922830</v>
      </c>
      <c r="B2962">
        <v>2015</v>
      </c>
      <c r="C2962" t="s">
        <v>739</v>
      </c>
      <c r="D2962" t="s">
        <v>740</v>
      </c>
      <c r="E2962" t="s">
        <v>743</v>
      </c>
      <c r="F2962" s="35">
        <v>490</v>
      </c>
      <c r="G2962" s="39" t="s">
        <v>642</v>
      </c>
      <c r="H2962" s="40">
        <v>53444</v>
      </c>
      <c r="I2962" s="58">
        <v>485717</v>
      </c>
      <c r="J2962">
        <f>IFERROR(VLOOKUP(G2962,'LEAID Match'!$A$2:$B$526,2,FALSE),"")</f>
        <v>2922830</v>
      </c>
      <c r="K2962" s="68">
        <f t="shared" si="93"/>
        <v>8</v>
      </c>
    </row>
    <row r="2963" spans="1:11" x14ac:dyDescent="0.2">
      <c r="A2963">
        <f t="shared" si="92"/>
        <v>2922830</v>
      </c>
      <c r="B2963">
        <v>2016</v>
      </c>
      <c r="C2963" t="s">
        <v>739</v>
      </c>
      <c r="D2963" t="s">
        <v>740</v>
      </c>
      <c r="E2963" t="s">
        <v>743</v>
      </c>
      <c r="F2963" s="34">
        <v>490</v>
      </c>
      <c r="G2963" s="34" t="s">
        <v>642</v>
      </c>
      <c r="H2963" s="36">
        <v>53352</v>
      </c>
      <c r="I2963" s="60">
        <v>442037</v>
      </c>
      <c r="J2963">
        <f>IFERROR(VLOOKUP(G2963,'LEAID Match'!$A$2:$B$526,2,FALSE),"")</f>
        <v>2922830</v>
      </c>
      <c r="K2963" s="68">
        <f t="shared" si="93"/>
        <v>8</v>
      </c>
    </row>
    <row r="2964" spans="1:11" x14ac:dyDescent="0.2">
      <c r="A2964">
        <f t="shared" si="92"/>
        <v>2922830</v>
      </c>
      <c r="B2964">
        <v>2017</v>
      </c>
      <c r="C2964" t="s">
        <v>739</v>
      </c>
      <c r="D2964" t="s">
        <v>740</v>
      </c>
      <c r="E2964" t="s">
        <v>743</v>
      </c>
      <c r="F2964" s="34">
        <v>490</v>
      </c>
      <c r="G2964" s="34" t="s">
        <v>642</v>
      </c>
      <c r="H2964" s="36">
        <v>57396</v>
      </c>
      <c r="I2964" s="58">
        <v>437529</v>
      </c>
      <c r="J2964">
        <f>IFERROR(VLOOKUP(G2964,'LEAID Match'!$A$2:$B$526,2,FALSE),"")</f>
        <v>2922830</v>
      </c>
      <c r="K2964" s="68">
        <f t="shared" si="93"/>
        <v>8</v>
      </c>
    </row>
    <row r="2965" spans="1:11" x14ac:dyDescent="0.2">
      <c r="A2965">
        <f t="shared" si="92"/>
        <v>2922830</v>
      </c>
      <c r="B2965">
        <v>2018</v>
      </c>
      <c r="C2965" t="s">
        <v>739</v>
      </c>
      <c r="D2965" t="s">
        <v>740</v>
      </c>
      <c r="E2965" t="s">
        <v>743</v>
      </c>
      <c r="F2965" s="34">
        <v>490</v>
      </c>
      <c r="G2965" s="34" t="s">
        <v>642</v>
      </c>
      <c r="H2965" s="36">
        <v>57419</v>
      </c>
      <c r="I2965" s="58">
        <v>455157</v>
      </c>
      <c r="J2965">
        <f>IFERROR(VLOOKUP(G2965,'LEAID Match'!$A$2:$B$526,2,FALSE),"")</f>
        <v>2922830</v>
      </c>
      <c r="K2965" s="68">
        <f t="shared" si="93"/>
        <v>8</v>
      </c>
    </row>
    <row r="2966" spans="1:11" x14ac:dyDescent="0.2">
      <c r="A2966">
        <f t="shared" si="92"/>
        <v>2922830</v>
      </c>
      <c r="B2966">
        <v>2019</v>
      </c>
      <c r="C2966" t="s">
        <v>739</v>
      </c>
      <c r="D2966" t="s">
        <v>740</v>
      </c>
      <c r="E2966" t="s">
        <v>743</v>
      </c>
      <c r="F2966" s="34">
        <v>490</v>
      </c>
      <c r="G2966" s="34" t="s">
        <v>642</v>
      </c>
      <c r="H2966" s="36">
        <v>59103</v>
      </c>
      <c r="I2966" s="58">
        <v>448718</v>
      </c>
      <c r="J2966">
        <f>IFERROR(VLOOKUP(G2966,'LEAID Match'!$A$2:$B$526,2,FALSE),"")</f>
        <v>2922830</v>
      </c>
      <c r="K2966" s="68">
        <f t="shared" si="93"/>
        <v>8</v>
      </c>
    </row>
    <row r="2967" spans="1:11" x14ac:dyDescent="0.2">
      <c r="A2967">
        <f t="shared" si="92"/>
        <v>2922830</v>
      </c>
      <c r="B2967">
        <v>2020</v>
      </c>
      <c r="C2967" t="s">
        <v>739</v>
      </c>
      <c r="D2967" t="s">
        <v>740</v>
      </c>
      <c r="E2967" t="s">
        <v>743</v>
      </c>
      <c r="F2967" s="34">
        <v>490</v>
      </c>
      <c r="G2967" s="34" t="s">
        <v>642</v>
      </c>
      <c r="H2967" s="36">
        <v>60542</v>
      </c>
      <c r="I2967" s="58">
        <v>453502</v>
      </c>
      <c r="J2967">
        <f>IFERROR(VLOOKUP(G2967,'LEAID Match'!$A$2:$B$526,2,FALSE),"")</f>
        <v>2922830</v>
      </c>
      <c r="K2967" s="68">
        <f t="shared" si="93"/>
        <v>8</v>
      </c>
    </row>
    <row r="2968" spans="1:11" x14ac:dyDescent="0.2">
      <c r="A2968">
        <f t="shared" si="92"/>
        <v>2922830</v>
      </c>
      <c r="B2968">
        <v>2021</v>
      </c>
      <c r="C2968" t="s">
        <v>739</v>
      </c>
      <c r="D2968" t="s">
        <v>740</v>
      </c>
      <c r="E2968" t="s">
        <v>743</v>
      </c>
      <c r="F2968" s="34">
        <v>490</v>
      </c>
      <c r="G2968" s="34" t="s">
        <v>642</v>
      </c>
      <c r="H2968" s="36">
        <v>60340</v>
      </c>
      <c r="I2968" s="58">
        <v>461493</v>
      </c>
      <c r="J2968">
        <f>IFERROR(VLOOKUP(G2968,'LEAID Match'!$A$2:$B$526,2,FALSE),"")</f>
        <v>2922830</v>
      </c>
      <c r="K2968" s="68">
        <f t="shared" si="93"/>
        <v>8</v>
      </c>
    </row>
    <row r="2969" spans="1:11" x14ac:dyDescent="0.2">
      <c r="A2969">
        <f t="shared" si="92"/>
        <v>2922830</v>
      </c>
      <c r="B2969">
        <v>2022</v>
      </c>
      <c r="C2969" t="s">
        <v>739</v>
      </c>
      <c r="D2969" t="s">
        <v>740</v>
      </c>
      <c r="E2969" t="s">
        <v>743</v>
      </c>
      <c r="F2969" s="34">
        <v>490</v>
      </c>
      <c r="G2969" s="34" t="s">
        <v>642</v>
      </c>
      <c r="H2969" s="36">
        <v>60021</v>
      </c>
      <c r="I2969" s="58">
        <v>471749</v>
      </c>
      <c r="J2969">
        <f>IFERROR(VLOOKUP(G2969,'LEAID Match'!$A$2:$B$526,2,FALSE),"")</f>
        <v>2922830</v>
      </c>
      <c r="K2969" s="68">
        <f t="shared" si="93"/>
        <v>8</v>
      </c>
    </row>
    <row r="2970" spans="1:11" x14ac:dyDescent="0.2">
      <c r="A2970">
        <f t="shared" si="92"/>
        <v>2931710</v>
      </c>
      <c r="B2970">
        <v>2015</v>
      </c>
      <c r="C2970" t="s">
        <v>739</v>
      </c>
      <c r="D2970" t="s">
        <v>740</v>
      </c>
      <c r="E2970" t="s">
        <v>743</v>
      </c>
      <c r="F2970" s="35">
        <v>491</v>
      </c>
      <c r="G2970" s="39" t="s">
        <v>643</v>
      </c>
      <c r="H2970" s="40">
        <v>77640</v>
      </c>
      <c r="I2970" s="58">
        <v>597584</v>
      </c>
      <c r="J2970">
        <f>IFERROR(VLOOKUP(G2970,'LEAID Match'!$A$2:$B$526,2,FALSE),"")</f>
        <v>2931710</v>
      </c>
      <c r="K2970" s="68">
        <f t="shared" si="93"/>
        <v>8</v>
      </c>
    </row>
    <row r="2971" spans="1:11" x14ac:dyDescent="0.2">
      <c r="A2971">
        <f t="shared" si="92"/>
        <v>2931710</v>
      </c>
      <c r="B2971">
        <v>2016</v>
      </c>
      <c r="C2971" t="s">
        <v>739</v>
      </c>
      <c r="D2971" t="s">
        <v>740</v>
      </c>
      <c r="E2971" t="s">
        <v>743</v>
      </c>
      <c r="F2971" s="34">
        <v>491</v>
      </c>
      <c r="G2971" s="34" t="s">
        <v>643</v>
      </c>
      <c r="H2971" s="36">
        <v>82258</v>
      </c>
      <c r="I2971" s="60">
        <v>647421</v>
      </c>
      <c r="J2971">
        <f>IFERROR(VLOOKUP(G2971,'LEAID Match'!$A$2:$B$526,2,FALSE),"")</f>
        <v>2931710</v>
      </c>
      <c r="K2971" s="68">
        <f t="shared" si="93"/>
        <v>8</v>
      </c>
    </row>
    <row r="2972" spans="1:11" x14ac:dyDescent="0.2">
      <c r="A2972">
        <f t="shared" si="92"/>
        <v>2931710</v>
      </c>
      <c r="B2972">
        <v>2017</v>
      </c>
      <c r="C2972" t="s">
        <v>739</v>
      </c>
      <c r="D2972" t="s">
        <v>740</v>
      </c>
      <c r="E2972" t="s">
        <v>743</v>
      </c>
      <c r="F2972" s="34">
        <v>491</v>
      </c>
      <c r="G2972" s="34" t="s">
        <v>643</v>
      </c>
      <c r="H2972" s="36">
        <v>89915</v>
      </c>
      <c r="I2972" s="58">
        <v>682921</v>
      </c>
      <c r="J2972">
        <f>IFERROR(VLOOKUP(G2972,'LEAID Match'!$A$2:$B$526,2,FALSE),"")</f>
        <v>2931710</v>
      </c>
      <c r="K2972" s="68">
        <f t="shared" si="93"/>
        <v>8</v>
      </c>
    </row>
    <row r="2973" spans="1:11" x14ac:dyDescent="0.2">
      <c r="A2973">
        <f t="shared" si="92"/>
        <v>2931710</v>
      </c>
      <c r="B2973">
        <v>2018</v>
      </c>
      <c r="C2973" t="s">
        <v>739</v>
      </c>
      <c r="D2973" t="s">
        <v>740</v>
      </c>
      <c r="E2973" t="s">
        <v>743</v>
      </c>
      <c r="F2973" s="34">
        <v>491</v>
      </c>
      <c r="G2973" s="34" t="s">
        <v>643</v>
      </c>
      <c r="H2973" s="36">
        <v>88697</v>
      </c>
      <c r="I2973" s="58">
        <v>703784</v>
      </c>
      <c r="J2973">
        <f>IFERROR(VLOOKUP(G2973,'LEAID Match'!$A$2:$B$526,2,FALSE),"")</f>
        <v>2931710</v>
      </c>
      <c r="K2973" s="68">
        <f t="shared" si="93"/>
        <v>8</v>
      </c>
    </row>
    <row r="2974" spans="1:11" x14ac:dyDescent="0.2">
      <c r="A2974">
        <f t="shared" si="92"/>
        <v>2931710</v>
      </c>
      <c r="B2974">
        <v>2019</v>
      </c>
      <c r="C2974" t="s">
        <v>739</v>
      </c>
      <c r="D2974" t="s">
        <v>740</v>
      </c>
      <c r="E2974" t="s">
        <v>743</v>
      </c>
      <c r="F2974" s="34">
        <v>491</v>
      </c>
      <c r="G2974" s="34" t="s">
        <v>643</v>
      </c>
      <c r="H2974" s="36">
        <v>86248</v>
      </c>
      <c r="I2974" s="58">
        <v>715736</v>
      </c>
      <c r="J2974">
        <f>IFERROR(VLOOKUP(G2974,'LEAID Match'!$A$2:$B$526,2,FALSE),"")</f>
        <v>2931710</v>
      </c>
      <c r="K2974" s="68">
        <f t="shared" si="93"/>
        <v>8</v>
      </c>
    </row>
    <row r="2975" spans="1:11" x14ac:dyDescent="0.2">
      <c r="A2975">
        <f t="shared" si="92"/>
        <v>2931710</v>
      </c>
      <c r="B2975">
        <v>2020</v>
      </c>
      <c r="C2975" t="s">
        <v>739</v>
      </c>
      <c r="D2975" t="s">
        <v>740</v>
      </c>
      <c r="E2975" t="s">
        <v>743</v>
      </c>
      <c r="F2975" s="34">
        <v>491</v>
      </c>
      <c r="G2975" s="34" t="s">
        <v>643</v>
      </c>
      <c r="H2975" s="36">
        <v>80738</v>
      </c>
      <c r="I2975" s="58">
        <v>722812</v>
      </c>
      <c r="J2975">
        <f>IFERROR(VLOOKUP(G2975,'LEAID Match'!$A$2:$B$526,2,FALSE),"")</f>
        <v>2931710</v>
      </c>
      <c r="K2975" s="68">
        <f t="shared" si="93"/>
        <v>8</v>
      </c>
    </row>
    <row r="2976" spans="1:11" x14ac:dyDescent="0.2">
      <c r="A2976">
        <f t="shared" si="92"/>
        <v>2931710</v>
      </c>
      <c r="B2976">
        <v>2021</v>
      </c>
      <c r="C2976" t="s">
        <v>739</v>
      </c>
      <c r="D2976" t="s">
        <v>740</v>
      </c>
      <c r="E2976" t="s">
        <v>743</v>
      </c>
      <c r="F2976" s="34">
        <v>491</v>
      </c>
      <c r="G2976" s="34" t="s">
        <v>643</v>
      </c>
      <c r="H2976" s="36">
        <v>82799</v>
      </c>
      <c r="I2976" s="58">
        <v>784706</v>
      </c>
      <c r="J2976">
        <f>IFERROR(VLOOKUP(G2976,'LEAID Match'!$A$2:$B$526,2,FALSE),"")</f>
        <v>2931710</v>
      </c>
      <c r="K2976" s="68">
        <f t="shared" si="93"/>
        <v>8</v>
      </c>
    </row>
    <row r="2977" spans="1:11" x14ac:dyDescent="0.2">
      <c r="A2977">
        <f t="shared" si="92"/>
        <v>2931710</v>
      </c>
      <c r="B2977">
        <v>2022</v>
      </c>
      <c r="C2977" t="s">
        <v>739</v>
      </c>
      <c r="D2977" t="s">
        <v>740</v>
      </c>
      <c r="E2977" t="s">
        <v>743</v>
      </c>
      <c r="F2977" s="34">
        <v>491</v>
      </c>
      <c r="G2977" s="34" t="s">
        <v>643</v>
      </c>
      <c r="H2977" s="36">
        <v>89775</v>
      </c>
      <c r="I2977" s="58">
        <v>805703</v>
      </c>
      <c r="J2977">
        <f>IFERROR(VLOOKUP(G2977,'LEAID Match'!$A$2:$B$526,2,FALSE),"")</f>
        <v>2931710</v>
      </c>
      <c r="K2977" s="68">
        <f t="shared" si="93"/>
        <v>8</v>
      </c>
    </row>
    <row r="2978" spans="1:11" x14ac:dyDescent="0.2">
      <c r="A2978">
        <f t="shared" si="92"/>
        <v>2925230</v>
      </c>
      <c r="B2978">
        <v>2015</v>
      </c>
      <c r="C2978" t="s">
        <v>739</v>
      </c>
      <c r="D2978" t="s">
        <v>740</v>
      </c>
      <c r="E2978" t="s">
        <v>743</v>
      </c>
      <c r="F2978" s="35">
        <v>492</v>
      </c>
      <c r="G2978" s="39" t="s">
        <v>644</v>
      </c>
      <c r="H2978" s="40">
        <v>390231</v>
      </c>
      <c r="I2978" s="58">
        <v>3074227</v>
      </c>
      <c r="J2978">
        <f>IFERROR(VLOOKUP(G2978,'LEAID Match'!$A$2:$B$526,2,FALSE),"")</f>
        <v>2925230</v>
      </c>
      <c r="K2978" s="68">
        <f t="shared" si="93"/>
        <v>8</v>
      </c>
    </row>
    <row r="2979" spans="1:11" x14ac:dyDescent="0.2">
      <c r="A2979">
        <f t="shared" si="92"/>
        <v>2925230</v>
      </c>
      <c r="B2979">
        <v>2016</v>
      </c>
      <c r="C2979" t="s">
        <v>739</v>
      </c>
      <c r="D2979" t="s">
        <v>740</v>
      </c>
      <c r="E2979" t="s">
        <v>743</v>
      </c>
      <c r="F2979" s="34">
        <v>492</v>
      </c>
      <c r="G2979" s="34" t="s">
        <v>644</v>
      </c>
      <c r="H2979" s="36">
        <v>437626</v>
      </c>
      <c r="I2979" s="60">
        <v>3189722</v>
      </c>
      <c r="J2979">
        <f>IFERROR(VLOOKUP(G2979,'LEAID Match'!$A$2:$B$526,2,FALSE),"")</f>
        <v>2925230</v>
      </c>
      <c r="K2979" s="68">
        <f t="shared" si="93"/>
        <v>8</v>
      </c>
    </row>
    <row r="2980" spans="1:11" x14ac:dyDescent="0.2">
      <c r="A2980">
        <f t="shared" si="92"/>
        <v>2925230</v>
      </c>
      <c r="B2980">
        <v>2017</v>
      </c>
      <c r="C2980" t="s">
        <v>739</v>
      </c>
      <c r="D2980" t="s">
        <v>740</v>
      </c>
      <c r="E2980" t="s">
        <v>743</v>
      </c>
      <c r="F2980" s="34">
        <v>492</v>
      </c>
      <c r="G2980" s="34" t="s">
        <v>644</v>
      </c>
      <c r="H2980" s="36">
        <v>482194</v>
      </c>
      <c r="I2980" s="58">
        <v>3266590</v>
      </c>
      <c r="J2980">
        <f>IFERROR(VLOOKUP(G2980,'LEAID Match'!$A$2:$B$526,2,FALSE),"")</f>
        <v>2925230</v>
      </c>
      <c r="K2980" s="68">
        <f t="shared" si="93"/>
        <v>8</v>
      </c>
    </row>
    <row r="2981" spans="1:11" x14ac:dyDescent="0.2">
      <c r="A2981">
        <f t="shared" si="92"/>
        <v>2925230</v>
      </c>
      <c r="B2981">
        <v>2018</v>
      </c>
      <c r="C2981" t="s">
        <v>739</v>
      </c>
      <c r="D2981" t="s">
        <v>740</v>
      </c>
      <c r="E2981" t="s">
        <v>743</v>
      </c>
      <c r="F2981" s="34">
        <v>492</v>
      </c>
      <c r="G2981" s="34" t="s">
        <v>644</v>
      </c>
      <c r="H2981" s="36">
        <v>490250</v>
      </c>
      <c r="I2981" s="58">
        <v>3272493</v>
      </c>
      <c r="J2981">
        <f>IFERROR(VLOOKUP(G2981,'LEAID Match'!$A$2:$B$526,2,FALSE),"")</f>
        <v>2925230</v>
      </c>
      <c r="K2981" s="68">
        <f t="shared" si="93"/>
        <v>8</v>
      </c>
    </row>
    <row r="2982" spans="1:11" x14ac:dyDescent="0.2">
      <c r="A2982">
        <f t="shared" si="92"/>
        <v>2925230</v>
      </c>
      <c r="B2982">
        <v>2019</v>
      </c>
      <c r="C2982" t="s">
        <v>739</v>
      </c>
      <c r="D2982" t="s">
        <v>740</v>
      </c>
      <c r="E2982" t="s">
        <v>743</v>
      </c>
      <c r="F2982" s="34">
        <v>492</v>
      </c>
      <c r="G2982" s="34" t="s">
        <v>644</v>
      </c>
      <c r="H2982" s="36">
        <v>499826</v>
      </c>
      <c r="I2982" s="58">
        <v>3298606</v>
      </c>
      <c r="J2982">
        <f>IFERROR(VLOOKUP(G2982,'LEAID Match'!$A$2:$B$526,2,FALSE),"")</f>
        <v>2925230</v>
      </c>
      <c r="K2982" s="68">
        <f t="shared" si="93"/>
        <v>8</v>
      </c>
    </row>
    <row r="2983" spans="1:11" x14ac:dyDescent="0.2">
      <c r="A2983">
        <f t="shared" si="92"/>
        <v>2925230</v>
      </c>
      <c r="B2983">
        <v>2020</v>
      </c>
      <c r="C2983" t="s">
        <v>739</v>
      </c>
      <c r="D2983" t="s">
        <v>740</v>
      </c>
      <c r="E2983" t="s">
        <v>743</v>
      </c>
      <c r="F2983" s="34">
        <v>492</v>
      </c>
      <c r="G2983" s="34" t="s">
        <v>644</v>
      </c>
      <c r="H2983" s="36">
        <v>524096</v>
      </c>
      <c r="I2983" s="58">
        <v>3358172</v>
      </c>
      <c r="J2983">
        <f>IFERROR(VLOOKUP(G2983,'LEAID Match'!$A$2:$B$526,2,FALSE),"")</f>
        <v>2925230</v>
      </c>
      <c r="K2983" s="68">
        <f t="shared" si="93"/>
        <v>8</v>
      </c>
    </row>
    <row r="2984" spans="1:11" x14ac:dyDescent="0.2">
      <c r="A2984">
        <f t="shared" si="92"/>
        <v>2925230</v>
      </c>
      <c r="B2984">
        <v>2021</v>
      </c>
      <c r="C2984" t="s">
        <v>739</v>
      </c>
      <c r="D2984" t="s">
        <v>740</v>
      </c>
      <c r="E2984" t="s">
        <v>743</v>
      </c>
      <c r="F2984" s="34">
        <v>492</v>
      </c>
      <c r="G2984" s="34" t="s">
        <v>644</v>
      </c>
      <c r="H2984" s="36">
        <v>564036</v>
      </c>
      <c r="I2984" s="58">
        <v>3600488</v>
      </c>
      <c r="J2984">
        <f>IFERROR(VLOOKUP(G2984,'LEAID Match'!$A$2:$B$526,2,FALSE),"")</f>
        <v>2925230</v>
      </c>
      <c r="K2984" s="68">
        <f t="shared" si="93"/>
        <v>8</v>
      </c>
    </row>
    <row r="2985" spans="1:11" x14ac:dyDescent="0.2">
      <c r="A2985">
        <f t="shared" si="92"/>
        <v>2925230</v>
      </c>
      <c r="B2985">
        <v>2022</v>
      </c>
      <c r="C2985" t="s">
        <v>739</v>
      </c>
      <c r="D2985" t="s">
        <v>740</v>
      </c>
      <c r="E2985" t="s">
        <v>743</v>
      </c>
      <c r="F2985" s="34">
        <v>492</v>
      </c>
      <c r="G2985" s="34" t="s">
        <v>644</v>
      </c>
      <c r="H2985" s="36">
        <v>587477</v>
      </c>
      <c r="I2985" s="58">
        <v>3700147</v>
      </c>
      <c r="J2985">
        <f>IFERROR(VLOOKUP(G2985,'LEAID Match'!$A$2:$B$526,2,FALSE),"")</f>
        <v>2925230</v>
      </c>
      <c r="K2985" s="68">
        <f t="shared" si="93"/>
        <v>8</v>
      </c>
    </row>
    <row r="2986" spans="1:11" x14ac:dyDescent="0.2">
      <c r="A2986">
        <f t="shared" si="92"/>
        <v>2923550</v>
      </c>
      <c r="B2986">
        <v>2015</v>
      </c>
      <c r="C2986" t="s">
        <v>739</v>
      </c>
      <c r="D2986" t="s">
        <v>740</v>
      </c>
      <c r="E2986" t="s">
        <v>743</v>
      </c>
      <c r="F2986" s="35">
        <v>493</v>
      </c>
      <c r="G2986" s="39" t="s">
        <v>645</v>
      </c>
      <c r="H2986" s="40">
        <v>1514397</v>
      </c>
      <c r="I2986" s="58">
        <v>8593182</v>
      </c>
      <c r="J2986">
        <f>IFERROR(VLOOKUP(G2986,'LEAID Match'!$A$2:$B$526,2,FALSE),"")</f>
        <v>2923550</v>
      </c>
      <c r="K2986" s="68">
        <f t="shared" si="93"/>
        <v>8</v>
      </c>
    </row>
    <row r="2987" spans="1:11" x14ac:dyDescent="0.2">
      <c r="A2987">
        <f t="shared" si="92"/>
        <v>2923550</v>
      </c>
      <c r="B2987">
        <v>2016</v>
      </c>
      <c r="C2987" t="s">
        <v>739</v>
      </c>
      <c r="D2987" t="s">
        <v>740</v>
      </c>
      <c r="E2987" t="s">
        <v>743</v>
      </c>
      <c r="F2987" s="34">
        <v>493</v>
      </c>
      <c r="G2987" s="34" t="s">
        <v>645</v>
      </c>
      <c r="H2987" s="36">
        <v>1661201</v>
      </c>
      <c r="I2987" s="60">
        <v>8752688</v>
      </c>
      <c r="J2987">
        <f>IFERROR(VLOOKUP(G2987,'LEAID Match'!$A$2:$B$526,2,FALSE),"")</f>
        <v>2923550</v>
      </c>
      <c r="K2987" s="68">
        <f t="shared" si="93"/>
        <v>8</v>
      </c>
    </row>
    <row r="2988" spans="1:11" x14ac:dyDescent="0.2">
      <c r="A2988">
        <f t="shared" si="92"/>
        <v>2923550</v>
      </c>
      <c r="B2988">
        <v>2017</v>
      </c>
      <c r="C2988" t="s">
        <v>739</v>
      </c>
      <c r="D2988" t="s">
        <v>740</v>
      </c>
      <c r="E2988" t="s">
        <v>743</v>
      </c>
      <c r="F2988" s="34">
        <v>493</v>
      </c>
      <c r="G2988" s="34" t="s">
        <v>645</v>
      </c>
      <c r="H2988" s="36">
        <v>1783248</v>
      </c>
      <c r="I2988" s="58">
        <v>9183348</v>
      </c>
      <c r="J2988">
        <f>IFERROR(VLOOKUP(G2988,'LEAID Match'!$A$2:$B$526,2,FALSE),"")</f>
        <v>2923550</v>
      </c>
      <c r="K2988" s="68">
        <f t="shared" si="93"/>
        <v>8</v>
      </c>
    </row>
    <row r="2989" spans="1:11" x14ac:dyDescent="0.2">
      <c r="A2989">
        <f t="shared" si="92"/>
        <v>2923550</v>
      </c>
      <c r="B2989">
        <v>2018</v>
      </c>
      <c r="C2989" t="s">
        <v>739</v>
      </c>
      <c r="D2989" t="s">
        <v>740</v>
      </c>
      <c r="E2989" t="s">
        <v>743</v>
      </c>
      <c r="F2989" s="34">
        <v>493</v>
      </c>
      <c r="G2989" s="34" t="s">
        <v>645</v>
      </c>
      <c r="H2989" s="36">
        <v>1835218</v>
      </c>
      <c r="I2989" s="58">
        <v>9476757</v>
      </c>
      <c r="J2989">
        <f>IFERROR(VLOOKUP(G2989,'LEAID Match'!$A$2:$B$526,2,FALSE),"")</f>
        <v>2923550</v>
      </c>
      <c r="K2989" s="68">
        <f t="shared" si="93"/>
        <v>8</v>
      </c>
    </row>
    <row r="2990" spans="1:11" x14ac:dyDescent="0.2">
      <c r="A2990">
        <f t="shared" si="92"/>
        <v>2923550</v>
      </c>
      <c r="B2990">
        <v>2019</v>
      </c>
      <c r="C2990" t="s">
        <v>739</v>
      </c>
      <c r="D2990" t="s">
        <v>740</v>
      </c>
      <c r="E2990" t="s">
        <v>743</v>
      </c>
      <c r="F2990" s="34">
        <v>493</v>
      </c>
      <c r="G2990" s="34" t="s">
        <v>645</v>
      </c>
      <c r="H2990" s="36">
        <v>1920285</v>
      </c>
      <c r="I2990" s="58">
        <v>9823418</v>
      </c>
      <c r="J2990">
        <f>IFERROR(VLOOKUP(G2990,'LEAID Match'!$A$2:$B$526,2,FALSE),"")</f>
        <v>2923550</v>
      </c>
      <c r="K2990" s="68">
        <f t="shared" si="93"/>
        <v>8</v>
      </c>
    </row>
    <row r="2991" spans="1:11" x14ac:dyDescent="0.2">
      <c r="A2991">
        <f t="shared" si="92"/>
        <v>2923550</v>
      </c>
      <c r="B2991">
        <v>2020</v>
      </c>
      <c r="C2991" t="s">
        <v>739</v>
      </c>
      <c r="D2991" t="s">
        <v>740</v>
      </c>
      <c r="E2991" t="s">
        <v>743</v>
      </c>
      <c r="F2991" s="34">
        <v>493</v>
      </c>
      <c r="G2991" s="34" t="s">
        <v>645</v>
      </c>
      <c r="H2991" s="36">
        <v>2079002</v>
      </c>
      <c r="I2991" s="58">
        <v>10507387</v>
      </c>
      <c r="J2991">
        <f>IFERROR(VLOOKUP(G2991,'LEAID Match'!$A$2:$B$526,2,FALSE),"")</f>
        <v>2923550</v>
      </c>
      <c r="K2991" s="68">
        <f t="shared" si="93"/>
        <v>8</v>
      </c>
    </row>
    <row r="2992" spans="1:11" x14ac:dyDescent="0.2">
      <c r="A2992">
        <f t="shared" si="92"/>
        <v>2923550</v>
      </c>
      <c r="B2992">
        <v>2021</v>
      </c>
      <c r="C2992" t="s">
        <v>739</v>
      </c>
      <c r="D2992" t="s">
        <v>740</v>
      </c>
      <c r="E2992" t="s">
        <v>743</v>
      </c>
      <c r="F2992" s="34">
        <v>493</v>
      </c>
      <c r="G2992" s="34" t="s">
        <v>645</v>
      </c>
      <c r="H2992" s="36">
        <v>2198368</v>
      </c>
      <c r="I2992" s="58">
        <v>10956491</v>
      </c>
      <c r="J2992">
        <f>IFERROR(VLOOKUP(G2992,'LEAID Match'!$A$2:$B$526,2,FALSE),"")</f>
        <v>2923550</v>
      </c>
      <c r="K2992" s="68">
        <f t="shared" si="93"/>
        <v>8</v>
      </c>
    </row>
    <row r="2993" spans="1:11" x14ac:dyDescent="0.2">
      <c r="A2993">
        <f t="shared" si="92"/>
        <v>2923550</v>
      </c>
      <c r="B2993">
        <v>2022</v>
      </c>
      <c r="C2993" t="s">
        <v>739</v>
      </c>
      <c r="D2993" t="s">
        <v>740</v>
      </c>
      <c r="E2993" t="s">
        <v>743</v>
      </c>
      <c r="F2993" s="34">
        <v>493</v>
      </c>
      <c r="G2993" s="34" t="s">
        <v>645</v>
      </c>
      <c r="H2993" s="36">
        <v>2298696</v>
      </c>
      <c r="I2993" s="58">
        <v>11155466</v>
      </c>
      <c r="J2993">
        <f>IFERROR(VLOOKUP(G2993,'LEAID Match'!$A$2:$B$526,2,FALSE),"")</f>
        <v>2923550</v>
      </c>
      <c r="K2993" s="68">
        <f t="shared" si="93"/>
        <v>8</v>
      </c>
    </row>
    <row r="2994" spans="1:11" x14ac:dyDescent="0.2">
      <c r="A2994">
        <f t="shared" si="92"/>
        <v>2905370</v>
      </c>
      <c r="B2994">
        <v>2015</v>
      </c>
      <c r="C2994" t="s">
        <v>739</v>
      </c>
      <c r="D2994" t="s">
        <v>740</v>
      </c>
      <c r="E2994" t="s">
        <v>743</v>
      </c>
      <c r="F2994" s="35">
        <v>494</v>
      </c>
      <c r="G2994" s="39" t="s">
        <v>646</v>
      </c>
      <c r="H2994" s="40">
        <v>235848</v>
      </c>
      <c r="I2994" s="58">
        <v>1726480</v>
      </c>
      <c r="J2994">
        <f>IFERROR(VLOOKUP(G2994,'LEAID Match'!$A$2:$B$526,2,FALSE),"")</f>
        <v>2905370</v>
      </c>
      <c r="K2994" s="68">
        <f t="shared" si="93"/>
        <v>8</v>
      </c>
    </row>
    <row r="2995" spans="1:11" x14ac:dyDescent="0.2">
      <c r="A2995">
        <f t="shared" si="92"/>
        <v>2905370</v>
      </c>
      <c r="B2995">
        <v>2016</v>
      </c>
      <c r="C2995" t="s">
        <v>739</v>
      </c>
      <c r="D2995" t="s">
        <v>740</v>
      </c>
      <c r="E2995" t="s">
        <v>743</v>
      </c>
      <c r="F2995" s="34">
        <v>494</v>
      </c>
      <c r="G2995" s="34" t="s">
        <v>646</v>
      </c>
      <c r="H2995" s="36">
        <v>240036</v>
      </c>
      <c r="I2995" s="60">
        <v>1773731</v>
      </c>
      <c r="J2995">
        <f>IFERROR(VLOOKUP(G2995,'LEAID Match'!$A$2:$B$526,2,FALSE),"")</f>
        <v>2905370</v>
      </c>
      <c r="K2995" s="68">
        <f t="shared" si="93"/>
        <v>8</v>
      </c>
    </row>
    <row r="2996" spans="1:11" x14ac:dyDescent="0.2">
      <c r="A2996">
        <f t="shared" si="92"/>
        <v>2905370</v>
      </c>
      <c r="B2996">
        <v>2017</v>
      </c>
      <c r="C2996" t="s">
        <v>739</v>
      </c>
      <c r="D2996" t="s">
        <v>740</v>
      </c>
      <c r="E2996" t="s">
        <v>743</v>
      </c>
      <c r="F2996" s="34">
        <v>494</v>
      </c>
      <c r="G2996" s="34" t="s">
        <v>646</v>
      </c>
      <c r="H2996" s="36">
        <v>248322</v>
      </c>
      <c r="I2996" s="58">
        <v>1762171</v>
      </c>
      <c r="J2996">
        <f>IFERROR(VLOOKUP(G2996,'LEAID Match'!$A$2:$B$526,2,FALSE),"")</f>
        <v>2905370</v>
      </c>
      <c r="K2996" s="68">
        <f t="shared" si="93"/>
        <v>8</v>
      </c>
    </row>
    <row r="2997" spans="1:11" x14ac:dyDescent="0.2">
      <c r="A2997">
        <f t="shared" si="92"/>
        <v>2905370</v>
      </c>
      <c r="B2997">
        <v>2018</v>
      </c>
      <c r="C2997" t="s">
        <v>739</v>
      </c>
      <c r="D2997" t="s">
        <v>740</v>
      </c>
      <c r="E2997" t="s">
        <v>743</v>
      </c>
      <c r="F2997" s="34">
        <v>494</v>
      </c>
      <c r="G2997" s="34" t="s">
        <v>646</v>
      </c>
      <c r="H2997" s="36">
        <v>253835</v>
      </c>
      <c r="I2997" s="58">
        <v>1817381</v>
      </c>
      <c r="J2997">
        <f>IFERROR(VLOOKUP(G2997,'LEAID Match'!$A$2:$B$526,2,FALSE),"")</f>
        <v>2905370</v>
      </c>
      <c r="K2997" s="68">
        <f t="shared" si="93"/>
        <v>8</v>
      </c>
    </row>
    <row r="2998" spans="1:11" x14ac:dyDescent="0.2">
      <c r="A2998">
        <f t="shared" si="92"/>
        <v>2905370</v>
      </c>
      <c r="B2998">
        <v>2019</v>
      </c>
      <c r="C2998" t="s">
        <v>739</v>
      </c>
      <c r="D2998" t="s">
        <v>740</v>
      </c>
      <c r="E2998" t="s">
        <v>743</v>
      </c>
      <c r="F2998" s="34">
        <v>494</v>
      </c>
      <c r="G2998" s="34" t="s">
        <v>646</v>
      </c>
      <c r="H2998" s="36">
        <v>261779</v>
      </c>
      <c r="I2998" s="58">
        <v>1847640</v>
      </c>
      <c r="J2998">
        <f>IFERROR(VLOOKUP(G2998,'LEAID Match'!$A$2:$B$526,2,FALSE),"")</f>
        <v>2905370</v>
      </c>
      <c r="K2998" s="68">
        <f t="shared" si="93"/>
        <v>8</v>
      </c>
    </row>
    <row r="2999" spans="1:11" x14ac:dyDescent="0.2">
      <c r="A2999">
        <f t="shared" si="92"/>
        <v>2905370</v>
      </c>
      <c r="B2999">
        <v>2020</v>
      </c>
      <c r="C2999" t="s">
        <v>739</v>
      </c>
      <c r="D2999" t="s">
        <v>740</v>
      </c>
      <c r="E2999" t="s">
        <v>743</v>
      </c>
      <c r="F2999" s="34">
        <v>494</v>
      </c>
      <c r="G2999" s="34" t="s">
        <v>646</v>
      </c>
      <c r="H2999" s="36">
        <v>281236</v>
      </c>
      <c r="I2999" s="58">
        <v>1924210</v>
      </c>
      <c r="J2999">
        <f>IFERROR(VLOOKUP(G2999,'LEAID Match'!$A$2:$B$526,2,FALSE),"")</f>
        <v>2905370</v>
      </c>
      <c r="K2999" s="68">
        <f t="shared" si="93"/>
        <v>8</v>
      </c>
    </row>
    <row r="3000" spans="1:11" x14ac:dyDescent="0.2">
      <c r="A3000">
        <f t="shared" si="92"/>
        <v>2905370</v>
      </c>
      <c r="B3000">
        <v>2021</v>
      </c>
      <c r="C3000" t="s">
        <v>739</v>
      </c>
      <c r="D3000" t="s">
        <v>740</v>
      </c>
      <c r="E3000" t="s">
        <v>743</v>
      </c>
      <c r="F3000" s="34">
        <v>494</v>
      </c>
      <c r="G3000" s="34" t="s">
        <v>646</v>
      </c>
      <c r="H3000" s="36">
        <v>300336</v>
      </c>
      <c r="I3000" s="58">
        <v>2034926</v>
      </c>
      <c r="J3000">
        <f>IFERROR(VLOOKUP(G3000,'LEAID Match'!$A$2:$B$526,2,FALSE),"")</f>
        <v>2905370</v>
      </c>
      <c r="K3000" s="68">
        <f t="shared" si="93"/>
        <v>8</v>
      </c>
    </row>
    <row r="3001" spans="1:11" x14ac:dyDescent="0.2">
      <c r="A3001">
        <f t="shared" si="92"/>
        <v>2905370</v>
      </c>
      <c r="B3001">
        <v>2022</v>
      </c>
      <c r="C3001" t="s">
        <v>739</v>
      </c>
      <c r="D3001" t="s">
        <v>740</v>
      </c>
      <c r="E3001" t="s">
        <v>743</v>
      </c>
      <c r="F3001" s="34">
        <v>494</v>
      </c>
      <c r="G3001" s="34" t="s">
        <v>646</v>
      </c>
      <c r="H3001" s="36">
        <v>311678</v>
      </c>
      <c r="I3001" s="58">
        <v>2133081</v>
      </c>
      <c r="J3001">
        <f>IFERROR(VLOOKUP(G3001,'LEAID Match'!$A$2:$B$526,2,FALSE),"")</f>
        <v>2905370</v>
      </c>
      <c r="K3001" s="68">
        <f t="shared" si="93"/>
        <v>8</v>
      </c>
    </row>
    <row r="3002" spans="1:11" x14ac:dyDescent="0.2">
      <c r="A3002">
        <f t="shared" si="92"/>
        <v>2911730</v>
      </c>
      <c r="B3002">
        <v>2015</v>
      </c>
      <c r="C3002" t="s">
        <v>739</v>
      </c>
      <c r="D3002" t="s">
        <v>740</v>
      </c>
      <c r="E3002" t="s">
        <v>743</v>
      </c>
      <c r="F3002" s="35">
        <v>495</v>
      </c>
      <c r="G3002" s="39" t="s">
        <v>647</v>
      </c>
      <c r="H3002" s="40">
        <v>75661</v>
      </c>
      <c r="I3002" s="58">
        <v>399951</v>
      </c>
      <c r="J3002">
        <f>IFERROR(VLOOKUP(G3002,'LEAID Match'!$A$2:$B$526,2,FALSE),"")</f>
        <v>2911730</v>
      </c>
      <c r="K3002" s="68">
        <f t="shared" si="93"/>
        <v>8</v>
      </c>
    </row>
    <row r="3003" spans="1:11" x14ac:dyDescent="0.2">
      <c r="A3003">
        <f t="shared" si="92"/>
        <v>2911730</v>
      </c>
      <c r="B3003">
        <v>2016</v>
      </c>
      <c r="C3003" t="s">
        <v>739</v>
      </c>
      <c r="D3003" t="s">
        <v>740</v>
      </c>
      <c r="E3003" t="s">
        <v>743</v>
      </c>
      <c r="F3003" s="34">
        <v>495</v>
      </c>
      <c r="G3003" s="34" t="s">
        <v>647</v>
      </c>
      <c r="H3003" s="36">
        <v>77403</v>
      </c>
      <c r="I3003" s="60">
        <v>405401</v>
      </c>
      <c r="J3003">
        <f>IFERROR(VLOOKUP(G3003,'LEAID Match'!$A$2:$B$526,2,FALSE),"")</f>
        <v>2911730</v>
      </c>
      <c r="K3003" s="68">
        <f t="shared" si="93"/>
        <v>8</v>
      </c>
    </row>
    <row r="3004" spans="1:11" x14ac:dyDescent="0.2">
      <c r="A3004">
        <f t="shared" si="92"/>
        <v>2911730</v>
      </c>
      <c r="B3004">
        <v>2017</v>
      </c>
      <c r="C3004" t="s">
        <v>739</v>
      </c>
      <c r="D3004" t="s">
        <v>740</v>
      </c>
      <c r="E3004" t="s">
        <v>743</v>
      </c>
      <c r="F3004" s="34">
        <v>495</v>
      </c>
      <c r="G3004" s="34" t="s">
        <v>647</v>
      </c>
      <c r="H3004" s="36">
        <v>75563</v>
      </c>
      <c r="I3004" s="58">
        <v>414023</v>
      </c>
      <c r="J3004">
        <f>IFERROR(VLOOKUP(G3004,'LEAID Match'!$A$2:$B$526,2,FALSE),"")</f>
        <v>2911730</v>
      </c>
      <c r="K3004" s="68">
        <f t="shared" si="93"/>
        <v>8</v>
      </c>
    </row>
    <row r="3005" spans="1:11" x14ac:dyDescent="0.2">
      <c r="A3005">
        <f t="shared" si="92"/>
        <v>2911730</v>
      </c>
      <c r="B3005">
        <v>2018</v>
      </c>
      <c r="C3005" t="s">
        <v>739</v>
      </c>
      <c r="D3005" t="s">
        <v>740</v>
      </c>
      <c r="E3005" t="s">
        <v>743</v>
      </c>
      <c r="F3005" s="34">
        <v>495</v>
      </c>
      <c r="G3005" s="34" t="s">
        <v>647</v>
      </c>
      <c r="H3005" s="36">
        <v>74720</v>
      </c>
      <c r="I3005" s="58">
        <v>429168</v>
      </c>
      <c r="J3005">
        <f>IFERROR(VLOOKUP(G3005,'LEAID Match'!$A$2:$B$526,2,FALSE),"")</f>
        <v>2911730</v>
      </c>
      <c r="K3005" s="68">
        <f t="shared" si="93"/>
        <v>8</v>
      </c>
    </row>
    <row r="3006" spans="1:11" x14ac:dyDescent="0.2">
      <c r="A3006">
        <f t="shared" si="92"/>
        <v>2911730</v>
      </c>
      <c r="B3006">
        <v>2019</v>
      </c>
      <c r="C3006" t="s">
        <v>739</v>
      </c>
      <c r="D3006" t="s">
        <v>740</v>
      </c>
      <c r="E3006" t="s">
        <v>743</v>
      </c>
      <c r="F3006" s="34">
        <v>495</v>
      </c>
      <c r="G3006" s="34" t="s">
        <v>647</v>
      </c>
      <c r="H3006" s="36">
        <v>99980</v>
      </c>
      <c r="I3006" s="58">
        <v>445944</v>
      </c>
      <c r="J3006">
        <f>IFERROR(VLOOKUP(G3006,'LEAID Match'!$A$2:$B$526,2,FALSE),"")</f>
        <v>2911730</v>
      </c>
      <c r="K3006" s="68">
        <f t="shared" si="93"/>
        <v>8</v>
      </c>
    </row>
    <row r="3007" spans="1:11" x14ac:dyDescent="0.2">
      <c r="A3007">
        <f t="shared" si="92"/>
        <v>2911730</v>
      </c>
      <c r="B3007">
        <v>2020</v>
      </c>
      <c r="C3007" t="s">
        <v>739</v>
      </c>
      <c r="D3007" t="s">
        <v>740</v>
      </c>
      <c r="E3007" t="s">
        <v>743</v>
      </c>
      <c r="F3007" s="34">
        <v>495</v>
      </c>
      <c r="G3007" s="34" t="s">
        <v>647</v>
      </c>
      <c r="H3007" s="36">
        <v>47834</v>
      </c>
      <c r="I3007" s="58">
        <v>255247</v>
      </c>
      <c r="J3007">
        <f>IFERROR(VLOOKUP(G3007,'LEAID Match'!$A$2:$B$526,2,FALSE),"")</f>
        <v>2911730</v>
      </c>
      <c r="K3007" s="68">
        <f t="shared" si="93"/>
        <v>8</v>
      </c>
    </row>
    <row r="3008" spans="1:11" x14ac:dyDescent="0.2">
      <c r="A3008">
        <f t="shared" si="92"/>
        <v>2911730</v>
      </c>
      <c r="B3008">
        <v>2021</v>
      </c>
      <c r="C3008" t="s">
        <v>739</v>
      </c>
      <c r="D3008" t="s">
        <v>740</v>
      </c>
      <c r="E3008" t="s">
        <v>743</v>
      </c>
      <c r="F3008" s="34">
        <v>495</v>
      </c>
      <c r="G3008" s="34" t="s">
        <v>647</v>
      </c>
      <c r="H3008" s="36">
        <v>48843</v>
      </c>
      <c r="I3008" s="58">
        <v>257021</v>
      </c>
      <c r="J3008">
        <f>IFERROR(VLOOKUP(G3008,'LEAID Match'!$A$2:$B$526,2,FALSE),"")</f>
        <v>2911730</v>
      </c>
      <c r="K3008" s="68">
        <f t="shared" si="93"/>
        <v>8</v>
      </c>
    </row>
    <row r="3009" spans="1:11" x14ac:dyDescent="0.2">
      <c r="A3009">
        <f t="shared" si="92"/>
        <v>2911730</v>
      </c>
      <c r="B3009">
        <v>2022</v>
      </c>
      <c r="C3009" t="s">
        <v>739</v>
      </c>
      <c r="D3009" t="s">
        <v>740</v>
      </c>
      <c r="E3009" t="s">
        <v>743</v>
      </c>
      <c r="F3009" s="34">
        <v>495</v>
      </c>
      <c r="G3009" s="34" t="s">
        <v>647</v>
      </c>
      <c r="H3009" s="36">
        <v>49451</v>
      </c>
      <c r="I3009" s="58">
        <v>274085</v>
      </c>
      <c r="J3009">
        <f>IFERROR(VLOOKUP(G3009,'LEAID Match'!$A$2:$B$526,2,FALSE),"")</f>
        <v>2911730</v>
      </c>
      <c r="K3009" s="68">
        <f t="shared" si="93"/>
        <v>8</v>
      </c>
    </row>
    <row r="3010" spans="1:11" x14ac:dyDescent="0.2">
      <c r="A3010">
        <f t="shared" si="92"/>
        <v>2913530</v>
      </c>
      <c r="B3010">
        <v>2015</v>
      </c>
      <c r="C3010" t="s">
        <v>739</v>
      </c>
      <c r="D3010" t="s">
        <v>740</v>
      </c>
      <c r="E3010" t="s">
        <v>743</v>
      </c>
      <c r="F3010" s="35">
        <v>496</v>
      </c>
      <c r="G3010" s="39" t="s">
        <v>648</v>
      </c>
      <c r="H3010" s="40">
        <v>29890</v>
      </c>
      <c r="I3010" s="58">
        <v>168638</v>
      </c>
      <c r="J3010">
        <f>IFERROR(VLOOKUP(G3010,'LEAID Match'!$A$2:$B$526,2,FALSE),"")</f>
        <v>2913530</v>
      </c>
      <c r="K3010" s="68">
        <f t="shared" si="93"/>
        <v>8</v>
      </c>
    </row>
    <row r="3011" spans="1:11" x14ac:dyDescent="0.2">
      <c r="A3011">
        <f t="shared" ref="A3011:A3074" si="94">J3011</f>
        <v>2913530</v>
      </c>
      <c r="B3011">
        <v>2016</v>
      </c>
      <c r="C3011" t="s">
        <v>739</v>
      </c>
      <c r="D3011" t="s">
        <v>740</v>
      </c>
      <c r="E3011" t="s">
        <v>743</v>
      </c>
      <c r="F3011" s="34">
        <v>496</v>
      </c>
      <c r="G3011" s="34" t="s">
        <v>648</v>
      </c>
      <c r="H3011" s="36">
        <v>32374</v>
      </c>
      <c r="I3011" s="60">
        <v>162075</v>
      </c>
      <c r="J3011">
        <f>IFERROR(VLOOKUP(G3011,'LEAID Match'!$A$2:$B$526,2,FALSE),"")</f>
        <v>2913530</v>
      </c>
      <c r="K3011" s="68">
        <f t="shared" ref="K3011:K3074" si="95">COUNTIF($J$2:$J$4295,J3011)</f>
        <v>8</v>
      </c>
    </row>
    <row r="3012" spans="1:11" x14ac:dyDescent="0.2">
      <c r="A3012">
        <f t="shared" si="94"/>
        <v>2913530</v>
      </c>
      <c r="B3012">
        <v>2017</v>
      </c>
      <c r="C3012" t="s">
        <v>739</v>
      </c>
      <c r="D3012" t="s">
        <v>740</v>
      </c>
      <c r="E3012" t="s">
        <v>743</v>
      </c>
      <c r="F3012" s="34">
        <v>496</v>
      </c>
      <c r="G3012" s="34" t="s">
        <v>648</v>
      </c>
      <c r="H3012" s="36">
        <v>31142</v>
      </c>
      <c r="I3012" s="58">
        <v>174592</v>
      </c>
      <c r="J3012">
        <f>IFERROR(VLOOKUP(G3012,'LEAID Match'!$A$2:$B$526,2,FALSE),"")</f>
        <v>2913530</v>
      </c>
      <c r="K3012" s="68">
        <f t="shared" si="95"/>
        <v>8</v>
      </c>
    </row>
    <row r="3013" spans="1:11" x14ac:dyDescent="0.2">
      <c r="A3013">
        <f t="shared" si="94"/>
        <v>2913530</v>
      </c>
      <c r="B3013">
        <v>2018</v>
      </c>
      <c r="C3013" t="s">
        <v>739</v>
      </c>
      <c r="D3013" t="s">
        <v>740</v>
      </c>
      <c r="E3013" t="s">
        <v>743</v>
      </c>
      <c r="F3013" s="34">
        <v>496</v>
      </c>
      <c r="G3013" s="34" t="s">
        <v>648</v>
      </c>
      <c r="H3013" s="36">
        <v>32030</v>
      </c>
      <c r="I3013" s="58">
        <v>180219</v>
      </c>
      <c r="J3013">
        <f>IFERROR(VLOOKUP(G3013,'LEAID Match'!$A$2:$B$526,2,FALSE),"")</f>
        <v>2913530</v>
      </c>
      <c r="K3013" s="68">
        <f t="shared" si="95"/>
        <v>8</v>
      </c>
    </row>
    <row r="3014" spans="1:11" x14ac:dyDescent="0.2">
      <c r="A3014">
        <f t="shared" si="94"/>
        <v>2913530</v>
      </c>
      <c r="B3014">
        <v>2019</v>
      </c>
      <c r="C3014" t="s">
        <v>739</v>
      </c>
      <c r="D3014" t="s">
        <v>740</v>
      </c>
      <c r="E3014" t="s">
        <v>743</v>
      </c>
      <c r="F3014" s="34">
        <v>496</v>
      </c>
      <c r="G3014" s="34" t="s">
        <v>648</v>
      </c>
      <c r="H3014" s="36">
        <v>32856</v>
      </c>
      <c r="I3014" s="58">
        <v>181014</v>
      </c>
      <c r="J3014">
        <f>IFERROR(VLOOKUP(G3014,'LEAID Match'!$A$2:$B$526,2,FALSE),"")</f>
        <v>2913530</v>
      </c>
      <c r="K3014" s="68">
        <f t="shared" si="95"/>
        <v>8</v>
      </c>
    </row>
    <row r="3015" spans="1:11" x14ac:dyDescent="0.2">
      <c r="A3015">
        <f t="shared" si="94"/>
        <v>2913530</v>
      </c>
      <c r="B3015">
        <v>2020</v>
      </c>
      <c r="C3015" t="s">
        <v>739</v>
      </c>
      <c r="D3015" t="s">
        <v>740</v>
      </c>
      <c r="E3015" t="s">
        <v>743</v>
      </c>
      <c r="F3015" s="34">
        <v>496</v>
      </c>
      <c r="G3015" s="34" t="s">
        <v>648</v>
      </c>
      <c r="H3015" s="36">
        <v>34334</v>
      </c>
      <c r="I3015" s="58">
        <v>170544</v>
      </c>
      <c r="J3015">
        <f>IFERROR(VLOOKUP(G3015,'LEAID Match'!$A$2:$B$526,2,FALSE),"")</f>
        <v>2913530</v>
      </c>
      <c r="K3015" s="68">
        <f t="shared" si="95"/>
        <v>8</v>
      </c>
    </row>
    <row r="3016" spans="1:11" x14ac:dyDescent="0.2">
      <c r="A3016">
        <f t="shared" si="94"/>
        <v>2913530</v>
      </c>
      <c r="B3016">
        <v>2021</v>
      </c>
      <c r="C3016" t="s">
        <v>739</v>
      </c>
      <c r="D3016" t="s">
        <v>740</v>
      </c>
      <c r="E3016" t="s">
        <v>743</v>
      </c>
      <c r="F3016" s="34">
        <v>496</v>
      </c>
      <c r="G3016" s="34" t="s">
        <v>648</v>
      </c>
      <c r="H3016" s="36">
        <v>36145</v>
      </c>
      <c r="I3016" s="58">
        <v>171360</v>
      </c>
      <c r="J3016">
        <f>IFERROR(VLOOKUP(G3016,'LEAID Match'!$A$2:$B$526,2,FALSE),"")</f>
        <v>2913530</v>
      </c>
      <c r="K3016" s="68">
        <f t="shared" si="95"/>
        <v>8</v>
      </c>
    </row>
    <row r="3017" spans="1:11" x14ac:dyDescent="0.2">
      <c r="A3017">
        <f t="shared" si="94"/>
        <v>2913530</v>
      </c>
      <c r="B3017">
        <v>2022</v>
      </c>
      <c r="C3017" t="s">
        <v>739</v>
      </c>
      <c r="D3017" t="s">
        <v>740</v>
      </c>
      <c r="E3017" t="s">
        <v>743</v>
      </c>
      <c r="F3017" s="34">
        <v>496</v>
      </c>
      <c r="G3017" s="34" t="s">
        <v>648</v>
      </c>
      <c r="H3017" s="36">
        <v>38322</v>
      </c>
      <c r="I3017" s="58">
        <v>194103</v>
      </c>
      <c r="J3017">
        <f>IFERROR(VLOOKUP(G3017,'LEAID Match'!$A$2:$B$526,2,FALSE),"")</f>
        <v>2913530</v>
      </c>
      <c r="K3017" s="68">
        <f t="shared" si="95"/>
        <v>8</v>
      </c>
    </row>
    <row r="3018" spans="1:11" x14ac:dyDescent="0.2">
      <c r="A3018">
        <f t="shared" si="94"/>
        <v>2915300</v>
      </c>
      <c r="B3018">
        <v>2015</v>
      </c>
      <c r="C3018" t="s">
        <v>739</v>
      </c>
      <c r="D3018" t="s">
        <v>740</v>
      </c>
      <c r="E3018" t="s">
        <v>743</v>
      </c>
      <c r="F3018" s="35">
        <v>497</v>
      </c>
      <c r="G3018" s="39" t="s">
        <v>649</v>
      </c>
      <c r="H3018" s="40">
        <v>31672</v>
      </c>
      <c r="I3018" s="58">
        <v>228000</v>
      </c>
      <c r="J3018">
        <f>IFERROR(VLOOKUP(G3018,'LEAID Match'!$A$2:$B$526,2,FALSE),"")</f>
        <v>2915300</v>
      </c>
      <c r="K3018" s="68">
        <f t="shared" si="95"/>
        <v>8</v>
      </c>
    </row>
    <row r="3019" spans="1:11" x14ac:dyDescent="0.2">
      <c r="A3019">
        <f t="shared" si="94"/>
        <v>2915300</v>
      </c>
      <c r="B3019">
        <v>2016</v>
      </c>
      <c r="C3019" t="s">
        <v>739</v>
      </c>
      <c r="D3019" t="s">
        <v>740</v>
      </c>
      <c r="E3019" t="s">
        <v>743</v>
      </c>
      <c r="F3019" s="34">
        <v>497</v>
      </c>
      <c r="G3019" s="34" t="s">
        <v>649</v>
      </c>
      <c r="H3019" s="36">
        <v>32084</v>
      </c>
      <c r="I3019" s="60">
        <v>232071</v>
      </c>
      <c r="J3019">
        <f>IFERROR(VLOOKUP(G3019,'LEAID Match'!$A$2:$B$526,2,FALSE),"")</f>
        <v>2915300</v>
      </c>
      <c r="K3019" s="68">
        <f t="shared" si="95"/>
        <v>8</v>
      </c>
    </row>
    <row r="3020" spans="1:11" x14ac:dyDescent="0.2">
      <c r="A3020">
        <f t="shared" si="94"/>
        <v>2915300</v>
      </c>
      <c r="B3020">
        <v>2017</v>
      </c>
      <c r="C3020" t="s">
        <v>739</v>
      </c>
      <c r="D3020" t="s">
        <v>740</v>
      </c>
      <c r="E3020" t="s">
        <v>743</v>
      </c>
      <c r="F3020" s="34">
        <v>497</v>
      </c>
      <c r="G3020" s="34" t="s">
        <v>649</v>
      </c>
      <c r="H3020" s="36">
        <v>31871</v>
      </c>
      <c r="I3020" s="58">
        <v>244394</v>
      </c>
      <c r="J3020">
        <f>IFERROR(VLOOKUP(G3020,'LEAID Match'!$A$2:$B$526,2,FALSE),"")</f>
        <v>2915300</v>
      </c>
      <c r="K3020" s="68">
        <f t="shared" si="95"/>
        <v>8</v>
      </c>
    </row>
    <row r="3021" spans="1:11" x14ac:dyDescent="0.2">
      <c r="A3021">
        <f t="shared" si="94"/>
        <v>2915300</v>
      </c>
      <c r="B3021">
        <v>2018</v>
      </c>
      <c r="C3021" t="s">
        <v>739</v>
      </c>
      <c r="D3021" t="s">
        <v>740</v>
      </c>
      <c r="E3021" t="s">
        <v>743</v>
      </c>
      <c r="F3021" s="34">
        <v>497</v>
      </c>
      <c r="G3021" s="34" t="s">
        <v>649</v>
      </c>
      <c r="H3021" s="36">
        <v>34631</v>
      </c>
      <c r="I3021" s="58">
        <v>250905</v>
      </c>
      <c r="J3021">
        <f>IFERROR(VLOOKUP(G3021,'LEAID Match'!$A$2:$B$526,2,FALSE),"")</f>
        <v>2915300</v>
      </c>
      <c r="K3021" s="68">
        <f t="shared" si="95"/>
        <v>8</v>
      </c>
    </row>
    <row r="3022" spans="1:11" x14ac:dyDescent="0.2">
      <c r="A3022">
        <f t="shared" si="94"/>
        <v>2915300</v>
      </c>
      <c r="B3022">
        <v>2019</v>
      </c>
      <c r="C3022" t="s">
        <v>739</v>
      </c>
      <c r="D3022" t="s">
        <v>740</v>
      </c>
      <c r="E3022" t="s">
        <v>743</v>
      </c>
      <c r="F3022" s="34">
        <v>497</v>
      </c>
      <c r="G3022" s="34" t="s">
        <v>649</v>
      </c>
      <c r="H3022" s="36">
        <v>36620</v>
      </c>
      <c r="I3022" s="58">
        <v>264913</v>
      </c>
      <c r="J3022">
        <f>IFERROR(VLOOKUP(G3022,'LEAID Match'!$A$2:$B$526,2,FALSE),"")</f>
        <v>2915300</v>
      </c>
      <c r="K3022" s="68">
        <f t="shared" si="95"/>
        <v>8</v>
      </c>
    </row>
    <row r="3023" spans="1:11" x14ac:dyDescent="0.2">
      <c r="A3023">
        <f t="shared" si="94"/>
        <v>2915300</v>
      </c>
      <c r="B3023">
        <v>2020</v>
      </c>
      <c r="C3023" t="s">
        <v>739</v>
      </c>
      <c r="D3023" t="s">
        <v>740</v>
      </c>
      <c r="E3023" t="s">
        <v>743</v>
      </c>
      <c r="F3023" s="34">
        <v>497</v>
      </c>
      <c r="G3023" s="34" t="s">
        <v>649</v>
      </c>
      <c r="H3023" s="36">
        <v>34821</v>
      </c>
      <c r="I3023" s="58">
        <v>264469</v>
      </c>
      <c r="J3023">
        <f>IFERROR(VLOOKUP(G3023,'LEAID Match'!$A$2:$B$526,2,FALSE),"")</f>
        <v>2915300</v>
      </c>
      <c r="K3023" s="68">
        <f t="shared" si="95"/>
        <v>8</v>
      </c>
    </row>
    <row r="3024" spans="1:11" x14ac:dyDescent="0.2">
      <c r="A3024">
        <f t="shared" si="94"/>
        <v>2915300</v>
      </c>
      <c r="B3024">
        <v>2021</v>
      </c>
      <c r="C3024" t="s">
        <v>739</v>
      </c>
      <c r="D3024" t="s">
        <v>740</v>
      </c>
      <c r="E3024" t="s">
        <v>743</v>
      </c>
      <c r="F3024" s="34">
        <v>497</v>
      </c>
      <c r="G3024" s="34" t="s">
        <v>649</v>
      </c>
      <c r="H3024" s="36">
        <v>36914</v>
      </c>
      <c r="I3024" s="58">
        <v>264521</v>
      </c>
      <c r="J3024">
        <f>IFERROR(VLOOKUP(G3024,'LEAID Match'!$A$2:$B$526,2,FALSE),"")</f>
        <v>2915300</v>
      </c>
      <c r="K3024" s="68">
        <f t="shared" si="95"/>
        <v>8</v>
      </c>
    </row>
    <row r="3025" spans="1:11" x14ac:dyDescent="0.2">
      <c r="A3025">
        <f t="shared" si="94"/>
        <v>2915300</v>
      </c>
      <c r="B3025">
        <v>2022</v>
      </c>
      <c r="C3025" t="s">
        <v>739</v>
      </c>
      <c r="D3025" t="s">
        <v>740</v>
      </c>
      <c r="E3025" t="s">
        <v>743</v>
      </c>
      <c r="F3025" s="34">
        <v>497</v>
      </c>
      <c r="G3025" s="34" t="s">
        <v>649</v>
      </c>
      <c r="H3025" s="36">
        <v>38894</v>
      </c>
      <c r="I3025" s="58">
        <v>266063</v>
      </c>
      <c r="J3025">
        <f>IFERROR(VLOOKUP(G3025,'LEAID Match'!$A$2:$B$526,2,FALSE),"")</f>
        <v>2915300</v>
      </c>
      <c r="K3025" s="68">
        <f t="shared" si="95"/>
        <v>8</v>
      </c>
    </row>
    <row r="3026" spans="1:11" x14ac:dyDescent="0.2">
      <c r="A3026">
        <f t="shared" si="94"/>
        <v>2920160</v>
      </c>
      <c r="B3026">
        <v>2015</v>
      </c>
      <c r="C3026" t="s">
        <v>739</v>
      </c>
      <c r="D3026" t="s">
        <v>740</v>
      </c>
      <c r="E3026" t="s">
        <v>743</v>
      </c>
      <c r="F3026" s="35">
        <v>498</v>
      </c>
      <c r="G3026" s="39" t="s">
        <v>650</v>
      </c>
      <c r="H3026" s="40">
        <v>63580</v>
      </c>
      <c r="I3026" s="58">
        <v>328825</v>
      </c>
      <c r="J3026">
        <f>IFERROR(VLOOKUP(G3026,'LEAID Match'!$A$2:$B$526,2,FALSE),"")</f>
        <v>2920160</v>
      </c>
      <c r="K3026" s="68">
        <f t="shared" si="95"/>
        <v>8</v>
      </c>
    </row>
    <row r="3027" spans="1:11" x14ac:dyDescent="0.2">
      <c r="A3027">
        <f t="shared" si="94"/>
        <v>2920160</v>
      </c>
      <c r="B3027">
        <v>2016</v>
      </c>
      <c r="C3027" t="s">
        <v>739</v>
      </c>
      <c r="D3027" t="s">
        <v>740</v>
      </c>
      <c r="E3027" t="s">
        <v>743</v>
      </c>
      <c r="F3027" s="34">
        <v>498</v>
      </c>
      <c r="G3027" s="34" t="s">
        <v>650</v>
      </c>
      <c r="H3027" s="36">
        <v>64795</v>
      </c>
      <c r="I3027" s="60">
        <v>344583</v>
      </c>
      <c r="J3027">
        <f>IFERROR(VLOOKUP(G3027,'LEAID Match'!$A$2:$B$526,2,FALSE),"")</f>
        <v>2920160</v>
      </c>
      <c r="K3027" s="68">
        <f t="shared" si="95"/>
        <v>8</v>
      </c>
    </row>
    <row r="3028" spans="1:11" x14ac:dyDescent="0.2">
      <c r="A3028">
        <f t="shared" si="94"/>
        <v>2920160</v>
      </c>
      <c r="B3028">
        <v>2017</v>
      </c>
      <c r="C3028" t="s">
        <v>739</v>
      </c>
      <c r="D3028" t="s">
        <v>740</v>
      </c>
      <c r="E3028" t="s">
        <v>743</v>
      </c>
      <c r="F3028" s="34">
        <v>498</v>
      </c>
      <c r="G3028" s="34" t="s">
        <v>650</v>
      </c>
      <c r="H3028" s="36">
        <v>58128</v>
      </c>
      <c r="I3028" s="58">
        <v>344802</v>
      </c>
      <c r="J3028">
        <f>IFERROR(VLOOKUP(G3028,'LEAID Match'!$A$2:$B$526,2,FALSE),"")</f>
        <v>2920160</v>
      </c>
      <c r="K3028" s="68">
        <f t="shared" si="95"/>
        <v>8</v>
      </c>
    </row>
    <row r="3029" spans="1:11" x14ac:dyDescent="0.2">
      <c r="A3029">
        <f t="shared" si="94"/>
        <v>2920160</v>
      </c>
      <c r="B3029">
        <v>2018</v>
      </c>
      <c r="C3029" t="s">
        <v>739</v>
      </c>
      <c r="D3029" t="s">
        <v>740</v>
      </c>
      <c r="E3029" t="s">
        <v>743</v>
      </c>
      <c r="F3029" s="34">
        <v>498</v>
      </c>
      <c r="G3029" s="34" t="s">
        <v>650</v>
      </c>
      <c r="H3029" s="36">
        <v>60156</v>
      </c>
      <c r="I3029" s="58">
        <v>344629</v>
      </c>
      <c r="J3029">
        <f>IFERROR(VLOOKUP(G3029,'LEAID Match'!$A$2:$B$526,2,FALSE),"")</f>
        <v>2920160</v>
      </c>
      <c r="K3029" s="68">
        <f t="shared" si="95"/>
        <v>8</v>
      </c>
    </row>
    <row r="3030" spans="1:11" x14ac:dyDescent="0.2">
      <c r="A3030">
        <f t="shared" si="94"/>
        <v>2920160</v>
      </c>
      <c r="B3030">
        <v>2019</v>
      </c>
      <c r="C3030" t="s">
        <v>739</v>
      </c>
      <c r="D3030" t="s">
        <v>740</v>
      </c>
      <c r="E3030" t="s">
        <v>743</v>
      </c>
      <c r="F3030" s="34">
        <v>498</v>
      </c>
      <c r="G3030" s="34" t="s">
        <v>650</v>
      </c>
      <c r="H3030" s="36">
        <v>61273</v>
      </c>
      <c r="I3030" s="58">
        <v>327439</v>
      </c>
      <c r="J3030">
        <f>IFERROR(VLOOKUP(G3030,'LEAID Match'!$A$2:$B$526,2,FALSE),"")</f>
        <v>2920160</v>
      </c>
      <c r="K3030" s="68">
        <f t="shared" si="95"/>
        <v>8</v>
      </c>
    </row>
    <row r="3031" spans="1:11" x14ac:dyDescent="0.2">
      <c r="A3031">
        <f t="shared" si="94"/>
        <v>2920160</v>
      </c>
      <c r="B3031">
        <v>2020</v>
      </c>
      <c r="C3031" t="s">
        <v>739</v>
      </c>
      <c r="D3031" t="s">
        <v>740</v>
      </c>
      <c r="E3031" t="s">
        <v>743</v>
      </c>
      <c r="F3031" s="34">
        <v>498</v>
      </c>
      <c r="G3031" s="34" t="s">
        <v>650</v>
      </c>
      <c r="H3031" s="36">
        <v>63158</v>
      </c>
      <c r="I3031" s="58">
        <v>331270</v>
      </c>
      <c r="J3031">
        <f>IFERROR(VLOOKUP(G3031,'LEAID Match'!$A$2:$B$526,2,FALSE),"")</f>
        <v>2920160</v>
      </c>
      <c r="K3031" s="68">
        <f t="shared" si="95"/>
        <v>8</v>
      </c>
    </row>
    <row r="3032" spans="1:11" x14ac:dyDescent="0.2">
      <c r="A3032">
        <f t="shared" si="94"/>
        <v>2920160</v>
      </c>
      <c r="B3032">
        <v>2021</v>
      </c>
      <c r="C3032" t="s">
        <v>739</v>
      </c>
      <c r="D3032" t="s">
        <v>740</v>
      </c>
      <c r="E3032" t="s">
        <v>743</v>
      </c>
      <c r="F3032" s="34">
        <v>498</v>
      </c>
      <c r="G3032" s="34" t="s">
        <v>650</v>
      </c>
      <c r="H3032" s="36">
        <v>67142</v>
      </c>
      <c r="I3032" s="58">
        <v>339673</v>
      </c>
      <c r="J3032">
        <f>IFERROR(VLOOKUP(G3032,'LEAID Match'!$A$2:$B$526,2,FALSE),"")</f>
        <v>2920160</v>
      </c>
      <c r="K3032" s="68">
        <f t="shared" si="95"/>
        <v>8</v>
      </c>
    </row>
    <row r="3033" spans="1:11" x14ac:dyDescent="0.2">
      <c r="A3033">
        <f t="shared" si="94"/>
        <v>2920160</v>
      </c>
      <c r="B3033">
        <v>2022</v>
      </c>
      <c r="C3033" t="s">
        <v>739</v>
      </c>
      <c r="D3033" t="s">
        <v>740</v>
      </c>
      <c r="E3033" t="s">
        <v>743</v>
      </c>
      <c r="F3033" s="34">
        <v>498</v>
      </c>
      <c r="G3033" s="34" t="s">
        <v>650</v>
      </c>
      <c r="H3033" s="36">
        <v>66754</v>
      </c>
      <c r="I3033" s="58">
        <v>350430</v>
      </c>
      <c r="J3033">
        <f>IFERROR(VLOOKUP(G3033,'LEAID Match'!$A$2:$B$526,2,FALSE),"")</f>
        <v>2920160</v>
      </c>
      <c r="K3033" s="68">
        <f t="shared" si="95"/>
        <v>8</v>
      </c>
    </row>
    <row r="3034" spans="1:11" x14ac:dyDescent="0.2">
      <c r="A3034">
        <f t="shared" si="94"/>
        <v>2925350</v>
      </c>
      <c r="B3034">
        <v>2015</v>
      </c>
      <c r="C3034" t="s">
        <v>739</v>
      </c>
      <c r="D3034" t="s">
        <v>740</v>
      </c>
      <c r="E3034" t="s">
        <v>743</v>
      </c>
      <c r="F3034" s="35">
        <v>499</v>
      </c>
      <c r="G3034" s="34" t="s">
        <v>651</v>
      </c>
      <c r="H3034" s="40">
        <v>63179</v>
      </c>
      <c r="I3034" s="58">
        <v>522758</v>
      </c>
      <c r="J3034">
        <f>IFERROR(VLOOKUP(G3034,'LEAID Match'!$A$2:$B$526,2,FALSE),"")</f>
        <v>2925350</v>
      </c>
      <c r="K3034" s="68">
        <f t="shared" si="95"/>
        <v>8</v>
      </c>
    </row>
    <row r="3035" spans="1:11" x14ac:dyDescent="0.2">
      <c r="A3035">
        <f t="shared" si="94"/>
        <v>2925350</v>
      </c>
      <c r="B3035">
        <v>2016</v>
      </c>
      <c r="C3035" t="s">
        <v>739</v>
      </c>
      <c r="D3035" t="s">
        <v>740</v>
      </c>
      <c r="E3035" t="s">
        <v>743</v>
      </c>
      <c r="F3035" s="34">
        <v>499</v>
      </c>
      <c r="G3035" s="34" t="s">
        <v>651</v>
      </c>
      <c r="H3035" s="36">
        <v>65824</v>
      </c>
      <c r="I3035" s="60">
        <v>508292</v>
      </c>
      <c r="J3035">
        <f>IFERROR(VLOOKUP(G3035,'LEAID Match'!$A$2:$B$526,2,FALSE),"")</f>
        <v>2925350</v>
      </c>
      <c r="K3035" s="68">
        <f t="shared" si="95"/>
        <v>8</v>
      </c>
    </row>
    <row r="3036" spans="1:11" x14ac:dyDescent="0.2">
      <c r="A3036">
        <f t="shared" si="94"/>
        <v>2925350</v>
      </c>
      <c r="B3036">
        <v>2017</v>
      </c>
      <c r="C3036" t="s">
        <v>739</v>
      </c>
      <c r="D3036" t="s">
        <v>740</v>
      </c>
      <c r="E3036" t="s">
        <v>743</v>
      </c>
      <c r="F3036" s="34">
        <v>499</v>
      </c>
      <c r="G3036" s="34" t="s">
        <v>651</v>
      </c>
      <c r="H3036" s="36">
        <v>64929</v>
      </c>
      <c r="I3036" s="58">
        <v>520394</v>
      </c>
      <c r="J3036">
        <f>IFERROR(VLOOKUP(G3036,'LEAID Match'!$A$2:$B$526,2,FALSE),"")</f>
        <v>2925350</v>
      </c>
      <c r="K3036" s="68">
        <f t="shared" si="95"/>
        <v>8</v>
      </c>
    </row>
    <row r="3037" spans="1:11" x14ac:dyDescent="0.2">
      <c r="A3037">
        <f t="shared" si="94"/>
        <v>2925350</v>
      </c>
      <c r="B3037">
        <v>2018</v>
      </c>
      <c r="C3037" t="s">
        <v>739</v>
      </c>
      <c r="D3037" t="s">
        <v>740</v>
      </c>
      <c r="E3037" t="s">
        <v>743</v>
      </c>
      <c r="F3037" s="34">
        <v>499</v>
      </c>
      <c r="G3037" s="34" t="s">
        <v>651</v>
      </c>
      <c r="H3037" s="36">
        <v>69132</v>
      </c>
      <c r="I3037" s="58">
        <v>548678</v>
      </c>
      <c r="J3037">
        <f>IFERROR(VLOOKUP(G3037,'LEAID Match'!$A$2:$B$526,2,FALSE),"")</f>
        <v>2925350</v>
      </c>
      <c r="K3037" s="68">
        <f t="shared" si="95"/>
        <v>8</v>
      </c>
    </row>
    <row r="3038" spans="1:11" x14ac:dyDescent="0.2">
      <c r="A3038">
        <f t="shared" si="94"/>
        <v>2925350</v>
      </c>
      <c r="B3038">
        <v>2019</v>
      </c>
      <c r="C3038" t="s">
        <v>739</v>
      </c>
      <c r="D3038" t="s">
        <v>740</v>
      </c>
      <c r="E3038" t="s">
        <v>743</v>
      </c>
      <c r="F3038" s="34">
        <v>499</v>
      </c>
      <c r="G3038" s="34" t="s">
        <v>651</v>
      </c>
      <c r="H3038" s="36">
        <v>70943</v>
      </c>
      <c r="I3038" s="58">
        <v>560848</v>
      </c>
      <c r="J3038">
        <f>IFERROR(VLOOKUP(G3038,'LEAID Match'!$A$2:$B$526,2,FALSE),"")</f>
        <v>2925350</v>
      </c>
      <c r="K3038" s="68">
        <f t="shared" si="95"/>
        <v>8</v>
      </c>
    </row>
    <row r="3039" spans="1:11" x14ac:dyDescent="0.2">
      <c r="A3039">
        <f t="shared" si="94"/>
        <v>2925350</v>
      </c>
      <c r="B3039">
        <v>2020</v>
      </c>
      <c r="C3039" t="s">
        <v>739</v>
      </c>
      <c r="D3039" t="s">
        <v>740</v>
      </c>
      <c r="E3039" t="s">
        <v>743</v>
      </c>
      <c r="F3039" s="34">
        <v>499</v>
      </c>
      <c r="G3039" s="34" t="s">
        <v>651</v>
      </c>
      <c r="H3039" s="36">
        <v>69849</v>
      </c>
      <c r="I3039" s="58">
        <v>579787</v>
      </c>
      <c r="J3039">
        <f>IFERROR(VLOOKUP(G3039,'LEAID Match'!$A$2:$B$526,2,FALSE),"")</f>
        <v>2925350</v>
      </c>
      <c r="K3039" s="68">
        <f t="shared" si="95"/>
        <v>8</v>
      </c>
    </row>
    <row r="3040" spans="1:11" x14ac:dyDescent="0.2">
      <c r="A3040">
        <f t="shared" si="94"/>
        <v>2925350</v>
      </c>
      <c r="B3040">
        <v>2021</v>
      </c>
      <c r="C3040" t="s">
        <v>739</v>
      </c>
      <c r="D3040" t="s">
        <v>740</v>
      </c>
      <c r="E3040" t="s">
        <v>743</v>
      </c>
      <c r="F3040" s="34">
        <v>499</v>
      </c>
      <c r="G3040" s="34" t="s">
        <v>651</v>
      </c>
      <c r="H3040" s="36">
        <v>74458</v>
      </c>
      <c r="I3040" s="58">
        <v>591285</v>
      </c>
      <c r="J3040">
        <f>IFERROR(VLOOKUP(G3040,'LEAID Match'!$A$2:$B$526,2,FALSE),"")</f>
        <v>2925350</v>
      </c>
      <c r="K3040" s="68">
        <f t="shared" si="95"/>
        <v>8</v>
      </c>
    </row>
    <row r="3041" spans="1:11" x14ac:dyDescent="0.2">
      <c r="A3041">
        <f t="shared" si="94"/>
        <v>2925350</v>
      </c>
      <c r="B3041">
        <v>2022</v>
      </c>
      <c r="C3041" t="s">
        <v>739</v>
      </c>
      <c r="D3041" t="s">
        <v>740</v>
      </c>
      <c r="E3041" t="s">
        <v>743</v>
      </c>
      <c r="F3041" s="34">
        <v>499</v>
      </c>
      <c r="G3041" s="34" t="s">
        <v>651</v>
      </c>
      <c r="H3041" s="36">
        <v>71636</v>
      </c>
      <c r="I3041" s="58">
        <v>559735</v>
      </c>
      <c r="J3041">
        <f>IFERROR(VLOOKUP(G3041,'LEAID Match'!$A$2:$B$526,2,FALSE),"")</f>
        <v>2925350</v>
      </c>
      <c r="K3041" s="68">
        <f t="shared" si="95"/>
        <v>8</v>
      </c>
    </row>
    <row r="3042" spans="1:11" x14ac:dyDescent="0.2">
      <c r="A3042">
        <f t="shared" si="94"/>
        <v>2910830</v>
      </c>
      <c r="B3042">
        <v>2015</v>
      </c>
      <c r="C3042" t="s">
        <v>739</v>
      </c>
      <c r="D3042" t="s">
        <v>740</v>
      </c>
      <c r="E3042" t="s">
        <v>743</v>
      </c>
      <c r="F3042" s="35">
        <v>500</v>
      </c>
      <c r="G3042" s="39" t="s">
        <v>652</v>
      </c>
      <c r="H3042" s="40">
        <v>102208</v>
      </c>
      <c r="I3042" s="58">
        <v>646633</v>
      </c>
      <c r="J3042">
        <f>IFERROR(VLOOKUP(G3042,'LEAID Match'!$A$2:$B$526,2,FALSE),"")</f>
        <v>2910830</v>
      </c>
      <c r="K3042" s="68">
        <f t="shared" si="95"/>
        <v>8</v>
      </c>
    </row>
    <row r="3043" spans="1:11" x14ac:dyDescent="0.2">
      <c r="A3043">
        <f t="shared" si="94"/>
        <v>2910830</v>
      </c>
      <c r="B3043">
        <v>2016</v>
      </c>
      <c r="C3043" t="s">
        <v>739</v>
      </c>
      <c r="D3043" t="s">
        <v>740</v>
      </c>
      <c r="E3043" t="s">
        <v>743</v>
      </c>
      <c r="F3043" s="34">
        <v>500</v>
      </c>
      <c r="G3043" s="34" t="s">
        <v>652</v>
      </c>
      <c r="H3043" s="36">
        <v>102002</v>
      </c>
      <c r="I3043" s="60">
        <v>639972</v>
      </c>
      <c r="J3043">
        <f>IFERROR(VLOOKUP(G3043,'LEAID Match'!$A$2:$B$526,2,FALSE),"")</f>
        <v>2910830</v>
      </c>
      <c r="K3043" s="68">
        <f t="shared" si="95"/>
        <v>8</v>
      </c>
    </row>
    <row r="3044" spans="1:11" x14ac:dyDescent="0.2">
      <c r="A3044">
        <f t="shared" si="94"/>
        <v>2910830</v>
      </c>
      <c r="B3044">
        <v>2017</v>
      </c>
      <c r="C3044" t="s">
        <v>739</v>
      </c>
      <c r="D3044" t="s">
        <v>740</v>
      </c>
      <c r="E3044" t="s">
        <v>743</v>
      </c>
      <c r="F3044" s="34">
        <v>500</v>
      </c>
      <c r="G3044" s="34" t="s">
        <v>652</v>
      </c>
      <c r="H3044" s="36">
        <v>99580</v>
      </c>
      <c r="I3044" s="58">
        <v>676217</v>
      </c>
      <c r="J3044">
        <f>IFERROR(VLOOKUP(G3044,'LEAID Match'!$A$2:$B$526,2,FALSE),"")</f>
        <v>2910830</v>
      </c>
      <c r="K3044" s="68">
        <f t="shared" si="95"/>
        <v>8</v>
      </c>
    </row>
    <row r="3045" spans="1:11" x14ac:dyDescent="0.2">
      <c r="A3045">
        <f t="shared" si="94"/>
        <v>2910830</v>
      </c>
      <c r="B3045">
        <v>2018</v>
      </c>
      <c r="C3045" t="s">
        <v>739</v>
      </c>
      <c r="D3045" t="s">
        <v>740</v>
      </c>
      <c r="E3045" t="s">
        <v>743</v>
      </c>
      <c r="F3045" s="34">
        <v>500</v>
      </c>
      <c r="G3045" s="34" t="s">
        <v>652</v>
      </c>
      <c r="H3045" s="36">
        <v>102735</v>
      </c>
      <c r="I3045" s="58">
        <v>665031</v>
      </c>
      <c r="J3045">
        <f>IFERROR(VLOOKUP(G3045,'LEAID Match'!$A$2:$B$526,2,FALSE),"")</f>
        <v>2910830</v>
      </c>
      <c r="K3045" s="68">
        <f t="shared" si="95"/>
        <v>8</v>
      </c>
    </row>
    <row r="3046" spans="1:11" x14ac:dyDescent="0.2">
      <c r="A3046">
        <f t="shared" si="94"/>
        <v>2910830</v>
      </c>
      <c r="B3046">
        <v>2019</v>
      </c>
      <c r="C3046" t="s">
        <v>739</v>
      </c>
      <c r="D3046" t="s">
        <v>740</v>
      </c>
      <c r="E3046" t="s">
        <v>743</v>
      </c>
      <c r="F3046" s="34">
        <v>500</v>
      </c>
      <c r="G3046" s="34" t="s">
        <v>652</v>
      </c>
      <c r="H3046" s="36">
        <v>112616</v>
      </c>
      <c r="I3046" s="58">
        <v>616506</v>
      </c>
      <c r="J3046">
        <f>IFERROR(VLOOKUP(G3046,'LEAID Match'!$A$2:$B$526,2,FALSE),"")</f>
        <v>2910830</v>
      </c>
      <c r="K3046" s="68">
        <f t="shared" si="95"/>
        <v>8</v>
      </c>
    </row>
    <row r="3047" spans="1:11" x14ac:dyDescent="0.2">
      <c r="A3047">
        <f t="shared" si="94"/>
        <v>2910830</v>
      </c>
      <c r="B3047">
        <v>2020</v>
      </c>
      <c r="C3047" t="s">
        <v>739</v>
      </c>
      <c r="D3047" t="s">
        <v>740</v>
      </c>
      <c r="E3047" t="s">
        <v>743</v>
      </c>
      <c r="F3047" s="34">
        <v>500</v>
      </c>
      <c r="G3047" s="34" t="s">
        <v>652</v>
      </c>
      <c r="H3047" s="36">
        <v>113020</v>
      </c>
      <c r="I3047" s="58">
        <v>593908</v>
      </c>
      <c r="J3047">
        <f>IFERROR(VLOOKUP(G3047,'LEAID Match'!$A$2:$B$526,2,FALSE),"")</f>
        <v>2910830</v>
      </c>
      <c r="K3047" s="68">
        <f t="shared" si="95"/>
        <v>8</v>
      </c>
    </row>
    <row r="3048" spans="1:11" x14ac:dyDescent="0.2">
      <c r="A3048">
        <f t="shared" si="94"/>
        <v>2910830</v>
      </c>
      <c r="B3048">
        <v>2021</v>
      </c>
      <c r="C3048" t="s">
        <v>739</v>
      </c>
      <c r="D3048" t="s">
        <v>740</v>
      </c>
      <c r="E3048" t="s">
        <v>743</v>
      </c>
      <c r="F3048" s="34">
        <v>500</v>
      </c>
      <c r="G3048" s="34" t="s">
        <v>652</v>
      </c>
      <c r="H3048" s="36">
        <v>111503</v>
      </c>
      <c r="I3048" s="58">
        <v>591573</v>
      </c>
      <c r="J3048">
        <f>IFERROR(VLOOKUP(G3048,'LEAID Match'!$A$2:$B$526,2,FALSE),"")</f>
        <v>2910830</v>
      </c>
      <c r="K3048" s="68">
        <f t="shared" si="95"/>
        <v>8</v>
      </c>
    </row>
    <row r="3049" spans="1:11" x14ac:dyDescent="0.2">
      <c r="A3049">
        <f t="shared" si="94"/>
        <v>2910830</v>
      </c>
      <c r="B3049">
        <v>2022</v>
      </c>
      <c r="C3049" t="s">
        <v>739</v>
      </c>
      <c r="D3049" t="s">
        <v>740</v>
      </c>
      <c r="E3049" t="s">
        <v>743</v>
      </c>
      <c r="F3049" s="34">
        <v>500</v>
      </c>
      <c r="G3049" s="34" t="s">
        <v>652</v>
      </c>
      <c r="H3049" s="36">
        <v>119138</v>
      </c>
      <c r="I3049" s="58">
        <v>591981</v>
      </c>
      <c r="J3049">
        <f>IFERROR(VLOOKUP(G3049,'LEAID Match'!$A$2:$B$526,2,FALSE),"")</f>
        <v>2910830</v>
      </c>
      <c r="K3049" s="68">
        <f t="shared" si="95"/>
        <v>8</v>
      </c>
    </row>
    <row r="3050" spans="1:11" x14ac:dyDescent="0.2">
      <c r="A3050">
        <f t="shared" si="94"/>
        <v>2910350</v>
      </c>
      <c r="B3050">
        <v>2015</v>
      </c>
      <c r="C3050" t="s">
        <v>739</v>
      </c>
      <c r="D3050" t="s">
        <v>740</v>
      </c>
      <c r="E3050" t="s">
        <v>743</v>
      </c>
      <c r="F3050" s="35">
        <v>501</v>
      </c>
      <c r="G3050" s="39" t="s">
        <v>653</v>
      </c>
      <c r="H3050" s="40">
        <v>52166</v>
      </c>
      <c r="I3050" s="58">
        <v>332885</v>
      </c>
      <c r="J3050">
        <f>IFERROR(VLOOKUP(G3050,'LEAID Match'!$A$2:$B$526,2,FALSE),"")</f>
        <v>2910350</v>
      </c>
      <c r="K3050" s="68">
        <f t="shared" si="95"/>
        <v>8</v>
      </c>
    </row>
    <row r="3051" spans="1:11" x14ac:dyDescent="0.2">
      <c r="A3051">
        <f t="shared" si="94"/>
        <v>2910350</v>
      </c>
      <c r="B3051">
        <v>2016</v>
      </c>
      <c r="C3051" t="s">
        <v>739</v>
      </c>
      <c r="D3051" t="s">
        <v>740</v>
      </c>
      <c r="E3051" t="s">
        <v>743</v>
      </c>
      <c r="F3051" s="34">
        <v>501</v>
      </c>
      <c r="G3051" s="34" t="s">
        <v>653</v>
      </c>
      <c r="H3051" s="36">
        <v>55660</v>
      </c>
      <c r="I3051" s="60">
        <v>337951</v>
      </c>
      <c r="J3051">
        <f>IFERROR(VLOOKUP(G3051,'LEAID Match'!$A$2:$B$526,2,FALSE),"")</f>
        <v>2910350</v>
      </c>
      <c r="K3051" s="68">
        <f t="shared" si="95"/>
        <v>8</v>
      </c>
    </row>
    <row r="3052" spans="1:11" x14ac:dyDescent="0.2">
      <c r="A3052">
        <f t="shared" si="94"/>
        <v>2910350</v>
      </c>
      <c r="B3052">
        <v>2017</v>
      </c>
      <c r="C3052" t="s">
        <v>739</v>
      </c>
      <c r="D3052" t="s">
        <v>740</v>
      </c>
      <c r="E3052" t="s">
        <v>743</v>
      </c>
      <c r="F3052" s="34">
        <v>501</v>
      </c>
      <c r="G3052" s="34" t="s">
        <v>653</v>
      </c>
      <c r="H3052" s="36">
        <v>61354</v>
      </c>
      <c r="I3052" s="58">
        <v>353240</v>
      </c>
      <c r="J3052">
        <f>IFERROR(VLOOKUP(G3052,'LEAID Match'!$A$2:$B$526,2,FALSE),"")</f>
        <v>2910350</v>
      </c>
      <c r="K3052" s="68">
        <f t="shared" si="95"/>
        <v>8</v>
      </c>
    </row>
    <row r="3053" spans="1:11" x14ac:dyDescent="0.2">
      <c r="A3053">
        <f t="shared" si="94"/>
        <v>2910350</v>
      </c>
      <c r="B3053">
        <v>2018</v>
      </c>
      <c r="C3053" t="s">
        <v>739</v>
      </c>
      <c r="D3053" t="s">
        <v>740</v>
      </c>
      <c r="E3053" t="s">
        <v>743</v>
      </c>
      <c r="F3053" s="34">
        <v>501</v>
      </c>
      <c r="G3053" s="34" t="s">
        <v>653</v>
      </c>
      <c r="H3053" s="36">
        <v>63371</v>
      </c>
      <c r="I3053" s="58">
        <v>348579</v>
      </c>
      <c r="J3053">
        <f>IFERROR(VLOOKUP(G3053,'LEAID Match'!$A$2:$B$526,2,FALSE),"")</f>
        <v>2910350</v>
      </c>
      <c r="K3053" s="68">
        <f t="shared" si="95"/>
        <v>8</v>
      </c>
    </row>
    <row r="3054" spans="1:11" x14ac:dyDescent="0.2">
      <c r="A3054">
        <f t="shared" si="94"/>
        <v>2910350</v>
      </c>
      <c r="B3054">
        <v>2019</v>
      </c>
      <c r="C3054" t="s">
        <v>739</v>
      </c>
      <c r="D3054" t="s">
        <v>740</v>
      </c>
      <c r="E3054" t="s">
        <v>743</v>
      </c>
      <c r="F3054" s="34">
        <v>501</v>
      </c>
      <c r="G3054" s="34" t="s">
        <v>653</v>
      </c>
      <c r="H3054" s="36">
        <v>67021</v>
      </c>
      <c r="I3054" s="58">
        <v>354461</v>
      </c>
      <c r="J3054">
        <f>IFERROR(VLOOKUP(G3054,'LEAID Match'!$A$2:$B$526,2,FALSE),"")</f>
        <v>2910350</v>
      </c>
      <c r="K3054" s="68">
        <f t="shared" si="95"/>
        <v>8</v>
      </c>
    </row>
    <row r="3055" spans="1:11" x14ac:dyDescent="0.2">
      <c r="A3055">
        <f t="shared" si="94"/>
        <v>2910350</v>
      </c>
      <c r="B3055">
        <v>2020</v>
      </c>
      <c r="C3055" t="s">
        <v>739</v>
      </c>
      <c r="D3055" t="s">
        <v>740</v>
      </c>
      <c r="E3055" t="s">
        <v>743</v>
      </c>
      <c r="F3055" s="34">
        <v>501</v>
      </c>
      <c r="G3055" s="34" t="s">
        <v>653</v>
      </c>
      <c r="H3055" s="36">
        <v>59761</v>
      </c>
      <c r="I3055" s="58">
        <v>372653</v>
      </c>
      <c r="J3055">
        <f>IFERROR(VLOOKUP(G3055,'LEAID Match'!$A$2:$B$526,2,FALSE),"")</f>
        <v>2910350</v>
      </c>
      <c r="K3055" s="68">
        <f t="shared" si="95"/>
        <v>8</v>
      </c>
    </row>
    <row r="3056" spans="1:11" x14ac:dyDescent="0.2">
      <c r="A3056">
        <f t="shared" si="94"/>
        <v>2910350</v>
      </c>
      <c r="B3056">
        <v>2021</v>
      </c>
      <c r="C3056" t="s">
        <v>739</v>
      </c>
      <c r="D3056" t="s">
        <v>740</v>
      </c>
      <c r="E3056" t="s">
        <v>743</v>
      </c>
      <c r="F3056" s="34">
        <v>501</v>
      </c>
      <c r="G3056" s="34" t="s">
        <v>653</v>
      </c>
      <c r="H3056" s="36">
        <v>59898</v>
      </c>
      <c r="I3056" s="58">
        <v>354982</v>
      </c>
      <c r="J3056">
        <f>IFERROR(VLOOKUP(G3056,'LEAID Match'!$A$2:$B$526,2,FALSE),"")</f>
        <v>2910350</v>
      </c>
      <c r="K3056" s="68">
        <f t="shared" si="95"/>
        <v>8</v>
      </c>
    </row>
    <row r="3057" spans="1:11" x14ac:dyDescent="0.2">
      <c r="A3057">
        <f t="shared" si="94"/>
        <v>2910350</v>
      </c>
      <c r="B3057">
        <v>2022</v>
      </c>
      <c r="C3057" t="s">
        <v>739</v>
      </c>
      <c r="D3057" t="s">
        <v>740</v>
      </c>
      <c r="E3057" t="s">
        <v>743</v>
      </c>
      <c r="F3057" s="34">
        <v>501</v>
      </c>
      <c r="G3057" s="34" t="s">
        <v>653</v>
      </c>
      <c r="H3057" s="36">
        <v>63247</v>
      </c>
      <c r="I3057" s="58">
        <v>373646</v>
      </c>
      <c r="J3057">
        <f>IFERROR(VLOOKUP(G3057,'LEAID Match'!$A$2:$B$526,2,FALSE),"")</f>
        <v>2910350</v>
      </c>
      <c r="K3057" s="68">
        <f t="shared" si="95"/>
        <v>8</v>
      </c>
    </row>
    <row r="3058" spans="1:11" x14ac:dyDescent="0.2">
      <c r="A3058">
        <f t="shared" si="94"/>
        <v>2929850</v>
      </c>
      <c r="B3058">
        <v>2015</v>
      </c>
      <c r="C3058" t="s">
        <v>739</v>
      </c>
      <c r="D3058" t="s">
        <v>740</v>
      </c>
      <c r="E3058" t="s">
        <v>743</v>
      </c>
      <c r="F3058" s="35">
        <v>502</v>
      </c>
      <c r="G3058" s="39" t="s">
        <v>654</v>
      </c>
      <c r="H3058" s="40">
        <v>5801</v>
      </c>
      <c r="I3058" s="58">
        <v>31898</v>
      </c>
      <c r="J3058">
        <f>IFERROR(VLOOKUP(G3058,'LEAID Match'!$A$2:$B$526,2,FALSE),"")</f>
        <v>2929850</v>
      </c>
      <c r="K3058" s="68">
        <f t="shared" si="95"/>
        <v>8</v>
      </c>
    </row>
    <row r="3059" spans="1:11" x14ac:dyDescent="0.2">
      <c r="A3059">
        <f t="shared" si="94"/>
        <v>2929850</v>
      </c>
      <c r="B3059">
        <v>2016</v>
      </c>
      <c r="C3059" t="s">
        <v>739</v>
      </c>
      <c r="D3059" t="s">
        <v>740</v>
      </c>
      <c r="E3059" t="s">
        <v>743</v>
      </c>
      <c r="F3059" s="34">
        <v>502</v>
      </c>
      <c r="G3059" s="34" t="s">
        <v>654</v>
      </c>
      <c r="H3059" s="36">
        <v>4397</v>
      </c>
      <c r="I3059" s="60">
        <v>34692</v>
      </c>
      <c r="J3059">
        <f>IFERROR(VLOOKUP(G3059,'LEAID Match'!$A$2:$B$526,2,FALSE),"")</f>
        <v>2929850</v>
      </c>
      <c r="K3059" s="68">
        <f t="shared" si="95"/>
        <v>8</v>
      </c>
    </row>
    <row r="3060" spans="1:11" x14ac:dyDescent="0.2">
      <c r="A3060">
        <f t="shared" si="94"/>
        <v>2929850</v>
      </c>
      <c r="B3060">
        <v>2017</v>
      </c>
      <c r="C3060" t="s">
        <v>739</v>
      </c>
      <c r="D3060" t="s">
        <v>740</v>
      </c>
      <c r="E3060" t="s">
        <v>743</v>
      </c>
      <c r="F3060" s="34">
        <v>502</v>
      </c>
      <c r="G3060" s="34" t="s">
        <v>654</v>
      </c>
      <c r="H3060" s="36">
        <v>4286</v>
      </c>
      <c r="I3060" s="58">
        <v>39698</v>
      </c>
      <c r="J3060">
        <f>IFERROR(VLOOKUP(G3060,'LEAID Match'!$A$2:$B$526,2,FALSE),"")</f>
        <v>2929850</v>
      </c>
      <c r="K3060" s="68">
        <f t="shared" si="95"/>
        <v>8</v>
      </c>
    </row>
    <row r="3061" spans="1:11" x14ac:dyDescent="0.2">
      <c r="A3061">
        <f t="shared" si="94"/>
        <v>2929850</v>
      </c>
      <c r="B3061">
        <v>2018</v>
      </c>
      <c r="C3061" t="s">
        <v>739</v>
      </c>
      <c r="D3061" t="s">
        <v>740</v>
      </c>
      <c r="E3061" t="s">
        <v>743</v>
      </c>
      <c r="F3061" s="34">
        <v>502</v>
      </c>
      <c r="G3061" s="34" t="s">
        <v>654</v>
      </c>
      <c r="H3061" s="36">
        <v>6934</v>
      </c>
      <c r="I3061" s="58">
        <v>37066</v>
      </c>
      <c r="J3061">
        <f>IFERROR(VLOOKUP(G3061,'LEAID Match'!$A$2:$B$526,2,FALSE),"")</f>
        <v>2929850</v>
      </c>
      <c r="K3061" s="68">
        <f t="shared" si="95"/>
        <v>8</v>
      </c>
    </row>
    <row r="3062" spans="1:11" x14ac:dyDescent="0.2">
      <c r="A3062">
        <f t="shared" si="94"/>
        <v>2929850</v>
      </c>
      <c r="B3062">
        <v>2019</v>
      </c>
      <c r="C3062" t="s">
        <v>739</v>
      </c>
      <c r="D3062" t="s">
        <v>740</v>
      </c>
      <c r="E3062" t="s">
        <v>743</v>
      </c>
      <c r="F3062" s="34">
        <v>502</v>
      </c>
      <c r="G3062" s="34" t="s">
        <v>654</v>
      </c>
      <c r="H3062" s="36">
        <v>8889</v>
      </c>
      <c r="I3062" s="58">
        <v>34745</v>
      </c>
      <c r="J3062">
        <f>IFERROR(VLOOKUP(G3062,'LEAID Match'!$A$2:$B$526,2,FALSE),"")</f>
        <v>2929850</v>
      </c>
      <c r="K3062" s="68">
        <f t="shared" si="95"/>
        <v>8</v>
      </c>
    </row>
    <row r="3063" spans="1:11" x14ac:dyDescent="0.2">
      <c r="A3063">
        <f t="shared" si="94"/>
        <v>2929850</v>
      </c>
      <c r="B3063">
        <v>2020</v>
      </c>
      <c r="C3063" t="s">
        <v>739</v>
      </c>
      <c r="D3063" t="s">
        <v>740</v>
      </c>
      <c r="E3063" t="s">
        <v>743</v>
      </c>
      <c r="F3063" s="34">
        <v>502</v>
      </c>
      <c r="G3063" s="34" t="s">
        <v>654</v>
      </c>
      <c r="H3063" s="36">
        <v>9345</v>
      </c>
      <c r="I3063" s="58">
        <v>40881</v>
      </c>
      <c r="J3063">
        <f>IFERROR(VLOOKUP(G3063,'LEAID Match'!$A$2:$B$526,2,FALSE),"")</f>
        <v>2929850</v>
      </c>
      <c r="K3063" s="68">
        <f t="shared" si="95"/>
        <v>8</v>
      </c>
    </row>
    <row r="3064" spans="1:11" x14ac:dyDescent="0.2">
      <c r="A3064">
        <f t="shared" si="94"/>
        <v>2929850</v>
      </c>
      <c r="B3064">
        <v>2021</v>
      </c>
      <c r="C3064" t="s">
        <v>739</v>
      </c>
      <c r="D3064" t="s">
        <v>740</v>
      </c>
      <c r="E3064" t="s">
        <v>743</v>
      </c>
      <c r="F3064" s="34">
        <v>502</v>
      </c>
      <c r="G3064" s="34" t="s">
        <v>654</v>
      </c>
      <c r="H3064" s="36">
        <v>10443</v>
      </c>
      <c r="I3064" s="58">
        <v>47176</v>
      </c>
      <c r="J3064">
        <f>IFERROR(VLOOKUP(G3064,'LEAID Match'!$A$2:$B$526,2,FALSE),"")</f>
        <v>2929850</v>
      </c>
      <c r="K3064" s="68">
        <f t="shared" si="95"/>
        <v>8</v>
      </c>
    </row>
    <row r="3065" spans="1:11" x14ac:dyDescent="0.2">
      <c r="A3065">
        <f t="shared" si="94"/>
        <v>2929850</v>
      </c>
      <c r="B3065">
        <v>2022</v>
      </c>
      <c r="C3065" t="s">
        <v>739</v>
      </c>
      <c r="D3065" t="s">
        <v>740</v>
      </c>
      <c r="E3065" t="s">
        <v>743</v>
      </c>
      <c r="F3065" s="34">
        <v>502</v>
      </c>
      <c r="G3065" s="34" t="s">
        <v>654</v>
      </c>
      <c r="H3065" s="36">
        <v>11509</v>
      </c>
      <c r="I3065" s="58">
        <v>49136</v>
      </c>
      <c r="J3065">
        <f>IFERROR(VLOOKUP(G3065,'LEAID Match'!$A$2:$B$526,2,FALSE),"")</f>
        <v>2929850</v>
      </c>
      <c r="K3065" s="68">
        <f t="shared" si="95"/>
        <v>8</v>
      </c>
    </row>
    <row r="3066" spans="1:11" x14ac:dyDescent="0.2">
      <c r="A3066" t="str">
        <f t="shared" si="94"/>
        <v/>
      </c>
      <c r="B3066">
        <v>2015</v>
      </c>
      <c r="C3066" t="s">
        <v>739</v>
      </c>
      <c r="D3066" t="s">
        <v>740</v>
      </c>
      <c r="E3066" t="s">
        <v>743</v>
      </c>
      <c r="F3066" s="35">
        <v>503</v>
      </c>
      <c r="G3066" s="39" t="s">
        <v>655</v>
      </c>
      <c r="H3066" s="40">
        <v>64327</v>
      </c>
      <c r="I3066" s="58">
        <v>396977</v>
      </c>
      <c r="J3066" t="str">
        <f>IFERROR(VLOOKUP(G3066,'LEAID Match'!$A$2:$B$526,2,FALSE),"")</f>
        <v/>
      </c>
      <c r="K3066" s="68">
        <f t="shared" si="95"/>
        <v>216</v>
      </c>
    </row>
    <row r="3067" spans="1:11" x14ac:dyDescent="0.2">
      <c r="A3067" t="str">
        <f t="shared" si="94"/>
        <v/>
      </c>
      <c r="B3067">
        <v>2016</v>
      </c>
      <c r="C3067" t="s">
        <v>739</v>
      </c>
      <c r="D3067" t="s">
        <v>740</v>
      </c>
      <c r="E3067" t="s">
        <v>743</v>
      </c>
      <c r="F3067" s="34">
        <v>503</v>
      </c>
      <c r="G3067" s="34" t="s">
        <v>655</v>
      </c>
      <c r="H3067" s="36">
        <v>60179</v>
      </c>
      <c r="I3067" s="60">
        <v>383053</v>
      </c>
      <c r="J3067" t="str">
        <f>IFERROR(VLOOKUP(G3067,'LEAID Match'!$A$2:$B$526,2,FALSE),"")</f>
        <v/>
      </c>
      <c r="K3067" s="68">
        <f t="shared" si="95"/>
        <v>216</v>
      </c>
    </row>
    <row r="3068" spans="1:11" x14ac:dyDescent="0.2">
      <c r="A3068" t="str">
        <f t="shared" si="94"/>
        <v/>
      </c>
      <c r="B3068">
        <v>2017</v>
      </c>
      <c r="C3068" t="s">
        <v>739</v>
      </c>
      <c r="D3068" t="s">
        <v>740</v>
      </c>
      <c r="E3068" t="s">
        <v>743</v>
      </c>
      <c r="F3068" s="34">
        <v>503</v>
      </c>
      <c r="G3068" s="34" t="s">
        <v>655</v>
      </c>
      <c r="H3068" s="36">
        <v>63339</v>
      </c>
      <c r="I3068" s="58">
        <v>370809</v>
      </c>
      <c r="J3068" t="str">
        <f>IFERROR(VLOOKUP(G3068,'LEAID Match'!$A$2:$B$526,2,FALSE),"")</f>
        <v/>
      </c>
      <c r="K3068" s="68">
        <f t="shared" si="95"/>
        <v>216</v>
      </c>
    </row>
    <row r="3069" spans="1:11" x14ac:dyDescent="0.2">
      <c r="A3069" t="str">
        <f t="shared" si="94"/>
        <v/>
      </c>
      <c r="B3069">
        <v>2018</v>
      </c>
      <c r="C3069" t="s">
        <v>739</v>
      </c>
      <c r="D3069" t="s">
        <v>740</v>
      </c>
      <c r="E3069" t="s">
        <v>743</v>
      </c>
      <c r="F3069" s="34">
        <v>503</v>
      </c>
      <c r="G3069" s="34" t="s">
        <v>655</v>
      </c>
      <c r="H3069" s="36">
        <v>66222</v>
      </c>
      <c r="I3069" s="58">
        <v>377986</v>
      </c>
      <c r="J3069" t="str">
        <f>IFERROR(VLOOKUP(G3069,'LEAID Match'!$A$2:$B$526,2,FALSE),"")</f>
        <v/>
      </c>
      <c r="K3069" s="68">
        <f t="shared" si="95"/>
        <v>216</v>
      </c>
    </row>
    <row r="3070" spans="1:11" x14ac:dyDescent="0.2">
      <c r="A3070" t="str">
        <f t="shared" si="94"/>
        <v/>
      </c>
      <c r="B3070">
        <v>2019</v>
      </c>
      <c r="C3070" t="s">
        <v>739</v>
      </c>
      <c r="D3070" t="s">
        <v>740</v>
      </c>
      <c r="E3070" t="s">
        <v>743</v>
      </c>
      <c r="F3070" s="34">
        <v>503</v>
      </c>
      <c r="G3070" s="34" t="s">
        <v>655</v>
      </c>
      <c r="H3070" s="36">
        <v>68341</v>
      </c>
      <c r="I3070" s="58">
        <v>389320</v>
      </c>
      <c r="J3070" t="str">
        <f>IFERROR(VLOOKUP(G3070,'LEAID Match'!$A$2:$B$526,2,FALSE),"")</f>
        <v/>
      </c>
      <c r="K3070" s="68">
        <f t="shared" si="95"/>
        <v>216</v>
      </c>
    </row>
    <row r="3071" spans="1:11" x14ac:dyDescent="0.2">
      <c r="A3071" t="str">
        <f t="shared" si="94"/>
        <v/>
      </c>
      <c r="B3071">
        <v>2020</v>
      </c>
      <c r="C3071" t="s">
        <v>739</v>
      </c>
      <c r="D3071" t="s">
        <v>740</v>
      </c>
      <c r="E3071" t="s">
        <v>743</v>
      </c>
      <c r="F3071" s="34">
        <v>503</v>
      </c>
      <c r="G3071" s="34" t="s">
        <v>655</v>
      </c>
      <c r="H3071" s="36">
        <v>63623</v>
      </c>
      <c r="I3071" s="58">
        <v>384913</v>
      </c>
      <c r="J3071" t="str">
        <f>IFERROR(VLOOKUP(G3071,'LEAID Match'!$A$2:$B$526,2,FALSE),"")</f>
        <v/>
      </c>
      <c r="K3071" s="68">
        <f t="shared" si="95"/>
        <v>216</v>
      </c>
    </row>
    <row r="3072" spans="1:11" x14ac:dyDescent="0.2">
      <c r="A3072" t="str">
        <f t="shared" si="94"/>
        <v/>
      </c>
      <c r="B3072">
        <v>2021</v>
      </c>
      <c r="C3072" t="s">
        <v>739</v>
      </c>
      <c r="D3072" t="s">
        <v>740</v>
      </c>
      <c r="E3072" t="s">
        <v>743</v>
      </c>
      <c r="F3072" s="34">
        <v>503</v>
      </c>
      <c r="G3072" s="34" t="s">
        <v>655</v>
      </c>
      <c r="H3072" s="36">
        <v>62721</v>
      </c>
      <c r="I3072" s="58">
        <v>379596</v>
      </c>
      <c r="J3072" t="str">
        <f>IFERROR(VLOOKUP(G3072,'LEAID Match'!$A$2:$B$526,2,FALSE),"")</f>
        <v/>
      </c>
      <c r="K3072" s="68">
        <f t="shared" si="95"/>
        <v>216</v>
      </c>
    </row>
    <row r="3073" spans="1:11" x14ac:dyDescent="0.2">
      <c r="A3073" t="str">
        <f t="shared" si="94"/>
        <v/>
      </c>
      <c r="B3073">
        <v>2022</v>
      </c>
      <c r="C3073" t="s">
        <v>739</v>
      </c>
      <c r="D3073" t="s">
        <v>740</v>
      </c>
      <c r="E3073" t="s">
        <v>743</v>
      </c>
      <c r="F3073" s="34">
        <v>503</v>
      </c>
      <c r="G3073" s="34" t="s">
        <v>655</v>
      </c>
      <c r="H3073" s="36">
        <v>68575</v>
      </c>
      <c r="I3073" s="58">
        <v>361891</v>
      </c>
      <c r="J3073" t="str">
        <f>IFERROR(VLOOKUP(G3073,'LEAID Match'!$A$2:$B$526,2,FALSE),"")</f>
        <v/>
      </c>
      <c r="K3073" s="68">
        <f t="shared" si="95"/>
        <v>216</v>
      </c>
    </row>
    <row r="3074" spans="1:11" x14ac:dyDescent="0.2">
      <c r="A3074">
        <f t="shared" si="94"/>
        <v>2917880</v>
      </c>
      <c r="B3074">
        <v>2015</v>
      </c>
      <c r="C3074" t="s">
        <v>739</v>
      </c>
      <c r="D3074" t="s">
        <v>740</v>
      </c>
      <c r="E3074" t="s">
        <v>743</v>
      </c>
      <c r="F3074" s="35">
        <v>504</v>
      </c>
      <c r="G3074" s="39" t="s">
        <v>656</v>
      </c>
      <c r="H3074" s="40">
        <v>93751</v>
      </c>
      <c r="I3074" s="58">
        <v>446634</v>
      </c>
      <c r="J3074">
        <f>IFERROR(VLOOKUP(G3074,'LEAID Match'!$A$2:$B$526,2,FALSE),"")</f>
        <v>2917880</v>
      </c>
      <c r="K3074" s="68">
        <f t="shared" si="95"/>
        <v>8</v>
      </c>
    </row>
    <row r="3075" spans="1:11" x14ac:dyDescent="0.2">
      <c r="A3075">
        <f t="shared" ref="A3075:A3138" si="96">J3075</f>
        <v>2917880</v>
      </c>
      <c r="B3075">
        <v>2016</v>
      </c>
      <c r="C3075" t="s">
        <v>739</v>
      </c>
      <c r="D3075" t="s">
        <v>740</v>
      </c>
      <c r="E3075" t="s">
        <v>743</v>
      </c>
      <c r="F3075" s="34">
        <v>504</v>
      </c>
      <c r="G3075" s="34" t="s">
        <v>656</v>
      </c>
      <c r="H3075" s="36">
        <v>94719</v>
      </c>
      <c r="I3075" s="60">
        <v>479958</v>
      </c>
      <c r="J3075">
        <f>IFERROR(VLOOKUP(G3075,'LEAID Match'!$A$2:$B$526,2,FALSE),"")</f>
        <v>2917880</v>
      </c>
      <c r="K3075" s="68">
        <f t="shared" ref="K3075:K3138" si="97">COUNTIF($J$2:$J$4295,J3075)</f>
        <v>8</v>
      </c>
    </row>
    <row r="3076" spans="1:11" x14ac:dyDescent="0.2">
      <c r="A3076">
        <f t="shared" si="96"/>
        <v>2917880</v>
      </c>
      <c r="B3076">
        <v>2017</v>
      </c>
      <c r="C3076" t="s">
        <v>739</v>
      </c>
      <c r="D3076" t="s">
        <v>740</v>
      </c>
      <c r="E3076" t="s">
        <v>743</v>
      </c>
      <c r="F3076" s="34">
        <v>504</v>
      </c>
      <c r="G3076" s="34" t="s">
        <v>656</v>
      </c>
      <c r="H3076" s="36">
        <v>108565</v>
      </c>
      <c r="I3076" s="58">
        <v>481518</v>
      </c>
      <c r="J3076">
        <f>IFERROR(VLOOKUP(G3076,'LEAID Match'!$A$2:$B$526,2,FALSE),"")</f>
        <v>2917880</v>
      </c>
      <c r="K3076" s="68">
        <f t="shared" si="97"/>
        <v>8</v>
      </c>
    </row>
    <row r="3077" spans="1:11" x14ac:dyDescent="0.2">
      <c r="A3077">
        <f t="shared" si="96"/>
        <v>2917880</v>
      </c>
      <c r="B3077">
        <v>2018</v>
      </c>
      <c r="C3077" t="s">
        <v>739</v>
      </c>
      <c r="D3077" t="s">
        <v>740</v>
      </c>
      <c r="E3077" t="s">
        <v>743</v>
      </c>
      <c r="F3077" s="34">
        <v>504</v>
      </c>
      <c r="G3077" s="34" t="s">
        <v>656</v>
      </c>
      <c r="H3077" s="36">
        <v>107422</v>
      </c>
      <c r="I3077" s="58">
        <v>447892</v>
      </c>
      <c r="J3077">
        <f>IFERROR(VLOOKUP(G3077,'LEAID Match'!$A$2:$B$526,2,FALSE),"")</f>
        <v>2917880</v>
      </c>
      <c r="K3077" s="68">
        <f t="shared" si="97"/>
        <v>8</v>
      </c>
    </row>
    <row r="3078" spans="1:11" x14ac:dyDescent="0.2">
      <c r="A3078">
        <f t="shared" si="96"/>
        <v>2917880</v>
      </c>
      <c r="B3078">
        <v>2019</v>
      </c>
      <c r="C3078" t="s">
        <v>739</v>
      </c>
      <c r="D3078" t="s">
        <v>740</v>
      </c>
      <c r="E3078" t="s">
        <v>743</v>
      </c>
      <c r="F3078" s="34">
        <v>504</v>
      </c>
      <c r="G3078" s="34" t="s">
        <v>656</v>
      </c>
      <c r="H3078" s="36">
        <v>103158</v>
      </c>
      <c r="I3078" s="58">
        <v>455453</v>
      </c>
      <c r="J3078">
        <f>IFERROR(VLOOKUP(G3078,'LEAID Match'!$A$2:$B$526,2,FALSE),"")</f>
        <v>2917880</v>
      </c>
      <c r="K3078" s="68">
        <f t="shared" si="97"/>
        <v>8</v>
      </c>
    </row>
    <row r="3079" spans="1:11" x14ac:dyDescent="0.2">
      <c r="A3079">
        <f t="shared" si="96"/>
        <v>2917880</v>
      </c>
      <c r="B3079">
        <v>2020</v>
      </c>
      <c r="C3079" t="s">
        <v>739</v>
      </c>
      <c r="D3079" t="s">
        <v>740</v>
      </c>
      <c r="E3079" t="s">
        <v>743</v>
      </c>
      <c r="F3079" s="34">
        <v>504</v>
      </c>
      <c r="G3079" s="34" t="s">
        <v>656</v>
      </c>
      <c r="H3079" s="36">
        <v>106456</v>
      </c>
      <c r="I3079" s="58">
        <v>472914</v>
      </c>
      <c r="J3079">
        <f>IFERROR(VLOOKUP(G3079,'LEAID Match'!$A$2:$B$526,2,FALSE),"")</f>
        <v>2917880</v>
      </c>
      <c r="K3079" s="68">
        <f t="shared" si="97"/>
        <v>8</v>
      </c>
    </row>
    <row r="3080" spans="1:11" x14ac:dyDescent="0.2">
      <c r="A3080">
        <f t="shared" si="96"/>
        <v>2917880</v>
      </c>
      <c r="B3080">
        <v>2021</v>
      </c>
      <c r="C3080" t="s">
        <v>739</v>
      </c>
      <c r="D3080" t="s">
        <v>740</v>
      </c>
      <c r="E3080" t="s">
        <v>743</v>
      </c>
      <c r="F3080" s="34">
        <v>504</v>
      </c>
      <c r="G3080" s="34" t="s">
        <v>656</v>
      </c>
      <c r="H3080" s="36">
        <v>101638</v>
      </c>
      <c r="I3080" s="58">
        <v>456470</v>
      </c>
      <c r="J3080">
        <f>IFERROR(VLOOKUP(G3080,'LEAID Match'!$A$2:$B$526,2,FALSE),"")</f>
        <v>2917880</v>
      </c>
      <c r="K3080" s="68">
        <f t="shared" si="97"/>
        <v>8</v>
      </c>
    </row>
    <row r="3081" spans="1:11" x14ac:dyDescent="0.2">
      <c r="A3081">
        <f t="shared" si="96"/>
        <v>2917880</v>
      </c>
      <c r="B3081">
        <v>2022</v>
      </c>
      <c r="C3081" t="s">
        <v>739</v>
      </c>
      <c r="D3081" t="s">
        <v>740</v>
      </c>
      <c r="E3081" t="s">
        <v>743</v>
      </c>
      <c r="F3081" s="34">
        <v>504</v>
      </c>
      <c r="G3081" s="34" t="s">
        <v>656</v>
      </c>
      <c r="H3081" s="36">
        <v>90706</v>
      </c>
      <c r="I3081" s="58">
        <v>410239</v>
      </c>
      <c r="J3081">
        <f>IFERROR(VLOOKUP(G3081,'LEAID Match'!$A$2:$B$526,2,FALSE),"")</f>
        <v>2917880</v>
      </c>
      <c r="K3081" s="68">
        <f t="shared" si="97"/>
        <v>8</v>
      </c>
    </row>
    <row r="3082" spans="1:11" x14ac:dyDescent="0.2">
      <c r="A3082">
        <f t="shared" si="96"/>
        <v>2931440</v>
      </c>
      <c r="B3082">
        <v>2015</v>
      </c>
      <c r="C3082" t="s">
        <v>739</v>
      </c>
      <c r="D3082" t="s">
        <v>740</v>
      </c>
      <c r="E3082" t="s">
        <v>743</v>
      </c>
      <c r="F3082" s="35">
        <v>505</v>
      </c>
      <c r="G3082" s="39" t="s">
        <v>657</v>
      </c>
      <c r="H3082" s="40">
        <v>779861</v>
      </c>
      <c r="I3082" s="58">
        <v>4565800</v>
      </c>
      <c r="J3082">
        <f>IFERROR(VLOOKUP(G3082,'LEAID Match'!$A$2:$B$526,2,FALSE),"")</f>
        <v>2931440</v>
      </c>
      <c r="K3082" s="68">
        <f t="shared" si="97"/>
        <v>8</v>
      </c>
    </row>
    <row r="3083" spans="1:11" x14ac:dyDescent="0.2">
      <c r="A3083">
        <f t="shared" si="96"/>
        <v>2931440</v>
      </c>
      <c r="B3083">
        <v>2016</v>
      </c>
      <c r="C3083" t="s">
        <v>739</v>
      </c>
      <c r="D3083" t="s">
        <v>740</v>
      </c>
      <c r="E3083" t="s">
        <v>743</v>
      </c>
      <c r="F3083" s="34">
        <v>505</v>
      </c>
      <c r="G3083" s="34" t="s">
        <v>657</v>
      </c>
      <c r="H3083" s="36">
        <v>774921</v>
      </c>
      <c r="I3083" s="60">
        <v>4528284</v>
      </c>
      <c r="J3083">
        <f>IFERROR(VLOOKUP(G3083,'LEAID Match'!$A$2:$B$526,2,FALSE),"")</f>
        <v>2931440</v>
      </c>
      <c r="K3083" s="68">
        <f t="shared" si="97"/>
        <v>8</v>
      </c>
    </row>
    <row r="3084" spans="1:11" x14ac:dyDescent="0.2">
      <c r="A3084">
        <f t="shared" si="96"/>
        <v>2931440</v>
      </c>
      <c r="B3084">
        <v>2017</v>
      </c>
      <c r="C3084" t="s">
        <v>739</v>
      </c>
      <c r="D3084" t="s">
        <v>740</v>
      </c>
      <c r="E3084" t="s">
        <v>743</v>
      </c>
      <c r="F3084" s="34">
        <v>505</v>
      </c>
      <c r="G3084" s="34" t="s">
        <v>657</v>
      </c>
      <c r="H3084" s="36">
        <v>798274</v>
      </c>
      <c r="I3084" s="58">
        <v>4554513</v>
      </c>
      <c r="J3084">
        <f>IFERROR(VLOOKUP(G3084,'LEAID Match'!$A$2:$B$526,2,FALSE),"")</f>
        <v>2931440</v>
      </c>
      <c r="K3084" s="68">
        <f t="shared" si="97"/>
        <v>8</v>
      </c>
    </row>
    <row r="3085" spans="1:11" x14ac:dyDescent="0.2">
      <c r="A3085">
        <f t="shared" si="96"/>
        <v>2931440</v>
      </c>
      <c r="B3085">
        <v>2018</v>
      </c>
      <c r="C3085" t="s">
        <v>739</v>
      </c>
      <c r="D3085" t="s">
        <v>740</v>
      </c>
      <c r="E3085" t="s">
        <v>743</v>
      </c>
      <c r="F3085" s="34">
        <v>505</v>
      </c>
      <c r="G3085" s="34" t="s">
        <v>657</v>
      </c>
      <c r="H3085" s="36">
        <v>822087</v>
      </c>
      <c r="I3085" s="58">
        <v>4625389</v>
      </c>
      <c r="J3085">
        <f>IFERROR(VLOOKUP(G3085,'LEAID Match'!$A$2:$B$526,2,FALSE),"")</f>
        <v>2931440</v>
      </c>
      <c r="K3085" s="68">
        <f t="shared" si="97"/>
        <v>8</v>
      </c>
    </row>
    <row r="3086" spans="1:11" x14ac:dyDescent="0.2">
      <c r="A3086">
        <f t="shared" si="96"/>
        <v>2931440</v>
      </c>
      <c r="B3086">
        <v>2019</v>
      </c>
      <c r="C3086" t="s">
        <v>739</v>
      </c>
      <c r="D3086" t="s">
        <v>740</v>
      </c>
      <c r="E3086" t="s">
        <v>743</v>
      </c>
      <c r="F3086" s="34">
        <v>505</v>
      </c>
      <c r="G3086" s="34" t="s">
        <v>657</v>
      </c>
      <c r="H3086" s="36">
        <v>860645</v>
      </c>
      <c r="I3086" s="58">
        <v>4791036</v>
      </c>
      <c r="J3086">
        <f>IFERROR(VLOOKUP(G3086,'LEAID Match'!$A$2:$B$526,2,FALSE),"")</f>
        <v>2931440</v>
      </c>
      <c r="K3086" s="68">
        <f t="shared" si="97"/>
        <v>8</v>
      </c>
    </row>
    <row r="3087" spans="1:11" x14ac:dyDescent="0.2">
      <c r="A3087">
        <f t="shared" si="96"/>
        <v>2931440</v>
      </c>
      <c r="B3087">
        <v>2020</v>
      </c>
      <c r="C3087" t="s">
        <v>739</v>
      </c>
      <c r="D3087" t="s">
        <v>740</v>
      </c>
      <c r="E3087" t="s">
        <v>743</v>
      </c>
      <c r="F3087" s="34">
        <v>505</v>
      </c>
      <c r="G3087" s="34" t="s">
        <v>657</v>
      </c>
      <c r="H3087" s="36">
        <v>884502</v>
      </c>
      <c r="I3087" s="58">
        <v>4810788</v>
      </c>
      <c r="J3087">
        <f>IFERROR(VLOOKUP(G3087,'LEAID Match'!$A$2:$B$526,2,FALSE),"")</f>
        <v>2931440</v>
      </c>
      <c r="K3087" s="68">
        <f t="shared" si="97"/>
        <v>8</v>
      </c>
    </row>
    <row r="3088" spans="1:11" x14ac:dyDescent="0.2">
      <c r="A3088">
        <f t="shared" si="96"/>
        <v>2931440</v>
      </c>
      <c r="B3088">
        <v>2021</v>
      </c>
      <c r="C3088" t="s">
        <v>739</v>
      </c>
      <c r="D3088" t="s">
        <v>740</v>
      </c>
      <c r="E3088" t="s">
        <v>743</v>
      </c>
      <c r="F3088" s="34">
        <v>505</v>
      </c>
      <c r="G3088" s="34" t="s">
        <v>657</v>
      </c>
      <c r="H3088" s="36">
        <v>866146</v>
      </c>
      <c r="I3088" s="58">
        <v>4876051</v>
      </c>
      <c r="J3088">
        <f>IFERROR(VLOOKUP(G3088,'LEAID Match'!$A$2:$B$526,2,FALSE),"")</f>
        <v>2931440</v>
      </c>
      <c r="K3088" s="68">
        <f t="shared" si="97"/>
        <v>8</v>
      </c>
    </row>
    <row r="3089" spans="1:11" x14ac:dyDescent="0.2">
      <c r="A3089">
        <f t="shared" si="96"/>
        <v>2931440</v>
      </c>
      <c r="B3089">
        <v>2022</v>
      </c>
      <c r="C3089" t="s">
        <v>739</v>
      </c>
      <c r="D3089" t="s">
        <v>740</v>
      </c>
      <c r="E3089" t="s">
        <v>743</v>
      </c>
      <c r="F3089" s="34">
        <v>505</v>
      </c>
      <c r="G3089" s="34" t="s">
        <v>657</v>
      </c>
      <c r="H3089" s="36">
        <v>882933</v>
      </c>
      <c r="I3089" s="58">
        <v>4982918</v>
      </c>
      <c r="J3089">
        <f>IFERROR(VLOOKUP(G3089,'LEAID Match'!$A$2:$B$526,2,FALSE),"")</f>
        <v>2931440</v>
      </c>
      <c r="K3089" s="68">
        <f t="shared" si="97"/>
        <v>8</v>
      </c>
    </row>
    <row r="3090" spans="1:11" x14ac:dyDescent="0.2">
      <c r="A3090">
        <f t="shared" si="96"/>
        <v>2925640</v>
      </c>
      <c r="B3090">
        <v>2015</v>
      </c>
      <c r="C3090" t="s">
        <v>739</v>
      </c>
      <c r="D3090" t="s">
        <v>740</v>
      </c>
      <c r="E3090" t="s">
        <v>743</v>
      </c>
      <c r="F3090" s="35">
        <v>507</v>
      </c>
      <c r="G3090" s="34" t="s">
        <v>658</v>
      </c>
      <c r="H3090" s="40">
        <v>70647</v>
      </c>
      <c r="I3090" s="58">
        <v>487345</v>
      </c>
      <c r="J3090">
        <f>IFERROR(VLOOKUP(G3090,'LEAID Match'!$A$2:$B$526,2,FALSE),"")</f>
        <v>2925640</v>
      </c>
      <c r="K3090" s="68">
        <f t="shared" si="97"/>
        <v>8</v>
      </c>
    </row>
    <row r="3091" spans="1:11" x14ac:dyDescent="0.2">
      <c r="A3091">
        <f t="shared" si="96"/>
        <v>2925640</v>
      </c>
      <c r="B3091">
        <v>2016</v>
      </c>
      <c r="C3091" t="s">
        <v>739</v>
      </c>
      <c r="D3091" t="s">
        <v>740</v>
      </c>
      <c r="E3091" t="s">
        <v>743</v>
      </c>
      <c r="F3091" s="34">
        <v>507</v>
      </c>
      <c r="G3091" s="34" t="s">
        <v>658</v>
      </c>
      <c r="H3091" s="36">
        <v>70727</v>
      </c>
      <c r="I3091" s="60">
        <v>473277</v>
      </c>
      <c r="J3091">
        <f>IFERROR(VLOOKUP(G3091,'LEAID Match'!$A$2:$B$526,2,FALSE),"")</f>
        <v>2925640</v>
      </c>
      <c r="K3091" s="68">
        <f t="shared" si="97"/>
        <v>8</v>
      </c>
    </row>
    <row r="3092" spans="1:11" x14ac:dyDescent="0.2">
      <c r="A3092">
        <f t="shared" si="96"/>
        <v>2925640</v>
      </c>
      <c r="B3092">
        <v>2017</v>
      </c>
      <c r="C3092" t="s">
        <v>739</v>
      </c>
      <c r="D3092" t="s">
        <v>740</v>
      </c>
      <c r="E3092" t="s">
        <v>743</v>
      </c>
      <c r="F3092" s="34">
        <v>507</v>
      </c>
      <c r="G3092" s="34" t="s">
        <v>658</v>
      </c>
      <c r="H3092" s="36">
        <v>73233</v>
      </c>
      <c r="I3092" s="58">
        <v>460614</v>
      </c>
      <c r="J3092">
        <f>IFERROR(VLOOKUP(G3092,'LEAID Match'!$A$2:$B$526,2,FALSE),"")</f>
        <v>2925640</v>
      </c>
      <c r="K3092" s="68">
        <f t="shared" si="97"/>
        <v>8</v>
      </c>
    </row>
    <row r="3093" spans="1:11" x14ac:dyDescent="0.2">
      <c r="A3093">
        <f t="shared" si="96"/>
        <v>2925640</v>
      </c>
      <c r="B3093">
        <v>2018</v>
      </c>
      <c r="C3093" t="s">
        <v>739</v>
      </c>
      <c r="D3093" t="s">
        <v>740</v>
      </c>
      <c r="E3093" t="s">
        <v>743</v>
      </c>
      <c r="F3093" s="34">
        <v>507</v>
      </c>
      <c r="G3093" s="34" t="s">
        <v>658</v>
      </c>
      <c r="H3093" s="36">
        <v>81679</v>
      </c>
      <c r="I3093" s="58">
        <v>459805</v>
      </c>
      <c r="J3093">
        <f>IFERROR(VLOOKUP(G3093,'LEAID Match'!$A$2:$B$526,2,FALSE),"")</f>
        <v>2925640</v>
      </c>
      <c r="K3093" s="68">
        <f t="shared" si="97"/>
        <v>8</v>
      </c>
    </row>
    <row r="3094" spans="1:11" x14ac:dyDescent="0.2">
      <c r="A3094">
        <f t="shared" si="96"/>
        <v>2925640</v>
      </c>
      <c r="B3094">
        <v>2019</v>
      </c>
      <c r="C3094" t="s">
        <v>739</v>
      </c>
      <c r="D3094" t="s">
        <v>740</v>
      </c>
      <c r="E3094" t="s">
        <v>743</v>
      </c>
      <c r="F3094" s="34">
        <v>507</v>
      </c>
      <c r="G3094" s="34" t="s">
        <v>658</v>
      </c>
      <c r="H3094" s="36">
        <v>94999</v>
      </c>
      <c r="I3094" s="58">
        <v>459779</v>
      </c>
      <c r="J3094">
        <f>IFERROR(VLOOKUP(G3094,'LEAID Match'!$A$2:$B$526,2,FALSE),"")</f>
        <v>2925640</v>
      </c>
      <c r="K3094" s="68">
        <f t="shared" si="97"/>
        <v>8</v>
      </c>
    </row>
    <row r="3095" spans="1:11" x14ac:dyDescent="0.2">
      <c r="A3095">
        <f t="shared" si="96"/>
        <v>2925640</v>
      </c>
      <c r="B3095">
        <v>2020</v>
      </c>
      <c r="C3095" t="s">
        <v>739</v>
      </c>
      <c r="D3095" t="s">
        <v>740</v>
      </c>
      <c r="E3095" t="s">
        <v>743</v>
      </c>
      <c r="F3095" s="34">
        <v>507</v>
      </c>
      <c r="G3095" s="34" t="s">
        <v>658</v>
      </c>
      <c r="H3095" s="36">
        <v>90810</v>
      </c>
      <c r="I3095" s="58">
        <v>462082</v>
      </c>
      <c r="J3095">
        <f>IFERROR(VLOOKUP(G3095,'LEAID Match'!$A$2:$B$526,2,FALSE),"")</f>
        <v>2925640</v>
      </c>
      <c r="K3095" s="68">
        <f t="shared" si="97"/>
        <v>8</v>
      </c>
    </row>
    <row r="3096" spans="1:11" x14ac:dyDescent="0.2">
      <c r="A3096">
        <f t="shared" si="96"/>
        <v>2925640</v>
      </c>
      <c r="B3096">
        <v>2021</v>
      </c>
      <c r="C3096" t="s">
        <v>739</v>
      </c>
      <c r="D3096" t="s">
        <v>740</v>
      </c>
      <c r="E3096" t="s">
        <v>743</v>
      </c>
      <c r="F3096" s="34">
        <v>507</v>
      </c>
      <c r="G3096" s="34" t="s">
        <v>658</v>
      </c>
      <c r="H3096" s="36">
        <v>82101</v>
      </c>
      <c r="I3096" s="58">
        <v>484584</v>
      </c>
      <c r="J3096">
        <f>IFERROR(VLOOKUP(G3096,'LEAID Match'!$A$2:$B$526,2,FALSE),"")</f>
        <v>2925640</v>
      </c>
      <c r="K3096" s="68">
        <f t="shared" si="97"/>
        <v>8</v>
      </c>
    </row>
    <row r="3097" spans="1:11" x14ac:dyDescent="0.2">
      <c r="A3097">
        <f t="shared" si="96"/>
        <v>2925640</v>
      </c>
      <c r="B3097">
        <v>2022</v>
      </c>
      <c r="C3097" t="s">
        <v>739</v>
      </c>
      <c r="D3097" t="s">
        <v>740</v>
      </c>
      <c r="E3097" t="s">
        <v>743</v>
      </c>
      <c r="F3097" s="34">
        <v>507</v>
      </c>
      <c r="G3097" s="34" t="s">
        <v>658</v>
      </c>
      <c r="H3097" s="36">
        <v>91464</v>
      </c>
      <c r="I3097" s="58">
        <v>483121</v>
      </c>
      <c r="J3097">
        <f>IFERROR(VLOOKUP(G3097,'LEAID Match'!$A$2:$B$526,2,FALSE),"")</f>
        <v>2925640</v>
      </c>
      <c r="K3097" s="68">
        <f t="shared" si="97"/>
        <v>8</v>
      </c>
    </row>
    <row r="3098" spans="1:11" x14ac:dyDescent="0.2">
      <c r="A3098">
        <f t="shared" si="96"/>
        <v>2925710</v>
      </c>
      <c r="B3098">
        <v>2015</v>
      </c>
      <c r="C3098" t="s">
        <v>739</v>
      </c>
      <c r="D3098" t="s">
        <v>740</v>
      </c>
      <c r="E3098" t="s">
        <v>743</v>
      </c>
      <c r="F3098" s="35">
        <v>509</v>
      </c>
      <c r="G3098" s="39" t="s">
        <v>659</v>
      </c>
      <c r="H3098" s="40">
        <v>41372</v>
      </c>
      <c r="I3098" s="58">
        <v>431464</v>
      </c>
      <c r="J3098">
        <f>IFERROR(VLOOKUP(G3098,'LEAID Match'!$A$2:$B$526,2,FALSE),"")</f>
        <v>2925710</v>
      </c>
      <c r="K3098" s="68">
        <f t="shared" si="97"/>
        <v>8</v>
      </c>
    </row>
    <row r="3099" spans="1:11" x14ac:dyDescent="0.2">
      <c r="A3099">
        <f t="shared" si="96"/>
        <v>2925710</v>
      </c>
      <c r="B3099">
        <v>2016</v>
      </c>
      <c r="C3099" t="s">
        <v>739</v>
      </c>
      <c r="D3099" t="s">
        <v>740</v>
      </c>
      <c r="E3099" t="s">
        <v>743</v>
      </c>
      <c r="F3099" s="34">
        <v>509</v>
      </c>
      <c r="G3099" s="34" t="s">
        <v>659</v>
      </c>
      <c r="H3099" s="36">
        <v>45198</v>
      </c>
      <c r="I3099" s="60">
        <v>446460</v>
      </c>
      <c r="J3099">
        <f>IFERROR(VLOOKUP(G3099,'LEAID Match'!$A$2:$B$526,2,FALSE),"")</f>
        <v>2925710</v>
      </c>
      <c r="K3099" s="68">
        <f t="shared" si="97"/>
        <v>8</v>
      </c>
    </row>
    <row r="3100" spans="1:11" x14ac:dyDescent="0.2">
      <c r="A3100">
        <f t="shared" si="96"/>
        <v>2925710</v>
      </c>
      <c r="B3100">
        <v>2017</v>
      </c>
      <c r="C3100" t="s">
        <v>739</v>
      </c>
      <c r="D3100" t="s">
        <v>740</v>
      </c>
      <c r="E3100" t="s">
        <v>743</v>
      </c>
      <c r="F3100" s="34">
        <v>509</v>
      </c>
      <c r="G3100" s="34" t="s">
        <v>659</v>
      </c>
      <c r="H3100" s="36">
        <v>48154</v>
      </c>
      <c r="I3100" s="58">
        <v>476856</v>
      </c>
      <c r="J3100">
        <f>IFERROR(VLOOKUP(G3100,'LEAID Match'!$A$2:$B$526,2,FALSE),"")</f>
        <v>2925710</v>
      </c>
      <c r="K3100" s="68">
        <f t="shared" si="97"/>
        <v>8</v>
      </c>
    </row>
    <row r="3101" spans="1:11" x14ac:dyDescent="0.2">
      <c r="A3101">
        <f t="shared" si="96"/>
        <v>2925710</v>
      </c>
      <c r="B3101">
        <v>2018</v>
      </c>
      <c r="C3101" t="s">
        <v>739</v>
      </c>
      <c r="D3101" t="s">
        <v>740</v>
      </c>
      <c r="E3101" t="s">
        <v>743</v>
      </c>
      <c r="F3101" s="34">
        <v>509</v>
      </c>
      <c r="G3101" s="34" t="s">
        <v>659</v>
      </c>
      <c r="H3101" s="36">
        <v>51634</v>
      </c>
      <c r="I3101" s="58">
        <v>489085</v>
      </c>
      <c r="J3101">
        <f>IFERROR(VLOOKUP(G3101,'LEAID Match'!$A$2:$B$526,2,FALSE),"")</f>
        <v>2925710</v>
      </c>
      <c r="K3101" s="68">
        <f t="shared" si="97"/>
        <v>8</v>
      </c>
    </row>
    <row r="3102" spans="1:11" x14ac:dyDescent="0.2">
      <c r="A3102">
        <f t="shared" si="96"/>
        <v>2925710</v>
      </c>
      <c r="B3102">
        <v>2019</v>
      </c>
      <c r="C3102" t="s">
        <v>739</v>
      </c>
      <c r="D3102" t="s">
        <v>740</v>
      </c>
      <c r="E3102" t="s">
        <v>743</v>
      </c>
      <c r="F3102" s="34">
        <v>509</v>
      </c>
      <c r="G3102" s="34" t="s">
        <v>659</v>
      </c>
      <c r="H3102" s="36">
        <v>54004</v>
      </c>
      <c r="I3102" s="58">
        <v>491730</v>
      </c>
      <c r="J3102">
        <f>IFERROR(VLOOKUP(G3102,'LEAID Match'!$A$2:$B$526,2,FALSE),"")</f>
        <v>2925710</v>
      </c>
      <c r="K3102" s="68">
        <f t="shared" si="97"/>
        <v>8</v>
      </c>
    </row>
    <row r="3103" spans="1:11" x14ac:dyDescent="0.2">
      <c r="A3103">
        <f t="shared" si="96"/>
        <v>2925710</v>
      </c>
      <c r="B3103">
        <v>2020</v>
      </c>
      <c r="C3103" t="s">
        <v>739</v>
      </c>
      <c r="D3103" t="s">
        <v>740</v>
      </c>
      <c r="E3103" t="s">
        <v>743</v>
      </c>
      <c r="F3103" s="34">
        <v>509</v>
      </c>
      <c r="G3103" s="34" t="s">
        <v>659</v>
      </c>
      <c r="H3103" s="36">
        <v>54528</v>
      </c>
      <c r="I3103" s="58">
        <v>509681</v>
      </c>
      <c r="J3103">
        <f>IFERROR(VLOOKUP(G3103,'LEAID Match'!$A$2:$B$526,2,FALSE),"")</f>
        <v>2925710</v>
      </c>
      <c r="K3103" s="68">
        <f t="shared" si="97"/>
        <v>8</v>
      </c>
    </row>
    <row r="3104" spans="1:11" x14ac:dyDescent="0.2">
      <c r="A3104">
        <f t="shared" si="96"/>
        <v>2925710</v>
      </c>
      <c r="B3104">
        <v>2021</v>
      </c>
      <c r="C3104" t="s">
        <v>739</v>
      </c>
      <c r="D3104" t="s">
        <v>740</v>
      </c>
      <c r="E3104" t="s">
        <v>743</v>
      </c>
      <c r="F3104" s="34">
        <v>509</v>
      </c>
      <c r="G3104" s="34" t="s">
        <v>659</v>
      </c>
      <c r="H3104" s="36">
        <v>63357</v>
      </c>
      <c r="I3104" s="58">
        <v>558645</v>
      </c>
      <c r="J3104">
        <f>IFERROR(VLOOKUP(G3104,'LEAID Match'!$A$2:$B$526,2,FALSE),"")</f>
        <v>2925710</v>
      </c>
      <c r="K3104" s="68">
        <f t="shared" si="97"/>
        <v>8</v>
      </c>
    </row>
    <row r="3105" spans="1:11" x14ac:dyDescent="0.2">
      <c r="A3105">
        <f t="shared" si="96"/>
        <v>2925710</v>
      </c>
      <c r="B3105">
        <v>2022</v>
      </c>
      <c r="C3105" t="s">
        <v>739</v>
      </c>
      <c r="D3105" t="s">
        <v>740</v>
      </c>
      <c r="E3105" t="s">
        <v>743</v>
      </c>
      <c r="F3105" s="34">
        <v>509</v>
      </c>
      <c r="G3105" s="34" t="s">
        <v>659</v>
      </c>
      <c r="H3105" s="36">
        <v>76958</v>
      </c>
      <c r="I3105" s="58">
        <v>572821</v>
      </c>
      <c r="J3105">
        <f>IFERROR(VLOOKUP(G3105,'LEAID Match'!$A$2:$B$526,2,FALSE),"")</f>
        <v>2925710</v>
      </c>
      <c r="K3105" s="68">
        <f t="shared" si="97"/>
        <v>8</v>
      </c>
    </row>
    <row r="3106" spans="1:11" x14ac:dyDescent="0.2">
      <c r="A3106">
        <f t="shared" si="96"/>
        <v>2931860</v>
      </c>
      <c r="B3106">
        <v>2015</v>
      </c>
      <c r="C3106" t="s">
        <v>739</v>
      </c>
      <c r="D3106" t="s">
        <v>740</v>
      </c>
      <c r="E3106" t="s">
        <v>743</v>
      </c>
      <c r="F3106" s="45">
        <v>510</v>
      </c>
      <c r="G3106" s="34" t="s">
        <v>660</v>
      </c>
      <c r="H3106" s="53">
        <v>83067</v>
      </c>
      <c r="I3106" s="58">
        <v>600606</v>
      </c>
      <c r="J3106">
        <f>IFERROR(VLOOKUP(G3106,'LEAID Match'!$A$2:$B$526,2,FALSE),"")</f>
        <v>2931860</v>
      </c>
      <c r="K3106" s="68">
        <f t="shared" si="97"/>
        <v>8</v>
      </c>
    </row>
    <row r="3107" spans="1:11" x14ac:dyDescent="0.2">
      <c r="A3107">
        <f t="shared" si="96"/>
        <v>2931860</v>
      </c>
      <c r="B3107">
        <v>2016</v>
      </c>
      <c r="C3107" t="s">
        <v>739</v>
      </c>
      <c r="D3107" t="s">
        <v>740</v>
      </c>
      <c r="E3107" t="s">
        <v>743</v>
      </c>
      <c r="F3107" s="34">
        <v>510</v>
      </c>
      <c r="G3107" s="34" t="s">
        <v>660</v>
      </c>
      <c r="H3107" s="36">
        <v>89691</v>
      </c>
      <c r="I3107" s="60">
        <v>600304</v>
      </c>
      <c r="J3107">
        <f>IFERROR(VLOOKUP(G3107,'LEAID Match'!$A$2:$B$526,2,FALSE),"")</f>
        <v>2931860</v>
      </c>
      <c r="K3107" s="68">
        <f t="shared" si="97"/>
        <v>8</v>
      </c>
    </row>
    <row r="3108" spans="1:11" x14ac:dyDescent="0.2">
      <c r="A3108">
        <f t="shared" si="96"/>
        <v>2931860</v>
      </c>
      <c r="B3108">
        <v>2017</v>
      </c>
      <c r="C3108" t="s">
        <v>739</v>
      </c>
      <c r="D3108" t="s">
        <v>740</v>
      </c>
      <c r="E3108" t="s">
        <v>743</v>
      </c>
      <c r="F3108" s="34">
        <v>510</v>
      </c>
      <c r="G3108" s="34" t="s">
        <v>660</v>
      </c>
      <c r="H3108" s="36">
        <v>87852</v>
      </c>
      <c r="I3108" s="58">
        <v>612171</v>
      </c>
      <c r="J3108">
        <f>IFERROR(VLOOKUP(G3108,'LEAID Match'!$A$2:$B$526,2,FALSE),"")</f>
        <v>2931860</v>
      </c>
      <c r="K3108" s="68">
        <f t="shared" si="97"/>
        <v>8</v>
      </c>
    </row>
    <row r="3109" spans="1:11" x14ac:dyDescent="0.2">
      <c r="A3109">
        <f t="shared" si="96"/>
        <v>2931860</v>
      </c>
      <c r="B3109">
        <v>2018</v>
      </c>
      <c r="C3109" t="s">
        <v>739</v>
      </c>
      <c r="D3109" t="s">
        <v>740</v>
      </c>
      <c r="E3109" t="s">
        <v>743</v>
      </c>
      <c r="F3109" s="34">
        <v>510</v>
      </c>
      <c r="G3109" s="34" t="s">
        <v>660</v>
      </c>
      <c r="H3109" s="36">
        <v>88998</v>
      </c>
      <c r="I3109" s="58">
        <v>632754</v>
      </c>
      <c r="J3109">
        <f>IFERROR(VLOOKUP(G3109,'LEAID Match'!$A$2:$B$526,2,FALSE),"")</f>
        <v>2931860</v>
      </c>
      <c r="K3109" s="68">
        <f t="shared" si="97"/>
        <v>8</v>
      </c>
    </row>
    <row r="3110" spans="1:11" x14ac:dyDescent="0.2">
      <c r="A3110">
        <f t="shared" si="96"/>
        <v>2931860</v>
      </c>
      <c r="B3110">
        <v>2019</v>
      </c>
      <c r="C3110" t="s">
        <v>739</v>
      </c>
      <c r="D3110" t="s">
        <v>740</v>
      </c>
      <c r="E3110" t="s">
        <v>743</v>
      </c>
      <c r="F3110" s="34">
        <v>510</v>
      </c>
      <c r="G3110" s="34" t="s">
        <v>660</v>
      </c>
      <c r="H3110" s="36">
        <v>95618</v>
      </c>
      <c r="I3110" s="58">
        <v>636684</v>
      </c>
      <c r="J3110">
        <f>IFERROR(VLOOKUP(G3110,'LEAID Match'!$A$2:$B$526,2,FALSE),"")</f>
        <v>2931860</v>
      </c>
      <c r="K3110" s="68">
        <f t="shared" si="97"/>
        <v>8</v>
      </c>
    </row>
    <row r="3111" spans="1:11" x14ac:dyDescent="0.2">
      <c r="A3111">
        <f t="shared" si="96"/>
        <v>2931860</v>
      </c>
      <c r="B3111">
        <v>2020</v>
      </c>
      <c r="C3111" t="s">
        <v>739</v>
      </c>
      <c r="D3111" t="s">
        <v>740</v>
      </c>
      <c r="E3111" t="s">
        <v>743</v>
      </c>
      <c r="F3111" s="34">
        <v>510</v>
      </c>
      <c r="G3111" s="34" t="s">
        <v>660</v>
      </c>
      <c r="H3111" s="36">
        <v>94370</v>
      </c>
      <c r="I3111" s="58">
        <v>638962</v>
      </c>
      <c r="J3111">
        <f>IFERROR(VLOOKUP(G3111,'LEAID Match'!$A$2:$B$526,2,FALSE),"")</f>
        <v>2931860</v>
      </c>
      <c r="K3111" s="68">
        <f t="shared" si="97"/>
        <v>8</v>
      </c>
    </row>
    <row r="3112" spans="1:11" x14ac:dyDescent="0.2">
      <c r="A3112">
        <f t="shared" si="96"/>
        <v>2931860</v>
      </c>
      <c r="B3112">
        <v>2021</v>
      </c>
      <c r="C3112" t="s">
        <v>739</v>
      </c>
      <c r="D3112" t="s">
        <v>740</v>
      </c>
      <c r="E3112" t="s">
        <v>743</v>
      </c>
      <c r="F3112" s="34">
        <v>510</v>
      </c>
      <c r="G3112" s="34" t="s">
        <v>660</v>
      </c>
      <c r="H3112" s="36">
        <v>97673</v>
      </c>
      <c r="I3112" s="58">
        <v>641064</v>
      </c>
      <c r="J3112">
        <f>IFERROR(VLOOKUP(G3112,'LEAID Match'!$A$2:$B$526,2,FALSE),"")</f>
        <v>2931860</v>
      </c>
      <c r="K3112" s="68">
        <f t="shared" si="97"/>
        <v>8</v>
      </c>
    </row>
    <row r="3113" spans="1:11" x14ac:dyDescent="0.2">
      <c r="A3113">
        <f t="shared" si="96"/>
        <v>2931860</v>
      </c>
      <c r="B3113">
        <v>2022</v>
      </c>
      <c r="C3113" t="s">
        <v>739</v>
      </c>
      <c r="D3113" t="s">
        <v>740</v>
      </c>
      <c r="E3113" t="s">
        <v>743</v>
      </c>
      <c r="F3113" s="34">
        <v>510</v>
      </c>
      <c r="G3113" s="34" t="s">
        <v>660</v>
      </c>
      <c r="H3113" s="36">
        <v>101152</v>
      </c>
      <c r="I3113" s="58">
        <v>656947</v>
      </c>
      <c r="J3113">
        <f>IFERROR(VLOOKUP(G3113,'LEAID Match'!$A$2:$B$526,2,FALSE),"")</f>
        <v>2931860</v>
      </c>
      <c r="K3113" s="68">
        <f t="shared" si="97"/>
        <v>8</v>
      </c>
    </row>
    <row r="3114" spans="1:11" x14ac:dyDescent="0.2">
      <c r="A3114">
        <f t="shared" si="96"/>
        <v>2922860</v>
      </c>
      <c r="B3114">
        <v>2015</v>
      </c>
      <c r="C3114" t="s">
        <v>739</v>
      </c>
      <c r="D3114" t="s">
        <v>740</v>
      </c>
      <c r="E3114" t="s">
        <v>743</v>
      </c>
      <c r="F3114" s="45">
        <v>511</v>
      </c>
      <c r="G3114" s="50" t="s">
        <v>479</v>
      </c>
      <c r="H3114" s="53">
        <v>36926</v>
      </c>
      <c r="I3114" s="58">
        <v>282399</v>
      </c>
      <c r="J3114">
        <f>IFERROR(VLOOKUP(G3114,'LEAID Match'!$A$2:$B$526,2,FALSE),"")</f>
        <v>2922860</v>
      </c>
      <c r="K3114" s="68">
        <f t="shared" si="97"/>
        <v>8</v>
      </c>
    </row>
    <row r="3115" spans="1:11" x14ac:dyDescent="0.2">
      <c r="A3115">
        <f t="shared" si="96"/>
        <v>2922860</v>
      </c>
      <c r="B3115">
        <v>2016</v>
      </c>
      <c r="C3115" t="s">
        <v>739</v>
      </c>
      <c r="D3115" t="s">
        <v>740</v>
      </c>
      <c r="E3115" t="s">
        <v>743</v>
      </c>
      <c r="F3115" s="34">
        <v>511</v>
      </c>
      <c r="G3115" s="34" t="s">
        <v>479</v>
      </c>
      <c r="H3115" s="36">
        <v>36884</v>
      </c>
      <c r="I3115" s="60">
        <v>271295</v>
      </c>
      <c r="J3115">
        <f>IFERROR(VLOOKUP(G3115,'LEAID Match'!$A$2:$B$526,2,FALSE),"")</f>
        <v>2922860</v>
      </c>
      <c r="K3115" s="68">
        <f t="shared" si="97"/>
        <v>8</v>
      </c>
    </row>
    <row r="3116" spans="1:11" x14ac:dyDescent="0.2">
      <c r="A3116">
        <f t="shared" si="96"/>
        <v>2922860</v>
      </c>
      <c r="B3116">
        <v>2017</v>
      </c>
      <c r="C3116" t="s">
        <v>739</v>
      </c>
      <c r="D3116" t="s">
        <v>740</v>
      </c>
      <c r="E3116" t="s">
        <v>743</v>
      </c>
      <c r="F3116" s="34">
        <v>511</v>
      </c>
      <c r="G3116" s="34" t="s">
        <v>479</v>
      </c>
      <c r="H3116" s="36">
        <v>38899</v>
      </c>
      <c r="I3116" s="58">
        <v>285668</v>
      </c>
      <c r="J3116">
        <f>IFERROR(VLOOKUP(G3116,'LEAID Match'!$A$2:$B$526,2,FALSE),"")</f>
        <v>2922860</v>
      </c>
      <c r="K3116" s="68">
        <f t="shared" si="97"/>
        <v>8</v>
      </c>
    </row>
    <row r="3117" spans="1:11" x14ac:dyDescent="0.2">
      <c r="A3117">
        <f t="shared" si="96"/>
        <v>2922860</v>
      </c>
      <c r="B3117">
        <v>2018</v>
      </c>
      <c r="C3117" t="s">
        <v>739</v>
      </c>
      <c r="D3117" t="s">
        <v>740</v>
      </c>
      <c r="E3117" t="s">
        <v>743</v>
      </c>
      <c r="F3117" s="34">
        <v>511</v>
      </c>
      <c r="G3117" s="34" t="s">
        <v>479</v>
      </c>
      <c r="H3117" s="36">
        <v>40419</v>
      </c>
      <c r="I3117" s="58">
        <v>296299</v>
      </c>
      <c r="J3117">
        <f>IFERROR(VLOOKUP(G3117,'LEAID Match'!$A$2:$B$526,2,FALSE),"")</f>
        <v>2922860</v>
      </c>
      <c r="K3117" s="68">
        <f t="shared" si="97"/>
        <v>8</v>
      </c>
    </row>
    <row r="3118" spans="1:11" x14ac:dyDescent="0.2">
      <c r="A3118">
        <f t="shared" si="96"/>
        <v>2922860</v>
      </c>
      <c r="B3118">
        <v>2019</v>
      </c>
      <c r="C3118" t="s">
        <v>739</v>
      </c>
      <c r="D3118" t="s">
        <v>740</v>
      </c>
      <c r="E3118" t="s">
        <v>743</v>
      </c>
      <c r="F3118" s="34">
        <v>511</v>
      </c>
      <c r="G3118" s="34" t="s">
        <v>479</v>
      </c>
      <c r="H3118" s="36">
        <v>39479</v>
      </c>
      <c r="I3118" s="58">
        <v>293868</v>
      </c>
      <c r="J3118">
        <f>IFERROR(VLOOKUP(G3118,'LEAID Match'!$A$2:$B$526,2,FALSE),"")</f>
        <v>2922860</v>
      </c>
      <c r="K3118" s="68">
        <f t="shared" si="97"/>
        <v>8</v>
      </c>
    </row>
    <row r="3119" spans="1:11" x14ac:dyDescent="0.2">
      <c r="A3119">
        <f t="shared" si="96"/>
        <v>2922860</v>
      </c>
      <c r="B3119">
        <v>2020</v>
      </c>
      <c r="C3119" t="s">
        <v>739</v>
      </c>
      <c r="D3119" t="s">
        <v>740</v>
      </c>
      <c r="E3119" t="s">
        <v>743</v>
      </c>
      <c r="F3119" s="34">
        <v>511</v>
      </c>
      <c r="G3119" s="34" t="s">
        <v>479</v>
      </c>
      <c r="H3119" s="36">
        <v>40921</v>
      </c>
      <c r="I3119" s="58">
        <v>299997</v>
      </c>
      <c r="J3119">
        <f>IFERROR(VLOOKUP(G3119,'LEAID Match'!$A$2:$B$526,2,FALSE),"")</f>
        <v>2922860</v>
      </c>
      <c r="K3119" s="68">
        <f t="shared" si="97"/>
        <v>8</v>
      </c>
    </row>
    <row r="3120" spans="1:11" x14ac:dyDescent="0.2">
      <c r="A3120">
        <f t="shared" si="96"/>
        <v>2922860</v>
      </c>
      <c r="B3120">
        <v>2021</v>
      </c>
      <c r="C3120" t="s">
        <v>739</v>
      </c>
      <c r="D3120" t="s">
        <v>740</v>
      </c>
      <c r="E3120" t="s">
        <v>743</v>
      </c>
      <c r="F3120" s="34">
        <v>511</v>
      </c>
      <c r="G3120" s="34" t="s">
        <v>479</v>
      </c>
      <c r="H3120" s="36">
        <v>41528</v>
      </c>
      <c r="I3120" s="58">
        <v>314864</v>
      </c>
      <c r="J3120">
        <f>IFERROR(VLOOKUP(G3120,'LEAID Match'!$A$2:$B$526,2,FALSE),"")</f>
        <v>2922860</v>
      </c>
      <c r="K3120" s="68">
        <f t="shared" si="97"/>
        <v>8</v>
      </c>
    </row>
    <row r="3121" spans="1:11" x14ac:dyDescent="0.2">
      <c r="A3121">
        <f t="shared" si="96"/>
        <v>2922860</v>
      </c>
      <c r="B3121">
        <v>2022</v>
      </c>
      <c r="C3121" t="s">
        <v>739</v>
      </c>
      <c r="D3121" t="s">
        <v>740</v>
      </c>
      <c r="E3121" t="s">
        <v>743</v>
      </c>
      <c r="F3121" s="34">
        <v>511</v>
      </c>
      <c r="G3121" s="34" t="s">
        <v>479</v>
      </c>
      <c r="H3121" s="36">
        <v>41947</v>
      </c>
      <c r="I3121" s="58">
        <v>305480</v>
      </c>
      <c r="J3121">
        <f>IFERROR(VLOOKUP(G3121,'LEAID Match'!$A$2:$B$526,2,FALSE),"")</f>
        <v>2922860</v>
      </c>
      <c r="K3121" s="68">
        <f t="shared" si="97"/>
        <v>8</v>
      </c>
    </row>
    <row r="3122" spans="1:11" x14ac:dyDescent="0.2">
      <c r="A3122">
        <f t="shared" si="96"/>
        <v>2926190</v>
      </c>
      <c r="B3122">
        <v>2015</v>
      </c>
      <c r="C3122" t="s">
        <v>739</v>
      </c>
      <c r="D3122" t="s">
        <v>740</v>
      </c>
      <c r="E3122" t="s">
        <v>743</v>
      </c>
      <c r="F3122" s="45">
        <v>512</v>
      </c>
      <c r="G3122" s="50" t="s">
        <v>480</v>
      </c>
      <c r="H3122" s="53">
        <v>25871</v>
      </c>
      <c r="I3122" s="58">
        <v>110615</v>
      </c>
      <c r="J3122">
        <f>IFERROR(VLOOKUP(G3122,'LEAID Match'!$A$2:$B$526,2,FALSE),"")</f>
        <v>2926190</v>
      </c>
      <c r="K3122" s="68">
        <f t="shared" si="97"/>
        <v>8</v>
      </c>
    </row>
    <row r="3123" spans="1:11" x14ac:dyDescent="0.2">
      <c r="A3123">
        <f t="shared" si="96"/>
        <v>2926190</v>
      </c>
      <c r="B3123">
        <v>2016</v>
      </c>
      <c r="C3123" t="s">
        <v>739</v>
      </c>
      <c r="D3123" t="s">
        <v>740</v>
      </c>
      <c r="E3123" t="s">
        <v>743</v>
      </c>
      <c r="F3123" s="34">
        <v>512</v>
      </c>
      <c r="G3123" s="34" t="s">
        <v>480</v>
      </c>
      <c r="H3123" s="36">
        <v>23233</v>
      </c>
      <c r="I3123" s="60">
        <v>113556</v>
      </c>
      <c r="J3123">
        <f>IFERROR(VLOOKUP(G3123,'LEAID Match'!$A$2:$B$526,2,FALSE),"")</f>
        <v>2926190</v>
      </c>
      <c r="K3123" s="68">
        <f t="shared" si="97"/>
        <v>8</v>
      </c>
    </row>
    <row r="3124" spans="1:11" x14ac:dyDescent="0.2">
      <c r="A3124">
        <f t="shared" si="96"/>
        <v>2926190</v>
      </c>
      <c r="B3124">
        <v>2017</v>
      </c>
      <c r="C3124" t="s">
        <v>739</v>
      </c>
      <c r="D3124" t="s">
        <v>740</v>
      </c>
      <c r="E3124" t="s">
        <v>743</v>
      </c>
      <c r="F3124" s="34">
        <v>512</v>
      </c>
      <c r="G3124" s="34" t="s">
        <v>480</v>
      </c>
      <c r="H3124" s="36">
        <v>22896</v>
      </c>
      <c r="I3124" s="58">
        <v>108627</v>
      </c>
      <c r="J3124">
        <f>IFERROR(VLOOKUP(G3124,'LEAID Match'!$A$2:$B$526,2,FALSE),"")</f>
        <v>2926190</v>
      </c>
      <c r="K3124" s="68">
        <f t="shared" si="97"/>
        <v>8</v>
      </c>
    </row>
    <row r="3125" spans="1:11" x14ac:dyDescent="0.2">
      <c r="A3125">
        <f t="shared" si="96"/>
        <v>2926190</v>
      </c>
      <c r="B3125">
        <v>2018</v>
      </c>
      <c r="C3125" t="s">
        <v>739</v>
      </c>
      <c r="D3125" t="s">
        <v>740</v>
      </c>
      <c r="E3125" t="s">
        <v>743</v>
      </c>
      <c r="F3125" s="34">
        <v>512</v>
      </c>
      <c r="G3125" s="34" t="s">
        <v>480</v>
      </c>
      <c r="H3125" s="36">
        <v>23910</v>
      </c>
      <c r="I3125" s="58">
        <v>110116</v>
      </c>
      <c r="J3125">
        <f>IFERROR(VLOOKUP(G3125,'LEAID Match'!$A$2:$B$526,2,FALSE),"")</f>
        <v>2926190</v>
      </c>
      <c r="K3125" s="68">
        <f t="shared" si="97"/>
        <v>8</v>
      </c>
    </row>
    <row r="3126" spans="1:11" x14ac:dyDescent="0.2">
      <c r="A3126">
        <f t="shared" si="96"/>
        <v>2926190</v>
      </c>
      <c r="B3126">
        <v>2019</v>
      </c>
      <c r="C3126" t="s">
        <v>739</v>
      </c>
      <c r="D3126" t="s">
        <v>740</v>
      </c>
      <c r="E3126" t="s">
        <v>743</v>
      </c>
      <c r="F3126" s="34">
        <v>512</v>
      </c>
      <c r="G3126" s="34" t="s">
        <v>480</v>
      </c>
      <c r="H3126" s="36">
        <v>22605</v>
      </c>
      <c r="I3126" s="58">
        <v>113401</v>
      </c>
      <c r="J3126">
        <f>IFERROR(VLOOKUP(G3126,'LEAID Match'!$A$2:$B$526,2,FALSE),"")</f>
        <v>2926190</v>
      </c>
      <c r="K3126" s="68">
        <f t="shared" si="97"/>
        <v>8</v>
      </c>
    </row>
    <row r="3127" spans="1:11" x14ac:dyDescent="0.2">
      <c r="A3127">
        <f t="shared" si="96"/>
        <v>2926190</v>
      </c>
      <c r="B3127">
        <v>2020</v>
      </c>
      <c r="C3127" t="s">
        <v>739</v>
      </c>
      <c r="D3127" t="s">
        <v>740</v>
      </c>
      <c r="E3127" t="s">
        <v>743</v>
      </c>
      <c r="F3127" s="34">
        <v>512</v>
      </c>
      <c r="G3127" s="34" t="s">
        <v>480</v>
      </c>
      <c r="H3127" s="36">
        <v>19032</v>
      </c>
      <c r="I3127" s="58">
        <v>124227</v>
      </c>
      <c r="J3127">
        <f>IFERROR(VLOOKUP(G3127,'LEAID Match'!$A$2:$B$526,2,FALSE),"")</f>
        <v>2926190</v>
      </c>
      <c r="K3127" s="68">
        <f t="shared" si="97"/>
        <v>8</v>
      </c>
    </row>
    <row r="3128" spans="1:11" x14ac:dyDescent="0.2">
      <c r="A3128">
        <f t="shared" si="96"/>
        <v>2926190</v>
      </c>
      <c r="B3128">
        <v>2021</v>
      </c>
      <c r="C3128" t="s">
        <v>739</v>
      </c>
      <c r="D3128" t="s">
        <v>740</v>
      </c>
      <c r="E3128" t="s">
        <v>743</v>
      </c>
      <c r="F3128" s="34">
        <v>512</v>
      </c>
      <c r="G3128" s="34" t="s">
        <v>480</v>
      </c>
      <c r="H3128" s="36">
        <v>19752</v>
      </c>
      <c r="I3128" s="58">
        <v>129984</v>
      </c>
      <c r="J3128">
        <f>IFERROR(VLOOKUP(G3128,'LEAID Match'!$A$2:$B$526,2,FALSE),"")</f>
        <v>2926190</v>
      </c>
      <c r="K3128" s="68">
        <f t="shared" si="97"/>
        <v>8</v>
      </c>
    </row>
    <row r="3129" spans="1:11" x14ac:dyDescent="0.2">
      <c r="A3129">
        <f t="shared" si="96"/>
        <v>2926190</v>
      </c>
      <c r="B3129">
        <v>2022</v>
      </c>
      <c r="C3129" t="s">
        <v>739</v>
      </c>
      <c r="D3129" t="s">
        <v>740</v>
      </c>
      <c r="E3129" t="s">
        <v>743</v>
      </c>
      <c r="F3129" s="34">
        <v>512</v>
      </c>
      <c r="G3129" s="34" t="s">
        <v>480</v>
      </c>
      <c r="H3129" s="36">
        <v>22684</v>
      </c>
      <c r="I3129" s="58">
        <v>125704</v>
      </c>
      <c r="J3129">
        <f>IFERROR(VLOOKUP(G3129,'LEAID Match'!$A$2:$B$526,2,FALSE),"")</f>
        <v>2926190</v>
      </c>
      <c r="K3129" s="68">
        <f t="shared" si="97"/>
        <v>8</v>
      </c>
    </row>
    <row r="3130" spans="1:11" x14ac:dyDescent="0.2">
      <c r="A3130">
        <f t="shared" si="96"/>
        <v>2914370</v>
      </c>
      <c r="B3130">
        <v>2015</v>
      </c>
      <c r="C3130" t="s">
        <v>739</v>
      </c>
      <c r="D3130" t="s">
        <v>740</v>
      </c>
      <c r="E3130" t="s">
        <v>743</v>
      </c>
      <c r="F3130" s="45">
        <v>514</v>
      </c>
      <c r="G3130" s="50" t="s">
        <v>481</v>
      </c>
      <c r="H3130" s="53">
        <v>25919</v>
      </c>
      <c r="I3130" s="58">
        <v>146501</v>
      </c>
      <c r="J3130">
        <f>IFERROR(VLOOKUP(G3130,'LEAID Match'!$A$2:$B$526,2,FALSE),"")</f>
        <v>2914370</v>
      </c>
      <c r="K3130" s="68">
        <f t="shared" si="97"/>
        <v>8</v>
      </c>
    </row>
    <row r="3131" spans="1:11" x14ac:dyDescent="0.2">
      <c r="A3131">
        <f t="shared" si="96"/>
        <v>2914370</v>
      </c>
      <c r="B3131">
        <v>2016</v>
      </c>
      <c r="C3131" t="s">
        <v>739</v>
      </c>
      <c r="D3131" t="s">
        <v>740</v>
      </c>
      <c r="E3131" t="s">
        <v>743</v>
      </c>
      <c r="F3131" s="34">
        <v>514</v>
      </c>
      <c r="G3131" s="34" t="s">
        <v>481</v>
      </c>
      <c r="H3131" s="36">
        <v>23759</v>
      </c>
      <c r="I3131" s="60">
        <v>150229</v>
      </c>
      <c r="J3131">
        <f>IFERROR(VLOOKUP(G3131,'LEAID Match'!$A$2:$B$526,2,FALSE),"")</f>
        <v>2914370</v>
      </c>
      <c r="K3131" s="68">
        <f t="shared" si="97"/>
        <v>8</v>
      </c>
    </row>
    <row r="3132" spans="1:11" x14ac:dyDescent="0.2">
      <c r="A3132">
        <f t="shared" si="96"/>
        <v>2914370</v>
      </c>
      <c r="B3132">
        <v>2017</v>
      </c>
      <c r="C3132" t="s">
        <v>739</v>
      </c>
      <c r="D3132" t="s">
        <v>740</v>
      </c>
      <c r="E3132" t="s">
        <v>743</v>
      </c>
      <c r="F3132" s="34">
        <v>514</v>
      </c>
      <c r="G3132" s="34" t="s">
        <v>481</v>
      </c>
      <c r="H3132" s="36">
        <v>25722</v>
      </c>
      <c r="I3132" s="58">
        <v>155935</v>
      </c>
      <c r="J3132">
        <f>IFERROR(VLOOKUP(G3132,'LEAID Match'!$A$2:$B$526,2,FALSE),"")</f>
        <v>2914370</v>
      </c>
      <c r="K3132" s="68">
        <f t="shared" si="97"/>
        <v>8</v>
      </c>
    </row>
    <row r="3133" spans="1:11" x14ac:dyDescent="0.2">
      <c r="A3133">
        <f t="shared" si="96"/>
        <v>2914370</v>
      </c>
      <c r="B3133">
        <v>2018</v>
      </c>
      <c r="C3133" t="s">
        <v>739</v>
      </c>
      <c r="D3133" t="s">
        <v>740</v>
      </c>
      <c r="E3133" t="s">
        <v>743</v>
      </c>
      <c r="F3133" s="34">
        <v>514</v>
      </c>
      <c r="G3133" s="34" t="s">
        <v>481</v>
      </c>
      <c r="H3133" s="36">
        <v>27118</v>
      </c>
      <c r="I3133" s="58">
        <v>146006</v>
      </c>
      <c r="J3133">
        <f>IFERROR(VLOOKUP(G3133,'LEAID Match'!$A$2:$B$526,2,FALSE),"")</f>
        <v>2914370</v>
      </c>
      <c r="K3133" s="68">
        <f t="shared" si="97"/>
        <v>8</v>
      </c>
    </row>
    <row r="3134" spans="1:11" x14ac:dyDescent="0.2">
      <c r="A3134">
        <f t="shared" si="96"/>
        <v>2914370</v>
      </c>
      <c r="B3134">
        <v>2019</v>
      </c>
      <c r="C3134" t="s">
        <v>739</v>
      </c>
      <c r="D3134" t="s">
        <v>740</v>
      </c>
      <c r="E3134" t="s">
        <v>743</v>
      </c>
      <c r="F3134" s="34">
        <v>514</v>
      </c>
      <c r="G3134" s="34" t="s">
        <v>481</v>
      </c>
      <c r="H3134" s="36">
        <v>22442</v>
      </c>
      <c r="I3134" s="58">
        <v>155424</v>
      </c>
      <c r="J3134">
        <f>IFERROR(VLOOKUP(G3134,'LEAID Match'!$A$2:$B$526,2,FALSE),"")</f>
        <v>2914370</v>
      </c>
      <c r="K3134" s="68">
        <f t="shared" si="97"/>
        <v>8</v>
      </c>
    </row>
    <row r="3135" spans="1:11" x14ac:dyDescent="0.2">
      <c r="A3135">
        <f t="shared" si="96"/>
        <v>2914370</v>
      </c>
      <c r="B3135">
        <v>2020</v>
      </c>
      <c r="C3135" t="s">
        <v>739</v>
      </c>
      <c r="D3135" t="s">
        <v>740</v>
      </c>
      <c r="E3135" t="s">
        <v>743</v>
      </c>
      <c r="F3135" s="34">
        <v>514</v>
      </c>
      <c r="G3135" s="34" t="s">
        <v>481</v>
      </c>
      <c r="H3135" s="36">
        <v>25436</v>
      </c>
      <c r="I3135" s="58">
        <v>171743</v>
      </c>
      <c r="J3135">
        <f>IFERROR(VLOOKUP(G3135,'LEAID Match'!$A$2:$B$526,2,FALSE),"")</f>
        <v>2914370</v>
      </c>
      <c r="K3135" s="68">
        <f t="shared" si="97"/>
        <v>8</v>
      </c>
    </row>
    <row r="3136" spans="1:11" x14ac:dyDescent="0.2">
      <c r="A3136">
        <f t="shared" si="96"/>
        <v>2914370</v>
      </c>
      <c r="B3136">
        <v>2021</v>
      </c>
      <c r="C3136" t="s">
        <v>739</v>
      </c>
      <c r="D3136" t="s">
        <v>740</v>
      </c>
      <c r="E3136" t="s">
        <v>743</v>
      </c>
      <c r="F3136" s="34">
        <v>514</v>
      </c>
      <c r="G3136" s="34" t="s">
        <v>481</v>
      </c>
      <c r="H3136" s="36">
        <v>25456</v>
      </c>
      <c r="I3136" s="58">
        <v>172885</v>
      </c>
      <c r="J3136">
        <f>IFERROR(VLOOKUP(G3136,'LEAID Match'!$A$2:$B$526,2,FALSE),"")</f>
        <v>2914370</v>
      </c>
      <c r="K3136" s="68">
        <f t="shared" si="97"/>
        <v>8</v>
      </c>
    </row>
    <row r="3137" spans="1:11" x14ac:dyDescent="0.2">
      <c r="A3137">
        <f t="shared" si="96"/>
        <v>2914370</v>
      </c>
      <c r="B3137">
        <v>2022</v>
      </c>
      <c r="C3137" t="s">
        <v>739</v>
      </c>
      <c r="D3137" t="s">
        <v>740</v>
      </c>
      <c r="E3137" t="s">
        <v>743</v>
      </c>
      <c r="F3137" s="34">
        <v>514</v>
      </c>
      <c r="G3137" s="34" t="s">
        <v>481</v>
      </c>
      <c r="H3137" s="36">
        <v>27510</v>
      </c>
      <c r="I3137" s="58">
        <v>175784</v>
      </c>
      <c r="J3137">
        <f>IFERROR(VLOOKUP(G3137,'LEAID Match'!$A$2:$B$526,2,FALSE),"")</f>
        <v>2914370</v>
      </c>
      <c r="K3137" s="68">
        <f t="shared" si="97"/>
        <v>8</v>
      </c>
    </row>
    <row r="3138" spans="1:11" x14ac:dyDescent="0.2">
      <c r="A3138">
        <f t="shared" si="96"/>
        <v>2921100</v>
      </c>
      <c r="B3138">
        <v>2015</v>
      </c>
      <c r="C3138" t="s">
        <v>739</v>
      </c>
      <c r="D3138" t="s">
        <v>740</v>
      </c>
      <c r="E3138" t="s">
        <v>743</v>
      </c>
      <c r="F3138" s="45">
        <v>516</v>
      </c>
      <c r="G3138" s="50" t="s">
        <v>482</v>
      </c>
      <c r="H3138" s="53">
        <v>195982</v>
      </c>
      <c r="I3138" s="58">
        <v>1633875</v>
      </c>
      <c r="J3138">
        <f>IFERROR(VLOOKUP(G3138,'LEAID Match'!$A$2:$B$526,2,FALSE),"")</f>
        <v>2921100</v>
      </c>
      <c r="K3138" s="68">
        <f t="shared" si="97"/>
        <v>8</v>
      </c>
    </row>
    <row r="3139" spans="1:11" x14ac:dyDescent="0.2">
      <c r="A3139">
        <f t="shared" ref="A3139:A3202" si="98">J3139</f>
        <v>2921100</v>
      </c>
      <c r="B3139">
        <v>2016</v>
      </c>
      <c r="C3139" t="s">
        <v>739</v>
      </c>
      <c r="D3139" t="s">
        <v>740</v>
      </c>
      <c r="E3139" t="s">
        <v>743</v>
      </c>
      <c r="F3139" s="34">
        <v>516</v>
      </c>
      <c r="G3139" s="34" t="s">
        <v>482</v>
      </c>
      <c r="H3139" s="36">
        <v>217106</v>
      </c>
      <c r="I3139" s="60">
        <v>1656699</v>
      </c>
      <c r="J3139">
        <f>IFERROR(VLOOKUP(G3139,'LEAID Match'!$A$2:$B$526,2,FALSE),"")</f>
        <v>2921100</v>
      </c>
      <c r="K3139" s="68">
        <f t="shared" ref="K3139:K3202" si="99">COUNTIF($J$2:$J$4295,J3139)</f>
        <v>8</v>
      </c>
    </row>
    <row r="3140" spans="1:11" x14ac:dyDescent="0.2">
      <c r="A3140">
        <f t="shared" si="98"/>
        <v>2921100</v>
      </c>
      <c r="B3140">
        <v>2017</v>
      </c>
      <c r="C3140" t="s">
        <v>739</v>
      </c>
      <c r="D3140" t="s">
        <v>740</v>
      </c>
      <c r="E3140" t="s">
        <v>743</v>
      </c>
      <c r="F3140" s="34">
        <v>516</v>
      </c>
      <c r="G3140" s="34" t="s">
        <v>482</v>
      </c>
      <c r="H3140" s="36">
        <v>223711</v>
      </c>
      <c r="I3140" s="58">
        <v>1660703</v>
      </c>
      <c r="J3140">
        <f>IFERROR(VLOOKUP(G3140,'LEAID Match'!$A$2:$B$526,2,FALSE),"")</f>
        <v>2921100</v>
      </c>
      <c r="K3140" s="68">
        <f t="shared" si="99"/>
        <v>8</v>
      </c>
    </row>
    <row r="3141" spans="1:11" x14ac:dyDescent="0.2">
      <c r="A3141">
        <f t="shared" si="98"/>
        <v>2921100</v>
      </c>
      <c r="B3141">
        <v>2018</v>
      </c>
      <c r="C3141" t="s">
        <v>739</v>
      </c>
      <c r="D3141" t="s">
        <v>740</v>
      </c>
      <c r="E3141" t="s">
        <v>743</v>
      </c>
      <c r="F3141" s="34">
        <v>516</v>
      </c>
      <c r="G3141" s="34" t="s">
        <v>482</v>
      </c>
      <c r="H3141" s="36">
        <v>240890</v>
      </c>
      <c r="I3141" s="58">
        <v>1676445</v>
      </c>
      <c r="J3141">
        <f>IFERROR(VLOOKUP(G3141,'LEAID Match'!$A$2:$B$526,2,FALSE),"")</f>
        <v>2921100</v>
      </c>
      <c r="K3141" s="68">
        <f t="shared" si="99"/>
        <v>8</v>
      </c>
    </row>
    <row r="3142" spans="1:11" x14ac:dyDescent="0.2">
      <c r="A3142">
        <f t="shared" si="98"/>
        <v>2921100</v>
      </c>
      <c r="B3142">
        <v>2019</v>
      </c>
      <c r="C3142" t="s">
        <v>739</v>
      </c>
      <c r="D3142" t="s">
        <v>740</v>
      </c>
      <c r="E3142" t="s">
        <v>743</v>
      </c>
      <c r="F3142" s="34">
        <v>516</v>
      </c>
      <c r="G3142" s="34" t="s">
        <v>482</v>
      </c>
      <c r="H3142" s="36">
        <v>238321</v>
      </c>
      <c r="I3142" s="58">
        <v>1709505</v>
      </c>
      <c r="J3142">
        <f>IFERROR(VLOOKUP(G3142,'LEAID Match'!$A$2:$B$526,2,FALSE),"")</f>
        <v>2921100</v>
      </c>
      <c r="K3142" s="68">
        <f t="shared" si="99"/>
        <v>8</v>
      </c>
    </row>
    <row r="3143" spans="1:11" x14ac:dyDescent="0.2">
      <c r="A3143">
        <f t="shared" si="98"/>
        <v>2921100</v>
      </c>
      <c r="B3143">
        <v>2020</v>
      </c>
      <c r="C3143" t="s">
        <v>739</v>
      </c>
      <c r="D3143" t="s">
        <v>740</v>
      </c>
      <c r="E3143" t="s">
        <v>743</v>
      </c>
      <c r="F3143" s="34">
        <v>516</v>
      </c>
      <c r="G3143" s="34" t="s">
        <v>482</v>
      </c>
      <c r="H3143" s="36">
        <v>259160</v>
      </c>
      <c r="I3143" s="58">
        <v>1676863</v>
      </c>
      <c r="J3143">
        <f>IFERROR(VLOOKUP(G3143,'LEAID Match'!$A$2:$B$526,2,FALSE),"")</f>
        <v>2921100</v>
      </c>
      <c r="K3143" s="68">
        <f t="shared" si="99"/>
        <v>8</v>
      </c>
    </row>
    <row r="3144" spans="1:11" x14ac:dyDescent="0.2">
      <c r="A3144">
        <f t="shared" si="98"/>
        <v>2921100</v>
      </c>
      <c r="B3144">
        <v>2021</v>
      </c>
      <c r="C3144" t="s">
        <v>739</v>
      </c>
      <c r="D3144" t="s">
        <v>740</v>
      </c>
      <c r="E3144" t="s">
        <v>743</v>
      </c>
      <c r="F3144" s="34">
        <v>516</v>
      </c>
      <c r="G3144" s="34" t="s">
        <v>482</v>
      </c>
      <c r="H3144" s="36">
        <v>255249</v>
      </c>
      <c r="I3144" s="58">
        <v>1732447</v>
      </c>
      <c r="J3144">
        <f>IFERROR(VLOOKUP(G3144,'LEAID Match'!$A$2:$B$526,2,FALSE),"")</f>
        <v>2921100</v>
      </c>
      <c r="K3144" s="68">
        <f t="shared" si="99"/>
        <v>8</v>
      </c>
    </row>
    <row r="3145" spans="1:11" x14ac:dyDescent="0.2">
      <c r="A3145">
        <f t="shared" si="98"/>
        <v>2921100</v>
      </c>
      <c r="B3145">
        <v>2022</v>
      </c>
      <c r="C3145" t="s">
        <v>739</v>
      </c>
      <c r="D3145" t="s">
        <v>740</v>
      </c>
      <c r="E3145" t="s">
        <v>743</v>
      </c>
      <c r="F3145" s="34">
        <v>516</v>
      </c>
      <c r="G3145" s="34" t="s">
        <v>482</v>
      </c>
      <c r="H3145" s="36">
        <v>301700</v>
      </c>
      <c r="I3145" s="58">
        <v>1759625</v>
      </c>
      <c r="J3145">
        <f>IFERROR(VLOOKUP(G3145,'LEAID Match'!$A$2:$B$526,2,FALSE),"")</f>
        <v>2921100</v>
      </c>
      <c r="K3145" s="68">
        <f t="shared" si="99"/>
        <v>8</v>
      </c>
    </row>
    <row r="3146" spans="1:11" x14ac:dyDescent="0.2">
      <c r="A3146">
        <f t="shared" si="98"/>
        <v>2923220</v>
      </c>
      <c r="B3146">
        <v>2015</v>
      </c>
      <c r="C3146" t="s">
        <v>739</v>
      </c>
      <c r="D3146" t="s">
        <v>740</v>
      </c>
      <c r="E3146" t="s">
        <v>743</v>
      </c>
      <c r="F3146" s="45">
        <v>522</v>
      </c>
      <c r="G3146" s="50" t="s">
        <v>483</v>
      </c>
      <c r="H3146" s="53">
        <v>29739</v>
      </c>
      <c r="I3146" s="58">
        <v>231126</v>
      </c>
      <c r="J3146">
        <f>IFERROR(VLOOKUP(G3146,'LEAID Match'!$A$2:$B$526,2,FALSE),"")</f>
        <v>2923220</v>
      </c>
      <c r="K3146" s="68">
        <f t="shared" si="99"/>
        <v>8</v>
      </c>
    </row>
    <row r="3147" spans="1:11" x14ac:dyDescent="0.2">
      <c r="A3147">
        <f t="shared" si="98"/>
        <v>2923220</v>
      </c>
      <c r="B3147">
        <v>2016</v>
      </c>
      <c r="C3147" t="s">
        <v>739</v>
      </c>
      <c r="D3147" t="s">
        <v>740</v>
      </c>
      <c r="E3147" t="s">
        <v>743</v>
      </c>
      <c r="F3147" s="34">
        <v>522</v>
      </c>
      <c r="G3147" s="34" t="s">
        <v>483</v>
      </c>
      <c r="H3147" s="36">
        <v>34047</v>
      </c>
      <c r="I3147" s="60">
        <v>226816</v>
      </c>
      <c r="J3147">
        <f>IFERROR(VLOOKUP(G3147,'LEAID Match'!$A$2:$B$526,2,FALSE),"")</f>
        <v>2923220</v>
      </c>
      <c r="K3147" s="68">
        <f t="shared" si="99"/>
        <v>8</v>
      </c>
    </row>
    <row r="3148" spans="1:11" x14ac:dyDescent="0.2">
      <c r="A3148">
        <f t="shared" si="98"/>
        <v>2923220</v>
      </c>
      <c r="B3148">
        <v>2017</v>
      </c>
      <c r="C3148" t="s">
        <v>739</v>
      </c>
      <c r="D3148" t="s">
        <v>740</v>
      </c>
      <c r="E3148" t="s">
        <v>743</v>
      </c>
      <c r="F3148" s="34">
        <v>522</v>
      </c>
      <c r="G3148" s="34" t="s">
        <v>483</v>
      </c>
      <c r="H3148" s="36">
        <v>33058</v>
      </c>
      <c r="I3148" s="58">
        <v>239279</v>
      </c>
      <c r="J3148">
        <f>IFERROR(VLOOKUP(G3148,'LEAID Match'!$A$2:$B$526,2,FALSE),"")</f>
        <v>2923220</v>
      </c>
      <c r="K3148" s="68">
        <f t="shared" si="99"/>
        <v>8</v>
      </c>
    </row>
    <row r="3149" spans="1:11" x14ac:dyDescent="0.2">
      <c r="A3149">
        <f t="shared" si="98"/>
        <v>2923220</v>
      </c>
      <c r="B3149">
        <v>2018</v>
      </c>
      <c r="C3149" t="s">
        <v>739</v>
      </c>
      <c r="D3149" t="s">
        <v>740</v>
      </c>
      <c r="E3149" t="s">
        <v>743</v>
      </c>
      <c r="F3149" s="34">
        <v>522</v>
      </c>
      <c r="G3149" s="34" t="s">
        <v>483</v>
      </c>
      <c r="H3149" s="36">
        <v>38074</v>
      </c>
      <c r="I3149" s="58">
        <v>246022</v>
      </c>
      <c r="J3149">
        <f>IFERROR(VLOOKUP(G3149,'LEAID Match'!$A$2:$B$526,2,FALSE),"")</f>
        <v>2923220</v>
      </c>
      <c r="K3149" s="68">
        <f t="shared" si="99"/>
        <v>8</v>
      </c>
    </row>
    <row r="3150" spans="1:11" x14ac:dyDescent="0.2">
      <c r="A3150">
        <f t="shared" si="98"/>
        <v>2923220</v>
      </c>
      <c r="B3150">
        <v>2019</v>
      </c>
      <c r="C3150" t="s">
        <v>739</v>
      </c>
      <c r="D3150" t="s">
        <v>740</v>
      </c>
      <c r="E3150" t="s">
        <v>743</v>
      </c>
      <c r="F3150" s="34">
        <v>522</v>
      </c>
      <c r="G3150" s="34" t="s">
        <v>483</v>
      </c>
      <c r="H3150" s="36">
        <v>33317</v>
      </c>
      <c r="I3150" s="58">
        <v>260666</v>
      </c>
      <c r="J3150">
        <f>IFERROR(VLOOKUP(G3150,'LEAID Match'!$A$2:$B$526,2,FALSE),"")</f>
        <v>2923220</v>
      </c>
      <c r="K3150" s="68">
        <f t="shared" si="99"/>
        <v>8</v>
      </c>
    </row>
    <row r="3151" spans="1:11" x14ac:dyDescent="0.2">
      <c r="A3151">
        <f t="shared" si="98"/>
        <v>2923220</v>
      </c>
      <c r="B3151">
        <v>2020</v>
      </c>
      <c r="C3151" t="s">
        <v>739</v>
      </c>
      <c r="D3151" t="s">
        <v>740</v>
      </c>
      <c r="E3151" t="s">
        <v>743</v>
      </c>
      <c r="F3151" s="34">
        <v>522</v>
      </c>
      <c r="G3151" s="34" t="s">
        <v>483</v>
      </c>
      <c r="H3151" s="36">
        <v>34788</v>
      </c>
      <c r="I3151" s="58">
        <v>256053</v>
      </c>
      <c r="J3151">
        <f>IFERROR(VLOOKUP(G3151,'LEAID Match'!$A$2:$B$526,2,FALSE),"")</f>
        <v>2923220</v>
      </c>
      <c r="K3151" s="68">
        <f t="shared" si="99"/>
        <v>8</v>
      </c>
    </row>
    <row r="3152" spans="1:11" x14ac:dyDescent="0.2">
      <c r="A3152">
        <f t="shared" si="98"/>
        <v>2923220</v>
      </c>
      <c r="B3152">
        <v>2021</v>
      </c>
      <c r="C3152" t="s">
        <v>739</v>
      </c>
      <c r="D3152" t="s">
        <v>740</v>
      </c>
      <c r="E3152" t="s">
        <v>743</v>
      </c>
      <c r="F3152" s="34">
        <v>522</v>
      </c>
      <c r="G3152" s="34" t="s">
        <v>483</v>
      </c>
      <c r="H3152" s="36">
        <v>34498</v>
      </c>
      <c r="I3152" s="58">
        <v>272920</v>
      </c>
      <c r="J3152">
        <f>IFERROR(VLOOKUP(G3152,'LEAID Match'!$A$2:$B$526,2,FALSE),"")</f>
        <v>2923220</v>
      </c>
      <c r="K3152" s="68">
        <f t="shared" si="99"/>
        <v>8</v>
      </c>
    </row>
    <row r="3153" spans="1:11" x14ac:dyDescent="0.2">
      <c r="A3153">
        <f t="shared" si="98"/>
        <v>2923220</v>
      </c>
      <c r="B3153">
        <v>2022</v>
      </c>
      <c r="C3153" t="s">
        <v>739</v>
      </c>
      <c r="D3153" t="s">
        <v>740</v>
      </c>
      <c r="E3153" t="s">
        <v>743</v>
      </c>
      <c r="F3153" s="34">
        <v>522</v>
      </c>
      <c r="G3153" s="34" t="s">
        <v>483</v>
      </c>
      <c r="H3153" s="36">
        <v>35821</v>
      </c>
      <c r="I3153" s="58">
        <v>279577</v>
      </c>
      <c r="J3153">
        <f>IFERROR(VLOOKUP(G3153,'LEAID Match'!$A$2:$B$526,2,FALSE),"")</f>
        <v>2923220</v>
      </c>
      <c r="K3153" s="68">
        <f t="shared" si="99"/>
        <v>8</v>
      </c>
    </row>
    <row r="3154" spans="1:11" x14ac:dyDescent="0.2">
      <c r="A3154">
        <f t="shared" si="98"/>
        <v>2918220</v>
      </c>
      <c r="B3154">
        <v>2015</v>
      </c>
      <c r="C3154" t="s">
        <v>739</v>
      </c>
      <c r="D3154" t="s">
        <v>740</v>
      </c>
      <c r="E3154" t="s">
        <v>743</v>
      </c>
      <c r="F3154" s="45">
        <v>523</v>
      </c>
      <c r="G3154" s="50" t="s">
        <v>484</v>
      </c>
      <c r="H3154" s="53">
        <v>61223</v>
      </c>
      <c r="I3154" s="58">
        <v>780948</v>
      </c>
      <c r="J3154">
        <f>IFERROR(VLOOKUP(G3154,'LEAID Match'!$A$2:$B$526,2,FALSE),"")</f>
        <v>2918220</v>
      </c>
      <c r="K3154" s="68">
        <f t="shared" si="99"/>
        <v>8</v>
      </c>
    </row>
    <row r="3155" spans="1:11" x14ac:dyDescent="0.2">
      <c r="A3155">
        <f t="shared" si="98"/>
        <v>2918220</v>
      </c>
      <c r="B3155">
        <v>2016</v>
      </c>
      <c r="C3155" t="s">
        <v>739</v>
      </c>
      <c r="D3155" t="s">
        <v>740</v>
      </c>
      <c r="E3155" t="s">
        <v>743</v>
      </c>
      <c r="F3155" s="34">
        <v>523</v>
      </c>
      <c r="G3155" s="34" t="s">
        <v>484</v>
      </c>
      <c r="H3155" s="36">
        <v>67756</v>
      </c>
      <c r="I3155" s="60">
        <v>776953</v>
      </c>
      <c r="J3155">
        <f>IFERROR(VLOOKUP(G3155,'LEAID Match'!$A$2:$B$526,2,FALSE),"")</f>
        <v>2918220</v>
      </c>
      <c r="K3155" s="68">
        <f t="shared" si="99"/>
        <v>8</v>
      </c>
    </row>
    <row r="3156" spans="1:11" x14ac:dyDescent="0.2">
      <c r="A3156">
        <f t="shared" si="98"/>
        <v>2918220</v>
      </c>
      <c r="B3156">
        <v>2017</v>
      </c>
      <c r="C3156" t="s">
        <v>739</v>
      </c>
      <c r="D3156" t="s">
        <v>740</v>
      </c>
      <c r="E3156" t="s">
        <v>743</v>
      </c>
      <c r="F3156" s="34">
        <v>523</v>
      </c>
      <c r="G3156" s="34" t="s">
        <v>484</v>
      </c>
      <c r="H3156" s="36">
        <v>72120</v>
      </c>
      <c r="I3156" s="58">
        <v>765757</v>
      </c>
      <c r="J3156">
        <f>IFERROR(VLOOKUP(G3156,'LEAID Match'!$A$2:$B$526,2,FALSE),"")</f>
        <v>2918220</v>
      </c>
      <c r="K3156" s="68">
        <f t="shared" si="99"/>
        <v>8</v>
      </c>
    </row>
    <row r="3157" spans="1:11" x14ac:dyDescent="0.2">
      <c r="A3157">
        <f t="shared" si="98"/>
        <v>2918220</v>
      </c>
      <c r="B3157">
        <v>2018</v>
      </c>
      <c r="C3157" t="s">
        <v>739</v>
      </c>
      <c r="D3157" t="s">
        <v>740</v>
      </c>
      <c r="E3157" t="s">
        <v>743</v>
      </c>
      <c r="F3157" s="34">
        <v>523</v>
      </c>
      <c r="G3157" s="34" t="s">
        <v>484</v>
      </c>
      <c r="H3157" s="36">
        <v>71916</v>
      </c>
      <c r="I3157" s="58">
        <v>765713</v>
      </c>
      <c r="J3157">
        <f>IFERROR(VLOOKUP(G3157,'LEAID Match'!$A$2:$B$526,2,FALSE),"")</f>
        <v>2918220</v>
      </c>
      <c r="K3157" s="68">
        <f t="shared" si="99"/>
        <v>8</v>
      </c>
    </row>
    <row r="3158" spans="1:11" x14ac:dyDescent="0.2">
      <c r="A3158">
        <f t="shared" si="98"/>
        <v>2918220</v>
      </c>
      <c r="B3158">
        <v>2019</v>
      </c>
      <c r="C3158" t="s">
        <v>739</v>
      </c>
      <c r="D3158" t="s">
        <v>740</v>
      </c>
      <c r="E3158" t="s">
        <v>743</v>
      </c>
      <c r="F3158" s="34">
        <v>523</v>
      </c>
      <c r="G3158" s="34" t="s">
        <v>484</v>
      </c>
      <c r="H3158" s="36">
        <v>77470</v>
      </c>
      <c r="I3158" s="58">
        <v>762814</v>
      </c>
      <c r="J3158">
        <f>IFERROR(VLOOKUP(G3158,'LEAID Match'!$A$2:$B$526,2,FALSE),"")</f>
        <v>2918220</v>
      </c>
      <c r="K3158" s="68">
        <f t="shared" si="99"/>
        <v>8</v>
      </c>
    </row>
    <row r="3159" spans="1:11" x14ac:dyDescent="0.2">
      <c r="A3159">
        <f t="shared" si="98"/>
        <v>2918220</v>
      </c>
      <c r="B3159">
        <v>2020</v>
      </c>
      <c r="C3159" t="s">
        <v>739</v>
      </c>
      <c r="D3159" t="s">
        <v>740</v>
      </c>
      <c r="E3159" t="s">
        <v>743</v>
      </c>
      <c r="F3159" s="34">
        <v>523</v>
      </c>
      <c r="G3159" s="34" t="s">
        <v>484</v>
      </c>
      <c r="H3159" s="36">
        <v>79466</v>
      </c>
      <c r="I3159" s="58">
        <v>751219</v>
      </c>
      <c r="J3159">
        <f>IFERROR(VLOOKUP(G3159,'LEAID Match'!$A$2:$B$526,2,FALSE),"")</f>
        <v>2918220</v>
      </c>
      <c r="K3159" s="68">
        <f t="shared" si="99"/>
        <v>8</v>
      </c>
    </row>
    <row r="3160" spans="1:11" x14ac:dyDescent="0.2">
      <c r="A3160">
        <f t="shared" si="98"/>
        <v>2918220</v>
      </c>
      <c r="B3160">
        <v>2021</v>
      </c>
      <c r="C3160" t="s">
        <v>739</v>
      </c>
      <c r="D3160" t="s">
        <v>740</v>
      </c>
      <c r="E3160" t="s">
        <v>743</v>
      </c>
      <c r="F3160" s="34">
        <v>523</v>
      </c>
      <c r="G3160" s="34" t="s">
        <v>484</v>
      </c>
      <c r="H3160" s="36">
        <v>84368</v>
      </c>
      <c r="I3160" s="58">
        <v>785913</v>
      </c>
      <c r="J3160">
        <f>IFERROR(VLOOKUP(G3160,'LEAID Match'!$A$2:$B$526,2,FALSE),"")</f>
        <v>2918220</v>
      </c>
      <c r="K3160" s="68">
        <f t="shared" si="99"/>
        <v>8</v>
      </c>
    </row>
    <row r="3161" spans="1:11" x14ac:dyDescent="0.2">
      <c r="A3161">
        <f t="shared" si="98"/>
        <v>2918220</v>
      </c>
      <c r="B3161">
        <v>2022</v>
      </c>
      <c r="C3161" t="s">
        <v>739</v>
      </c>
      <c r="D3161" t="s">
        <v>740</v>
      </c>
      <c r="E3161" t="s">
        <v>743</v>
      </c>
      <c r="F3161" s="34">
        <v>523</v>
      </c>
      <c r="G3161" s="34" t="s">
        <v>484</v>
      </c>
      <c r="H3161" s="36">
        <v>88049</v>
      </c>
      <c r="I3161" s="58">
        <v>794870</v>
      </c>
      <c r="J3161">
        <f>IFERROR(VLOOKUP(G3161,'LEAID Match'!$A$2:$B$526,2,FALSE),"")</f>
        <v>2918220</v>
      </c>
      <c r="K3161" s="68">
        <f t="shared" si="99"/>
        <v>8</v>
      </c>
    </row>
    <row r="3162" spans="1:11" x14ac:dyDescent="0.2">
      <c r="A3162">
        <f t="shared" si="98"/>
        <v>2926480</v>
      </c>
      <c r="B3162">
        <v>2015</v>
      </c>
      <c r="C3162" t="s">
        <v>739</v>
      </c>
      <c r="D3162" t="s">
        <v>740</v>
      </c>
      <c r="E3162" t="s">
        <v>743</v>
      </c>
      <c r="F3162" s="45">
        <v>524</v>
      </c>
      <c r="G3162" s="50" t="s">
        <v>485</v>
      </c>
      <c r="H3162" s="53">
        <v>88519</v>
      </c>
      <c r="I3162" s="58">
        <v>916666</v>
      </c>
      <c r="J3162">
        <f>IFERROR(VLOOKUP(G3162,'LEAID Match'!$A$2:$B$526,2,FALSE),"")</f>
        <v>2926480</v>
      </c>
      <c r="K3162" s="68">
        <f t="shared" si="99"/>
        <v>8</v>
      </c>
    </row>
    <row r="3163" spans="1:11" x14ac:dyDescent="0.2">
      <c r="A3163">
        <f t="shared" si="98"/>
        <v>2926480</v>
      </c>
      <c r="B3163">
        <v>2016</v>
      </c>
      <c r="C3163" t="s">
        <v>739</v>
      </c>
      <c r="D3163" t="s">
        <v>740</v>
      </c>
      <c r="E3163" t="s">
        <v>743</v>
      </c>
      <c r="F3163" s="34">
        <v>524</v>
      </c>
      <c r="G3163" s="34" t="s">
        <v>485</v>
      </c>
      <c r="H3163" s="36">
        <v>95656</v>
      </c>
      <c r="I3163" s="60">
        <v>960315</v>
      </c>
      <c r="J3163">
        <f>IFERROR(VLOOKUP(G3163,'LEAID Match'!$A$2:$B$526,2,FALSE),"")</f>
        <v>2926480</v>
      </c>
      <c r="K3163" s="68">
        <f t="shared" si="99"/>
        <v>8</v>
      </c>
    </row>
    <row r="3164" spans="1:11" x14ac:dyDescent="0.2">
      <c r="A3164">
        <f t="shared" si="98"/>
        <v>2926480</v>
      </c>
      <c r="B3164">
        <v>2017</v>
      </c>
      <c r="C3164" t="s">
        <v>739</v>
      </c>
      <c r="D3164" t="s">
        <v>740</v>
      </c>
      <c r="E3164" t="s">
        <v>743</v>
      </c>
      <c r="F3164" s="34">
        <v>524</v>
      </c>
      <c r="G3164" s="34" t="s">
        <v>485</v>
      </c>
      <c r="H3164" s="36">
        <v>108750</v>
      </c>
      <c r="I3164" s="58">
        <v>970648</v>
      </c>
      <c r="J3164">
        <f>IFERROR(VLOOKUP(G3164,'LEAID Match'!$A$2:$B$526,2,FALSE),"")</f>
        <v>2926480</v>
      </c>
      <c r="K3164" s="68">
        <f t="shared" si="99"/>
        <v>8</v>
      </c>
    </row>
    <row r="3165" spans="1:11" x14ac:dyDescent="0.2">
      <c r="A3165">
        <f t="shared" si="98"/>
        <v>2926480</v>
      </c>
      <c r="B3165">
        <v>2018</v>
      </c>
      <c r="C3165" t="s">
        <v>739</v>
      </c>
      <c r="D3165" t="s">
        <v>740</v>
      </c>
      <c r="E3165" t="s">
        <v>743</v>
      </c>
      <c r="F3165" s="34">
        <v>524</v>
      </c>
      <c r="G3165" s="34" t="s">
        <v>485</v>
      </c>
      <c r="H3165" s="36">
        <v>115020</v>
      </c>
      <c r="I3165" s="58">
        <v>972988</v>
      </c>
      <c r="J3165">
        <f>IFERROR(VLOOKUP(G3165,'LEAID Match'!$A$2:$B$526,2,FALSE),"")</f>
        <v>2926480</v>
      </c>
      <c r="K3165" s="68">
        <f t="shared" si="99"/>
        <v>8</v>
      </c>
    </row>
    <row r="3166" spans="1:11" x14ac:dyDescent="0.2">
      <c r="A3166">
        <f t="shared" si="98"/>
        <v>2926480</v>
      </c>
      <c r="B3166">
        <v>2019</v>
      </c>
      <c r="C3166" t="s">
        <v>739</v>
      </c>
      <c r="D3166" t="s">
        <v>740</v>
      </c>
      <c r="E3166" t="s">
        <v>743</v>
      </c>
      <c r="F3166" s="34">
        <v>524</v>
      </c>
      <c r="G3166" s="34" t="s">
        <v>485</v>
      </c>
      <c r="H3166" s="36">
        <v>116527</v>
      </c>
      <c r="I3166" s="58">
        <v>966497</v>
      </c>
      <c r="J3166">
        <f>IFERROR(VLOOKUP(G3166,'LEAID Match'!$A$2:$B$526,2,FALSE),"")</f>
        <v>2926480</v>
      </c>
      <c r="K3166" s="68">
        <f t="shared" si="99"/>
        <v>8</v>
      </c>
    </row>
    <row r="3167" spans="1:11" x14ac:dyDescent="0.2">
      <c r="A3167">
        <f t="shared" si="98"/>
        <v>2926480</v>
      </c>
      <c r="B3167">
        <v>2020</v>
      </c>
      <c r="C3167" t="s">
        <v>739</v>
      </c>
      <c r="D3167" t="s">
        <v>740</v>
      </c>
      <c r="E3167" t="s">
        <v>743</v>
      </c>
      <c r="F3167" s="34">
        <v>524</v>
      </c>
      <c r="G3167" s="34" t="s">
        <v>485</v>
      </c>
      <c r="H3167" s="36">
        <v>128389</v>
      </c>
      <c r="I3167" s="58">
        <v>975597</v>
      </c>
      <c r="J3167">
        <f>IFERROR(VLOOKUP(G3167,'LEAID Match'!$A$2:$B$526,2,FALSE),"")</f>
        <v>2926480</v>
      </c>
      <c r="K3167" s="68">
        <f t="shared" si="99"/>
        <v>8</v>
      </c>
    </row>
    <row r="3168" spans="1:11" x14ac:dyDescent="0.2">
      <c r="A3168">
        <f t="shared" si="98"/>
        <v>2926480</v>
      </c>
      <c r="B3168">
        <v>2021</v>
      </c>
      <c r="C3168" t="s">
        <v>739</v>
      </c>
      <c r="D3168" t="s">
        <v>740</v>
      </c>
      <c r="E3168" t="s">
        <v>743</v>
      </c>
      <c r="F3168" s="34">
        <v>524</v>
      </c>
      <c r="G3168" s="34" t="s">
        <v>485</v>
      </c>
      <c r="H3168" s="36">
        <v>132645</v>
      </c>
      <c r="I3168" s="58">
        <v>1009548</v>
      </c>
      <c r="J3168">
        <f>IFERROR(VLOOKUP(G3168,'LEAID Match'!$A$2:$B$526,2,FALSE),"")</f>
        <v>2926480</v>
      </c>
      <c r="K3168" s="68">
        <f t="shared" si="99"/>
        <v>8</v>
      </c>
    </row>
    <row r="3169" spans="1:11" x14ac:dyDescent="0.2">
      <c r="A3169">
        <f t="shared" si="98"/>
        <v>2926480</v>
      </c>
      <c r="B3169">
        <v>2022</v>
      </c>
      <c r="C3169" t="s">
        <v>739</v>
      </c>
      <c r="D3169" t="s">
        <v>740</v>
      </c>
      <c r="E3169" t="s">
        <v>743</v>
      </c>
      <c r="F3169" s="34">
        <v>524</v>
      </c>
      <c r="G3169" s="34" t="s">
        <v>485</v>
      </c>
      <c r="H3169" s="36">
        <v>177616</v>
      </c>
      <c r="I3169" s="58">
        <v>1093877</v>
      </c>
      <c r="J3169">
        <f>IFERROR(VLOOKUP(G3169,'LEAID Match'!$A$2:$B$526,2,FALSE),"")</f>
        <v>2926480</v>
      </c>
      <c r="K3169" s="68">
        <f t="shared" si="99"/>
        <v>8</v>
      </c>
    </row>
    <row r="3170" spans="1:11" x14ac:dyDescent="0.2">
      <c r="A3170">
        <f t="shared" si="98"/>
        <v>2913680</v>
      </c>
      <c r="B3170">
        <v>2015</v>
      </c>
      <c r="C3170" t="s">
        <v>739</v>
      </c>
      <c r="D3170" t="s">
        <v>740</v>
      </c>
      <c r="E3170" t="s">
        <v>743</v>
      </c>
      <c r="F3170" s="45">
        <v>525</v>
      </c>
      <c r="G3170" s="50" t="s">
        <v>486</v>
      </c>
      <c r="H3170" s="53">
        <v>19753</v>
      </c>
      <c r="I3170" s="58">
        <v>175605</v>
      </c>
      <c r="J3170">
        <f>IFERROR(VLOOKUP(G3170,'LEAID Match'!$A$2:$B$526,2,FALSE),"")</f>
        <v>2913680</v>
      </c>
      <c r="K3170" s="68">
        <f t="shared" si="99"/>
        <v>8</v>
      </c>
    </row>
    <row r="3171" spans="1:11" x14ac:dyDescent="0.2">
      <c r="A3171">
        <f t="shared" si="98"/>
        <v>2913680</v>
      </c>
      <c r="B3171">
        <v>2016</v>
      </c>
      <c r="C3171" t="s">
        <v>739</v>
      </c>
      <c r="D3171" t="s">
        <v>740</v>
      </c>
      <c r="E3171" t="s">
        <v>743</v>
      </c>
      <c r="F3171" s="34">
        <v>525</v>
      </c>
      <c r="G3171" s="34" t="s">
        <v>486</v>
      </c>
      <c r="H3171" s="36">
        <v>22183</v>
      </c>
      <c r="I3171" s="60">
        <v>177273</v>
      </c>
      <c r="J3171">
        <f>IFERROR(VLOOKUP(G3171,'LEAID Match'!$A$2:$B$526,2,FALSE),"")</f>
        <v>2913680</v>
      </c>
      <c r="K3171" s="68">
        <f t="shared" si="99"/>
        <v>8</v>
      </c>
    </row>
    <row r="3172" spans="1:11" x14ac:dyDescent="0.2">
      <c r="A3172">
        <f t="shared" si="98"/>
        <v>2913680</v>
      </c>
      <c r="B3172">
        <v>2017</v>
      </c>
      <c r="C3172" t="s">
        <v>739</v>
      </c>
      <c r="D3172" t="s">
        <v>740</v>
      </c>
      <c r="E3172" t="s">
        <v>743</v>
      </c>
      <c r="F3172" s="34">
        <v>525</v>
      </c>
      <c r="G3172" s="34" t="s">
        <v>486</v>
      </c>
      <c r="H3172" s="36">
        <v>22877</v>
      </c>
      <c r="I3172" s="58">
        <v>165581</v>
      </c>
      <c r="J3172">
        <f>IFERROR(VLOOKUP(G3172,'LEAID Match'!$A$2:$B$526,2,FALSE),"")</f>
        <v>2913680</v>
      </c>
      <c r="K3172" s="68">
        <f t="shared" si="99"/>
        <v>8</v>
      </c>
    </row>
    <row r="3173" spans="1:11" x14ac:dyDescent="0.2">
      <c r="A3173">
        <f t="shared" si="98"/>
        <v>2913680</v>
      </c>
      <c r="B3173">
        <v>2018</v>
      </c>
      <c r="C3173" t="s">
        <v>739</v>
      </c>
      <c r="D3173" t="s">
        <v>740</v>
      </c>
      <c r="E3173" t="s">
        <v>743</v>
      </c>
      <c r="F3173" s="34">
        <v>525</v>
      </c>
      <c r="G3173" s="34" t="s">
        <v>486</v>
      </c>
      <c r="H3173" s="36">
        <v>23387</v>
      </c>
      <c r="I3173" s="58">
        <v>170992</v>
      </c>
      <c r="J3173">
        <f>IFERROR(VLOOKUP(G3173,'LEAID Match'!$A$2:$B$526,2,FALSE),"")</f>
        <v>2913680</v>
      </c>
      <c r="K3173" s="68">
        <f t="shared" si="99"/>
        <v>8</v>
      </c>
    </row>
    <row r="3174" spans="1:11" x14ac:dyDescent="0.2">
      <c r="A3174">
        <f t="shared" si="98"/>
        <v>2913680</v>
      </c>
      <c r="B3174">
        <v>2019</v>
      </c>
      <c r="C3174" t="s">
        <v>739</v>
      </c>
      <c r="D3174" t="s">
        <v>740</v>
      </c>
      <c r="E3174" t="s">
        <v>743</v>
      </c>
      <c r="F3174" s="34">
        <v>525</v>
      </c>
      <c r="G3174" s="34" t="s">
        <v>486</v>
      </c>
      <c r="H3174" s="36">
        <v>23406</v>
      </c>
      <c r="I3174" s="58">
        <v>182941</v>
      </c>
      <c r="J3174">
        <f>IFERROR(VLOOKUP(G3174,'LEAID Match'!$A$2:$B$526,2,FALSE),"")</f>
        <v>2913680</v>
      </c>
      <c r="K3174" s="68">
        <f t="shared" si="99"/>
        <v>8</v>
      </c>
    </row>
    <row r="3175" spans="1:11" x14ac:dyDescent="0.2">
      <c r="A3175">
        <f t="shared" si="98"/>
        <v>2913680</v>
      </c>
      <c r="B3175">
        <v>2020</v>
      </c>
      <c r="C3175" t="s">
        <v>739</v>
      </c>
      <c r="D3175" t="s">
        <v>740</v>
      </c>
      <c r="E3175" t="s">
        <v>743</v>
      </c>
      <c r="F3175" s="34">
        <v>525</v>
      </c>
      <c r="G3175" s="34" t="s">
        <v>486</v>
      </c>
      <c r="H3175" s="36">
        <v>24795</v>
      </c>
      <c r="I3175" s="58">
        <v>195094</v>
      </c>
      <c r="J3175">
        <f>IFERROR(VLOOKUP(G3175,'LEAID Match'!$A$2:$B$526,2,FALSE),"")</f>
        <v>2913680</v>
      </c>
      <c r="K3175" s="68">
        <f t="shared" si="99"/>
        <v>8</v>
      </c>
    </row>
    <row r="3176" spans="1:11" x14ac:dyDescent="0.2">
      <c r="A3176">
        <f t="shared" si="98"/>
        <v>2913680</v>
      </c>
      <c r="B3176">
        <v>2021</v>
      </c>
      <c r="C3176" t="s">
        <v>739</v>
      </c>
      <c r="D3176" t="s">
        <v>740</v>
      </c>
      <c r="E3176" t="s">
        <v>743</v>
      </c>
      <c r="F3176" s="34">
        <v>525</v>
      </c>
      <c r="G3176" s="34" t="s">
        <v>486</v>
      </c>
      <c r="H3176" s="36">
        <v>25646</v>
      </c>
      <c r="I3176" s="58">
        <v>193826</v>
      </c>
      <c r="J3176">
        <f>IFERROR(VLOOKUP(G3176,'LEAID Match'!$A$2:$B$526,2,FALSE),"")</f>
        <v>2913680</v>
      </c>
      <c r="K3176" s="68">
        <f t="shared" si="99"/>
        <v>8</v>
      </c>
    </row>
    <row r="3177" spans="1:11" x14ac:dyDescent="0.2">
      <c r="A3177">
        <f t="shared" si="98"/>
        <v>2913680</v>
      </c>
      <c r="B3177">
        <v>2022</v>
      </c>
      <c r="C3177" t="s">
        <v>739</v>
      </c>
      <c r="D3177" t="s">
        <v>740</v>
      </c>
      <c r="E3177" t="s">
        <v>743</v>
      </c>
      <c r="F3177" s="34">
        <v>525</v>
      </c>
      <c r="G3177" s="34" t="s">
        <v>486</v>
      </c>
      <c r="H3177" s="36">
        <v>29271</v>
      </c>
      <c r="I3177" s="58">
        <v>192418</v>
      </c>
      <c r="J3177">
        <f>IFERROR(VLOOKUP(G3177,'LEAID Match'!$A$2:$B$526,2,FALSE),"")</f>
        <v>2913680</v>
      </c>
      <c r="K3177" s="68">
        <f t="shared" si="99"/>
        <v>8</v>
      </c>
    </row>
    <row r="3178" spans="1:11" x14ac:dyDescent="0.2">
      <c r="A3178">
        <f t="shared" si="98"/>
        <v>2908340</v>
      </c>
      <c r="B3178">
        <v>2015</v>
      </c>
      <c r="C3178" t="s">
        <v>739</v>
      </c>
      <c r="D3178" t="s">
        <v>740</v>
      </c>
      <c r="E3178" t="s">
        <v>743</v>
      </c>
      <c r="F3178" s="45">
        <v>526</v>
      </c>
      <c r="G3178" s="34" t="s">
        <v>661</v>
      </c>
      <c r="H3178" s="53">
        <v>8367</v>
      </c>
      <c r="I3178" s="58">
        <v>58612</v>
      </c>
      <c r="J3178">
        <f>IFERROR(VLOOKUP(G3178,'LEAID Match'!$A$2:$B$526,2,FALSE),"")</f>
        <v>2908340</v>
      </c>
      <c r="K3178" s="68">
        <f t="shared" si="99"/>
        <v>8</v>
      </c>
    </row>
    <row r="3179" spans="1:11" x14ac:dyDescent="0.2">
      <c r="A3179">
        <f t="shared" si="98"/>
        <v>2908340</v>
      </c>
      <c r="B3179">
        <v>2016</v>
      </c>
      <c r="C3179" t="s">
        <v>739</v>
      </c>
      <c r="D3179" t="s">
        <v>740</v>
      </c>
      <c r="E3179" t="s">
        <v>743</v>
      </c>
      <c r="F3179" s="34">
        <v>526</v>
      </c>
      <c r="G3179" s="34" t="s">
        <v>661</v>
      </c>
      <c r="H3179" s="36">
        <v>8780</v>
      </c>
      <c r="I3179" s="60">
        <v>58472</v>
      </c>
      <c r="J3179">
        <f>IFERROR(VLOOKUP(G3179,'LEAID Match'!$A$2:$B$526,2,FALSE),"")</f>
        <v>2908340</v>
      </c>
      <c r="K3179" s="68">
        <f t="shared" si="99"/>
        <v>8</v>
      </c>
    </row>
    <row r="3180" spans="1:11" x14ac:dyDescent="0.2">
      <c r="A3180">
        <f t="shared" si="98"/>
        <v>2908340</v>
      </c>
      <c r="B3180">
        <v>2017</v>
      </c>
      <c r="C3180" t="s">
        <v>739</v>
      </c>
      <c r="D3180" t="s">
        <v>740</v>
      </c>
      <c r="E3180" t="s">
        <v>743</v>
      </c>
      <c r="F3180" s="34">
        <v>526</v>
      </c>
      <c r="G3180" s="34" t="s">
        <v>661</v>
      </c>
      <c r="H3180" s="36">
        <v>9528</v>
      </c>
      <c r="I3180" s="58">
        <v>58890</v>
      </c>
      <c r="J3180">
        <f>IFERROR(VLOOKUP(G3180,'LEAID Match'!$A$2:$B$526,2,FALSE),"")</f>
        <v>2908340</v>
      </c>
      <c r="K3180" s="68">
        <f t="shared" si="99"/>
        <v>8</v>
      </c>
    </row>
    <row r="3181" spans="1:11" x14ac:dyDescent="0.2">
      <c r="A3181">
        <f t="shared" si="98"/>
        <v>2908340</v>
      </c>
      <c r="B3181">
        <v>2018</v>
      </c>
      <c r="C3181" t="s">
        <v>739</v>
      </c>
      <c r="D3181" t="s">
        <v>740</v>
      </c>
      <c r="E3181" t="s">
        <v>743</v>
      </c>
      <c r="F3181" s="34">
        <v>526</v>
      </c>
      <c r="G3181" s="34" t="s">
        <v>661</v>
      </c>
      <c r="H3181" s="36">
        <v>10264</v>
      </c>
      <c r="I3181" s="58">
        <v>50357</v>
      </c>
      <c r="J3181">
        <f>IFERROR(VLOOKUP(G3181,'LEAID Match'!$A$2:$B$526,2,FALSE),"")</f>
        <v>2908340</v>
      </c>
      <c r="K3181" s="68">
        <f t="shared" si="99"/>
        <v>8</v>
      </c>
    </row>
    <row r="3182" spans="1:11" x14ac:dyDescent="0.2">
      <c r="A3182">
        <f t="shared" si="98"/>
        <v>2908340</v>
      </c>
      <c r="B3182">
        <v>2019</v>
      </c>
      <c r="C3182" t="s">
        <v>739</v>
      </c>
      <c r="D3182" t="s">
        <v>740</v>
      </c>
      <c r="E3182" t="s">
        <v>743</v>
      </c>
      <c r="F3182" s="34">
        <v>526</v>
      </c>
      <c r="G3182" s="34" t="s">
        <v>661</v>
      </c>
      <c r="H3182" s="36">
        <v>9965</v>
      </c>
      <c r="I3182" s="58">
        <v>51044</v>
      </c>
      <c r="J3182">
        <f>IFERROR(VLOOKUP(G3182,'LEAID Match'!$A$2:$B$526,2,FALSE),"")</f>
        <v>2908340</v>
      </c>
      <c r="K3182" s="68">
        <f t="shared" si="99"/>
        <v>8</v>
      </c>
    </row>
    <row r="3183" spans="1:11" x14ac:dyDescent="0.2">
      <c r="A3183">
        <f t="shared" si="98"/>
        <v>2908340</v>
      </c>
      <c r="B3183">
        <v>2020</v>
      </c>
      <c r="C3183" t="s">
        <v>739</v>
      </c>
      <c r="D3183" t="s">
        <v>740</v>
      </c>
      <c r="E3183" t="s">
        <v>743</v>
      </c>
      <c r="F3183" s="34">
        <v>526</v>
      </c>
      <c r="G3183" s="34" t="s">
        <v>661</v>
      </c>
      <c r="H3183" s="36">
        <v>8238</v>
      </c>
      <c r="I3183" s="58">
        <v>50690</v>
      </c>
      <c r="J3183">
        <f>IFERROR(VLOOKUP(G3183,'LEAID Match'!$A$2:$B$526,2,FALSE),"")</f>
        <v>2908340</v>
      </c>
      <c r="K3183" s="68">
        <f t="shared" si="99"/>
        <v>8</v>
      </c>
    </row>
    <row r="3184" spans="1:11" x14ac:dyDescent="0.2">
      <c r="A3184">
        <f t="shared" si="98"/>
        <v>2908340</v>
      </c>
      <c r="B3184">
        <v>2021</v>
      </c>
      <c r="C3184" t="s">
        <v>739</v>
      </c>
      <c r="D3184" t="s">
        <v>740</v>
      </c>
      <c r="E3184" t="s">
        <v>743</v>
      </c>
      <c r="F3184" s="34">
        <v>526</v>
      </c>
      <c r="G3184" s="34" t="s">
        <v>661</v>
      </c>
      <c r="H3184" s="36">
        <v>8689</v>
      </c>
      <c r="I3184" s="58">
        <v>56391</v>
      </c>
      <c r="J3184">
        <f>IFERROR(VLOOKUP(G3184,'LEAID Match'!$A$2:$B$526,2,FALSE),"")</f>
        <v>2908340</v>
      </c>
      <c r="K3184" s="68">
        <f t="shared" si="99"/>
        <v>8</v>
      </c>
    </row>
    <row r="3185" spans="1:11" x14ac:dyDescent="0.2">
      <c r="A3185">
        <f t="shared" si="98"/>
        <v>2908340</v>
      </c>
      <c r="B3185">
        <v>2022</v>
      </c>
      <c r="C3185" t="s">
        <v>739</v>
      </c>
      <c r="D3185" t="s">
        <v>740</v>
      </c>
      <c r="E3185" t="s">
        <v>743</v>
      </c>
      <c r="F3185" s="34">
        <v>526</v>
      </c>
      <c r="G3185" s="34" t="s">
        <v>661</v>
      </c>
      <c r="H3185" s="36">
        <v>12272</v>
      </c>
      <c r="I3185" s="58">
        <v>60715</v>
      </c>
      <c r="J3185">
        <f>IFERROR(VLOOKUP(G3185,'LEAID Match'!$A$2:$B$526,2,FALSE),"")</f>
        <v>2908340</v>
      </c>
      <c r="K3185" s="68">
        <f t="shared" si="99"/>
        <v>8</v>
      </c>
    </row>
    <row r="3186" spans="1:11" x14ac:dyDescent="0.2">
      <c r="A3186">
        <f t="shared" si="98"/>
        <v>2928590</v>
      </c>
      <c r="B3186">
        <v>2015</v>
      </c>
      <c r="C3186" t="s">
        <v>739</v>
      </c>
      <c r="D3186" t="s">
        <v>740</v>
      </c>
      <c r="E3186" t="s">
        <v>743</v>
      </c>
      <c r="F3186" s="45">
        <v>527</v>
      </c>
      <c r="G3186" s="34" t="s">
        <v>662</v>
      </c>
      <c r="H3186" s="53">
        <v>51370</v>
      </c>
      <c r="I3186" s="58">
        <v>289854</v>
      </c>
      <c r="J3186">
        <f>IFERROR(VLOOKUP(G3186,'LEAID Match'!$A$2:$B$526,2,FALSE),"")</f>
        <v>2928590</v>
      </c>
      <c r="K3186" s="68">
        <f t="shared" si="99"/>
        <v>8</v>
      </c>
    </row>
    <row r="3187" spans="1:11" x14ac:dyDescent="0.2">
      <c r="A3187">
        <f t="shared" si="98"/>
        <v>2928590</v>
      </c>
      <c r="B3187">
        <v>2016</v>
      </c>
      <c r="C3187" t="s">
        <v>739</v>
      </c>
      <c r="D3187" t="s">
        <v>740</v>
      </c>
      <c r="E3187" t="s">
        <v>743</v>
      </c>
      <c r="F3187" s="34">
        <v>527</v>
      </c>
      <c r="G3187" s="34" t="s">
        <v>662</v>
      </c>
      <c r="H3187" s="36">
        <v>46272</v>
      </c>
      <c r="I3187" s="60">
        <v>297204</v>
      </c>
      <c r="J3187">
        <f>IFERROR(VLOOKUP(G3187,'LEAID Match'!$A$2:$B$526,2,FALSE),"")</f>
        <v>2928590</v>
      </c>
      <c r="K3187" s="68">
        <f t="shared" si="99"/>
        <v>8</v>
      </c>
    </row>
    <row r="3188" spans="1:11" x14ac:dyDescent="0.2">
      <c r="A3188">
        <f t="shared" si="98"/>
        <v>2928590</v>
      </c>
      <c r="B3188">
        <v>2017</v>
      </c>
      <c r="C3188" t="s">
        <v>739</v>
      </c>
      <c r="D3188" t="s">
        <v>740</v>
      </c>
      <c r="E3188" t="s">
        <v>743</v>
      </c>
      <c r="F3188" s="34">
        <v>527</v>
      </c>
      <c r="G3188" s="34" t="s">
        <v>662</v>
      </c>
      <c r="H3188" s="36">
        <v>43850</v>
      </c>
      <c r="I3188" s="58">
        <v>293353</v>
      </c>
      <c r="J3188">
        <f>IFERROR(VLOOKUP(G3188,'LEAID Match'!$A$2:$B$526,2,FALSE),"")</f>
        <v>2928590</v>
      </c>
      <c r="K3188" s="68">
        <f t="shared" si="99"/>
        <v>8</v>
      </c>
    </row>
    <row r="3189" spans="1:11" x14ac:dyDescent="0.2">
      <c r="A3189">
        <f t="shared" si="98"/>
        <v>2928590</v>
      </c>
      <c r="B3189">
        <v>2018</v>
      </c>
      <c r="C3189" t="s">
        <v>739</v>
      </c>
      <c r="D3189" t="s">
        <v>740</v>
      </c>
      <c r="E3189" t="s">
        <v>743</v>
      </c>
      <c r="F3189" s="34">
        <v>527</v>
      </c>
      <c r="G3189" s="34" t="s">
        <v>662</v>
      </c>
      <c r="H3189" s="36">
        <v>45329</v>
      </c>
      <c r="I3189" s="58">
        <v>296365</v>
      </c>
      <c r="J3189">
        <f>IFERROR(VLOOKUP(G3189,'LEAID Match'!$A$2:$B$526,2,FALSE),"")</f>
        <v>2928590</v>
      </c>
      <c r="K3189" s="68">
        <f t="shared" si="99"/>
        <v>8</v>
      </c>
    </row>
    <row r="3190" spans="1:11" x14ac:dyDescent="0.2">
      <c r="A3190">
        <f t="shared" si="98"/>
        <v>2928590</v>
      </c>
      <c r="B3190">
        <v>2019</v>
      </c>
      <c r="C3190" t="s">
        <v>739</v>
      </c>
      <c r="D3190" t="s">
        <v>740</v>
      </c>
      <c r="E3190" t="s">
        <v>743</v>
      </c>
      <c r="F3190" s="34">
        <v>527</v>
      </c>
      <c r="G3190" s="34" t="s">
        <v>662</v>
      </c>
      <c r="H3190" s="36">
        <v>50518</v>
      </c>
      <c r="I3190" s="58">
        <v>301721</v>
      </c>
      <c r="J3190">
        <f>IFERROR(VLOOKUP(G3190,'LEAID Match'!$A$2:$B$526,2,FALSE),"")</f>
        <v>2928590</v>
      </c>
      <c r="K3190" s="68">
        <f t="shared" si="99"/>
        <v>8</v>
      </c>
    </row>
    <row r="3191" spans="1:11" x14ac:dyDescent="0.2">
      <c r="A3191">
        <f t="shared" si="98"/>
        <v>2928590</v>
      </c>
      <c r="B3191">
        <v>2020</v>
      </c>
      <c r="C3191" t="s">
        <v>739</v>
      </c>
      <c r="D3191" t="s">
        <v>740</v>
      </c>
      <c r="E3191" t="s">
        <v>743</v>
      </c>
      <c r="F3191" s="34">
        <v>527</v>
      </c>
      <c r="G3191" s="34" t="s">
        <v>662</v>
      </c>
      <c r="H3191" s="36">
        <v>49519</v>
      </c>
      <c r="I3191" s="58">
        <v>298680</v>
      </c>
      <c r="J3191">
        <f>IFERROR(VLOOKUP(G3191,'LEAID Match'!$A$2:$B$526,2,FALSE),"")</f>
        <v>2928590</v>
      </c>
      <c r="K3191" s="68">
        <f t="shared" si="99"/>
        <v>8</v>
      </c>
    </row>
    <row r="3192" spans="1:11" x14ac:dyDescent="0.2">
      <c r="A3192">
        <f t="shared" si="98"/>
        <v>2928590</v>
      </c>
      <c r="B3192">
        <v>2021</v>
      </c>
      <c r="C3192" t="s">
        <v>739</v>
      </c>
      <c r="D3192" t="s">
        <v>740</v>
      </c>
      <c r="E3192" t="s">
        <v>743</v>
      </c>
      <c r="F3192" s="34">
        <v>527</v>
      </c>
      <c r="G3192" s="34" t="s">
        <v>662</v>
      </c>
      <c r="H3192" s="36">
        <v>49363</v>
      </c>
      <c r="I3192" s="58">
        <v>317588</v>
      </c>
      <c r="J3192">
        <f>IFERROR(VLOOKUP(G3192,'LEAID Match'!$A$2:$B$526,2,FALSE),"")</f>
        <v>2928590</v>
      </c>
      <c r="K3192" s="68">
        <f t="shared" si="99"/>
        <v>8</v>
      </c>
    </row>
    <row r="3193" spans="1:11" x14ac:dyDescent="0.2">
      <c r="A3193">
        <f t="shared" si="98"/>
        <v>2928590</v>
      </c>
      <c r="B3193">
        <v>2022</v>
      </c>
      <c r="C3193" t="s">
        <v>739</v>
      </c>
      <c r="D3193" t="s">
        <v>740</v>
      </c>
      <c r="E3193" t="s">
        <v>743</v>
      </c>
      <c r="F3193" s="34">
        <v>527</v>
      </c>
      <c r="G3193" s="34" t="s">
        <v>662</v>
      </c>
      <c r="H3193" s="36">
        <v>51654</v>
      </c>
      <c r="I3193" s="58">
        <v>305790</v>
      </c>
      <c r="J3193">
        <f>IFERROR(VLOOKUP(G3193,'LEAID Match'!$A$2:$B$526,2,FALSE),"")</f>
        <v>2928590</v>
      </c>
      <c r="K3193" s="68">
        <f t="shared" si="99"/>
        <v>8</v>
      </c>
    </row>
    <row r="3194" spans="1:11" x14ac:dyDescent="0.2">
      <c r="A3194">
        <f t="shared" si="98"/>
        <v>2906170</v>
      </c>
      <c r="B3194">
        <v>2015</v>
      </c>
      <c r="C3194" t="s">
        <v>739</v>
      </c>
      <c r="D3194" t="s">
        <v>740</v>
      </c>
      <c r="E3194" t="s">
        <v>743</v>
      </c>
      <c r="F3194" s="45">
        <v>528</v>
      </c>
      <c r="G3194" s="50" t="s">
        <v>489</v>
      </c>
      <c r="H3194" s="53">
        <v>33141</v>
      </c>
      <c r="I3194" s="58">
        <v>211512</v>
      </c>
      <c r="J3194">
        <f>IFERROR(VLOOKUP(G3194,'LEAID Match'!$A$2:$B$526,2,FALSE),"")</f>
        <v>2906170</v>
      </c>
      <c r="K3194" s="68">
        <f t="shared" si="99"/>
        <v>8</v>
      </c>
    </row>
    <row r="3195" spans="1:11" x14ac:dyDescent="0.2">
      <c r="A3195">
        <f t="shared" si="98"/>
        <v>2906170</v>
      </c>
      <c r="B3195">
        <v>2016</v>
      </c>
      <c r="C3195" t="s">
        <v>739</v>
      </c>
      <c r="D3195" t="s">
        <v>740</v>
      </c>
      <c r="E3195" t="s">
        <v>743</v>
      </c>
      <c r="F3195" s="34">
        <v>528</v>
      </c>
      <c r="G3195" s="34" t="s">
        <v>489</v>
      </c>
      <c r="H3195" s="36">
        <v>35441</v>
      </c>
      <c r="I3195" s="60">
        <v>202678</v>
      </c>
      <c r="J3195">
        <f>IFERROR(VLOOKUP(G3195,'LEAID Match'!$A$2:$B$526,2,FALSE),"")</f>
        <v>2906170</v>
      </c>
      <c r="K3195" s="68">
        <f t="shared" si="99"/>
        <v>8</v>
      </c>
    </row>
    <row r="3196" spans="1:11" x14ac:dyDescent="0.2">
      <c r="A3196">
        <f t="shared" si="98"/>
        <v>2906170</v>
      </c>
      <c r="B3196">
        <v>2017</v>
      </c>
      <c r="C3196" t="s">
        <v>739</v>
      </c>
      <c r="D3196" t="s">
        <v>740</v>
      </c>
      <c r="E3196" t="s">
        <v>743</v>
      </c>
      <c r="F3196" s="34">
        <v>528</v>
      </c>
      <c r="G3196" s="34" t="s">
        <v>489</v>
      </c>
      <c r="H3196" s="36">
        <v>33923</v>
      </c>
      <c r="I3196" s="58">
        <v>167446</v>
      </c>
      <c r="J3196">
        <f>IFERROR(VLOOKUP(G3196,'LEAID Match'!$A$2:$B$526,2,FALSE),"")</f>
        <v>2906170</v>
      </c>
      <c r="K3196" s="68">
        <f t="shared" si="99"/>
        <v>8</v>
      </c>
    </row>
    <row r="3197" spans="1:11" x14ac:dyDescent="0.2">
      <c r="A3197">
        <f t="shared" si="98"/>
        <v>2906170</v>
      </c>
      <c r="B3197">
        <v>2018</v>
      </c>
      <c r="C3197" t="s">
        <v>739</v>
      </c>
      <c r="D3197" t="s">
        <v>740</v>
      </c>
      <c r="E3197" t="s">
        <v>743</v>
      </c>
      <c r="F3197" s="34">
        <v>528</v>
      </c>
      <c r="G3197" s="34" t="s">
        <v>489</v>
      </c>
      <c r="H3197" s="36">
        <v>34733</v>
      </c>
      <c r="I3197" s="58">
        <v>142660</v>
      </c>
      <c r="J3197">
        <f>IFERROR(VLOOKUP(G3197,'LEAID Match'!$A$2:$B$526,2,FALSE),"")</f>
        <v>2906170</v>
      </c>
      <c r="K3197" s="68">
        <f t="shared" si="99"/>
        <v>8</v>
      </c>
    </row>
    <row r="3198" spans="1:11" x14ac:dyDescent="0.2">
      <c r="A3198">
        <f t="shared" si="98"/>
        <v>2906170</v>
      </c>
      <c r="B3198">
        <v>2019</v>
      </c>
      <c r="C3198" t="s">
        <v>739</v>
      </c>
      <c r="D3198" t="s">
        <v>740</v>
      </c>
      <c r="E3198" t="s">
        <v>743</v>
      </c>
      <c r="F3198" s="34">
        <v>528</v>
      </c>
      <c r="G3198" s="34" t="s">
        <v>489</v>
      </c>
      <c r="H3198" s="36">
        <v>33556</v>
      </c>
      <c r="I3198" s="58">
        <v>157955</v>
      </c>
      <c r="J3198">
        <f>IFERROR(VLOOKUP(G3198,'LEAID Match'!$A$2:$B$526,2,FALSE),"")</f>
        <v>2906170</v>
      </c>
      <c r="K3198" s="68">
        <f t="shared" si="99"/>
        <v>8</v>
      </c>
    </row>
    <row r="3199" spans="1:11" x14ac:dyDescent="0.2">
      <c r="A3199">
        <f t="shared" si="98"/>
        <v>2906170</v>
      </c>
      <c r="B3199">
        <v>2020</v>
      </c>
      <c r="C3199" t="s">
        <v>739</v>
      </c>
      <c r="D3199" t="s">
        <v>740</v>
      </c>
      <c r="E3199" t="s">
        <v>743</v>
      </c>
      <c r="F3199" s="34">
        <v>528</v>
      </c>
      <c r="G3199" s="34" t="s">
        <v>489</v>
      </c>
      <c r="H3199" s="36">
        <v>36698</v>
      </c>
      <c r="I3199" s="58">
        <v>164083</v>
      </c>
      <c r="J3199">
        <f>IFERROR(VLOOKUP(G3199,'LEAID Match'!$A$2:$B$526,2,FALSE),"")</f>
        <v>2906170</v>
      </c>
      <c r="K3199" s="68">
        <f t="shared" si="99"/>
        <v>8</v>
      </c>
    </row>
    <row r="3200" spans="1:11" x14ac:dyDescent="0.2">
      <c r="A3200">
        <f t="shared" si="98"/>
        <v>2906170</v>
      </c>
      <c r="B3200">
        <v>2021</v>
      </c>
      <c r="C3200" t="s">
        <v>739</v>
      </c>
      <c r="D3200" t="s">
        <v>740</v>
      </c>
      <c r="E3200" t="s">
        <v>743</v>
      </c>
      <c r="F3200" s="34">
        <v>528</v>
      </c>
      <c r="G3200" s="34" t="s">
        <v>489</v>
      </c>
      <c r="H3200" s="36">
        <v>34606</v>
      </c>
      <c r="I3200" s="58">
        <v>140167</v>
      </c>
      <c r="J3200">
        <f>IFERROR(VLOOKUP(G3200,'LEAID Match'!$A$2:$B$526,2,FALSE),"")</f>
        <v>2906170</v>
      </c>
      <c r="K3200" s="68">
        <f t="shared" si="99"/>
        <v>8</v>
      </c>
    </row>
    <row r="3201" spans="1:11" x14ac:dyDescent="0.2">
      <c r="A3201">
        <f t="shared" si="98"/>
        <v>2906170</v>
      </c>
      <c r="B3201">
        <v>2022</v>
      </c>
      <c r="C3201" t="s">
        <v>739</v>
      </c>
      <c r="D3201" t="s">
        <v>740</v>
      </c>
      <c r="E3201" t="s">
        <v>743</v>
      </c>
      <c r="F3201" s="34">
        <v>528</v>
      </c>
      <c r="G3201" s="34" t="s">
        <v>489</v>
      </c>
      <c r="H3201" s="36">
        <v>37100</v>
      </c>
      <c r="I3201" s="58">
        <v>165142</v>
      </c>
      <c r="J3201">
        <f>IFERROR(VLOOKUP(G3201,'LEAID Match'!$A$2:$B$526,2,FALSE),"")</f>
        <v>2906170</v>
      </c>
      <c r="K3201" s="68">
        <f t="shared" si="99"/>
        <v>8</v>
      </c>
    </row>
    <row r="3202" spans="1:11" x14ac:dyDescent="0.2">
      <c r="A3202">
        <f t="shared" si="98"/>
        <v>2918450</v>
      </c>
      <c r="B3202">
        <v>2015</v>
      </c>
      <c r="C3202" t="s">
        <v>739</v>
      </c>
      <c r="D3202" t="s">
        <v>740</v>
      </c>
      <c r="E3202" t="s">
        <v>743</v>
      </c>
      <c r="F3202" s="45">
        <v>529</v>
      </c>
      <c r="G3202" s="50" t="s">
        <v>490</v>
      </c>
      <c r="H3202" s="53">
        <v>53767</v>
      </c>
      <c r="I3202" s="58">
        <v>348797</v>
      </c>
      <c r="J3202">
        <f>IFERROR(VLOOKUP(G3202,'LEAID Match'!$A$2:$B$526,2,FALSE),"")</f>
        <v>2918450</v>
      </c>
      <c r="K3202" s="68">
        <f t="shared" si="99"/>
        <v>8</v>
      </c>
    </row>
    <row r="3203" spans="1:11" x14ac:dyDescent="0.2">
      <c r="A3203">
        <f t="shared" ref="A3203:A3266" si="100">J3203</f>
        <v>2918450</v>
      </c>
      <c r="B3203">
        <v>2016</v>
      </c>
      <c r="C3203" t="s">
        <v>739</v>
      </c>
      <c r="D3203" t="s">
        <v>740</v>
      </c>
      <c r="E3203" t="s">
        <v>743</v>
      </c>
      <c r="F3203" s="34">
        <v>529</v>
      </c>
      <c r="G3203" s="34" t="s">
        <v>490</v>
      </c>
      <c r="H3203" s="36">
        <v>61410</v>
      </c>
      <c r="I3203" s="60">
        <v>348517</v>
      </c>
      <c r="J3203">
        <f>IFERROR(VLOOKUP(G3203,'LEAID Match'!$A$2:$B$526,2,FALSE),"")</f>
        <v>2918450</v>
      </c>
      <c r="K3203" s="68">
        <f t="shared" ref="K3203:K3266" si="101">COUNTIF($J$2:$J$4295,J3203)</f>
        <v>8</v>
      </c>
    </row>
    <row r="3204" spans="1:11" x14ac:dyDescent="0.2">
      <c r="A3204">
        <f t="shared" si="100"/>
        <v>2918450</v>
      </c>
      <c r="B3204">
        <v>2017</v>
      </c>
      <c r="C3204" t="s">
        <v>739</v>
      </c>
      <c r="D3204" t="s">
        <v>740</v>
      </c>
      <c r="E3204" t="s">
        <v>743</v>
      </c>
      <c r="F3204" s="34">
        <v>529</v>
      </c>
      <c r="G3204" s="34" t="s">
        <v>490</v>
      </c>
      <c r="H3204" s="36">
        <v>61845</v>
      </c>
      <c r="I3204" s="58">
        <v>344242</v>
      </c>
      <c r="J3204">
        <f>IFERROR(VLOOKUP(G3204,'LEAID Match'!$A$2:$B$526,2,FALSE),"")</f>
        <v>2918450</v>
      </c>
      <c r="K3204" s="68">
        <f t="shared" si="101"/>
        <v>8</v>
      </c>
    </row>
    <row r="3205" spans="1:11" x14ac:dyDescent="0.2">
      <c r="A3205">
        <f t="shared" si="100"/>
        <v>2918450</v>
      </c>
      <c r="B3205">
        <v>2018</v>
      </c>
      <c r="C3205" t="s">
        <v>739</v>
      </c>
      <c r="D3205" t="s">
        <v>740</v>
      </c>
      <c r="E3205" t="s">
        <v>743</v>
      </c>
      <c r="F3205" s="34">
        <v>529</v>
      </c>
      <c r="G3205" s="34" t="s">
        <v>490</v>
      </c>
      <c r="H3205" s="36">
        <v>56454</v>
      </c>
      <c r="I3205" s="58">
        <v>354949</v>
      </c>
      <c r="J3205">
        <f>IFERROR(VLOOKUP(G3205,'LEAID Match'!$A$2:$B$526,2,FALSE),"")</f>
        <v>2918450</v>
      </c>
      <c r="K3205" s="68">
        <f t="shared" si="101"/>
        <v>8</v>
      </c>
    </row>
    <row r="3206" spans="1:11" x14ac:dyDescent="0.2">
      <c r="A3206">
        <f t="shared" si="100"/>
        <v>2918450</v>
      </c>
      <c r="B3206">
        <v>2019</v>
      </c>
      <c r="C3206" t="s">
        <v>739</v>
      </c>
      <c r="D3206" t="s">
        <v>740</v>
      </c>
      <c r="E3206" t="s">
        <v>743</v>
      </c>
      <c r="F3206" s="34">
        <v>529</v>
      </c>
      <c r="G3206" s="34" t="s">
        <v>490</v>
      </c>
      <c r="H3206" s="36">
        <v>52088</v>
      </c>
      <c r="I3206" s="58">
        <v>340896</v>
      </c>
      <c r="J3206">
        <f>IFERROR(VLOOKUP(G3206,'LEAID Match'!$A$2:$B$526,2,FALSE),"")</f>
        <v>2918450</v>
      </c>
      <c r="K3206" s="68">
        <f t="shared" si="101"/>
        <v>8</v>
      </c>
    </row>
    <row r="3207" spans="1:11" x14ac:dyDescent="0.2">
      <c r="A3207">
        <f t="shared" si="100"/>
        <v>2918450</v>
      </c>
      <c r="B3207">
        <v>2020</v>
      </c>
      <c r="C3207" t="s">
        <v>739</v>
      </c>
      <c r="D3207" t="s">
        <v>740</v>
      </c>
      <c r="E3207" t="s">
        <v>743</v>
      </c>
      <c r="F3207" s="34">
        <v>529</v>
      </c>
      <c r="G3207" s="34" t="s">
        <v>490</v>
      </c>
      <c r="H3207" s="36">
        <v>44230</v>
      </c>
      <c r="I3207" s="58">
        <v>336707</v>
      </c>
      <c r="J3207">
        <f>IFERROR(VLOOKUP(G3207,'LEAID Match'!$A$2:$B$526,2,FALSE),"")</f>
        <v>2918450</v>
      </c>
      <c r="K3207" s="68">
        <f t="shared" si="101"/>
        <v>8</v>
      </c>
    </row>
    <row r="3208" spans="1:11" x14ac:dyDescent="0.2">
      <c r="A3208">
        <f t="shared" si="100"/>
        <v>2918450</v>
      </c>
      <c r="B3208">
        <v>2021</v>
      </c>
      <c r="C3208" t="s">
        <v>739</v>
      </c>
      <c r="D3208" t="s">
        <v>740</v>
      </c>
      <c r="E3208" t="s">
        <v>743</v>
      </c>
      <c r="F3208" s="34">
        <v>529</v>
      </c>
      <c r="G3208" s="34" t="s">
        <v>490</v>
      </c>
      <c r="H3208" s="36">
        <v>47871</v>
      </c>
      <c r="I3208" s="58">
        <v>296347</v>
      </c>
      <c r="J3208">
        <f>IFERROR(VLOOKUP(G3208,'LEAID Match'!$A$2:$B$526,2,FALSE),"")</f>
        <v>2918450</v>
      </c>
      <c r="K3208" s="68">
        <f t="shared" si="101"/>
        <v>8</v>
      </c>
    </row>
    <row r="3209" spans="1:11" x14ac:dyDescent="0.2">
      <c r="A3209">
        <f t="shared" si="100"/>
        <v>2918450</v>
      </c>
      <c r="B3209">
        <v>2022</v>
      </c>
      <c r="C3209" t="s">
        <v>739</v>
      </c>
      <c r="D3209" t="s">
        <v>740</v>
      </c>
      <c r="E3209" t="s">
        <v>743</v>
      </c>
      <c r="F3209" s="34">
        <v>529</v>
      </c>
      <c r="G3209" s="34" t="s">
        <v>490</v>
      </c>
      <c r="H3209" s="36">
        <v>53856</v>
      </c>
      <c r="I3209" s="58">
        <v>297862</v>
      </c>
      <c r="J3209">
        <f>IFERROR(VLOOKUP(G3209,'LEAID Match'!$A$2:$B$526,2,FALSE),"")</f>
        <v>2918450</v>
      </c>
      <c r="K3209" s="68">
        <f t="shared" si="101"/>
        <v>8</v>
      </c>
    </row>
    <row r="3210" spans="1:11" x14ac:dyDescent="0.2">
      <c r="A3210">
        <f t="shared" si="100"/>
        <v>2910920</v>
      </c>
      <c r="B3210">
        <v>2015</v>
      </c>
      <c r="C3210" t="s">
        <v>739</v>
      </c>
      <c r="D3210" t="s">
        <v>740</v>
      </c>
      <c r="E3210" t="s">
        <v>743</v>
      </c>
      <c r="F3210" s="45">
        <v>532</v>
      </c>
      <c r="G3210" s="34" t="s">
        <v>663</v>
      </c>
      <c r="H3210" s="53">
        <v>139411</v>
      </c>
      <c r="I3210" s="58">
        <v>986242</v>
      </c>
      <c r="J3210">
        <f>IFERROR(VLOOKUP(G3210,'LEAID Match'!$A$2:$B$526,2,FALSE),"")</f>
        <v>2910920</v>
      </c>
      <c r="K3210" s="68">
        <f t="shared" si="101"/>
        <v>8</v>
      </c>
    </row>
    <row r="3211" spans="1:11" x14ac:dyDescent="0.2">
      <c r="A3211">
        <f t="shared" si="100"/>
        <v>2910920</v>
      </c>
      <c r="B3211">
        <v>2016</v>
      </c>
      <c r="C3211" t="s">
        <v>739</v>
      </c>
      <c r="D3211" t="s">
        <v>740</v>
      </c>
      <c r="E3211" t="s">
        <v>743</v>
      </c>
      <c r="F3211" s="34">
        <v>532</v>
      </c>
      <c r="G3211" s="34" t="s">
        <v>663</v>
      </c>
      <c r="H3211" s="36">
        <v>141284</v>
      </c>
      <c r="I3211" s="60">
        <v>959861</v>
      </c>
      <c r="J3211">
        <f>IFERROR(VLOOKUP(G3211,'LEAID Match'!$A$2:$B$526,2,FALSE),"")</f>
        <v>2910920</v>
      </c>
      <c r="K3211" s="68">
        <f t="shared" si="101"/>
        <v>8</v>
      </c>
    </row>
    <row r="3212" spans="1:11" x14ac:dyDescent="0.2">
      <c r="A3212">
        <f t="shared" si="100"/>
        <v>2910920</v>
      </c>
      <c r="B3212">
        <v>2017</v>
      </c>
      <c r="C3212" t="s">
        <v>739</v>
      </c>
      <c r="D3212" t="s">
        <v>740</v>
      </c>
      <c r="E3212" t="s">
        <v>743</v>
      </c>
      <c r="F3212" s="34">
        <v>532</v>
      </c>
      <c r="G3212" s="34" t="s">
        <v>663</v>
      </c>
      <c r="H3212" s="36">
        <v>164459</v>
      </c>
      <c r="I3212" s="58">
        <v>967101</v>
      </c>
      <c r="J3212">
        <f>IFERROR(VLOOKUP(G3212,'LEAID Match'!$A$2:$B$526,2,FALSE),"")</f>
        <v>2910920</v>
      </c>
      <c r="K3212" s="68">
        <f t="shared" si="101"/>
        <v>8</v>
      </c>
    </row>
    <row r="3213" spans="1:11" x14ac:dyDescent="0.2">
      <c r="A3213">
        <f t="shared" si="100"/>
        <v>2910920</v>
      </c>
      <c r="B3213">
        <v>2018</v>
      </c>
      <c r="C3213" t="s">
        <v>739</v>
      </c>
      <c r="D3213" t="s">
        <v>740</v>
      </c>
      <c r="E3213" t="s">
        <v>743</v>
      </c>
      <c r="F3213" s="34">
        <v>532</v>
      </c>
      <c r="G3213" s="34" t="s">
        <v>663</v>
      </c>
      <c r="H3213" s="36">
        <v>175328</v>
      </c>
      <c r="I3213" s="58">
        <v>956433</v>
      </c>
      <c r="J3213">
        <f>IFERROR(VLOOKUP(G3213,'LEAID Match'!$A$2:$B$526,2,FALSE),"")</f>
        <v>2910920</v>
      </c>
      <c r="K3213" s="68">
        <f t="shared" si="101"/>
        <v>8</v>
      </c>
    </row>
    <row r="3214" spans="1:11" x14ac:dyDescent="0.2">
      <c r="A3214">
        <f t="shared" si="100"/>
        <v>2910920</v>
      </c>
      <c r="B3214">
        <v>2019</v>
      </c>
      <c r="C3214" t="s">
        <v>739</v>
      </c>
      <c r="D3214" t="s">
        <v>740</v>
      </c>
      <c r="E3214" t="s">
        <v>743</v>
      </c>
      <c r="F3214" s="34">
        <v>532</v>
      </c>
      <c r="G3214" s="34" t="s">
        <v>663</v>
      </c>
      <c r="H3214" s="36">
        <v>184004</v>
      </c>
      <c r="I3214" s="58">
        <v>1004028</v>
      </c>
      <c r="J3214">
        <f>IFERROR(VLOOKUP(G3214,'LEAID Match'!$A$2:$B$526,2,FALSE),"")</f>
        <v>2910920</v>
      </c>
      <c r="K3214" s="68">
        <f t="shared" si="101"/>
        <v>8</v>
      </c>
    </row>
    <row r="3215" spans="1:11" x14ac:dyDescent="0.2">
      <c r="A3215">
        <f t="shared" si="100"/>
        <v>2910920</v>
      </c>
      <c r="B3215">
        <v>2020</v>
      </c>
      <c r="C3215" t="s">
        <v>739</v>
      </c>
      <c r="D3215" t="s">
        <v>740</v>
      </c>
      <c r="E3215" t="s">
        <v>743</v>
      </c>
      <c r="F3215" s="34">
        <v>532</v>
      </c>
      <c r="G3215" s="34" t="s">
        <v>663</v>
      </c>
      <c r="H3215" s="36">
        <v>204597</v>
      </c>
      <c r="I3215" s="58">
        <v>973640</v>
      </c>
      <c r="J3215">
        <f>IFERROR(VLOOKUP(G3215,'LEAID Match'!$A$2:$B$526,2,FALSE),"")</f>
        <v>2910920</v>
      </c>
      <c r="K3215" s="68">
        <f t="shared" si="101"/>
        <v>8</v>
      </c>
    </row>
    <row r="3216" spans="1:11" x14ac:dyDescent="0.2">
      <c r="A3216">
        <f t="shared" si="100"/>
        <v>2910920</v>
      </c>
      <c r="B3216">
        <v>2021</v>
      </c>
      <c r="C3216" t="s">
        <v>739</v>
      </c>
      <c r="D3216" t="s">
        <v>740</v>
      </c>
      <c r="E3216" t="s">
        <v>743</v>
      </c>
      <c r="F3216" s="34">
        <v>532</v>
      </c>
      <c r="G3216" s="34" t="s">
        <v>663</v>
      </c>
      <c r="H3216" s="36">
        <v>196538</v>
      </c>
      <c r="I3216" s="58">
        <v>961684</v>
      </c>
      <c r="J3216">
        <f>IFERROR(VLOOKUP(G3216,'LEAID Match'!$A$2:$B$526,2,FALSE),"")</f>
        <v>2910920</v>
      </c>
      <c r="K3216" s="68">
        <f t="shared" si="101"/>
        <v>8</v>
      </c>
    </row>
    <row r="3217" spans="1:11" x14ac:dyDescent="0.2">
      <c r="A3217">
        <f t="shared" si="100"/>
        <v>2910920</v>
      </c>
      <c r="B3217">
        <v>2022</v>
      </c>
      <c r="C3217" t="s">
        <v>739</v>
      </c>
      <c r="D3217" t="s">
        <v>740</v>
      </c>
      <c r="E3217" t="s">
        <v>743</v>
      </c>
      <c r="F3217" s="34">
        <v>532</v>
      </c>
      <c r="G3217" s="34" t="s">
        <v>663</v>
      </c>
      <c r="H3217" s="36">
        <v>219420</v>
      </c>
      <c r="I3217" s="58">
        <v>1031049</v>
      </c>
      <c r="J3217">
        <f>IFERROR(VLOOKUP(G3217,'LEAID Match'!$A$2:$B$526,2,FALSE),"")</f>
        <v>2910920</v>
      </c>
      <c r="K3217" s="68">
        <f t="shared" si="101"/>
        <v>8</v>
      </c>
    </row>
    <row r="3218" spans="1:11" x14ac:dyDescent="0.2">
      <c r="A3218">
        <f t="shared" si="100"/>
        <v>2921720</v>
      </c>
      <c r="B3218">
        <v>2015</v>
      </c>
      <c r="C3218" t="s">
        <v>739</v>
      </c>
      <c r="D3218" t="s">
        <v>740</v>
      </c>
      <c r="E3218" t="s">
        <v>743</v>
      </c>
      <c r="F3218" s="45">
        <v>533</v>
      </c>
      <c r="G3218" s="34" t="s">
        <v>664</v>
      </c>
      <c r="H3218" s="53">
        <v>29455</v>
      </c>
      <c r="I3218" s="58">
        <v>224308</v>
      </c>
      <c r="J3218">
        <f>IFERROR(VLOOKUP(G3218,'LEAID Match'!$A$2:$B$526,2,FALSE),"")</f>
        <v>2921720</v>
      </c>
      <c r="K3218" s="68">
        <f t="shared" si="101"/>
        <v>8</v>
      </c>
    </row>
    <row r="3219" spans="1:11" x14ac:dyDescent="0.2">
      <c r="A3219">
        <f t="shared" si="100"/>
        <v>2921720</v>
      </c>
      <c r="B3219">
        <v>2016</v>
      </c>
      <c r="C3219" t="s">
        <v>739</v>
      </c>
      <c r="D3219" t="s">
        <v>740</v>
      </c>
      <c r="E3219" t="s">
        <v>743</v>
      </c>
      <c r="F3219" s="34">
        <v>533</v>
      </c>
      <c r="G3219" s="34" t="s">
        <v>664</v>
      </c>
      <c r="H3219" s="36">
        <v>28478</v>
      </c>
      <c r="I3219" s="60">
        <v>227430</v>
      </c>
      <c r="J3219">
        <f>IFERROR(VLOOKUP(G3219,'LEAID Match'!$A$2:$B$526,2,FALSE),"")</f>
        <v>2921720</v>
      </c>
      <c r="K3219" s="68">
        <f t="shared" si="101"/>
        <v>8</v>
      </c>
    </row>
    <row r="3220" spans="1:11" x14ac:dyDescent="0.2">
      <c r="A3220">
        <f t="shared" si="100"/>
        <v>2921720</v>
      </c>
      <c r="B3220">
        <v>2017</v>
      </c>
      <c r="C3220" t="s">
        <v>739</v>
      </c>
      <c r="D3220" t="s">
        <v>740</v>
      </c>
      <c r="E3220" t="s">
        <v>743</v>
      </c>
      <c r="F3220" s="34">
        <v>533</v>
      </c>
      <c r="G3220" s="34" t="s">
        <v>664</v>
      </c>
      <c r="H3220" s="36">
        <v>32144</v>
      </c>
      <c r="I3220" s="58">
        <v>224366</v>
      </c>
      <c r="J3220">
        <f>IFERROR(VLOOKUP(G3220,'LEAID Match'!$A$2:$B$526,2,FALSE),"")</f>
        <v>2921720</v>
      </c>
      <c r="K3220" s="68">
        <f t="shared" si="101"/>
        <v>8</v>
      </c>
    </row>
    <row r="3221" spans="1:11" x14ac:dyDescent="0.2">
      <c r="A3221">
        <f t="shared" si="100"/>
        <v>2921720</v>
      </c>
      <c r="B3221">
        <v>2018</v>
      </c>
      <c r="C3221" t="s">
        <v>739</v>
      </c>
      <c r="D3221" t="s">
        <v>740</v>
      </c>
      <c r="E3221" t="s">
        <v>743</v>
      </c>
      <c r="F3221" s="34">
        <v>533</v>
      </c>
      <c r="G3221" s="34" t="s">
        <v>664</v>
      </c>
      <c r="H3221" s="36">
        <v>33119</v>
      </c>
      <c r="I3221" s="58">
        <v>228933</v>
      </c>
      <c r="J3221">
        <f>IFERROR(VLOOKUP(G3221,'LEAID Match'!$A$2:$B$526,2,FALSE),"")</f>
        <v>2921720</v>
      </c>
      <c r="K3221" s="68">
        <f t="shared" si="101"/>
        <v>8</v>
      </c>
    </row>
    <row r="3222" spans="1:11" x14ac:dyDescent="0.2">
      <c r="A3222">
        <f t="shared" si="100"/>
        <v>2921720</v>
      </c>
      <c r="B3222">
        <v>2019</v>
      </c>
      <c r="C3222" t="s">
        <v>739</v>
      </c>
      <c r="D3222" t="s">
        <v>740</v>
      </c>
      <c r="E3222" t="s">
        <v>743</v>
      </c>
      <c r="F3222" s="34">
        <v>533</v>
      </c>
      <c r="G3222" s="34" t="s">
        <v>664</v>
      </c>
      <c r="H3222" s="36">
        <v>34398</v>
      </c>
      <c r="I3222" s="58">
        <v>246593</v>
      </c>
      <c r="J3222">
        <f>IFERROR(VLOOKUP(G3222,'LEAID Match'!$A$2:$B$526,2,FALSE),"")</f>
        <v>2921720</v>
      </c>
      <c r="K3222" s="68">
        <f t="shared" si="101"/>
        <v>8</v>
      </c>
    </row>
    <row r="3223" spans="1:11" x14ac:dyDescent="0.2">
      <c r="A3223">
        <f t="shared" si="100"/>
        <v>2921720</v>
      </c>
      <c r="B3223">
        <v>2020</v>
      </c>
      <c r="C3223" t="s">
        <v>739</v>
      </c>
      <c r="D3223" t="s">
        <v>740</v>
      </c>
      <c r="E3223" t="s">
        <v>743</v>
      </c>
      <c r="F3223" s="34">
        <v>533</v>
      </c>
      <c r="G3223" s="34" t="s">
        <v>664</v>
      </c>
      <c r="H3223" s="36">
        <v>33353</v>
      </c>
      <c r="I3223" s="58">
        <v>264493</v>
      </c>
      <c r="J3223">
        <f>IFERROR(VLOOKUP(G3223,'LEAID Match'!$A$2:$B$526,2,FALSE),"")</f>
        <v>2921720</v>
      </c>
      <c r="K3223" s="68">
        <f t="shared" si="101"/>
        <v>8</v>
      </c>
    </row>
    <row r="3224" spans="1:11" x14ac:dyDescent="0.2">
      <c r="A3224">
        <f t="shared" si="100"/>
        <v>2921720</v>
      </c>
      <c r="B3224">
        <v>2021</v>
      </c>
      <c r="C3224" t="s">
        <v>739</v>
      </c>
      <c r="D3224" t="s">
        <v>740</v>
      </c>
      <c r="E3224" t="s">
        <v>743</v>
      </c>
      <c r="F3224" s="34">
        <v>533</v>
      </c>
      <c r="G3224" s="34" t="s">
        <v>664</v>
      </c>
      <c r="H3224" s="36">
        <v>29132</v>
      </c>
      <c r="I3224" s="58">
        <v>268249</v>
      </c>
      <c r="J3224">
        <f>IFERROR(VLOOKUP(G3224,'LEAID Match'!$A$2:$B$526,2,FALSE),"")</f>
        <v>2921720</v>
      </c>
      <c r="K3224" s="68">
        <f t="shared" si="101"/>
        <v>8</v>
      </c>
    </row>
    <row r="3225" spans="1:11" x14ac:dyDescent="0.2">
      <c r="A3225">
        <f t="shared" si="100"/>
        <v>2921720</v>
      </c>
      <c r="B3225">
        <v>2022</v>
      </c>
      <c r="C3225" t="s">
        <v>739</v>
      </c>
      <c r="D3225" t="s">
        <v>740</v>
      </c>
      <c r="E3225" t="s">
        <v>743</v>
      </c>
      <c r="F3225" s="34">
        <v>533</v>
      </c>
      <c r="G3225" s="34" t="s">
        <v>664</v>
      </c>
      <c r="H3225" s="36">
        <v>34002</v>
      </c>
      <c r="I3225" s="58">
        <v>273815</v>
      </c>
      <c r="J3225">
        <f>IFERROR(VLOOKUP(G3225,'LEAID Match'!$A$2:$B$526,2,FALSE),"")</f>
        <v>2921720</v>
      </c>
      <c r="K3225" s="68">
        <f t="shared" si="101"/>
        <v>8</v>
      </c>
    </row>
    <row r="3226" spans="1:11" x14ac:dyDescent="0.2">
      <c r="A3226">
        <f t="shared" si="100"/>
        <v>2926550</v>
      </c>
      <c r="B3226">
        <v>2015</v>
      </c>
      <c r="C3226" t="s">
        <v>739</v>
      </c>
      <c r="D3226" t="s">
        <v>740</v>
      </c>
      <c r="E3226" t="s">
        <v>743</v>
      </c>
      <c r="F3226" s="45">
        <v>534</v>
      </c>
      <c r="G3226" s="34" t="s">
        <v>493</v>
      </c>
      <c r="H3226" s="53">
        <v>14670</v>
      </c>
      <c r="I3226" s="58">
        <v>76286</v>
      </c>
      <c r="J3226">
        <f>IFERROR(VLOOKUP(G3226,'LEAID Match'!$A$2:$B$526,2,FALSE),"")</f>
        <v>2926550</v>
      </c>
      <c r="K3226" s="68">
        <f t="shared" si="101"/>
        <v>8</v>
      </c>
    </row>
    <row r="3227" spans="1:11" x14ac:dyDescent="0.2">
      <c r="A3227">
        <f t="shared" si="100"/>
        <v>2926550</v>
      </c>
      <c r="B3227">
        <v>2016</v>
      </c>
      <c r="C3227" t="s">
        <v>739</v>
      </c>
      <c r="D3227" t="s">
        <v>740</v>
      </c>
      <c r="E3227" t="s">
        <v>743</v>
      </c>
      <c r="F3227" s="34">
        <v>534</v>
      </c>
      <c r="G3227" s="34" t="s">
        <v>493</v>
      </c>
      <c r="H3227" s="36">
        <v>13721</v>
      </c>
      <c r="I3227" s="60">
        <v>62042</v>
      </c>
      <c r="J3227">
        <f>IFERROR(VLOOKUP(G3227,'LEAID Match'!$A$2:$B$526,2,FALSE),"")</f>
        <v>2926550</v>
      </c>
      <c r="K3227" s="68">
        <f t="shared" si="101"/>
        <v>8</v>
      </c>
    </row>
    <row r="3228" spans="1:11" x14ac:dyDescent="0.2">
      <c r="A3228">
        <f t="shared" si="100"/>
        <v>2926550</v>
      </c>
      <c r="B3228">
        <v>2017</v>
      </c>
      <c r="C3228" t="s">
        <v>739</v>
      </c>
      <c r="D3228" t="s">
        <v>740</v>
      </c>
      <c r="E3228" t="s">
        <v>743</v>
      </c>
      <c r="F3228" s="34">
        <v>534</v>
      </c>
      <c r="G3228" s="34" t="s">
        <v>493</v>
      </c>
      <c r="H3228" s="36">
        <v>14082</v>
      </c>
      <c r="I3228" s="58">
        <v>67400</v>
      </c>
      <c r="J3228">
        <f>IFERROR(VLOOKUP(G3228,'LEAID Match'!$A$2:$B$526,2,FALSE),"")</f>
        <v>2926550</v>
      </c>
      <c r="K3228" s="68">
        <f t="shared" si="101"/>
        <v>8</v>
      </c>
    </row>
    <row r="3229" spans="1:11" x14ac:dyDescent="0.2">
      <c r="A3229">
        <f t="shared" si="100"/>
        <v>2926550</v>
      </c>
      <c r="B3229">
        <v>2018</v>
      </c>
      <c r="C3229" t="s">
        <v>739</v>
      </c>
      <c r="D3229" t="s">
        <v>740</v>
      </c>
      <c r="E3229" t="s">
        <v>743</v>
      </c>
      <c r="F3229" s="34">
        <v>534</v>
      </c>
      <c r="G3229" s="34" t="s">
        <v>493</v>
      </c>
      <c r="H3229" s="36">
        <v>10839</v>
      </c>
      <c r="I3229" s="58">
        <v>72390</v>
      </c>
      <c r="J3229">
        <f>IFERROR(VLOOKUP(G3229,'LEAID Match'!$A$2:$B$526,2,FALSE),"")</f>
        <v>2926550</v>
      </c>
      <c r="K3229" s="68">
        <f t="shared" si="101"/>
        <v>8</v>
      </c>
    </row>
    <row r="3230" spans="1:11" x14ac:dyDescent="0.2">
      <c r="A3230">
        <f t="shared" si="100"/>
        <v>2926550</v>
      </c>
      <c r="B3230">
        <v>2019</v>
      </c>
      <c r="C3230" t="s">
        <v>739</v>
      </c>
      <c r="D3230" t="s">
        <v>740</v>
      </c>
      <c r="E3230" t="s">
        <v>743</v>
      </c>
      <c r="F3230" s="34">
        <v>534</v>
      </c>
      <c r="G3230" s="34" t="s">
        <v>493</v>
      </c>
      <c r="H3230" s="36">
        <v>11385</v>
      </c>
      <c r="I3230" s="58">
        <v>72113</v>
      </c>
      <c r="J3230">
        <f>IFERROR(VLOOKUP(G3230,'LEAID Match'!$A$2:$B$526,2,FALSE),"")</f>
        <v>2926550</v>
      </c>
      <c r="K3230" s="68">
        <f t="shared" si="101"/>
        <v>8</v>
      </c>
    </row>
    <row r="3231" spans="1:11" x14ac:dyDescent="0.2">
      <c r="A3231">
        <f t="shared" si="100"/>
        <v>2926550</v>
      </c>
      <c r="B3231">
        <v>2020</v>
      </c>
      <c r="C3231" t="s">
        <v>739</v>
      </c>
      <c r="D3231" t="s">
        <v>740</v>
      </c>
      <c r="E3231" t="s">
        <v>743</v>
      </c>
      <c r="F3231" s="34">
        <v>534</v>
      </c>
      <c r="G3231" s="34" t="s">
        <v>493</v>
      </c>
      <c r="H3231" s="36">
        <v>10664</v>
      </c>
      <c r="I3231" s="58">
        <v>62634</v>
      </c>
      <c r="J3231">
        <f>IFERROR(VLOOKUP(G3231,'LEAID Match'!$A$2:$B$526,2,FALSE),"")</f>
        <v>2926550</v>
      </c>
      <c r="K3231" s="68">
        <f t="shared" si="101"/>
        <v>8</v>
      </c>
    </row>
    <row r="3232" spans="1:11" x14ac:dyDescent="0.2">
      <c r="A3232">
        <f t="shared" si="100"/>
        <v>2926550</v>
      </c>
      <c r="B3232">
        <v>2021</v>
      </c>
      <c r="C3232" t="s">
        <v>739</v>
      </c>
      <c r="D3232" t="s">
        <v>740</v>
      </c>
      <c r="E3232" t="s">
        <v>743</v>
      </c>
      <c r="F3232" s="34">
        <v>534</v>
      </c>
      <c r="G3232" s="34" t="s">
        <v>493</v>
      </c>
      <c r="H3232" s="36">
        <v>9355</v>
      </c>
      <c r="I3232" s="58">
        <v>67209</v>
      </c>
      <c r="J3232">
        <f>IFERROR(VLOOKUP(G3232,'LEAID Match'!$A$2:$B$526,2,FALSE),"")</f>
        <v>2926550</v>
      </c>
      <c r="K3232" s="68">
        <f t="shared" si="101"/>
        <v>8</v>
      </c>
    </row>
    <row r="3233" spans="1:11" x14ac:dyDescent="0.2">
      <c r="A3233">
        <f t="shared" si="100"/>
        <v>2926550</v>
      </c>
      <c r="B3233">
        <v>2022</v>
      </c>
      <c r="C3233" t="s">
        <v>739</v>
      </c>
      <c r="D3233" t="s">
        <v>740</v>
      </c>
      <c r="E3233" t="s">
        <v>743</v>
      </c>
      <c r="F3233" s="34">
        <v>534</v>
      </c>
      <c r="G3233" s="34" t="s">
        <v>493</v>
      </c>
      <c r="H3233" s="36">
        <v>11021</v>
      </c>
      <c r="I3233" s="58">
        <v>66206</v>
      </c>
      <c r="J3233">
        <f>IFERROR(VLOOKUP(G3233,'LEAID Match'!$A$2:$B$526,2,FALSE),"")</f>
        <v>2926550</v>
      </c>
      <c r="K3233" s="68">
        <f t="shared" si="101"/>
        <v>8</v>
      </c>
    </row>
    <row r="3234" spans="1:11" x14ac:dyDescent="0.2">
      <c r="A3234">
        <f t="shared" si="100"/>
        <v>2926580</v>
      </c>
      <c r="B3234">
        <v>2015</v>
      </c>
      <c r="C3234" t="s">
        <v>739</v>
      </c>
      <c r="D3234" t="s">
        <v>740</v>
      </c>
      <c r="E3234" t="s">
        <v>743</v>
      </c>
      <c r="F3234" s="45">
        <v>535</v>
      </c>
      <c r="G3234" s="50" t="s">
        <v>494</v>
      </c>
      <c r="H3234" s="53">
        <v>25572</v>
      </c>
      <c r="I3234" s="58">
        <v>116357</v>
      </c>
      <c r="J3234">
        <f>IFERROR(VLOOKUP(G3234,'LEAID Match'!$A$2:$B$526,2,FALSE),"")</f>
        <v>2926580</v>
      </c>
      <c r="K3234" s="68">
        <f t="shared" si="101"/>
        <v>8</v>
      </c>
    </row>
    <row r="3235" spans="1:11" x14ac:dyDescent="0.2">
      <c r="A3235">
        <f t="shared" si="100"/>
        <v>2926580</v>
      </c>
      <c r="B3235">
        <v>2016</v>
      </c>
      <c r="C3235" t="s">
        <v>739</v>
      </c>
      <c r="D3235" t="s">
        <v>740</v>
      </c>
      <c r="E3235" t="s">
        <v>743</v>
      </c>
      <c r="F3235" s="34">
        <v>535</v>
      </c>
      <c r="G3235" s="34" t="s">
        <v>494</v>
      </c>
      <c r="H3235" s="36">
        <v>23007</v>
      </c>
      <c r="I3235" s="60">
        <v>119497</v>
      </c>
      <c r="J3235">
        <f>IFERROR(VLOOKUP(G3235,'LEAID Match'!$A$2:$B$526,2,FALSE),"")</f>
        <v>2926580</v>
      </c>
      <c r="K3235" s="68">
        <f t="shared" si="101"/>
        <v>8</v>
      </c>
    </row>
    <row r="3236" spans="1:11" x14ac:dyDescent="0.2">
      <c r="A3236">
        <f t="shared" si="100"/>
        <v>2926580</v>
      </c>
      <c r="B3236">
        <v>2017</v>
      </c>
      <c r="C3236" t="s">
        <v>739</v>
      </c>
      <c r="D3236" t="s">
        <v>740</v>
      </c>
      <c r="E3236" t="s">
        <v>743</v>
      </c>
      <c r="F3236" s="34">
        <v>535</v>
      </c>
      <c r="G3236" s="34" t="s">
        <v>494</v>
      </c>
      <c r="H3236" s="36">
        <v>23462</v>
      </c>
      <c r="I3236" s="58">
        <v>117008</v>
      </c>
      <c r="J3236">
        <f>IFERROR(VLOOKUP(G3236,'LEAID Match'!$A$2:$B$526,2,FALSE),"")</f>
        <v>2926580</v>
      </c>
      <c r="K3236" s="68">
        <f t="shared" si="101"/>
        <v>8</v>
      </c>
    </row>
    <row r="3237" spans="1:11" x14ac:dyDescent="0.2">
      <c r="A3237">
        <f t="shared" si="100"/>
        <v>2926580</v>
      </c>
      <c r="B3237">
        <v>2018</v>
      </c>
      <c r="C3237" t="s">
        <v>739</v>
      </c>
      <c r="D3237" t="s">
        <v>740</v>
      </c>
      <c r="E3237" t="s">
        <v>743</v>
      </c>
      <c r="F3237" s="34">
        <v>535</v>
      </c>
      <c r="G3237" s="34" t="s">
        <v>494</v>
      </c>
      <c r="H3237" s="36">
        <v>23965</v>
      </c>
      <c r="I3237" s="58">
        <v>118976</v>
      </c>
      <c r="J3237">
        <f>IFERROR(VLOOKUP(G3237,'LEAID Match'!$A$2:$B$526,2,FALSE),"")</f>
        <v>2926580</v>
      </c>
      <c r="K3237" s="68">
        <f t="shared" si="101"/>
        <v>8</v>
      </c>
    </row>
    <row r="3238" spans="1:11" x14ac:dyDescent="0.2">
      <c r="A3238">
        <f t="shared" si="100"/>
        <v>2926580</v>
      </c>
      <c r="B3238">
        <v>2019</v>
      </c>
      <c r="C3238" t="s">
        <v>739</v>
      </c>
      <c r="D3238" t="s">
        <v>740</v>
      </c>
      <c r="E3238" t="s">
        <v>743</v>
      </c>
      <c r="F3238" s="34">
        <v>535</v>
      </c>
      <c r="G3238" s="34" t="s">
        <v>494</v>
      </c>
      <c r="H3238" s="36">
        <v>23351</v>
      </c>
      <c r="I3238" s="58">
        <v>96979</v>
      </c>
      <c r="J3238">
        <f>IFERROR(VLOOKUP(G3238,'LEAID Match'!$A$2:$B$526,2,FALSE),"")</f>
        <v>2926580</v>
      </c>
      <c r="K3238" s="68">
        <f t="shared" si="101"/>
        <v>8</v>
      </c>
    </row>
    <row r="3239" spans="1:11" x14ac:dyDescent="0.2">
      <c r="A3239">
        <f t="shared" si="100"/>
        <v>2926580</v>
      </c>
      <c r="B3239">
        <v>2020</v>
      </c>
      <c r="C3239" t="s">
        <v>739</v>
      </c>
      <c r="D3239" t="s">
        <v>740</v>
      </c>
      <c r="E3239" t="s">
        <v>743</v>
      </c>
      <c r="F3239" s="34">
        <v>535</v>
      </c>
      <c r="G3239" s="34" t="s">
        <v>494</v>
      </c>
      <c r="H3239" s="36">
        <v>18820</v>
      </c>
      <c r="I3239" s="58">
        <v>90533</v>
      </c>
      <c r="J3239">
        <f>IFERROR(VLOOKUP(G3239,'LEAID Match'!$A$2:$B$526,2,FALSE),"")</f>
        <v>2926580</v>
      </c>
      <c r="K3239" s="68">
        <f t="shared" si="101"/>
        <v>8</v>
      </c>
    </row>
    <row r="3240" spans="1:11" x14ac:dyDescent="0.2">
      <c r="A3240">
        <f t="shared" si="100"/>
        <v>2926580</v>
      </c>
      <c r="B3240">
        <v>2021</v>
      </c>
      <c r="C3240" t="s">
        <v>739</v>
      </c>
      <c r="D3240" t="s">
        <v>740</v>
      </c>
      <c r="E3240" t="s">
        <v>743</v>
      </c>
      <c r="F3240" s="34">
        <v>535</v>
      </c>
      <c r="G3240" s="34" t="s">
        <v>494</v>
      </c>
      <c r="H3240" s="36">
        <v>19236</v>
      </c>
      <c r="I3240" s="58">
        <v>93964</v>
      </c>
      <c r="J3240">
        <f>IFERROR(VLOOKUP(G3240,'LEAID Match'!$A$2:$B$526,2,FALSE),"")</f>
        <v>2926580</v>
      </c>
      <c r="K3240" s="68">
        <f t="shared" si="101"/>
        <v>8</v>
      </c>
    </row>
    <row r="3241" spans="1:11" x14ac:dyDescent="0.2">
      <c r="A3241">
        <f t="shared" si="100"/>
        <v>2926580</v>
      </c>
      <c r="B3241">
        <v>2022</v>
      </c>
      <c r="C3241" t="s">
        <v>739</v>
      </c>
      <c r="D3241" t="s">
        <v>740</v>
      </c>
      <c r="E3241" t="s">
        <v>743</v>
      </c>
      <c r="F3241" s="34">
        <v>535</v>
      </c>
      <c r="G3241" s="34" t="s">
        <v>494</v>
      </c>
      <c r="H3241" s="36">
        <v>24287</v>
      </c>
      <c r="I3241" s="58">
        <v>104690</v>
      </c>
      <c r="J3241">
        <f>IFERROR(VLOOKUP(G3241,'LEAID Match'!$A$2:$B$526,2,FALSE),"")</f>
        <v>2926580</v>
      </c>
      <c r="K3241" s="68">
        <f t="shared" si="101"/>
        <v>8</v>
      </c>
    </row>
    <row r="3242" spans="1:11" x14ac:dyDescent="0.2">
      <c r="A3242">
        <f t="shared" si="100"/>
        <v>2908370</v>
      </c>
      <c r="B3242">
        <v>2015</v>
      </c>
      <c r="C3242" t="s">
        <v>739</v>
      </c>
      <c r="D3242" t="s">
        <v>740</v>
      </c>
      <c r="E3242" t="s">
        <v>743</v>
      </c>
      <c r="F3242" s="45">
        <v>536</v>
      </c>
      <c r="G3242" s="50" t="s">
        <v>495</v>
      </c>
      <c r="H3242" s="53">
        <v>2407404</v>
      </c>
      <c r="I3242" s="58">
        <v>13911744</v>
      </c>
      <c r="J3242">
        <f>IFERROR(VLOOKUP(G3242,'LEAID Match'!$A$2:$B$526,2,FALSE),"")</f>
        <v>2908370</v>
      </c>
      <c r="K3242" s="68">
        <f t="shared" si="101"/>
        <v>8</v>
      </c>
    </row>
    <row r="3243" spans="1:11" x14ac:dyDescent="0.2">
      <c r="A3243">
        <f t="shared" si="100"/>
        <v>2908370</v>
      </c>
      <c r="B3243">
        <v>2016</v>
      </c>
      <c r="C3243" t="s">
        <v>739</v>
      </c>
      <c r="D3243" t="s">
        <v>740</v>
      </c>
      <c r="E3243" t="s">
        <v>743</v>
      </c>
      <c r="F3243" s="34">
        <v>536</v>
      </c>
      <c r="G3243" s="34" t="s">
        <v>495</v>
      </c>
      <c r="H3243" s="36">
        <v>2437908</v>
      </c>
      <c r="I3243" s="60">
        <v>14291940</v>
      </c>
      <c r="J3243">
        <f>IFERROR(VLOOKUP(G3243,'LEAID Match'!$A$2:$B$526,2,FALSE),"")</f>
        <v>2908370</v>
      </c>
      <c r="K3243" s="68">
        <f t="shared" si="101"/>
        <v>8</v>
      </c>
    </row>
    <row r="3244" spans="1:11" x14ac:dyDescent="0.2">
      <c r="A3244">
        <f t="shared" si="100"/>
        <v>2908370</v>
      </c>
      <c r="B3244">
        <v>2017</v>
      </c>
      <c r="C3244" t="s">
        <v>739</v>
      </c>
      <c r="D3244" t="s">
        <v>740</v>
      </c>
      <c r="E3244" t="s">
        <v>743</v>
      </c>
      <c r="F3244" s="34">
        <v>536</v>
      </c>
      <c r="G3244" s="34" t="s">
        <v>495</v>
      </c>
      <c r="H3244" s="36">
        <v>2575125</v>
      </c>
      <c r="I3244" s="58">
        <v>15225869</v>
      </c>
      <c r="J3244">
        <f>IFERROR(VLOOKUP(G3244,'LEAID Match'!$A$2:$B$526,2,FALSE),"")</f>
        <v>2908370</v>
      </c>
      <c r="K3244" s="68">
        <f t="shared" si="101"/>
        <v>8</v>
      </c>
    </row>
    <row r="3245" spans="1:11" x14ac:dyDescent="0.2">
      <c r="A3245">
        <f t="shared" si="100"/>
        <v>2908370</v>
      </c>
      <c r="B3245">
        <v>2018</v>
      </c>
      <c r="C3245" t="s">
        <v>739</v>
      </c>
      <c r="D3245" t="s">
        <v>740</v>
      </c>
      <c r="E3245" t="s">
        <v>743</v>
      </c>
      <c r="F3245" s="34">
        <v>536</v>
      </c>
      <c r="G3245" s="34" t="s">
        <v>495</v>
      </c>
      <c r="H3245" s="36">
        <v>2895915</v>
      </c>
      <c r="I3245" s="58">
        <v>16522336</v>
      </c>
      <c r="J3245">
        <f>IFERROR(VLOOKUP(G3245,'LEAID Match'!$A$2:$B$526,2,FALSE),"")</f>
        <v>2908370</v>
      </c>
      <c r="K3245" s="68">
        <f t="shared" si="101"/>
        <v>8</v>
      </c>
    </row>
    <row r="3246" spans="1:11" x14ac:dyDescent="0.2">
      <c r="A3246">
        <f t="shared" si="100"/>
        <v>2908370</v>
      </c>
      <c r="B3246">
        <v>2019</v>
      </c>
      <c r="C3246" t="s">
        <v>739</v>
      </c>
      <c r="D3246" t="s">
        <v>740</v>
      </c>
      <c r="E3246" t="s">
        <v>743</v>
      </c>
      <c r="F3246" s="34">
        <v>536</v>
      </c>
      <c r="G3246" s="34" t="s">
        <v>495</v>
      </c>
      <c r="H3246" s="36">
        <v>2933984</v>
      </c>
      <c r="I3246" s="58">
        <v>16841110</v>
      </c>
      <c r="J3246">
        <f>IFERROR(VLOOKUP(G3246,'LEAID Match'!$A$2:$B$526,2,FALSE),"")</f>
        <v>2908370</v>
      </c>
      <c r="K3246" s="68">
        <f t="shared" si="101"/>
        <v>8</v>
      </c>
    </row>
    <row r="3247" spans="1:11" x14ac:dyDescent="0.2">
      <c r="A3247">
        <f t="shared" si="100"/>
        <v>2908370</v>
      </c>
      <c r="B3247">
        <v>2020</v>
      </c>
      <c r="C3247" t="s">
        <v>739</v>
      </c>
      <c r="D3247" t="s">
        <v>740</v>
      </c>
      <c r="E3247" t="s">
        <v>743</v>
      </c>
      <c r="F3247" s="34">
        <v>536</v>
      </c>
      <c r="G3247" s="34" t="s">
        <v>495</v>
      </c>
      <c r="H3247" s="36">
        <v>3070525</v>
      </c>
      <c r="I3247" s="58">
        <v>17048909</v>
      </c>
      <c r="J3247">
        <f>IFERROR(VLOOKUP(G3247,'LEAID Match'!$A$2:$B$526,2,FALSE),"")</f>
        <v>2908370</v>
      </c>
      <c r="K3247" s="68">
        <f t="shared" si="101"/>
        <v>8</v>
      </c>
    </row>
    <row r="3248" spans="1:11" x14ac:dyDescent="0.2">
      <c r="A3248">
        <f t="shared" si="100"/>
        <v>2908370</v>
      </c>
      <c r="B3248">
        <v>2021</v>
      </c>
      <c r="C3248" t="s">
        <v>739</v>
      </c>
      <c r="D3248" t="s">
        <v>740</v>
      </c>
      <c r="E3248" t="s">
        <v>743</v>
      </c>
      <c r="F3248" s="34">
        <v>536</v>
      </c>
      <c r="G3248" s="34" t="s">
        <v>495</v>
      </c>
      <c r="H3248" s="36">
        <v>2987912</v>
      </c>
      <c r="I3248" s="58">
        <v>17268353</v>
      </c>
      <c r="J3248">
        <f>IFERROR(VLOOKUP(G3248,'LEAID Match'!$A$2:$B$526,2,FALSE),"")</f>
        <v>2908370</v>
      </c>
      <c r="K3248" s="68">
        <f t="shared" si="101"/>
        <v>8</v>
      </c>
    </row>
    <row r="3249" spans="1:11" x14ac:dyDescent="0.2">
      <c r="A3249">
        <f t="shared" si="100"/>
        <v>2908370</v>
      </c>
      <c r="B3249">
        <v>2022</v>
      </c>
      <c r="C3249" t="s">
        <v>739</v>
      </c>
      <c r="D3249" t="s">
        <v>740</v>
      </c>
      <c r="E3249" t="s">
        <v>743</v>
      </c>
      <c r="F3249" s="34">
        <v>536</v>
      </c>
      <c r="G3249" s="34" t="s">
        <v>495</v>
      </c>
      <c r="H3249" s="36">
        <v>2977098</v>
      </c>
      <c r="I3249" s="58">
        <v>17237176</v>
      </c>
      <c r="J3249">
        <f>IFERROR(VLOOKUP(G3249,'LEAID Match'!$A$2:$B$526,2,FALSE),"")</f>
        <v>2908370</v>
      </c>
      <c r="K3249" s="68">
        <f t="shared" si="101"/>
        <v>8</v>
      </c>
    </row>
    <row r="3250" spans="1:11" x14ac:dyDescent="0.2">
      <c r="A3250">
        <f t="shared" si="100"/>
        <v>2928950</v>
      </c>
      <c r="B3250">
        <v>2015</v>
      </c>
      <c r="C3250" t="s">
        <v>739</v>
      </c>
      <c r="D3250" t="s">
        <v>740</v>
      </c>
      <c r="E3250" t="s">
        <v>743</v>
      </c>
      <c r="F3250" s="45">
        <v>537</v>
      </c>
      <c r="G3250" s="50" t="s">
        <v>496</v>
      </c>
      <c r="H3250" s="53">
        <v>1822790</v>
      </c>
      <c r="I3250" s="58">
        <v>14971166</v>
      </c>
      <c r="J3250">
        <f>IFERROR(VLOOKUP(G3250,'LEAID Match'!$A$2:$B$526,2,FALSE),"")</f>
        <v>2928950</v>
      </c>
      <c r="K3250" s="68">
        <f t="shared" si="101"/>
        <v>8</v>
      </c>
    </row>
    <row r="3251" spans="1:11" x14ac:dyDescent="0.2">
      <c r="A3251">
        <f t="shared" si="100"/>
        <v>2928950</v>
      </c>
      <c r="B3251">
        <v>2016</v>
      </c>
      <c r="C3251" t="s">
        <v>739</v>
      </c>
      <c r="D3251" t="s">
        <v>740</v>
      </c>
      <c r="E3251" t="s">
        <v>743</v>
      </c>
      <c r="F3251" s="34">
        <v>537</v>
      </c>
      <c r="G3251" s="34" t="s">
        <v>496</v>
      </c>
      <c r="H3251" s="36">
        <v>1818813</v>
      </c>
      <c r="I3251" s="60">
        <v>15218211</v>
      </c>
      <c r="J3251">
        <f>IFERROR(VLOOKUP(G3251,'LEAID Match'!$A$2:$B$526,2,FALSE),"")</f>
        <v>2928950</v>
      </c>
      <c r="K3251" s="68">
        <f t="shared" si="101"/>
        <v>8</v>
      </c>
    </row>
    <row r="3252" spans="1:11" x14ac:dyDescent="0.2">
      <c r="A3252">
        <f t="shared" si="100"/>
        <v>2928950</v>
      </c>
      <c r="B3252">
        <v>2017</v>
      </c>
      <c r="C3252" t="s">
        <v>739</v>
      </c>
      <c r="D3252" t="s">
        <v>740</v>
      </c>
      <c r="E3252" t="s">
        <v>743</v>
      </c>
      <c r="F3252" s="34">
        <v>537</v>
      </c>
      <c r="G3252" s="34" t="s">
        <v>496</v>
      </c>
      <c r="H3252" s="36">
        <v>1803844</v>
      </c>
      <c r="I3252" s="58">
        <v>14924906</v>
      </c>
      <c r="J3252">
        <f>IFERROR(VLOOKUP(G3252,'LEAID Match'!$A$2:$B$526,2,FALSE),"")</f>
        <v>2928950</v>
      </c>
      <c r="K3252" s="68">
        <f t="shared" si="101"/>
        <v>8</v>
      </c>
    </row>
    <row r="3253" spans="1:11" x14ac:dyDescent="0.2">
      <c r="A3253">
        <f t="shared" si="100"/>
        <v>2928950</v>
      </c>
      <c r="B3253">
        <v>2018</v>
      </c>
      <c r="C3253" t="s">
        <v>739</v>
      </c>
      <c r="D3253" t="s">
        <v>740</v>
      </c>
      <c r="E3253" t="s">
        <v>743</v>
      </c>
      <c r="F3253" s="34">
        <v>537</v>
      </c>
      <c r="G3253" s="34" t="s">
        <v>496</v>
      </c>
      <c r="H3253" s="36">
        <v>1857051</v>
      </c>
      <c r="I3253" s="58">
        <v>14876448</v>
      </c>
      <c r="J3253">
        <f>IFERROR(VLOOKUP(G3253,'LEAID Match'!$A$2:$B$526,2,FALSE),"")</f>
        <v>2928950</v>
      </c>
      <c r="K3253" s="68">
        <f t="shared" si="101"/>
        <v>8</v>
      </c>
    </row>
    <row r="3254" spans="1:11" x14ac:dyDescent="0.2">
      <c r="A3254">
        <f t="shared" si="100"/>
        <v>2928950</v>
      </c>
      <c r="B3254">
        <v>2019</v>
      </c>
      <c r="C3254" t="s">
        <v>739</v>
      </c>
      <c r="D3254" t="s">
        <v>740</v>
      </c>
      <c r="E3254" t="s">
        <v>743</v>
      </c>
      <c r="F3254" s="34">
        <v>537</v>
      </c>
      <c r="G3254" s="34" t="s">
        <v>496</v>
      </c>
      <c r="H3254" s="36">
        <v>1987656</v>
      </c>
      <c r="I3254" s="58">
        <v>15228281</v>
      </c>
      <c r="J3254">
        <f>IFERROR(VLOOKUP(G3254,'LEAID Match'!$A$2:$B$526,2,FALSE),"")</f>
        <v>2928950</v>
      </c>
      <c r="K3254" s="68">
        <f t="shared" si="101"/>
        <v>8</v>
      </c>
    </row>
    <row r="3255" spans="1:11" x14ac:dyDescent="0.2">
      <c r="A3255">
        <f t="shared" si="100"/>
        <v>2928950</v>
      </c>
      <c r="B3255">
        <v>2020</v>
      </c>
      <c r="C3255" t="s">
        <v>739</v>
      </c>
      <c r="D3255" t="s">
        <v>740</v>
      </c>
      <c r="E3255" t="s">
        <v>743</v>
      </c>
      <c r="F3255" s="34">
        <v>537</v>
      </c>
      <c r="G3255" s="34" t="s">
        <v>496</v>
      </c>
      <c r="H3255" s="36">
        <v>2613603</v>
      </c>
      <c r="I3255" s="58">
        <v>15598953</v>
      </c>
      <c r="J3255">
        <f>IFERROR(VLOOKUP(G3255,'LEAID Match'!$A$2:$B$526,2,FALSE),"")</f>
        <v>2928950</v>
      </c>
      <c r="K3255" s="68">
        <f t="shared" si="101"/>
        <v>8</v>
      </c>
    </row>
    <row r="3256" spans="1:11" x14ac:dyDescent="0.2">
      <c r="A3256">
        <f t="shared" si="100"/>
        <v>2928950</v>
      </c>
      <c r="B3256">
        <v>2021</v>
      </c>
      <c r="C3256" t="s">
        <v>739</v>
      </c>
      <c r="D3256" t="s">
        <v>740</v>
      </c>
      <c r="E3256" t="s">
        <v>743</v>
      </c>
      <c r="F3256" s="34">
        <v>537</v>
      </c>
      <c r="G3256" s="34" t="s">
        <v>496</v>
      </c>
      <c r="H3256" s="36">
        <v>2643095</v>
      </c>
      <c r="I3256" s="58">
        <v>15877368</v>
      </c>
      <c r="J3256">
        <f>IFERROR(VLOOKUP(G3256,'LEAID Match'!$A$2:$B$526,2,FALSE),"")</f>
        <v>2928950</v>
      </c>
      <c r="K3256" s="68">
        <f t="shared" si="101"/>
        <v>8</v>
      </c>
    </row>
    <row r="3257" spans="1:11" x14ac:dyDescent="0.2">
      <c r="A3257">
        <f t="shared" si="100"/>
        <v>2928950</v>
      </c>
      <c r="B3257">
        <v>2022</v>
      </c>
      <c r="C3257" t="s">
        <v>739</v>
      </c>
      <c r="D3257" t="s">
        <v>740</v>
      </c>
      <c r="E3257" t="s">
        <v>743</v>
      </c>
      <c r="F3257" s="34">
        <v>537</v>
      </c>
      <c r="G3257" s="34" t="s">
        <v>496</v>
      </c>
      <c r="H3257" s="36">
        <v>2608199</v>
      </c>
      <c r="I3257" s="58">
        <v>15419631</v>
      </c>
      <c r="J3257">
        <f>IFERROR(VLOOKUP(G3257,'LEAID Match'!$A$2:$B$526,2,FALSE),"")</f>
        <v>2928950</v>
      </c>
      <c r="K3257" s="68">
        <f t="shared" si="101"/>
        <v>8</v>
      </c>
    </row>
    <row r="3258" spans="1:11" x14ac:dyDescent="0.2">
      <c r="A3258">
        <f t="shared" si="100"/>
        <v>2931650</v>
      </c>
      <c r="B3258">
        <v>2015</v>
      </c>
      <c r="C3258" t="s">
        <v>739</v>
      </c>
      <c r="D3258" t="s">
        <v>740</v>
      </c>
      <c r="E3258" t="s">
        <v>743</v>
      </c>
      <c r="F3258" s="45">
        <v>538</v>
      </c>
      <c r="G3258" s="50" t="s">
        <v>497</v>
      </c>
      <c r="H3258" s="53">
        <v>1771618</v>
      </c>
      <c r="I3258" s="58">
        <v>10469563</v>
      </c>
      <c r="J3258">
        <f>IFERROR(VLOOKUP(G3258,'LEAID Match'!$A$2:$B$526,2,FALSE),"")</f>
        <v>2931650</v>
      </c>
      <c r="K3258" s="68">
        <f t="shared" si="101"/>
        <v>8</v>
      </c>
    </row>
    <row r="3259" spans="1:11" x14ac:dyDescent="0.2">
      <c r="A3259">
        <f t="shared" si="100"/>
        <v>2931650</v>
      </c>
      <c r="B3259">
        <v>2016</v>
      </c>
      <c r="C3259" t="s">
        <v>739</v>
      </c>
      <c r="D3259" t="s">
        <v>740</v>
      </c>
      <c r="E3259" t="s">
        <v>743</v>
      </c>
      <c r="F3259" s="34">
        <v>538</v>
      </c>
      <c r="G3259" s="34" t="s">
        <v>497</v>
      </c>
      <c r="H3259" s="36">
        <v>1854212</v>
      </c>
      <c r="I3259" s="60">
        <v>11049586</v>
      </c>
      <c r="J3259">
        <f>IFERROR(VLOOKUP(G3259,'LEAID Match'!$A$2:$B$526,2,FALSE),"")</f>
        <v>2931650</v>
      </c>
      <c r="K3259" s="68">
        <f t="shared" si="101"/>
        <v>8</v>
      </c>
    </row>
    <row r="3260" spans="1:11" x14ac:dyDescent="0.2">
      <c r="A3260">
        <f t="shared" si="100"/>
        <v>2931650</v>
      </c>
      <c r="B3260">
        <v>2017</v>
      </c>
      <c r="C3260" t="s">
        <v>739</v>
      </c>
      <c r="D3260" t="s">
        <v>740</v>
      </c>
      <c r="E3260" t="s">
        <v>743</v>
      </c>
      <c r="F3260" s="34">
        <v>538</v>
      </c>
      <c r="G3260" s="34" t="s">
        <v>497</v>
      </c>
      <c r="H3260" s="36">
        <v>2068919</v>
      </c>
      <c r="I3260" s="58">
        <v>11839686</v>
      </c>
      <c r="J3260">
        <f>IFERROR(VLOOKUP(G3260,'LEAID Match'!$A$2:$B$526,2,FALSE),"")</f>
        <v>2931650</v>
      </c>
      <c r="K3260" s="68">
        <f t="shared" si="101"/>
        <v>8</v>
      </c>
    </row>
    <row r="3261" spans="1:11" x14ac:dyDescent="0.2">
      <c r="A3261">
        <f t="shared" si="100"/>
        <v>2931650</v>
      </c>
      <c r="B3261">
        <v>2018</v>
      </c>
      <c r="C3261" t="s">
        <v>739</v>
      </c>
      <c r="D3261" t="s">
        <v>740</v>
      </c>
      <c r="E3261" t="s">
        <v>743</v>
      </c>
      <c r="F3261" s="34">
        <v>538</v>
      </c>
      <c r="G3261" s="34" t="s">
        <v>497</v>
      </c>
      <c r="H3261" s="36">
        <v>2272098</v>
      </c>
      <c r="I3261" s="58">
        <v>12765731</v>
      </c>
      <c r="J3261">
        <f>IFERROR(VLOOKUP(G3261,'LEAID Match'!$A$2:$B$526,2,FALSE),"")</f>
        <v>2931650</v>
      </c>
      <c r="K3261" s="68">
        <f t="shared" si="101"/>
        <v>8</v>
      </c>
    </row>
    <row r="3262" spans="1:11" x14ac:dyDescent="0.2">
      <c r="A3262">
        <f t="shared" si="100"/>
        <v>2931650</v>
      </c>
      <c r="B3262">
        <v>2019</v>
      </c>
      <c r="C3262" t="s">
        <v>739</v>
      </c>
      <c r="D3262" t="s">
        <v>740</v>
      </c>
      <c r="E3262" t="s">
        <v>743</v>
      </c>
      <c r="F3262" s="34">
        <v>538</v>
      </c>
      <c r="G3262" s="34" t="s">
        <v>497</v>
      </c>
      <c r="H3262" s="36">
        <v>2477489</v>
      </c>
      <c r="I3262" s="58">
        <v>13717148</v>
      </c>
      <c r="J3262">
        <f>IFERROR(VLOOKUP(G3262,'LEAID Match'!$A$2:$B$526,2,FALSE),"")</f>
        <v>2931650</v>
      </c>
      <c r="K3262" s="68">
        <f t="shared" si="101"/>
        <v>8</v>
      </c>
    </row>
    <row r="3263" spans="1:11" x14ac:dyDescent="0.2">
      <c r="A3263">
        <f t="shared" si="100"/>
        <v>2931650</v>
      </c>
      <c r="B3263">
        <v>2020</v>
      </c>
      <c r="C3263" t="s">
        <v>739</v>
      </c>
      <c r="D3263" t="s">
        <v>740</v>
      </c>
      <c r="E3263" t="s">
        <v>743</v>
      </c>
      <c r="F3263" s="34">
        <v>538</v>
      </c>
      <c r="G3263" s="34" t="s">
        <v>497</v>
      </c>
      <c r="H3263" s="36">
        <v>2580547</v>
      </c>
      <c r="I3263" s="58">
        <v>14522887</v>
      </c>
      <c r="J3263">
        <f>IFERROR(VLOOKUP(G3263,'LEAID Match'!$A$2:$B$526,2,FALSE),"")</f>
        <v>2931650</v>
      </c>
      <c r="K3263" s="68">
        <f t="shared" si="101"/>
        <v>8</v>
      </c>
    </row>
    <row r="3264" spans="1:11" x14ac:dyDescent="0.2">
      <c r="A3264">
        <f t="shared" si="100"/>
        <v>2931650</v>
      </c>
      <c r="B3264">
        <v>2021</v>
      </c>
      <c r="C3264" t="s">
        <v>739</v>
      </c>
      <c r="D3264" t="s">
        <v>740</v>
      </c>
      <c r="E3264" t="s">
        <v>743</v>
      </c>
      <c r="F3264" s="34">
        <v>538</v>
      </c>
      <c r="G3264" s="34" t="s">
        <v>497</v>
      </c>
      <c r="H3264" s="36">
        <v>2681972</v>
      </c>
      <c r="I3264" s="58">
        <v>15856288</v>
      </c>
      <c r="J3264">
        <f>IFERROR(VLOOKUP(G3264,'LEAID Match'!$A$2:$B$526,2,FALSE),"")</f>
        <v>2931650</v>
      </c>
      <c r="K3264" s="68">
        <f t="shared" si="101"/>
        <v>8</v>
      </c>
    </row>
    <row r="3265" spans="1:11" x14ac:dyDescent="0.2">
      <c r="A3265">
        <f t="shared" si="100"/>
        <v>2931650</v>
      </c>
      <c r="B3265">
        <v>2022</v>
      </c>
      <c r="C3265" t="s">
        <v>739</v>
      </c>
      <c r="D3265" t="s">
        <v>740</v>
      </c>
      <c r="E3265" t="s">
        <v>743</v>
      </c>
      <c r="F3265" s="34">
        <v>538</v>
      </c>
      <c r="G3265" s="34" t="s">
        <v>497</v>
      </c>
      <c r="H3265" s="36">
        <v>2848695</v>
      </c>
      <c r="I3265" s="58">
        <v>16182235</v>
      </c>
      <c r="J3265">
        <f>IFERROR(VLOOKUP(G3265,'LEAID Match'!$A$2:$B$526,2,FALSE),"")</f>
        <v>2931650</v>
      </c>
      <c r="K3265" s="68">
        <f t="shared" si="101"/>
        <v>8</v>
      </c>
    </row>
    <row r="3266" spans="1:11" x14ac:dyDescent="0.2">
      <c r="A3266">
        <f t="shared" si="100"/>
        <v>2923160</v>
      </c>
      <c r="B3266">
        <v>2015</v>
      </c>
      <c r="C3266" t="s">
        <v>739</v>
      </c>
      <c r="D3266" t="s">
        <v>740</v>
      </c>
      <c r="E3266" t="s">
        <v>743</v>
      </c>
      <c r="F3266" s="45">
        <v>539</v>
      </c>
      <c r="G3266" s="50" t="s">
        <v>498</v>
      </c>
      <c r="H3266" s="53">
        <v>257369</v>
      </c>
      <c r="I3266" s="58">
        <v>1387203</v>
      </c>
      <c r="J3266">
        <f>IFERROR(VLOOKUP(G3266,'LEAID Match'!$A$2:$B$526,2,FALSE),"")</f>
        <v>2923160</v>
      </c>
      <c r="K3266" s="68">
        <f t="shared" si="101"/>
        <v>8</v>
      </c>
    </row>
    <row r="3267" spans="1:11" x14ac:dyDescent="0.2">
      <c r="A3267">
        <f t="shared" ref="A3267:A3330" si="102">J3267</f>
        <v>2923160</v>
      </c>
      <c r="B3267">
        <v>2016</v>
      </c>
      <c r="C3267" t="s">
        <v>739</v>
      </c>
      <c r="D3267" t="s">
        <v>740</v>
      </c>
      <c r="E3267" t="s">
        <v>743</v>
      </c>
      <c r="F3267" s="34">
        <v>539</v>
      </c>
      <c r="G3267" s="34" t="s">
        <v>498</v>
      </c>
      <c r="H3267" s="36">
        <v>277974</v>
      </c>
      <c r="I3267" s="60">
        <v>1446582</v>
      </c>
      <c r="J3267">
        <f>IFERROR(VLOOKUP(G3267,'LEAID Match'!$A$2:$B$526,2,FALSE),"")</f>
        <v>2923160</v>
      </c>
      <c r="K3267" s="68">
        <f t="shared" ref="K3267:K3330" si="103">COUNTIF($J$2:$J$4295,J3267)</f>
        <v>8</v>
      </c>
    </row>
    <row r="3268" spans="1:11" x14ac:dyDescent="0.2">
      <c r="A3268">
        <f t="shared" si="102"/>
        <v>2923160</v>
      </c>
      <c r="B3268">
        <v>2017</v>
      </c>
      <c r="C3268" t="s">
        <v>739</v>
      </c>
      <c r="D3268" t="s">
        <v>740</v>
      </c>
      <c r="E3268" t="s">
        <v>743</v>
      </c>
      <c r="F3268" s="34">
        <v>539</v>
      </c>
      <c r="G3268" s="34" t="s">
        <v>498</v>
      </c>
      <c r="H3268" s="36">
        <v>352772</v>
      </c>
      <c r="I3268" s="58">
        <v>1578542</v>
      </c>
      <c r="J3268">
        <f>IFERROR(VLOOKUP(G3268,'LEAID Match'!$A$2:$B$526,2,FALSE),"")</f>
        <v>2923160</v>
      </c>
      <c r="K3268" s="68">
        <f t="shared" si="103"/>
        <v>8</v>
      </c>
    </row>
    <row r="3269" spans="1:11" x14ac:dyDescent="0.2">
      <c r="A3269">
        <f t="shared" si="102"/>
        <v>2923160</v>
      </c>
      <c r="B3269">
        <v>2018</v>
      </c>
      <c r="C3269" t="s">
        <v>739</v>
      </c>
      <c r="D3269" t="s">
        <v>740</v>
      </c>
      <c r="E3269" t="s">
        <v>743</v>
      </c>
      <c r="F3269" s="34">
        <v>539</v>
      </c>
      <c r="G3269" s="34" t="s">
        <v>498</v>
      </c>
      <c r="H3269" s="36">
        <v>385972</v>
      </c>
      <c r="I3269" s="58">
        <v>1727809</v>
      </c>
      <c r="J3269">
        <f>IFERROR(VLOOKUP(G3269,'LEAID Match'!$A$2:$B$526,2,FALSE),"")</f>
        <v>2923160</v>
      </c>
      <c r="K3269" s="68">
        <f t="shared" si="103"/>
        <v>8</v>
      </c>
    </row>
    <row r="3270" spans="1:11" x14ac:dyDescent="0.2">
      <c r="A3270">
        <f t="shared" si="102"/>
        <v>2923160</v>
      </c>
      <c r="B3270">
        <v>2019</v>
      </c>
      <c r="C3270" t="s">
        <v>739</v>
      </c>
      <c r="D3270" t="s">
        <v>740</v>
      </c>
      <c r="E3270" t="s">
        <v>743</v>
      </c>
      <c r="F3270" s="34">
        <v>539</v>
      </c>
      <c r="G3270" s="34" t="s">
        <v>498</v>
      </c>
      <c r="H3270" s="36">
        <v>393592</v>
      </c>
      <c r="I3270" s="58">
        <v>1858917</v>
      </c>
      <c r="J3270">
        <f>IFERROR(VLOOKUP(G3270,'LEAID Match'!$A$2:$B$526,2,FALSE),"")</f>
        <v>2923160</v>
      </c>
      <c r="K3270" s="68">
        <f t="shared" si="103"/>
        <v>8</v>
      </c>
    </row>
    <row r="3271" spans="1:11" x14ac:dyDescent="0.2">
      <c r="A3271">
        <f t="shared" si="102"/>
        <v>2923160</v>
      </c>
      <c r="B3271">
        <v>2020</v>
      </c>
      <c r="C3271" t="s">
        <v>739</v>
      </c>
      <c r="D3271" t="s">
        <v>740</v>
      </c>
      <c r="E3271" t="s">
        <v>743</v>
      </c>
      <c r="F3271" s="34">
        <v>539</v>
      </c>
      <c r="G3271" s="34" t="s">
        <v>498</v>
      </c>
      <c r="H3271" s="36">
        <v>427685</v>
      </c>
      <c r="I3271" s="58">
        <v>1973752</v>
      </c>
      <c r="J3271">
        <f>IFERROR(VLOOKUP(G3271,'LEAID Match'!$A$2:$B$526,2,FALSE),"")</f>
        <v>2923160</v>
      </c>
      <c r="K3271" s="68">
        <f t="shared" si="103"/>
        <v>8</v>
      </c>
    </row>
    <row r="3272" spans="1:11" x14ac:dyDescent="0.2">
      <c r="A3272">
        <f t="shared" si="102"/>
        <v>2923160</v>
      </c>
      <c r="B3272">
        <v>2021</v>
      </c>
      <c r="C3272" t="s">
        <v>739</v>
      </c>
      <c r="D3272" t="s">
        <v>740</v>
      </c>
      <c r="E3272" t="s">
        <v>743</v>
      </c>
      <c r="F3272" s="34">
        <v>539</v>
      </c>
      <c r="G3272" s="34" t="s">
        <v>498</v>
      </c>
      <c r="H3272" s="36">
        <v>432933</v>
      </c>
      <c r="I3272" s="58">
        <v>2073520</v>
      </c>
      <c r="J3272">
        <f>IFERROR(VLOOKUP(G3272,'LEAID Match'!$A$2:$B$526,2,FALSE),"")</f>
        <v>2923160</v>
      </c>
      <c r="K3272" s="68">
        <f t="shared" si="103"/>
        <v>8</v>
      </c>
    </row>
    <row r="3273" spans="1:11" x14ac:dyDescent="0.2">
      <c r="A3273">
        <f t="shared" si="102"/>
        <v>2923160</v>
      </c>
      <c r="B3273">
        <v>2022</v>
      </c>
      <c r="C3273" t="s">
        <v>739</v>
      </c>
      <c r="D3273" t="s">
        <v>740</v>
      </c>
      <c r="E3273" t="s">
        <v>743</v>
      </c>
      <c r="F3273" s="34">
        <v>539</v>
      </c>
      <c r="G3273" s="34" t="s">
        <v>498</v>
      </c>
      <c r="H3273" s="36">
        <v>471282</v>
      </c>
      <c r="I3273" s="58">
        <v>2150614</v>
      </c>
      <c r="J3273">
        <f>IFERROR(VLOOKUP(G3273,'LEAID Match'!$A$2:$B$526,2,FALSE),"")</f>
        <v>2923160</v>
      </c>
      <c r="K3273" s="68">
        <f t="shared" si="103"/>
        <v>8</v>
      </c>
    </row>
    <row r="3274" spans="1:11" x14ac:dyDescent="0.2">
      <c r="A3274">
        <f t="shared" si="102"/>
        <v>2928920</v>
      </c>
      <c r="B3274">
        <v>2015</v>
      </c>
      <c r="C3274" t="s">
        <v>739</v>
      </c>
      <c r="D3274" t="s">
        <v>740</v>
      </c>
      <c r="E3274" t="s">
        <v>743</v>
      </c>
      <c r="F3274" s="45">
        <v>540</v>
      </c>
      <c r="G3274" s="50" t="s">
        <v>499</v>
      </c>
      <c r="H3274" s="53">
        <v>682749</v>
      </c>
      <c r="I3274" s="58">
        <v>4648195</v>
      </c>
      <c r="J3274">
        <f>IFERROR(VLOOKUP(G3274,'LEAID Match'!$A$2:$B$526,2,FALSE),"")</f>
        <v>2928920</v>
      </c>
      <c r="K3274" s="68">
        <f t="shared" si="103"/>
        <v>8</v>
      </c>
    </row>
    <row r="3275" spans="1:11" x14ac:dyDescent="0.2">
      <c r="A3275">
        <f t="shared" si="102"/>
        <v>2928920</v>
      </c>
      <c r="B3275">
        <v>2016</v>
      </c>
      <c r="C3275" t="s">
        <v>739</v>
      </c>
      <c r="D3275" t="s">
        <v>740</v>
      </c>
      <c r="E3275" t="s">
        <v>743</v>
      </c>
      <c r="F3275" s="34">
        <v>540</v>
      </c>
      <c r="G3275" s="34" t="s">
        <v>499</v>
      </c>
      <c r="H3275" s="36">
        <v>717496</v>
      </c>
      <c r="I3275" s="60">
        <v>4915631</v>
      </c>
      <c r="J3275">
        <f>IFERROR(VLOOKUP(G3275,'LEAID Match'!$A$2:$B$526,2,FALSE),"")</f>
        <v>2928920</v>
      </c>
      <c r="K3275" s="68">
        <f t="shared" si="103"/>
        <v>8</v>
      </c>
    </row>
    <row r="3276" spans="1:11" x14ac:dyDescent="0.2">
      <c r="A3276">
        <f t="shared" si="102"/>
        <v>2928920</v>
      </c>
      <c r="B3276">
        <v>2017</v>
      </c>
      <c r="C3276" t="s">
        <v>739</v>
      </c>
      <c r="D3276" t="s">
        <v>740</v>
      </c>
      <c r="E3276" t="s">
        <v>743</v>
      </c>
      <c r="F3276" s="34">
        <v>540</v>
      </c>
      <c r="G3276" s="34" t="s">
        <v>499</v>
      </c>
      <c r="H3276" s="36">
        <v>767047</v>
      </c>
      <c r="I3276" s="58">
        <v>5130592</v>
      </c>
      <c r="J3276">
        <f>IFERROR(VLOOKUP(G3276,'LEAID Match'!$A$2:$B$526,2,FALSE),"")</f>
        <v>2928920</v>
      </c>
      <c r="K3276" s="68">
        <f t="shared" si="103"/>
        <v>8</v>
      </c>
    </row>
    <row r="3277" spans="1:11" x14ac:dyDescent="0.2">
      <c r="A3277">
        <f t="shared" si="102"/>
        <v>2928920</v>
      </c>
      <c r="B3277">
        <v>2018</v>
      </c>
      <c r="C3277" t="s">
        <v>739</v>
      </c>
      <c r="D3277" t="s">
        <v>740</v>
      </c>
      <c r="E3277" t="s">
        <v>743</v>
      </c>
      <c r="F3277" s="34">
        <v>540</v>
      </c>
      <c r="G3277" s="34" t="s">
        <v>499</v>
      </c>
      <c r="H3277" s="36">
        <v>792754</v>
      </c>
      <c r="I3277" s="58">
        <v>5409648</v>
      </c>
      <c r="J3277">
        <f>IFERROR(VLOOKUP(G3277,'LEAID Match'!$A$2:$B$526,2,FALSE),"")</f>
        <v>2928920</v>
      </c>
      <c r="K3277" s="68">
        <f t="shared" si="103"/>
        <v>8</v>
      </c>
    </row>
    <row r="3278" spans="1:11" x14ac:dyDescent="0.2">
      <c r="A3278">
        <f t="shared" si="102"/>
        <v>2928920</v>
      </c>
      <c r="B3278">
        <v>2019</v>
      </c>
      <c r="C3278" t="s">
        <v>739</v>
      </c>
      <c r="D3278" t="s">
        <v>740</v>
      </c>
      <c r="E3278" t="s">
        <v>743</v>
      </c>
      <c r="F3278" s="34">
        <v>540</v>
      </c>
      <c r="G3278" s="34" t="s">
        <v>499</v>
      </c>
      <c r="H3278" s="36">
        <v>851703</v>
      </c>
      <c r="I3278" s="58">
        <v>5596916</v>
      </c>
      <c r="J3278">
        <f>IFERROR(VLOOKUP(G3278,'LEAID Match'!$A$2:$B$526,2,FALSE),"")</f>
        <v>2928920</v>
      </c>
      <c r="K3278" s="68">
        <f t="shared" si="103"/>
        <v>8</v>
      </c>
    </row>
    <row r="3279" spans="1:11" x14ac:dyDescent="0.2">
      <c r="A3279">
        <f t="shared" si="102"/>
        <v>2928920</v>
      </c>
      <c r="B3279">
        <v>2020</v>
      </c>
      <c r="C3279" t="s">
        <v>739</v>
      </c>
      <c r="D3279" t="s">
        <v>740</v>
      </c>
      <c r="E3279" t="s">
        <v>743</v>
      </c>
      <c r="F3279" s="34">
        <v>540</v>
      </c>
      <c r="G3279" s="34" t="s">
        <v>499</v>
      </c>
      <c r="H3279" s="36">
        <v>854413</v>
      </c>
      <c r="I3279" s="58">
        <v>5751677</v>
      </c>
      <c r="J3279">
        <f>IFERROR(VLOOKUP(G3279,'LEAID Match'!$A$2:$B$526,2,FALSE),"")</f>
        <v>2928920</v>
      </c>
      <c r="K3279" s="68">
        <f t="shared" si="103"/>
        <v>8</v>
      </c>
    </row>
    <row r="3280" spans="1:11" x14ac:dyDescent="0.2">
      <c r="A3280">
        <f t="shared" si="102"/>
        <v>2928920</v>
      </c>
      <c r="B3280">
        <v>2021</v>
      </c>
      <c r="C3280" t="s">
        <v>739</v>
      </c>
      <c r="D3280" t="s">
        <v>740</v>
      </c>
      <c r="E3280" t="s">
        <v>743</v>
      </c>
      <c r="F3280" s="34">
        <v>540</v>
      </c>
      <c r="G3280" s="34" t="s">
        <v>499</v>
      </c>
      <c r="H3280" s="36">
        <v>878969</v>
      </c>
      <c r="I3280" s="58">
        <v>5812979</v>
      </c>
      <c r="J3280">
        <f>IFERROR(VLOOKUP(G3280,'LEAID Match'!$A$2:$B$526,2,FALSE),"")</f>
        <v>2928920</v>
      </c>
      <c r="K3280" s="68">
        <f t="shared" si="103"/>
        <v>8</v>
      </c>
    </row>
    <row r="3281" spans="1:11" x14ac:dyDescent="0.2">
      <c r="A3281">
        <f t="shared" si="102"/>
        <v>2928920</v>
      </c>
      <c r="B3281">
        <v>2022</v>
      </c>
      <c r="C3281" t="s">
        <v>739</v>
      </c>
      <c r="D3281" t="s">
        <v>740</v>
      </c>
      <c r="E3281" t="s">
        <v>743</v>
      </c>
      <c r="F3281" s="34">
        <v>540</v>
      </c>
      <c r="G3281" s="34" t="s">
        <v>499</v>
      </c>
      <c r="H3281" s="36">
        <v>953442</v>
      </c>
      <c r="I3281" s="58">
        <v>6134523</v>
      </c>
      <c r="J3281">
        <f>IFERROR(VLOOKUP(G3281,'LEAID Match'!$A$2:$B$526,2,FALSE),"")</f>
        <v>2928920</v>
      </c>
      <c r="K3281" s="68">
        <f t="shared" si="103"/>
        <v>8</v>
      </c>
    </row>
    <row r="3282" spans="1:11" x14ac:dyDescent="0.2">
      <c r="A3282">
        <f t="shared" si="102"/>
        <v>2903120</v>
      </c>
      <c r="B3282">
        <v>2015</v>
      </c>
      <c r="C3282" t="s">
        <v>739</v>
      </c>
      <c r="D3282" t="s">
        <v>740</v>
      </c>
      <c r="E3282" t="s">
        <v>743</v>
      </c>
      <c r="F3282" s="45">
        <v>541</v>
      </c>
      <c r="G3282" s="50" t="s">
        <v>500</v>
      </c>
      <c r="H3282" s="53">
        <v>35155</v>
      </c>
      <c r="I3282" s="58">
        <v>225690</v>
      </c>
      <c r="J3282">
        <f>IFERROR(VLOOKUP(G3282,'LEAID Match'!$A$2:$B$526,2,FALSE),"")</f>
        <v>2903120</v>
      </c>
      <c r="K3282" s="68">
        <f t="shared" si="103"/>
        <v>8</v>
      </c>
    </row>
    <row r="3283" spans="1:11" x14ac:dyDescent="0.2">
      <c r="A3283">
        <f t="shared" si="102"/>
        <v>2903120</v>
      </c>
      <c r="B3283">
        <v>2016</v>
      </c>
      <c r="C3283" t="s">
        <v>739</v>
      </c>
      <c r="D3283" t="s">
        <v>740</v>
      </c>
      <c r="E3283" t="s">
        <v>743</v>
      </c>
      <c r="F3283" s="34">
        <v>541</v>
      </c>
      <c r="G3283" s="34" t="s">
        <v>500</v>
      </c>
      <c r="H3283" s="36">
        <v>34987</v>
      </c>
      <c r="I3283" s="60">
        <v>231686</v>
      </c>
      <c r="J3283">
        <f>IFERROR(VLOOKUP(G3283,'LEAID Match'!$A$2:$B$526,2,FALSE),"")</f>
        <v>2903120</v>
      </c>
      <c r="K3283" s="68">
        <f t="shared" si="103"/>
        <v>8</v>
      </c>
    </row>
    <row r="3284" spans="1:11" x14ac:dyDescent="0.2">
      <c r="A3284">
        <f t="shared" si="102"/>
        <v>2903120</v>
      </c>
      <c r="B3284">
        <v>2017</v>
      </c>
      <c r="C3284" t="s">
        <v>739</v>
      </c>
      <c r="D3284" t="s">
        <v>740</v>
      </c>
      <c r="E3284" t="s">
        <v>743</v>
      </c>
      <c r="F3284" s="34">
        <v>541</v>
      </c>
      <c r="G3284" s="34" t="s">
        <v>500</v>
      </c>
      <c r="H3284" s="36">
        <v>32635</v>
      </c>
      <c r="I3284" s="58">
        <v>262741</v>
      </c>
      <c r="J3284">
        <f>IFERROR(VLOOKUP(G3284,'LEAID Match'!$A$2:$B$526,2,FALSE),"")</f>
        <v>2903120</v>
      </c>
      <c r="K3284" s="68">
        <f t="shared" si="103"/>
        <v>8</v>
      </c>
    </row>
    <row r="3285" spans="1:11" x14ac:dyDescent="0.2">
      <c r="A3285">
        <f t="shared" si="102"/>
        <v>2903120</v>
      </c>
      <c r="B3285">
        <v>2018</v>
      </c>
      <c r="C3285" t="s">
        <v>739</v>
      </c>
      <c r="D3285" t="s">
        <v>740</v>
      </c>
      <c r="E3285" t="s">
        <v>743</v>
      </c>
      <c r="F3285" s="34">
        <v>541</v>
      </c>
      <c r="G3285" s="34" t="s">
        <v>500</v>
      </c>
      <c r="H3285" s="36">
        <v>32647</v>
      </c>
      <c r="I3285" s="58">
        <v>248007</v>
      </c>
      <c r="J3285">
        <f>IFERROR(VLOOKUP(G3285,'LEAID Match'!$A$2:$B$526,2,FALSE),"")</f>
        <v>2903120</v>
      </c>
      <c r="K3285" s="68">
        <f t="shared" si="103"/>
        <v>8</v>
      </c>
    </row>
    <row r="3286" spans="1:11" x14ac:dyDescent="0.2">
      <c r="A3286">
        <f t="shared" si="102"/>
        <v>2903120</v>
      </c>
      <c r="B3286">
        <v>2019</v>
      </c>
      <c r="C3286" t="s">
        <v>739</v>
      </c>
      <c r="D3286" t="s">
        <v>740</v>
      </c>
      <c r="E3286" t="s">
        <v>743</v>
      </c>
      <c r="F3286" s="34">
        <v>541</v>
      </c>
      <c r="G3286" s="34" t="s">
        <v>500</v>
      </c>
      <c r="H3286" s="36">
        <v>34129</v>
      </c>
      <c r="I3286" s="58">
        <v>244519</v>
      </c>
      <c r="J3286">
        <f>IFERROR(VLOOKUP(G3286,'LEAID Match'!$A$2:$B$526,2,FALSE),"")</f>
        <v>2903120</v>
      </c>
      <c r="K3286" s="68">
        <f t="shared" si="103"/>
        <v>8</v>
      </c>
    </row>
    <row r="3287" spans="1:11" x14ac:dyDescent="0.2">
      <c r="A3287">
        <f t="shared" si="102"/>
        <v>2903120</v>
      </c>
      <c r="B3287">
        <v>2020</v>
      </c>
      <c r="C3287" t="s">
        <v>739</v>
      </c>
      <c r="D3287" t="s">
        <v>740</v>
      </c>
      <c r="E3287" t="s">
        <v>743</v>
      </c>
      <c r="F3287" s="34">
        <v>541</v>
      </c>
      <c r="G3287" s="34" t="s">
        <v>500</v>
      </c>
      <c r="H3287" s="36">
        <v>38022</v>
      </c>
      <c r="I3287" s="58">
        <v>242367</v>
      </c>
      <c r="J3287">
        <f>IFERROR(VLOOKUP(G3287,'LEAID Match'!$A$2:$B$526,2,FALSE),"")</f>
        <v>2903120</v>
      </c>
      <c r="K3287" s="68">
        <f t="shared" si="103"/>
        <v>8</v>
      </c>
    </row>
    <row r="3288" spans="1:11" x14ac:dyDescent="0.2">
      <c r="A3288">
        <f t="shared" si="102"/>
        <v>2903120</v>
      </c>
      <c r="B3288">
        <v>2021</v>
      </c>
      <c r="C3288" t="s">
        <v>739</v>
      </c>
      <c r="D3288" t="s">
        <v>740</v>
      </c>
      <c r="E3288" t="s">
        <v>743</v>
      </c>
      <c r="F3288" s="34">
        <v>541</v>
      </c>
      <c r="G3288" s="34" t="s">
        <v>500</v>
      </c>
      <c r="H3288" s="36">
        <v>37485</v>
      </c>
      <c r="I3288" s="58">
        <v>239215</v>
      </c>
      <c r="J3288">
        <f>IFERROR(VLOOKUP(G3288,'LEAID Match'!$A$2:$B$526,2,FALSE),"")</f>
        <v>2903120</v>
      </c>
      <c r="K3288" s="68">
        <f t="shared" si="103"/>
        <v>8</v>
      </c>
    </row>
    <row r="3289" spans="1:11" x14ac:dyDescent="0.2">
      <c r="A3289">
        <f t="shared" si="102"/>
        <v>2903120</v>
      </c>
      <c r="B3289">
        <v>2022</v>
      </c>
      <c r="C3289" t="s">
        <v>739</v>
      </c>
      <c r="D3289" t="s">
        <v>740</v>
      </c>
      <c r="E3289" t="s">
        <v>743</v>
      </c>
      <c r="F3289" s="34">
        <v>541</v>
      </c>
      <c r="G3289" s="34" t="s">
        <v>500</v>
      </c>
      <c r="H3289" s="36">
        <v>45708</v>
      </c>
      <c r="I3289" s="58">
        <v>228583</v>
      </c>
      <c r="J3289">
        <f>IFERROR(VLOOKUP(G3289,'LEAID Match'!$A$2:$B$526,2,FALSE),"")</f>
        <v>2903120</v>
      </c>
      <c r="K3289" s="68">
        <f t="shared" si="103"/>
        <v>8</v>
      </c>
    </row>
    <row r="3290" spans="1:11" x14ac:dyDescent="0.2">
      <c r="A3290">
        <f t="shared" si="102"/>
        <v>2926940</v>
      </c>
      <c r="B3290">
        <v>2015</v>
      </c>
      <c r="C3290" t="s">
        <v>739</v>
      </c>
      <c r="D3290" t="s">
        <v>740</v>
      </c>
      <c r="E3290" t="s">
        <v>743</v>
      </c>
      <c r="F3290" s="45">
        <v>542</v>
      </c>
      <c r="G3290" s="50" t="s">
        <v>501</v>
      </c>
      <c r="H3290" s="53">
        <v>5442</v>
      </c>
      <c r="I3290" s="58">
        <v>40770</v>
      </c>
      <c r="J3290">
        <f>IFERROR(VLOOKUP(G3290,'LEAID Match'!$A$2:$B$526,2,FALSE),"")</f>
        <v>2926940</v>
      </c>
      <c r="K3290" s="68">
        <f t="shared" si="103"/>
        <v>8</v>
      </c>
    </row>
    <row r="3291" spans="1:11" x14ac:dyDescent="0.2">
      <c r="A3291">
        <f t="shared" si="102"/>
        <v>2926940</v>
      </c>
      <c r="B3291">
        <v>2016</v>
      </c>
      <c r="C3291" t="s">
        <v>739</v>
      </c>
      <c r="D3291" t="s">
        <v>740</v>
      </c>
      <c r="E3291" t="s">
        <v>743</v>
      </c>
      <c r="F3291" s="34">
        <v>542</v>
      </c>
      <c r="G3291" s="34" t="s">
        <v>501</v>
      </c>
      <c r="H3291" s="36">
        <v>5689</v>
      </c>
      <c r="I3291" s="60">
        <v>36400</v>
      </c>
      <c r="J3291">
        <f>IFERROR(VLOOKUP(G3291,'LEAID Match'!$A$2:$B$526,2,FALSE),"")</f>
        <v>2926940</v>
      </c>
      <c r="K3291" s="68">
        <f t="shared" si="103"/>
        <v>8</v>
      </c>
    </row>
    <row r="3292" spans="1:11" x14ac:dyDescent="0.2">
      <c r="A3292">
        <f t="shared" si="102"/>
        <v>2926940</v>
      </c>
      <c r="B3292">
        <v>2017</v>
      </c>
      <c r="C3292" t="s">
        <v>739</v>
      </c>
      <c r="D3292" t="s">
        <v>740</v>
      </c>
      <c r="E3292" t="s">
        <v>743</v>
      </c>
      <c r="F3292" s="34">
        <v>542</v>
      </c>
      <c r="G3292" s="34" t="s">
        <v>501</v>
      </c>
      <c r="H3292" s="36">
        <v>6237</v>
      </c>
      <c r="I3292" s="58">
        <v>42065</v>
      </c>
      <c r="J3292">
        <f>IFERROR(VLOOKUP(G3292,'LEAID Match'!$A$2:$B$526,2,FALSE),"")</f>
        <v>2926940</v>
      </c>
      <c r="K3292" s="68">
        <f t="shared" si="103"/>
        <v>8</v>
      </c>
    </row>
    <row r="3293" spans="1:11" x14ac:dyDescent="0.2">
      <c r="A3293">
        <f t="shared" si="102"/>
        <v>2926940</v>
      </c>
      <c r="B3293">
        <v>2018</v>
      </c>
      <c r="C3293" t="s">
        <v>739</v>
      </c>
      <c r="D3293" t="s">
        <v>740</v>
      </c>
      <c r="E3293" t="s">
        <v>743</v>
      </c>
      <c r="F3293" s="34">
        <v>542</v>
      </c>
      <c r="G3293" s="34" t="s">
        <v>501</v>
      </c>
      <c r="H3293" s="36">
        <v>5833</v>
      </c>
      <c r="I3293" s="58">
        <v>41643</v>
      </c>
      <c r="J3293">
        <f>IFERROR(VLOOKUP(G3293,'LEAID Match'!$A$2:$B$526,2,FALSE),"")</f>
        <v>2926940</v>
      </c>
      <c r="K3293" s="68">
        <f t="shared" si="103"/>
        <v>8</v>
      </c>
    </row>
    <row r="3294" spans="1:11" x14ac:dyDescent="0.2">
      <c r="A3294">
        <f t="shared" si="102"/>
        <v>2926940</v>
      </c>
      <c r="B3294">
        <v>2019</v>
      </c>
      <c r="C3294" t="s">
        <v>739</v>
      </c>
      <c r="D3294" t="s">
        <v>740</v>
      </c>
      <c r="E3294" t="s">
        <v>743</v>
      </c>
      <c r="F3294" s="34">
        <v>542</v>
      </c>
      <c r="G3294" s="34" t="s">
        <v>501</v>
      </c>
      <c r="H3294" s="36">
        <v>8784</v>
      </c>
      <c r="I3294" s="58">
        <v>35364</v>
      </c>
      <c r="J3294">
        <f>IFERROR(VLOOKUP(G3294,'LEAID Match'!$A$2:$B$526,2,FALSE),"")</f>
        <v>2926940</v>
      </c>
      <c r="K3294" s="68">
        <f t="shared" si="103"/>
        <v>8</v>
      </c>
    </row>
    <row r="3295" spans="1:11" x14ac:dyDescent="0.2">
      <c r="A3295">
        <f t="shared" si="102"/>
        <v>2926940</v>
      </c>
      <c r="B3295">
        <v>2020</v>
      </c>
      <c r="C3295" t="s">
        <v>739</v>
      </c>
      <c r="D3295" t="s">
        <v>740</v>
      </c>
      <c r="E3295" t="s">
        <v>743</v>
      </c>
      <c r="F3295" s="34">
        <v>542</v>
      </c>
      <c r="G3295" s="34" t="s">
        <v>501</v>
      </c>
      <c r="H3295" s="36">
        <v>10484</v>
      </c>
      <c r="I3295" s="58">
        <v>37356</v>
      </c>
      <c r="J3295">
        <f>IFERROR(VLOOKUP(G3295,'LEAID Match'!$A$2:$B$526,2,FALSE),"")</f>
        <v>2926940</v>
      </c>
      <c r="K3295" s="68">
        <f t="shared" si="103"/>
        <v>8</v>
      </c>
    </row>
    <row r="3296" spans="1:11" x14ac:dyDescent="0.2">
      <c r="A3296">
        <f t="shared" si="102"/>
        <v>2926940</v>
      </c>
      <c r="B3296">
        <v>2021</v>
      </c>
      <c r="C3296" t="s">
        <v>739</v>
      </c>
      <c r="D3296" t="s">
        <v>740</v>
      </c>
      <c r="E3296" t="s">
        <v>743</v>
      </c>
      <c r="F3296" s="34">
        <v>542</v>
      </c>
      <c r="G3296" s="34" t="s">
        <v>501</v>
      </c>
      <c r="H3296" s="36">
        <v>7924</v>
      </c>
      <c r="I3296" s="58">
        <v>48140</v>
      </c>
      <c r="J3296">
        <f>IFERROR(VLOOKUP(G3296,'LEAID Match'!$A$2:$B$526,2,FALSE),"")</f>
        <v>2926940</v>
      </c>
      <c r="K3296" s="68">
        <f t="shared" si="103"/>
        <v>8</v>
      </c>
    </row>
    <row r="3297" spans="1:11" x14ac:dyDescent="0.2">
      <c r="A3297">
        <f t="shared" si="102"/>
        <v>2926940</v>
      </c>
      <c r="B3297">
        <v>2022</v>
      </c>
      <c r="C3297" t="s">
        <v>739</v>
      </c>
      <c r="D3297" t="s">
        <v>740</v>
      </c>
      <c r="E3297" t="s">
        <v>743</v>
      </c>
      <c r="F3297" s="34">
        <v>542</v>
      </c>
      <c r="G3297" s="34" t="s">
        <v>501</v>
      </c>
      <c r="H3297" s="36">
        <v>12686</v>
      </c>
      <c r="I3297" s="58">
        <v>49594</v>
      </c>
      <c r="J3297">
        <f>IFERROR(VLOOKUP(G3297,'LEAID Match'!$A$2:$B$526,2,FALSE),"")</f>
        <v>2926940</v>
      </c>
      <c r="K3297" s="68">
        <f t="shared" si="103"/>
        <v>8</v>
      </c>
    </row>
    <row r="3298" spans="1:11" x14ac:dyDescent="0.2">
      <c r="A3298">
        <f t="shared" si="102"/>
        <v>2910520</v>
      </c>
      <c r="B3298">
        <v>2015</v>
      </c>
      <c r="C3298" t="s">
        <v>739</v>
      </c>
      <c r="D3298" t="s">
        <v>740</v>
      </c>
      <c r="E3298" t="s">
        <v>743</v>
      </c>
      <c r="F3298" s="45">
        <v>544</v>
      </c>
      <c r="G3298" s="50" t="s">
        <v>502</v>
      </c>
      <c r="H3298" s="53">
        <v>35988</v>
      </c>
      <c r="I3298" s="58">
        <v>266910</v>
      </c>
      <c r="J3298">
        <f>IFERROR(VLOOKUP(G3298,'LEAID Match'!$A$2:$B$526,2,FALSE),"")</f>
        <v>2910520</v>
      </c>
      <c r="K3298" s="68">
        <f t="shared" si="103"/>
        <v>8</v>
      </c>
    </row>
    <row r="3299" spans="1:11" x14ac:dyDescent="0.2">
      <c r="A3299">
        <f t="shared" si="102"/>
        <v>2910520</v>
      </c>
      <c r="B3299">
        <v>2016</v>
      </c>
      <c r="C3299" t="s">
        <v>739</v>
      </c>
      <c r="D3299" t="s">
        <v>740</v>
      </c>
      <c r="E3299" t="s">
        <v>743</v>
      </c>
      <c r="F3299" s="34">
        <v>544</v>
      </c>
      <c r="G3299" s="34" t="s">
        <v>502</v>
      </c>
      <c r="H3299" s="36">
        <v>36463</v>
      </c>
      <c r="I3299" s="60">
        <v>261065</v>
      </c>
      <c r="J3299">
        <f>IFERROR(VLOOKUP(G3299,'LEAID Match'!$A$2:$B$526,2,FALSE),"")</f>
        <v>2910520</v>
      </c>
      <c r="K3299" s="68">
        <f t="shared" si="103"/>
        <v>8</v>
      </c>
    </row>
    <row r="3300" spans="1:11" x14ac:dyDescent="0.2">
      <c r="A3300">
        <f t="shared" si="102"/>
        <v>2910520</v>
      </c>
      <c r="B3300">
        <v>2017</v>
      </c>
      <c r="C3300" t="s">
        <v>739</v>
      </c>
      <c r="D3300" t="s">
        <v>740</v>
      </c>
      <c r="E3300" t="s">
        <v>743</v>
      </c>
      <c r="F3300" s="34">
        <v>544</v>
      </c>
      <c r="G3300" s="34" t="s">
        <v>502</v>
      </c>
      <c r="H3300" s="36">
        <v>37353</v>
      </c>
      <c r="I3300" s="58">
        <v>262462</v>
      </c>
      <c r="J3300">
        <f>IFERROR(VLOOKUP(G3300,'LEAID Match'!$A$2:$B$526,2,FALSE),"")</f>
        <v>2910520</v>
      </c>
      <c r="K3300" s="68">
        <f t="shared" si="103"/>
        <v>8</v>
      </c>
    </row>
    <row r="3301" spans="1:11" x14ac:dyDescent="0.2">
      <c r="A3301">
        <f t="shared" si="102"/>
        <v>2910520</v>
      </c>
      <c r="B3301">
        <v>2018</v>
      </c>
      <c r="C3301" t="s">
        <v>739</v>
      </c>
      <c r="D3301" t="s">
        <v>740</v>
      </c>
      <c r="E3301" t="s">
        <v>743</v>
      </c>
      <c r="F3301" s="34">
        <v>544</v>
      </c>
      <c r="G3301" s="34" t="s">
        <v>502</v>
      </c>
      <c r="H3301" s="36">
        <v>34831</v>
      </c>
      <c r="I3301" s="58">
        <v>262054</v>
      </c>
      <c r="J3301">
        <f>IFERROR(VLOOKUP(G3301,'LEAID Match'!$A$2:$B$526,2,FALSE),"")</f>
        <v>2910520</v>
      </c>
      <c r="K3301" s="68">
        <f t="shared" si="103"/>
        <v>8</v>
      </c>
    </row>
    <row r="3302" spans="1:11" x14ac:dyDescent="0.2">
      <c r="A3302">
        <f t="shared" si="102"/>
        <v>2910520</v>
      </c>
      <c r="B3302">
        <v>2019</v>
      </c>
      <c r="C3302" t="s">
        <v>739</v>
      </c>
      <c r="D3302" t="s">
        <v>740</v>
      </c>
      <c r="E3302" t="s">
        <v>743</v>
      </c>
      <c r="F3302" s="34">
        <v>544</v>
      </c>
      <c r="G3302" s="34" t="s">
        <v>502</v>
      </c>
      <c r="H3302" s="36">
        <v>34310</v>
      </c>
      <c r="I3302" s="58">
        <v>265477</v>
      </c>
      <c r="J3302">
        <f>IFERROR(VLOOKUP(G3302,'LEAID Match'!$A$2:$B$526,2,FALSE),"")</f>
        <v>2910520</v>
      </c>
      <c r="K3302" s="68">
        <f t="shared" si="103"/>
        <v>8</v>
      </c>
    </row>
    <row r="3303" spans="1:11" x14ac:dyDescent="0.2">
      <c r="A3303">
        <f t="shared" si="102"/>
        <v>2910520</v>
      </c>
      <c r="B3303">
        <v>2020</v>
      </c>
      <c r="C3303" t="s">
        <v>739</v>
      </c>
      <c r="D3303" t="s">
        <v>740</v>
      </c>
      <c r="E3303" t="s">
        <v>743</v>
      </c>
      <c r="F3303" s="34">
        <v>544</v>
      </c>
      <c r="G3303" s="34" t="s">
        <v>502</v>
      </c>
      <c r="H3303" s="36">
        <v>36739</v>
      </c>
      <c r="I3303" s="58">
        <v>267414</v>
      </c>
      <c r="J3303">
        <f>IFERROR(VLOOKUP(G3303,'LEAID Match'!$A$2:$B$526,2,FALSE),"")</f>
        <v>2910520</v>
      </c>
      <c r="K3303" s="68">
        <f t="shared" si="103"/>
        <v>8</v>
      </c>
    </row>
    <row r="3304" spans="1:11" x14ac:dyDescent="0.2">
      <c r="A3304">
        <f t="shared" si="102"/>
        <v>2910520</v>
      </c>
      <c r="B3304">
        <v>2021</v>
      </c>
      <c r="C3304" t="s">
        <v>739</v>
      </c>
      <c r="D3304" t="s">
        <v>740</v>
      </c>
      <c r="E3304" t="s">
        <v>743</v>
      </c>
      <c r="F3304" s="34">
        <v>544</v>
      </c>
      <c r="G3304" s="34" t="s">
        <v>502</v>
      </c>
      <c r="H3304" s="36">
        <v>34169</v>
      </c>
      <c r="I3304" s="58">
        <v>287298</v>
      </c>
      <c r="J3304">
        <f>IFERROR(VLOOKUP(G3304,'LEAID Match'!$A$2:$B$526,2,FALSE),"")</f>
        <v>2910520</v>
      </c>
      <c r="K3304" s="68">
        <f t="shared" si="103"/>
        <v>8</v>
      </c>
    </row>
    <row r="3305" spans="1:11" x14ac:dyDescent="0.2">
      <c r="A3305">
        <f t="shared" si="102"/>
        <v>2910520</v>
      </c>
      <c r="B3305">
        <v>2022</v>
      </c>
      <c r="C3305" t="s">
        <v>739</v>
      </c>
      <c r="D3305" t="s">
        <v>740</v>
      </c>
      <c r="E3305" t="s">
        <v>743</v>
      </c>
      <c r="F3305" s="34">
        <v>544</v>
      </c>
      <c r="G3305" s="34" t="s">
        <v>502</v>
      </c>
      <c r="H3305" s="36">
        <v>30910</v>
      </c>
      <c r="I3305" s="58">
        <v>285089</v>
      </c>
      <c r="J3305">
        <f>IFERROR(VLOOKUP(G3305,'LEAID Match'!$A$2:$B$526,2,FALSE),"")</f>
        <v>2910520</v>
      </c>
      <c r="K3305" s="68">
        <f t="shared" si="103"/>
        <v>8</v>
      </c>
    </row>
    <row r="3306" spans="1:11" x14ac:dyDescent="0.2">
      <c r="A3306">
        <f t="shared" si="102"/>
        <v>2923270</v>
      </c>
      <c r="B3306">
        <v>2015</v>
      </c>
      <c r="C3306" t="s">
        <v>739</v>
      </c>
      <c r="D3306" t="s">
        <v>740</v>
      </c>
      <c r="E3306" t="s">
        <v>743</v>
      </c>
      <c r="F3306" s="45">
        <v>545</v>
      </c>
      <c r="G3306" s="50" t="s">
        <v>503</v>
      </c>
      <c r="H3306" s="53">
        <v>37835</v>
      </c>
      <c r="I3306" s="58">
        <v>311025</v>
      </c>
      <c r="J3306">
        <f>IFERROR(VLOOKUP(G3306,'LEAID Match'!$A$2:$B$526,2,FALSE),"")</f>
        <v>2923270</v>
      </c>
      <c r="K3306" s="68">
        <f t="shared" si="103"/>
        <v>8</v>
      </c>
    </row>
    <row r="3307" spans="1:11" x14ac:dyDescent="0.2">
      <c r="A3307">
        <f t="shared" si="102"/>
        <v>2923270</v>
      </c>
      <c r="B3307">
        <v>2016</v>
      </c>
      <c r="C3307" t="s">
        <v>739</v>
      </c>
      <c r="D3307" t="s">
        <v>740</v>
      </c>
      <c r="E3307" t="s">
        <v>743</v>
      </c>
      <c r="F3307" s="34">
        <v>545</v>
      </c>
      <c r="G3307" s="34" t="s">
        <v>503</v>
      </c>
      <c r="H3307" s="36">
        <v>38310</v>
      </c>
      <c r="I3307" s="60">
        <v>318394</v>
      </c>
      <c r="J3307">
        <f>IFERROR(VLOOKUP(G3307,'LEAID Match'!$A$2:$B$526,2,FALSE),"")</f>
        <v>2923270</v>
      </c>
      <c r="K3307" s="68">
        <f t="shared" si="103"/>
        <v>8</v>
      </c>
    </row>
    <row r="3308" spans="1:11" x14ac:dyDescent="0.2">
      <c r="A3308">
        <f t="shared" si="102"/>
        <v>2923270</v>
      </c>
      <c r="B3308">
        <v>2017</v>
      </c>
      <c r="C3308" t="s">
        <v>739</v>
      </c>
      <c r="D3308" t="s">
        <v>740</v>
      </c>
      <c r="E3308" t="s">
        <v>743</v>
      </c>
      <c r="F3308" s="34">
        <v>545</v>
      </c>
      <c r="G3308" s="34" t="s">
        <v>503</v>
      </c>
      <c r="H3308" s="36">
        <v>39417</v>
      </c>
      <c r="I3308" s="58">
        <v>317407</v>
      </c>
      <c r="J3308">
        <f>IFERROR(VLOOKUP(G3308,'LEAID Match'!$A$2:$B$526,2,FALSE),"")</f>
        <v>2923270</v>
      </c>
      <c r="K3308" s="68">
        <f t="shared" si="103"/>
        <v>8</v>
      </c>
    </row>
    <row r="3309" spans="1:11" x14ac:dyDescent="0.2">
      <c r="A3309">
        <f t="shared" si="102"/>
        <v>2923270</v>
      </c>
      <c r="B3309">
        <v>2018</v>
      </c>
      <c r="C3309" t="s">
        <v>739</v>
      </c>
      <c r="D3309" t="s">
        <v>740</v>
      </c>
      <c r="E3309" t="s">
        <v>743</v>
      </c>
      <c r="F3309" s="34">
        <v>545</v>
      </c>
      <c r="G3309" s="34" t="s">
        <v>503</v>
      </c>
      <c r="H3309" s="36">
        <v>37173</v>
      </c>
      <c r="I3309" s="58">
        <v>317325</v>
      </c>
      <c r="J3309">
        <f>IFERROR(VLOOKUP(G3309,'LEAID Match'!$A$2:$B$526,2,FALSE),"")</f>
        <v>2923270</v>
      </c>
      <c r="K3309" s="68">
        <f t="shared" si="103"/>
        <v>8</v>
      </c>
    </row>
    <row r="3310" spans="1:11" x14ac:dyDescent="0.2">
      <c r="A3310">
        <f t="shared" si="102"/>
        <v>2923270</v>
      </c>
      <c r="B3310">
        <v>2019</v>
      </c>
      <c r="C3310" t="s">
        <v>739</v>
      </c>
      <c r="D3310" t="s">
        <v>740</v>
      </c>
      <c r="E3310" t="s">
        <v>743</v>
      </c>
      <c r="F3310" s="34">
        <v>545</v>
      </c>
      <c r="G3310" s="34" t="s">
        <v>503</v>
      </c>
      <c r="H3310" s="36">
        <v>36544</v>
      </c>
      <c r="I3310" s="58">
        <v>329433</v>
      </c>
      <c r="J3310">
        <f>IFERROR(VLOOKUP(G3310,'LEAID Match'!$A$2:$B$526,2,FALSE),"")</f>
        <v>2923270</v>
      </c>
      <c r="K3310" s="68">
        <f t="shared" si="103"/>
        <v>8</v>
      </c>
    </row>
    <row r="3311" spans="1:11" x14ac:dyDescent="0.2">
      <c r="A3311">
        <f t="shared" si="102"/>
        <v>2923270</v>
      </c>
      <c r="B3311">
        <v>2020</v>
      </c>
      <c r="C3311" t="s">
        <v>739</v>
      </c>
      <c r="D3311" t="s">
        <v>740</v>
      </c>
      <c r="E3311" t="s">
        <v>743</v>
      </c>
      <c r="F3311" s="34">
        <v>545</v>
      </c>
      <c r="G3311" s="34" t="s">
        <v>503</v>
      </c>
      <c r="H3311" s="36">
        <v>35938</v>
      </c>
      <c r="I3311" s="58">
        <v>339130</v>
      </c>
      <c r="J3311">
        <f>IFERROR(VLOOKUP(G3311,'LEAID Match'!$A$2:$B$526,2,FALSE),"")</f>
        <v>2923270</v>
      </c>
      <c r="K3311" s="68">
        <f t="shared" si="103"/>
        <v>8</v>
      </c>
    </row>
    <row r="3312" spans="1:11" x14ac:dyDescent="0.2">
      <c r="A3312">
        <f t="shared" si="102"/>
        <v>2923270</v>
      </c>
      <c r="B3312">
        <v>2021</v>
      </c>
      <c r="C3312" t="s">
        <v>739</v>
      </c>
      <c r="D3312" t="s">
        <v>740</v>
      </c>
      <c r="E3312" t="s">
        <v>743</v>
      </c>
      <c r="F3312" s="34">
        <v>545</v>
      </c>
      <c r="G3312" s="34" t="s">
        <v>503</v>
      </c>
      <c r="H3312" s="36">
        <v>36209</v>
      </c>
      <c r="I3312" s="58">
        <v>338049</v>
      </c>
      <c r="J3312">
        <f>IFERROR(VLOOKUP(G3312,'LEAID Match'!$A$2:$B$526,2,FALSE),"")</f>
        <v>2923270</v>
      </c>
      <c r="K3312" s="68">
        <f t="shared" si="103"/>
        <v>8</v>
      </c>
    </row>
    <row r="3313" spans="1:11" x14ac:dyDescent="0.2">
      <c r="A3313">
        <f t="shared" si="102"/>
        <v>2923270</v>
      </c>
      <c r="B3313">
        <v>2022</v>
      </c>
      <c r="C3313" t="s">
        <v>739</v>
      </c>
      <c r="D3313" t="s">
        <v>740</v>
      </c>
      <c r="E3313" t="s">
        <v>743</v>
      </c>
      <c r="F3313" s="34">
        <v>545</v>
      </c>
      <c r="G3313" s="34" t="s">
        <v>503</v>
      </c>
      <c r="H3313" s="36">
        <v>48333</v>
      </c>
      <c r="I3313" s="58">
        <v>345949</v>
      </c>
      <c r="J3313">
        <f>IFERROR(VLOOKUP(G3313,'LEAID Match'!$A$2:$B$526,2,FALSE),"")</f>
        <v>2923270</v>
      </c>
      <c r="K3313" s="68">
        <f t="shared" si="103"/>
        <v>8</v>
      </c>
    </row>
    <row r="3314" spans="1:11" x14ac:dyDescent="0.2">
      <c r="A3314">
        <f t="shared" si="102"/>
        <v>2905430</v>
      </c>
      <c r="B3314">
        <v>2015</v>
      </c>
      <c r="C3314" t="s">
        <v>739</v>
      </c>
      <c r="D3314" t="s">
        <v>740</v>
      </c>
      <c r="E3314" t="s">
        <v>743</v>
      </c>
      <c r="F3314" s="45">
        <v>546</v>
      </c>
      <c r="G3314" s="34" t="s">
        <v>665</v>
      </c>
      <c r="H3314" s="53">
        <v>326070</v>
      </c>
      <c r="I3314" s="58">
        <v>2005484</v>
      </c>
      <c r="J3314">
        <f>IFERROR(VLOOKUP(G3314,'LEAID Match'!$A$2:$B$526,2,FALSE),"")</f>
        <v>2905430</v>
      </c>
      <c r="K3314" s="68">
        <f t="shared" si="103"/>
        <v>8</v>
      </c>
    </row>
    <row r="3315" spans="1:11" x14ac:dyDescent="0.2">
      <c r="A3315">
        <f t="shared" si="102"/>
        <v>2905430</v>
      </c>
      <c r="B3315">
        <v>2016</v>
      </c>
      <c r="C3315" t="s">
        <v>739</v>
      </c>
      <c r="D3315" t="s">
        <v>740</v>
      </c>
      <c r="E3315" t="s">
        <v>743</v>
      </c>
      <c r="F3315" s="34">
        <v>546</v>
      </c>
      <c r="G3315" s="34" t="s">
        <v>665</v>
      </c>
      <c r="H3315" s="36">
        <v>322603</v>
      </c>
      <c r="I3315" s="60">
        <v>2051042</v>
      </c>
      <c r="J3315">
        <f>IFERROR(VLOOKUP(G3315,'LEAID Match'!$A$2:$B$526,2,FALSE),"")</f>
        <v>2905430</v>
      </c>
      <c r="K3315" s="68">
        <f t="shared" si="103"/>
        <v>8</v>
      </c>
    </row>
    <row r="3316" spans="1:11" x14ac:dyDescent="0.2">
      <c r="A3316">
        <f t="shared" si="102"/>
        <v>2905430</v>
      </c>
      <c r="B3316">
        <v>2017</v>
      </c>
      <c r="C3316" t="s">
        <v>739</v>
      </c>
      <c r="D3316" t="s">
        <v>740</v>
      </c>
      <c r="E3316" t="s">
        <v>743</v>
      </c>
      <c r="F3316" s="34">
        <v>546</v>
      </c>
      <c r="G3316" s="34" t="s">
        <v>665</v>
      </c>
      <c r="H3316" s="36">
        <v>328069</v>
      </c>
      <c r="I3316" s="58">
        <v>2176961</v>
      </c>
      <c r="J3316">
        <f>IFERROR(VLOOKUP(G3316,'LEAID Match'!$A$2:$B$526,2,FALSE),"")</f>
        <v>2905430</v>
      </c>
      <c r="K3316" s="68">
        <f t="shared" si="103"/>
        <v>8</v>
      </c>
    </row>
    <row r="3317" spans="1:11" x14ac:dyDescent="0.2">
      <c r="A3317">
        <f t="shared" si="102"/>
        <v>2905430</v>
      </c>
      <c r="B3317">
        <v>2018</v>
      </c>
      <c r="C3317" t="s">
        <v>739</v>
      </c>
      <c r="D3317" t="s">
        <v>740</v>
      </c>
      <c r="E3317" t="s">
        <v>743</v>
      </c>
      <c r="F3317" s="34">
        <v>546</v>
      </c>
      <c r="G3317" s="34" t="s">
        <v>665</v>
      </c>
      <c r="H3317" s="36">
        <v>312677</v>
      </c>
      <c r="I3317" s="58">
        <v>2150707</v>
      </c>
      <c r="J3317">
        <f>IFERROR(VLOOKUP(G3317,'LEAID Match'!$A$2:$B$526,2,FALSE),"")</f>
        <v>2905430</v>
      </c>
      <c r="K3317" s="68">
        <f t="shared" si="103"/>
        <v>8</v>
      </c>
    </row>
    <row r="3318" spans="1:11" x14ac:dyDescent="0.2">
      <c r="A3318">
        <f t="shared" si="102"/>
        <v>2905430</v>
      </c>
      <c r="B3318">
        <v>2019</v>
      </c>
      <c r="C3318" t="s">
        <v>739</v>
      </c>
      <c r="D3318" t="s">
        <v>740</v>
      </c>
      <c r="E3318" t="s">
        <v>743</v>
      </c>
      <c r="F3318" s="34">
        <v>546</v>
      </c>
      <c r="G3318" s="34" t="s">
        <v>665</v>
      </c>
      <c r="H3318" s="36">
        <v>326276</v>
      </c>
      <c r="I3318" s="58">
        <v>2191847</v>
      </c>
      <c r="J3318">
        <f>IFERROR(VLOOKUP(G3318,'LEAID Match'!$A$2:$B$526,2,FALSE),"")</f>
        <v>2905430</v>
      </c>
      <c r="K3318" s="68">
        <f t="shared" si="103"/>
        <v>8</v>
      </c>
    </row>
    <row r="3319" spans="1:11" x14ac:dyDescent="0.2">
      <c r="A3319">
        <f t="shared" si="102"/>
        <v>2905430</v>
      </c>
      <c r="B3319">
        <v>2020</v>
      </c>
      <c r="C3319" t="s">
        <v>739</v>
      </c>
      <c r="D3319" t="s">
        <v>740</v>
      </c>
      <c r="E3319" t="s">
        <v>743</v>
      </c>
      <c r="F3319" s="34">
        <v>546</v>
      </c>
      <c r="G3319" s="34" t="s">
        <v>665</v>
      </c>
      <c r="H3319" s="36">
        <v>317683</v>
      </c>
      <c r="I3319" s="58">
        <v>2085803</v>
      </c>
      <c r="J3319">
        <f>IFERROR(VLOOKUP(G3319,'LEAID Match'!$A$2:$B$526,2,FALSE),"")</f>
        <v>2905430</v>
      </c>
      <c r="K3319" s="68">
        <f t="shared" si="103"/>
        <v>8</v>
      </c>
    </row>
    <row r="3320" spans="1:11" x14ac:dyDescent="0.2">
      <c r="A3320">
        <f t="shared" si="102"/>
        <v>2905430</v>
      </c>
      <c r="B3320">
        <v>2021</v>
      </c>
      <c r="C3320" t="s">
        <v>739</v>
      </c>
      <c r="D3320" t="s">
        <v>740</v>
      </c>
      <c r="E3320" t="s">
        <v>743</v>
      </c>
      <c r="F3320" s="34">
        <v>546</v>
      </c>
      <c r="G3320" s="34" t="s">
        <v>665</v>
      </c>
      <c r="H3320" s="36">
        <v>328922</v>
      </c>
      <c r="I3320" s="58">
        <v>2125628</v>
      </c>
      <c r="J3320">
        <f>IFERROR(VLOOKUP(G3320,'LEAID Match'!$A$2:$B$526,2,FALSE),"")</f>
        <v>2905430</v>
      </c>
      <c r="K3320" s="68">
        <f t="shared" si="103"/>
        <v>8</v>
      </c>
    </row>
    <row r="3321" spans="1:11" x14ac:dyDescent="0.2">
      <c r="A3321">
        <f t="shared" si="102"/>
        <v>2905430</v>
      </c>
      <c r="B3321">
        <v>2022</v>
      </c>
      <c r="C3321" t="s">
        <v>739</v>
      </c>
      <c r="D3321" t="s">
        <v>740</v>
      </c>
      <c r="E3321" t="s">
        <v>743</v>
      </c>
      <c r="F3321" s="34">
        <v>546</v>
      </c>
      <c r="G3321" s="34" t="s">
        <v>665</v>
      </c>
      <c r="H3321" s="36">
        <v>336095</v>
      </c>
      <c r="I3321" s="58">
        <v>2113617</v>
      </c>
      <c r="J3321">
        <f>IFERROR(VLOOKUP(G3321,'LEAID Match'!$A$2:$B$526,2,FALSE),"")</f>
        <v>2905430</v>
      </c>
      <c r="K3321" s="68">
        <f t="shared" si="103"/>
        <v>8</v>
      </c>
    </row>
    <row r="3322" spans="1:11" x14ac:dyDescent="0.2">
      <c r="A3322">
        <f t="shared" si="102"/>
        <v>2929170</v>
      </c>
      <c r="B3322">
        <v>2015</v>
      </c>
      <c r="C3322" t="s">
        <v>739</v>
      </c>
      <c r="D3322" t="s">
        <v>740</v>
      </c>
      <c r="E3322" t="s">
        <v>743</v>
      </c>
      <c r="F3322" s="45">
        <v>547</v>
      </c>
      <c r="G3322" s="50" t="s">
        <v>505</v>
      </c>
      <c r="H3322" s="53">
        <v>210435</v>
      </c>
      <c r="I3322" s="58">
        <v>1494270</v>
      </c>
      <c r="J3322">
        <f>IFERROR(VLOOKUP(G3322,'LEAID Match'!$A$2:$B$526,2,FALSE),"")</f>
        <v>2929170</v>
      </c>
      <c r="K3322" s="68">
        <f t="shared" si="103"/>
        <v>8</v>
      </c>
    </row>
    <row r="3323" spans="1:11" x14ac:dyDescent="0.2">
      <c r="A3323">
        <f t="shared" si="102"/>
        <v>2929170</v>
      </c>
      <c r="B3323">
        <v>2016</v>
      </c>
      <c r="C3323" t="s">
        <v>739</v>
      </c>
      <c r="D3323" t="s">
        <v>740</v>
      </c>
      <c r="E3323" t="s">
        <v>743</v>
      </c>
      <c r="F3323" s="34">
        <v>547</v>
      </c>
      <c r="G3323" s="34" t="s">
        <v>505</v>
      </c>
      <c r="H3323" s="36">
        <v>219170</v>
      </c>
      <c r="I3323" s="60">
        <v>1542007</v>
      </c>
      <c r="J3323">
        <f>IFERROR(VLOOKUP(G3323,'LEAID Match'!$A$2:$B$526,2,FALSE),"")</f>
        <v>2929170</v>
      </c>
      <c r="K3323" s="68">
        <f t="shared" si="103"/>
        <v>8</v>
      </c>
    </row>
    <row r="3324" spans="1:11" x14ac:dyDescent="0.2">
      <c r="A3324">
        <f t="shared" si="102"/>
        <v>2929170</v>
      </c>
      <c r="B3324">
        <v>2017</v>
      </c>
      <c r="C3324" t="s">
        <v>739</v>
      </c>
      <c r="D3324" t="s">
        <v>740</v>
      </c>
      <c r="E3324" t="s">
        <v>743</v>
      </c>
      <c r="F3324" s="34">
        <v>547</v>
      </c>
      <c r="G3324" s="34" t="s">
        <v>505</v>
      </c>
      <c r="H3324" s="36">
        <v>222993</v>
      </c>
      <c r="I3324" s="58">
        <v>1556042</v>
      </c>
      <c r="J3324">
        <f>IFERROR(VLOOKUP(G3324,'LEAID Match'!$A$2:$B$526,2,FALSE),"")</f>
        <v>2929170</v>
      </c>
      <c r="K3324" s="68">
        <f t="shared" si="103"/>
        <v>8</v>
      </c>
    </row>
    <row r="3325" spans="1:11" x14ac:dyDescent="0.2">
      <c r="A3325">
        <f t="shared" si="102"/>
        <v>2929170</v>
      </c>
      <c r="B3325">
        <v>2018</v>
      </c>
      <c r="C3325" t="s">
        <v>739</v>
      </c>
      <c r="D3325" t="s">
        <v>740</v>
      </c>
      <c r="E3325" t="s">
        <v>743</v>
      </c>
      <c r="F3325" s="34">
        <v>547</v>
      </c>
      <c r="G3325" s="34" t="s">
        <v>505</v>
      </c>
      <c r="H3325" s="36">
        <v>227994</v>
      </c>
      <c r="I3325" s="58">
        <v>1586610</v>
      </c>
      <c r="J3325">
        <f>IFERROR(VLOOKUP(G3325,'LEAID Match'!$A$2:$B$526,2,FALSE),"")</f>
        <v>2929170</v>
      </c>
      <c r="K3325" s="68">
        <f t="shared" si="103"/>
        <v>8</v>
      </c>
    </row>
    <row r="3326" spans="1:11" x14ac:dyDescent="0.2">
      <c r="A3326">
        <f t="shared" si="102"/>
        <v>2929170</v>
      </c>
      <c r="B3326">
        <v>2019</v>
      </c>
      <c r="C3326" t="s">
        <v>739</v>
      </c>
      <c r="D3326" t="s">
        <v>740</v>
      </c>
      <c r="E3326" t="s">
        <v>743</v>
      </c>
      <c r="F3326" s="34">
        <v>547</v>
      </c>
      <c r="G3326" s="34" t="s">
        <v>505</v>
      </c>
      <c r="H3326" s="36">
        <v>227568</v>
      </c>
      <c r="I3326" s="58">
        <v>1592307</v>
      </c>
      <c r="J3326">
        <f>IFERROR(VLOOKUP(G3326,'LEAID Match'!$A$2:$B$526,2,FALSE),"")</f>
        <v>2929170</v>
      </c>
      <c r="K3326" s="68">
        <f t="shared" si="103"/>
        <v>8</v>
      </c>
    </row>
    <row r="3327" spans="1:11" x14ac:dyDescent="0.2">
      <c r="A3327">
        <f t="shared" si="102"/>
        <v>2929170</v>
      </c>
      <c r="B3327">
        <v>2020</v>
      </c>
      <c r="C3327" t="s">
        <v>739</v>
      </c>
      <c r="D3327" t="s">
        <v>740</v>
      </c>
      <c r="E3327" t="s">
        <v>743</v>
      </c>
      <c r="F3327" s="34">
        <v>547</v>
      </c>
      <c r="G3327" s="34" t="s">
        <v>505</v>
      </c>
      <c r="H3327" s="36">
        <v>230365</v>
      </c>
      <c r="I3327" s="58">
        <v>1563598</v>
      </c>
      <c r="J3327">
        <f>IFERROR(VLOOKUP(G3327,'LEAID Match'!$A$2:$B$526,2,FALSE),"")</f>
        <v>2929170</v>
      </c>
      <c r="K3327" s="68">
        <f t="shared" si="103"/>
        <v>8</v>
      </c>
    </row>
    <row r="3328" spans="1:11" x14ac:dyDescent="0.2">
      <c r="A3328">
        <f t="shared" si="102"/>
        <v>2929170</v>
      </c>
      <c r="B3328">
        <v>2021</v>
      </c>
      <c r="C3328" t="s">
        <v>739</v>
      </c>
      <c r="D3328" t="s">
        <v>740</v>
      </c>
      <c r="E3328" t="s">
        <v>743</v>
      </c>
      <c r="F3328" s="34">
        <v>547</v>
      </c>
      <c r="G3328" s="34" t="s">
        <v>505</v>
      </c>
      <c r="H3328" s="36">
        <v>243359</v>
      </c>
      <c r="I3328" s="58">
        <v>1600306</v>
      </c>
      <c r="J3328">
        <f>IFERROR(VLOOKUP(G3328,'LEAID Match'!$A$2:$B$526,2,FALSE),"")</f>
        <v>2929170</v>
      </c>
      <c r="K3328" s="68">
        <f t="shared" si="103"/>
        <v>8</v>
      </c>
    </row>
    <row r="3329" spans="1:11" x14ac:dyDescent="0.2">
      <c r="A3329">
        <f t="shared" si="102"/>
        <v>2929170</v>
      </c>
      <c r="B3329">
        <v>2022</v>
      </c>
      <c r="C3329" t="s">
        <v>739</v>
      </c>
      <c r="D3329" t="s">
        <v>740</v>
      </c>
      <c r="E3329" t="s">
        <v>743</v>
      </c>
      <c r="F3329" s="34">
        <v>547</v>
      </c>
      <c r="G3329" s="34" t="s">
        <v>505</v>
      </c>
      <c r="H3329" s="36">
        <v>269016</v>
      </c>
      <c r="I3329" s="58">
        <v>1692384</v>
      </c>
      <c r="J3329">
        <f>IFERROR(VLOOKUP(G3329,'LEAID Match'!$A$2:$B$526,2,FALSE),"")</f>
        <v>2929170</v>
      </c>
      <c r="K3329" s="68">
        <f t="shared" si="103"/>
        <v>8</v>
      </c>
    </row>
    <row r="3330" spans="1:11" x14ac:dyDescent="0.2">
      <c r="A3330">
        <f t="shared" si="102"/>
        <v>2918240</v>
      </c>
      <c r="B3330">
        <v>2015</v>
      </c>
      <c r="C3330" t="s">
        <v>739</v>
      </c>
      <c r="D3330" t="s">
        <v>740</v>
      </c>
      <c r="E3330" t="s">
        <v>743</v>
      </c>
      <c r="F3330" s="45">
        <v>548</v>
      </c>
      <c r="G3330" s="50" t="s">
        <v>506</v>
      </c>
      <c r="H3330" s="53">
        <v>95664</v>
      </c>
      <c r="I3330" s="58">
        <v>705554</v>
      </c>
      <c r="J3330">
        <f>IFERROR(VLOOKUP(G3330,'LEAID Match'!$A$2:$B$526,2,FALSE),"")</f>
        <v>2918240</v>
      </c>
      <c r="K3330" s="68">
        <f t="shared" si="103"/>
        <v>8</v>
      </c>
    </row>
    <row r="3331" spans="1:11" x14ac:dyDescent="0.2">
      <c r="A3331">
        <f t="shared" ref="A3331:A3394" si="104">J3331</f>
        <v>2918240</v>
      </c>
      <c r="B3331">
        <v>2016</v>
      </c>
      <c r="C3331" t="s">
        <v>739</v>
      </c>
      <c r="D3331" t="s">
        <v>740</v>
      </c>
      <c r="E3331" t="s">
        <v>743</v>
      </c>
      <c r="F3331" s="34">
        <v>548</v>
      </c>
      <c r="G3331" s="34" t="s">
        <v>506</v>
      </c>
      <c r="H3331" s="36">
        <v>98610</v>
      </c>
      <c r="I3331" s="60">
        <v>721508</v>
      </c>
      <c r="J3331">
        <f>IFERROR(VLOOKUP(G3331,'LEAID Match'!$A$2:$B$526,2,FALSE),"")</f>
        <v>2918240</v>
      </c>
      <c r="K3331" s="68">
        <f t="shared" ref="K3331:K3394" si="105">COUNTIF($J$2:$J$4295,J3331)</f>
        <v>8</v>
      </c>
    </row>
    <row r="3332" spans="1:11" x14ac:dyDescent="0.2">
      <c r="A3332">
        <f t="shared" si="104"/>
        <v>2918240</v>
      </c>
      <c r="B3332">
        <v>2017</v>
      </c>
      <c r="C3332" t="s">
        <v>739</v>
      </c>
      <c r="D3332" t="s">
        <v>740</v>
      </c>
      <c r="E3332" t="s">
        <v>743</v>
      </c>
      <c r="F3332" s="34">
        <v>548</v>
      </c>
      <c r="G3332" s="34" t="s">
        <v>506</v>
      </c>
      <c r="H3332" s="36">
        <v>110186</v>
      </c>
      <c r="I3332" s="58">
        <v>728416</v>
      </c>
      <c r="J3332">
        <f>IFERROR(VLOOKUP(G3332,'LEAID Match'!$A$2:$B$526,2,FALSE),"")</f>
        <v>2918240</v>
      </c>
      <c r="K3332" s="68">
        <f t="shared" si="105"/>
        <v>8</v>
      </c>
    </row>
    <row r="3333" spans="1:11" x14ac:dyDescent="0.2">
      <c r="A3333">
        <f t="shared" si="104"/>
        <v>2918240</v>
      </c>
      <c r="B3333">
        <v>2018</v>
      </c>
      <c r="C3333" t="s">
        <v>739</v>
      </c>
      <c r="D3333" t="s">
        <v>740</v>
      </c>
      <c r="E3333" t="s">
        <v>743</v>
      </c>
      <c r="F3333" s="34">
        <v>548</v>
      </c>
      <c r="G3333" s="34" t="s">
        <v>506</v>
      </c>
      <c r="H3333" s="36">
        <v>112158</v>
      </c>
      <c r="I3333" s="58">
        <v>754478</v>
      </c>
      <c r="J3333">
        <f>IFERROR(VLOOKUP(G3333,'LEAID Match'!$A$2:$B$526,2,FALSE),"")</f>
        <v>2918240</v>
      </c>
      <c r="K3333" s="68">
        <f t="shared" si="105"/>
        <v>8</v>
      </c>
    </row>
    <row r="3334" spans="1:11" x14ac:dyDescent="0.2">
      <c r="A3334">
        <f t="shared" si="104"/>
        <v>2918240</v>
      </c>
      <c r="B3334">
        <v>2019</v>
      </c>
      <c r="C3334" t="s">
        <v>739</v>
      </c>
      <c r="D3334" t="s">
        <v>740</v>
      </c>
      <c r="E3334" t="s">
        <v>743</v>
      </c>
      <c r="F3334" s="34">
        <v>548</v>
      </c>
      <c r="G3334" s="34" t="s">
        <v>506</v>
      </c>
      <c r="H3334" s="36">
        <v>120233</v>
      </c>
      <c r="I3334" s="58">
        <v>766657</v>
      </c>
      <c r="J3334">
        <f>IFERROR(VLOOKUP(G3334,'LEAID Match'!$A$2:$B$526,2,FALSE),"")</f>
        <v>2918240</v>
      </c>
      <c r="K3334" s="68">
        <f t="shared" si="105"/>
        <v>8</v>
      </c>
    </row>
    <row r="3335" spans="1:11" x14ac:dyDescent="0.2">
      <c r="A3335">
        <f t="shared" si="104"/>
        <v>2918240</v>
      </c>
      <c r="B3335">
        <v>2020</v>
      </c>
      <c r="C3335" t="s">
        <v>739</v>
      </c>
      <c r="D3335" t="s">
        <v>740</v>
      </c>
      <c r="E3335" t="s">
        <v>743</v>
      </c>
      <c r="F3335" s="34">
        <v>548</v>
      </c>
      <c r="G3335" s="34" t="s">
        <v>506</v>
      </c>
      <c r="H3335" s="36">
        <v>116437</v>
      </c>
      <c r="I3335" s="58">
        <v>736325</v>
      </c>
      <c r="J3335">
        <f>IFERROR(VLOOKUP(G3335,'LEAID Match'!$A$2:$B$526,2,FALSE),"")</f>
        <v>2918240</v>
      </c>
      <c r="K3335" s="68">
        <f t="shared" si="105"/>
        <v>8</v>
      </c>
    </row>
    <row r="3336" spans="1:11" x14ac:dyDescent="0.2">
      <c r="A3336">
        <f t="shared" si="104"/>
        <v>2918240</v>
      </c>
      <c r="B3336">
        <v>2021</v>
      </c>
      <c r="C3336" t="s">
        <v>739</v>
      </c>
      <c r="D3336" t="s">
        <v>740</v>
      </c>
      <c r="E3336" t="s">
        <v>743</v>
      </c>
      <c r="F3336" s="34">
        <v>548</v>
      </c>
      <c r="G3336" s="34" t="s">
        <v>506</v>
      </c>
      <c r="H3336" s="36">
        <v>120767</v>
      </c>
      <c r="I3336" s="58">
        <v>759575</v>
      </c>
      <c r="J3336">
        <f>IFERROR(VLOOKUP(G3336,'LEAID Match'!$A$2:$B$526,2,FALSE),"")</f>
        <v>2918240</v>
      </c>
      <c r="K3336" s="68">
        <f t="shared" si="105"/>
        <v>8</v>
      </c>
    </row>
    <row r="3337" spans="1:11" x14ac:dyDescent="0.2">
      <c r="A3337">
        <f t="shared" si="104"/>
        <v>2918240</v>
      </c>
      <c r="B3337">
        <v>2022</v>
      </c>
      <c r="C3337" t="s">
        <v>739</v>
      </c>
      <c r="D3337" t="s">
        <v>740</v>
      </c>
      <c r="E3337" t="s">
        <v>743</v>
      </c>
      <c r="F3337" s="34">
        <v>548</v>
      </c>
      <c r="G3337" s="34" t="s">
        <v>506</v>
      </c>
      <c r="H3337" s="36">
        <v>135481</v>
      </c>
      <c r="I3337" s="58">
        <v>750970</v>
      </c>
      <c r="J3337">
        <f>IFERROR(VLOOKUP(G3337,'LEAID Match'!$A$2:$B$526,2,FALSE),"")</f>
        <v>2918240</v>
      </c>
      <c r="K3337" s="68">
        <f t="shared" si="105"/>
        <v>8</v>
      </c>
    </row>
    <row r="3338" spans="1:11" x14ac:dyDescent="0.2">
      <c r="A3338">
        <f t="shared" si="104"/>
        <v>2905130</v>
      </c>
      <c r="B3338">
        <v>2015</v>
      </c>
      <c r="C3338" t="s">
        <v>739</v>
      </c>
      <c r="D3338" t="s">
        <v>740</v>
      </c>
      <c r="E3338" t="s">
        <v>743</v>
      </c>
      <c r="F3338" s="45">
        <v>549</v>
      </c>
      <c r="G3338" s="50" t="s">
        <v>507</v>
      </c>
      <c r="H3338" s="53">
        <v>46677</v>
      </c>
      <c r="I3338" s="58">
        <v>372030</v>
      </c>
      <c r="J3338">
        <f>IFERROR(VLOOKUP(G3338,'LEAID Match'!$A$2:$B$526,2,FALSE),"")</f>
        <v>2905130</v>
      </c>
      <c r="K3338" s="68">
        <f t="shared" si="105"/>
        <v>8</v>
      </c>
    </row>
    <row r="3339" spans="1:11" x14ac:dyDescent="0.2">
      <c r="A3339">
        <f t="shared" si="104"/>
        <v>2905130</v>
      </c>
      <c r="B3339">
        <v>2016</v>
      </c>
      <c r="C3339" t="s">
        <v>739</v>
      </c>
      <c r="D3339" t="s">
        <v>740</v>
      </c>
      <c r="E3339" t="s">
        <v>743</v>
      </c>
      <c r="F3339" s="34">
        <v>549</v>
      </c>
      <c r="G3339" s="34" t="s">
        <v>507</v>
      </c>
      <c r="H3339" s="36">
        <v>56002</v>
      </c>
      <c r="I3339" s="60">
        <v>382042</v>
      </c>
      <c r="J3339">
        <f>IFERROR(VLOOKUP(G3339,'LEAID Match'!$A$2:$B$526,2,FALSE),"")</f>
        <v>2905130</v>
      </c>
      <c r="K3339" s="68">
        <f t="shared" si="105"/>
        <v>8</v>
      </c>
    </row>
    <row r="3340" spans="1:11" x14ac:dyDescent="0.2">
      <c r="A3340">
        <f t="shared" si="104"/>
        <v>2905130</v>
      </c>
      <c r="B3340">
        <v>2017</v>
      </c>
      <c r="C3340" t="s">
        <v>739</v>
      </c>
      <c r="D3340" t="s">
        <v>740</v>
      </c>
      <c r="E3340" t="s">
        <v>743</v>
      </c>
      <c r="F3340" s="34">
        <v>549</v>
      </c>
      <c r="G3340" s="34" t="s">
        <v>507</v>
      </c>
      <c r="H3340" s="36">
        <v>54014</v>
      </c>
      <c r="I3340" s="58">
        <v>384698</v>
      </c>
      <c r="J3340">
        <f>IFERROR(VLOOKUP(G3340,'LEAID Match'!$A$2:$B$526,2,FALSE),"")</f>
        <v>2905130</v>
      </c>
      <c r="K3340" s="68">
        <f t="shared" si="105"/>
        <v>8</v>
      </c>
    </row>
    <row r="3341" spans="1:11" x14ac:dyDescent="0.2">
      <c r="A3341">
        <f t="shared" si="104"/>
        <v>2905130</v>
      </c>
      <c r="B3341">
        <v>2018</v>
      </c>
      <c r="C3341" t="s">
        <v>739</v>
      </c>
      <c r="D3341" t="s">
        <v>740</v>
      </c>
      <c r="E3341" t="s">
        <v>743</v>
      </c>
      <c r="F3341" s="34">
        <v>549</v>
      </c>
      <c r="G3341" s="34" t="s">
        <v>507</v>
      </c>
      <c r="H3341" s="36">
        <v>54343</v>
      </c>
      <c r="I3341" s="58">
        <v>342031</v>
      </c>
      <c r="J3341">
        <f>IFERROR(VLOOKUP(G3341,'LEAID Match'!$A$2:$B$526,2,FALSE),"")</f>
        <v>2905130</v>
      </c>
      <c r="K3341" s="68">
        <f t="shared" si="105"/>
        <v>8</v>
      </c>
    </row>
    <row r="3342" spans="1:11" x14ac:dyDescent="0.2">
      <c r="A3342">
        <f t="shared" si="104"/>
        <v>2905130</v>
      </c>
      <c r="B3342">
        <v>2019</v>
      </c>
      <c r="C3342" t="s">
        <v>739</v>
      </c>
      <c r="D3342" t="s">
        <v>740</v>
      </c>
      <c r="E3342" t="s">
        <v>743</v>
      </c>
      <c r="F3342" s="34">
        <v>549</v>
      </c>
      <c r="G3342" s="34" t="s">
        <v>507</v>
      </c>
      <c r="H3342" s="36">
        <v>57642</v>
      </c>
      <c r="I3342" s="58">
        <v>358463</v>
      </c>
      <c r="J3342">
        <f>IFERROR(VLOOKUP(G3342,'LEAID Match'!$A$2:$B$526,2,FALSE),"")</f>
        <v>2905130</v>
      </c>
      <c r="K3342" s="68">
        <f t="shared" si="105"/>
        <v>8</v>
      </c>
    </row>
    <row r="3343" spans="1:11" x14ac:dyDescent="0.2">
      <c r="A3343">
        <f t="shared" si="104"/>
        <v>2905130</v>
      </c>
      <c r="B3343">
        <v>2020</v>
      </c>
      <c r="C3343" t="s">
        <v>739</v>
      </c>
      <c r="D3343" t="s">
        <v>740</v>
      </c>
      <c r="E3343" t="s">
        <v>743</v>
      </c>
      <c r="F3343" s="34">
        <v>549</v>
      </c>
      <c r="G3343" s="34" t="s">
        <v>507</v>
      </c>
      <c r="H3343" s="36">
        <v>56187</v>
      </c>
      <c r="I3343" s="58">
        <v>351665</v>
      </c>
      <c r="J3343">
        <f>IFERROR(VLOOKUP(G3343,'LEAID Match'!$A$2:$B$526,2,FALSE),"")</f>
        <v>2905130</v>
      </c>
      <c r="K3343" s="68">
        <f t="shared" si="105"/>
        <v>8</v>
      </c>
    </row>
    <row r="3344" spans="1:11" x14ac:dyDescent="0.2">
      <c r="A3344">
        <f t="shared" si="104"/>
        <v>2905130</v>
      </c>
      <c r="B3344">
        <v>2021</v>
      </c>
      <c r="C3344" t="s">
        <v>739</v>
      </c>
      <c r="D3344" t="s">
        <v>740</v>
      </c>
      <c r="E3344" t="s">
        <v>743</v>
      </c>
      <c r="F3344" s="34">
        <v>549</v>
      </c>
      <c r="G3344" s="34" t="s">
        <v>507</v>
      </c>
      <c r="H3344" s="36">
        <v>56746</v>
      </c>
      <c r="I3344" s="58">
        <v>349602</v>
      </c>
      <c r="J3344">
        <f>IFERROR(VLOOKUP(G3344,'LEAID Match'!$A$2:$B$526,2,FALSE),"")</f>
        <v>2905130</v>
      </c>
      <c r="K3344" s="68">
        <f t="shared" si="105"/>
        <v>8</v>
      </c>
    </row>
    <row r="3345" spans="1:11" x14ac:dyDescent="0.2">
      <c r="A3345">
        <f t="shared" si="104"/>
        <v>2905130</v>
      </c>
      <c r="B3345">
        <v>2022</v>
      </c>
      <c r="C3345" t="s">
        <v>739</v>
      </c>
      <c r="D3345" t="s">
        <v>740</v>
      </c>
      <c r="E3345" t="s">
        <v>743</v>
      </c>
      <c r="F3345" s="34">
        <v>549</v>
      </c>
      <c r="G3345" s="34" t="s">
        <v>507</v>
      </c>
      <c r="H3345" s="36">
        <v>59027</v>
      </c>
      <c r="I3345" s="58">
        <v>369960</v>
      </c>
      <c r="J3345">
        <f>IFERROR(VLOOKUP(G3345,'LEAID Match'!$A$2:$B$526,2,FALSE),"")</f>
        <v>2905130</v>
      </c>
      <c r="K3345" s="68">
        <f t="shared" si="105"/>
        <v>8</v>
      </c>
    </row>
    <row r="3346" spans="1:11" x14ac:dyDescent="0.2">
      <c r="A3346">
        <f t="shared" si="104"/>
        <v>2911910</v>
      </c>
      <c r="B3346">
        <v>2015</v>
      </c>
      <c r="C3346" t="s">
        <v>739</v>
      </c>
      <c r="D3346" t="s">
        <v>740</v>
      </c>
      <c r="E3346" t="s">
        <v>743</v>
      </c>
      <c r="F3346" s="45">
        <v>550</v>
      </c>
      <c r="G3346" s="50" t="s">
        <v>508</v>
      </c>
      <c r="H3346" s="53">
        <v>369732</v>
      </c>
      <c r="I3346" s="58">
        <v>2523654</v>
      </c>
      <c r="J3346">
        <f>IFERROR(VLOOKUP(G3346,'LEAID Match'!$A$2:$B$526,2,FALSE),"")</f>
        <v>2911910</v>
      </c>
      <c r="K3346" s="68">
        <f t="shared" si="105"/>
        <v>8</v>
      </c>
    </row>
    <row r="3347" spans="1:11" x14ac:dyDescent="0.2">
      <c r="A3347">
        <f t="shared" si="104"/>
        <v>2911910</v>
      </c>
      <c r="B3347">
        <v>2016</v>
      </c>
      <c r="C3347" t="s">
        <v>739</v>
      </c>
      <c r="D3347" t="s">
        <v>740</v>
      </c>
      <c r="E3347" t="s">
        <v>743</v>
      </c>
      <c r="F3347" s="34">
        <v>550</v>
      </c>
      <c r="G3347" s="34" t="s">
        <v>508</v>
      </c>
      <c r="H3347" s="36">
        <v>381031</v>
      </c>
      <c r="I3347" s="60">
        <v>2573638</v>
      </c>
      <c r="J3347">
        <f>IFERROR(VLOOKUP(G3347,'LEAID Match'!$A$2:$B$526,2,FALSE),"")</f>
        <v>2911910</v>
      </c>
      <c r="K3347" s="68">
        <f t="shared" si="105"/>
        <v>8</v>
      </c>
    </row>
    <row r="3348" spans="1:11" x14ac:dyDescent="0.2">
      <c r="A3348">
        <f t="shared" si="104"/>
        <v>2911910</v>
      </c>
      <c r="B3348">
        <v>2017</v>
      </c>
      <c r="C3348" t="s">
        <v>739</v>
      </c>
      <c r="D3348" t="s">
        <v>740</v>
      </c>
      <c r="E3348" t="s">
        <v>743</v>
      </c>
      <c r="F3348" s="34">
        <v>550</v>
      </c>
      <c r="G3348" s="34" t="s">
        <v>508</v>
      </c>
      <c r="H3348" s="36">
        <v>400046</v>
      </c>
      <c r="I3348" s="58">
        <v>2601269</v>
      </c>
      <c r="J3348">
        <f>IFERROR(VLOOKUP(G3348,'LEAID Match'!$A$2:$B$526,2,FALSE),"")</f>
        <v>2911910</v>
      </c>
      <c r="K3348" s="68">
        <f t="shared" si="105"/>
        <v>8</v>
      </c>
    </row>
    <row r="3349" spans="1:11" x14ac:dyDescent="0.2">
      <c r="A3349">
        <f t="shared" si="104"/>
        <v>2911910</v>
      </c>
      <c r="B3349">
        <v>2018</v>
      </c>
      <c r="C3349" t="s">
        <v>739</v>
      </c>
      <c r="D3349" t="s">
        <v>740</v>
      </c>
      <c r="E3349" t="s">
        <v>743</v>
      </c>
      <c r="F3349" s="34">
        <v>550</v>
      </c>
      <c r="G3349" s="34" t="s">
        <v>508</v>
      </c>
      <c r="H3349" s="36">
        <v>417789</v>
      </c>
      <c r="I3349" s="58">
        <v>2622866</v>
      </c>
      <c r="J3349">
        <f>IFERROR(VLOOKUP(G3349,'LEAID Match'!$A$2:$B$526,2,FALSE),"")</f>
        <v>2911910</v>
      </c>
      <c r="K3349" s="68">
        <f t="shared" si="105"/>
        <v>8</v>
      </c>
    </row>
    <row r="3350" spans="1:11" x14ac:dyDescent="0.2">
      <c r="A3350">
        <f t="shared" si="104"/>
        <v>2911910</v>
      </c>
      <c r="B3350">
        <v>2019</v>
      </c>
      <c r="C3350" t="s">
        <v>739</v>
      </c>
      <c r="D3350" t="s">
        <v>740</v>
      </c>
      <c r="E3350" t="s">
        <v>743</v>
      </c>
      <c r="F3350" s="34">
        <v>550</v>
      </c>
      <c r="G3350" s="34" t="s">
        <v>508</v>
      </c>
      <c r="H3350" s="36">
        <v>435176</v>
      </c>
      <c r="I3350" s="58">
        <v>2607655</v>
      </c>
      <c r="J3350">
        <f>IFERROR(VLOOKUP(G3350,'LEAID Match'!$A$2:$B$526,2,FALSE),"")</f>
        <v>2911910</v>
      </c>
      <c r="K3350" s="68">
        <f t="shared" si="105"/>
        <v>8</v>
      </c>
    </row>
    <row r="3351" spans="1:11" x14ac:dyDescent="0.2">
      <c r="A3351">
        <f t="shared" si="104"/>
        <v>2911910</v>
      </c>
      <c r="B3351">
        <v>2020</v>
      </c>
      <c r="C3351" t="s">
        <v>739</v>
      </c>
      <c r="D3351" t="s">
        <v>740</v>
      </c>
      <c r="E3351" t="s">
        <v>743</v>
      </c>
      <c r="F3351" s="34">
        <v>550</v>
      </c>
      <c r="G3351" s="34" t="s">
        <v>508</v>
      </c>
      <c r="H3351" s="36">
        <v>453801</v>
      </c>
      <c r="I3351" s="58">
        <v>2658841</v>
      </c>
      <c r="J3351">
        <f>IFERROR(VLOOKUP(G3351,'LEAID Match'!$A$2:$B$526,2,FALSE),"")</f>
        <v>2911910</v>
      </c>
      <c r="K3351" s="68">
        <f t="shared" si="105"/>
        <v>8</v>
      </c>
    </row>
    <row r="3352" spans="1:11" x14ac:dyDescent="0.2">
      <c r="A3352">
        <f t="shared" si="104"/>
        <v>2911910</v>
      </c>
      <c r="B3352">
        <v>2021</v>
      </c>
      <c r="C3352" t="s">
        <v>739</v>
      </c>
      <c r="D3352" t="s">
        <v>740</v>
      </c>
      <c r="E3352" t="s">
        <v>743</v>
      </c>
      <c r="F3352" s="34">
        <v>550</v>
      </c>
      <c r="G3352" s="34" t="s">
        <v>508</v>
      </c>
      <c r="H3352" s="36">
        <v>472406</v>
      </c>
      <c r="I3352" s="58">
        <v>2733929</v>
      </c>
      <c r="J3352">
        <f>IFERROR(VLOOKUP(G3352,'LEAID Match'!$A$2:$B$526,2,FALSE),"")</f>
        <v>2911910</v>
      </c>
      <c r="K3352" s="68">
        <f t="shared" si="105"/>
        <v>8</v>
      </c>
    </row>
    <row r="3353" spans="1:11" x14ac:dyDescent="0.2">
      <c r="A3353">
        <f t="shared" si="104"/>
        <v>2911910</v>
      </c>
      <c r="B3353">
        <v>2022</v>
      </c>
      <c r="C3353" t="s">
        <v>739</v>
      </c>
      <c r="D3353" t="s">
        <v>740</v>
      </c>
      <c r="E3353" t="s">
        <v>743</v>
      </c>
      <c r="F3353" s="34">
        <v>550</v>
      </c>
      <c r="G3353" s="34" t="s">
        <v>508</v>
      </c>
      <c r="H3353" s="36">
        <v>514156</v>
      </c>
      <c r="I3353" s="58">
        <v>2829995</v>
      </c>
      <c r="J3353">
        <f>IFERROR(VLOOKUP(G3353,'LEAID Match'!$A$2:$B$526,2,FALSE),"")</f>
        <v>2911910</v>
      </c>
      <c r="K3353" s="68">
        <f t="shared" si="105"/>
        <v>8</v>
      </c>
    </row>
    <row r="3354" spans="1:11" x14ac:dyDescent="0.2">
      <c r="A3354">
        <f t="shared" si="104"/>
        <v>2929370</v>
      </c>
      <c r="B3354">
        <v>2015</v>
      </c>
      <c r="C3354" t="s">
        <v>739</v>
      </c>
      <c r="D3354" t="s">
        <v>740</v>
      </c>
      <c r="E3354" t="s">
        <v>743</v>
      </c>
      <c r="F3354" s="45">
        <v>557</v>
      </c>
      <c r="G3354" s="50" t="s">
        <v>509</v>
      </c>
      <c r="H3354" s="53">
        <v>202710</v>
      </c>
      <c r="I3354" s="58">
        <v>1531088</v>
      </c>
      <c r="J3354">
        <f>IFERROR(VLOOKUP(G3354,'LEAID Match'!$A$2:$B$526,2,FALSE),"")</f>
        <v>2929370</v>
      </c>
      <c r="K3354" s="68">
        <f t="shared" si="105"/>
        <v>8</v>
      </c>
    </row>
    <row r="3355" spans="1:11" x14ac:dyDescent="0.2">
      <c r="A3355">
        <f t="shared" si="104"/>
        <v>2929370</v>
      </c>
      <c r="B3355">
        <v>2016</v>
      </c>
      <c r="C3355" t="s">
        <v>739</v>
      </c>
      <c r="D3355" t="s">
        <v>740</v>
      </c>
      <c r="E3355" t="s">
        <v>743</v>
      </c>
      <c r="F3355" s="34">
        <v>557</v>
      </c>
      <c r="G3355" s="34" t="s">
        <v>509</v>
      </c>
      <c r="H3355" s="36">
        <v>205189</v>
      </c>
      <c r="I3355" s="60">
        <v>1614677</v>
      </c>
      <c r="J3355">
        <f>IFERROR(VLOOKUP(G3355,'LEAID Match'!$A$2:$B$526,2,FALSE),"")</f>
        <v>2929370</v>
      </c>
      <c r="K3355" s="68">
        <f t="shared" si="105"/>
        <v>8</v>
      </c>
    </row>
    <row r="3356" spans="1:11" x14ac:dyDescent="0.2">
      <c r="A3356">
        <f t="shared" si="104"/>
        <v>2929370</v>
      </c>
      <c r="B3356">
        <v>2017</v>
      </c>
      <c r="C3356" t="s">
        <v>739</v>
      </c>
      <c r="D3356" t="s">
        <v>740</v>
      </c>
      <c r="E3356" t="s">
        <v>743</v>
      </c>
      <c r="F3356" s="34">
        <v>557</v>
      </c>
      <c r="G3356" s="34" t="s">
        <v>509</v>
      </c>
      <c r="H3356" s="36">
        <v>222446</v>
      </c>
      <c r="I3356" s="58">
        <v>1641762</v>
      </c>
      <c r="J3356">
        <f>IFERROR(VLOOKUP(G3356,'LEAID Match'!$A$2:$B$526,2,FALSE),"")</f>
        <v>2929370</v>
      </c>
      <c r="K3356" s="68">
        <f t="shared" si="105"/>
        <v>8</v>
      </c>
    </row>
    <row r="3357" spans="1:11" x14ac:dyDescent="0.2">
      <c r="A3357">
        <f t="shared" si="104"/>
        <v>2929370</v>
      </c>
      <c r="B3357">
        <v>2018</v>
      </c>
      <c r="C3357" t="s">
        <v>739</v>
      </c>
      <c r="D3357" t="s">
        <v>740</v>
      </c>
      <c r="E3357" t="s">
        <v>743</v>
      </c>
      <c r="F3357" s="34">
        <v>557</v>
      </c>
      <c r="G3357" s="34" t="s">
        <v>509</v>
      </c>
      <c r="H3357" s="36">
        <v>234965</v>
      </c>
      <c r="I3357" s="58">
        <v>1689327</v>
      </c>
      <c r="J3357">
        <f>IFERROR(VLOOKUP(G3357,'LEAID Match'!$A$2:$B$526,2,FALSE),"")</f>
        <v>2929370</v>
      </c>
      <c r="K3357" s="68">
        <f t="shared" si="105"/>
        <v>8</v>
      </c>
    </row>
    <row r="3358" spans="1:11" x14ac:dyDescent="0.2">
      <c r="A3358">
        <f t="shared" si="104"/>
        <v>2929370</v>
      </c>
      <c r="B3358">
        <v>2019</v>
      </c>
      <c r="C3358" t="s">
        <v>739</v>
      </c>
      <c r="D3358" t="s">
        <v>740</v>
      </c>
      <c r="E3358" t="s">
        <v>743</v>
      </c>
      <c r="F3358" s="34">
        <v>557</v>
      </c>
      <c r="G3358" s="34" t="s">
        <v>509</v>
      </c>
      <c r="H3358" s="36">
        <v>235673</v>
      </c>
      <c r="I3358" s="58">
        <v>1740340</v>
      </c>
      <c r="J3358">
        <f>IFERROR(VLOOKUP(G3358,'LEAID Match'!$A$2:$B$526,2,FALSE),"")</f>
        <v>2929370</v>
      </c>
      <c r="K3358" s="68">
        <f t="shared" si="105"/>
        <v>8</v>
      </c>
    </row>
    <row r="3359" spans="1:11" x14ac:dyDescent="0.2">
      <c r="A3359">
        <f t="shared" si="104"/>
        <v>2929370</v>
      </c>
      <c r="B3359">
        <v>2020</v>
      </c>
      <c r="C3359" t="s">
        <v>739</v>
      </c>
      <c r="D3359" t="s">
        <v>740</v>
      </c>
      <c r="E3359" t="s">
        <v>743</v>
      </c>
      <c r="F3359" s="34">
        <v>557</v>
      </c>
      <c r="G3359" s="34" t="s">
        <v>509</v>
      </c>
      <c r="H3359" s="36">
        <v>244301</v>
      </c>
      <c r="I3359" s="58">
        <v>1756056</v>
      </c>
      <c r="J3359">
        <f>IFERROR(VLOOKUP(G3359,'LEAID Match'!$A$2:$B$526,2,FALSE),"")</f>
        <v>2929370</v>
      </c>
      <c r="K3359" s="68">
        <f t="shared" si="105"/>
        <v>8</v>
      </c>
    </row>
    <row r="3360" spans="1:11" x14ac:dyDescent="0.2">
      <c r="A3360">
        <f t="shared" si="104"/>
        <v>2929370</v>
      </c>
      <c r="B3360">
        <v>2021</v>
      </c>
      <c r="C3360" t="s">
        <v>739</v>
      </c>
      <c r="D3360" t="s">
        <v>740</v>
      </c>
      <c r="E3360" t="s">
        <v>743</v>
      </c>
      <c r="F3360" s="34">
        <v>557</v>
      </c>
      <c r="G3360" s="34" t="s">
        <v>509</v>
      </c>
      <c r="H3360" s="36">
        <v>237083</v>
      </c>
      <c r="I3360" s="58">
        <v>1796518</v>
      </c>
      <c r="J3360">
        <f>IFERROR(VLOOKUP(G3360,'LEAID Match'!$A$2:$B$526,2,FALSE),"")</f>
        <v>2929370</v>
      </c>
      <c r="K3360" s="68">
        <f t="shared" si="105"/>
        <v>8</v>
      </c>
    </row>
    <row r="3361" spans="1:11" x14ac:dyDescent="0.2">
      <c r="A3361">
        <f t="shared" si="104"/>
        <v>2929370</v>
      </c>
      <c r="B3361">
        <v>2022</v>
      </c>
      <c r="C3361" t="s">
        <v>739</v>
      </c>
      <c r="D3361" t="s">
        <v>740</v>
      </c>
      <c r="E3361" t="s">
        <v>743</v>
      </c>
      <c r="F3361" s="34">
        <v>557</v>
      </c>
      <c r="G3361" s="34" t="s">
        <v>509</v>
      </c>
      <c r="H3361" s="36">
        <v>250539</v>
      </c>
      <c r="I3361" s="58">
        <v>1873702</v>
      </c>
      <c r="J3361">
        <f>IFERROR(VLOOKUP(G3361,'LEAID Match'!$A$2:$B$526,2,FALSE),"")</f>
        <v>2929370</v>
      </c>
      <c r="K3361" s="68">
        <f t="shared" si="105"/>
        <v>8</v>
      </c>
    </row>
    <row r="3362" spans="1:11" x14ac:dyDescent="0.2">
      <c r="A3362">
        <f t="shared" si="104"/>
        <v>2913830</v>
      </c>
      <c r="B3362">
        <v>2015</v>
      </c>
      <c r="C3362" t="s">
        <v>739</v>
      </c>
      <c r="D3362" t="s">
        <v>740</v>
      </c>
      <c r="E3362" t="s">
        <v>743</v>
      </c>
      <c r="F3362" s="45">
        <v>559</v>
      </c>
      <c r="G3362" s="34" t="s">
        <v>666</v>
      </c>
      <c r="H3362" s="53">
        <v>2402983</v>
      </c>
      <c r="I3362" s="58">
        <v>14587757</v>
      </c>
      <c r="J3362">
        <f>IFERROR(VLOOKUP(G3362,'LEAID Match'!$A$2:$B$526,2,FALSE),"")</f>
        <v>2913830</v>
      </c>
      <c r="K3362" s="68">
        <f t="shared" si="105"/>
        <v>8</v>
      </c>
    </row>
    <row r="3363" spans="1:11" x14ac:dyDescent="0.2">
      <c r="A3363">
        <f t="shared" si="104"/>
        <v>2913830</v>
      </c>
      <c r="B3363">
        <v>2016</v>
      </c>
      <c r="C3363" t="s">
        <v>739</v>
      </c>
      <c r="D3363" t="s">
        <v>740</v>
      </c>
      <c r="E3363" t="s">
        <v>743</v>
      </c>
      <c r="F3363" s="34">
        <v>559</v>
      </c>
      <c r="G3363" s="34" t="s">
        <v>666</v>
      </c>
      <c r="H3363" s="36">
        <v>2413133</v>
      </c>
      <c r="I3363" s="60">
        <v>14805664</v>
      </c>
      <c r="J3363">
        <f>IFERROR(VLOOKUP(G3363,'LEAID Match'!$A$2:$B$526,2,FALSE),"")</f>
        <v>2913830</v>
      </c>
      <c r="K3363" s="68">
        <f t="shared" si="105"/>
        <v>8</v>
      </c>
    </row>
    <row r="3364" spans="1:11" x14ac:dyDescent="0.2">
      <c r="A3364">
        <f t="shared" si="104"/>
        <v>2913830</v>
      </c>
      <c r="B3364">
        <v>2017</v>
      </c>
      <c r="C3364" t="s">
        <v>739</v>
      </c>
      <c r="D3364" t="s">
        <v>740</v>
      </c>
      <c r="E3364" t="s">
        <v>743</v>
      </c>
      <c r="F3364" s="34">
        <v>559</v>
      </c>
      <c r="G3364" s="34" t="s">
        <v>666</v>
      </c>
      <c r="H3364" s="36">
        <v>2297198</v>
      </c>
      <c r="I3364" s="58">
        <v>14617671</v>
      </c>
      <c r="J3364">
        <f>IFERROR(VLOOKUP(G3364,'LEAID Match'!$A$2:$B$526,2,FALSE),"")</f>
        <v>2913830</v>
      </c>
      <c r="K3364" s="68">
        <f t="shared" si="105"/>
        <v>8</v>
      </c>
    </row>
    <row r="3365" spans="1:11" x14ac:dyDescent="0.2">
      <c r="A3365">
        <f t="shared" si="104"/>
        <v>2913830</v>
      </c>
      <c r="B3365">
        <v>2018</v>
      </c>
      <c r="C3365" t="s">
        <v>739</v>
      </c>
      <c r="D3365" t="s">
        <v>740</v>
      </c>
      <c r="E3365" t="s">
        <v>743</v>
      </c>
      <c r="F3365" s="34">
        <v>559</v>
      </c>
      <c r="G3365" s="34" t="s">
        <v>666</v>
      </c>
      <c r="H3365" s="36">
        <v>2232998</v>
      </c>
      <c r="I3365" s="58">
        <v>14025948</v>
      </c>
      <c r="J3365">
        <f>IFERROR(VLOOKUP(G3365,'LEAID Match'!$A$2:$B$526,2,FALSE),"")</f>
        <v>2913830</v>
      </c>
      <c r="K3365" s="68">
        <f t="shared" si="105"/>
        <v>8</v>
      </c>
    </row>
    <row r="3366" spans="1:11" x14ac:dyDescent="0.2">
      <c r="A3366">
        <f t="shared" si="104"/>
        <v>2913830</v>
      </c>
      <c r="B3366">
        <v>2019</v>
      </c>
      <c r="C3366" t="s">
        <v>739</v>
      </c>
      <c r="D3366" t="s">
        <v>740</v>
      </c>
      <c r="E3366" t="s">
        <v>743</v>
      </c>
      <c r="F3366" s="34">
        <v>559</v>
      </c>
      <c r="G3366" s="34" t="s">
        <v>666</v>
      </c>
      <c r="H3366" s="36">
        <v>2398390</v>
      </c>
      <c r="I3366" s="58">
        <v>14389963</v>
      </c>
      <c r="J3366">
        <f>IFERROR(VLOOKUP(G3366,'LEAID Match'!$A$2:$B$526,2,FALSE),"")</f>
        <v>2913830</v>
      </c>
      <c r="K3366" s="68">
        <f t="shared" si="105"/>
        <v>8</v>
      </c>
    </row>
    <row r="3367" spans="1:11" x14ac:dyDescent="0.2">
      <c r="A3367">
        <f t="shared" si="104"/>
        <v>2913830</v>
      </c>
      <c r="B3367">
        <v>2020</v>
      </c>
      <c r="C3367" t="s">
        <v>739</v>
      </c>
      <c r="D3367" t="s">
        <v>740</v>
      </c>
      <c r="E3367" t="s">
        <v>743</v>
      </c>
      <c r="F3367" s="34">
        <v>559</v>
      </c>
      <c r="G3367" s="34" t="s">
        <v>666</v>
      </c>
      <c r="H3367" s="36">
        <v>2571385</v>
      </c>
      <c r="I3367" s="58">
        <v>14992167</v>
      </c>
      <c r="J3367">
        <f>IFERROR(VLOOKUP(G3367,'LEAID Match'!$A$2:$B$526,2,FALSE),"")</f>
        <v>2913830</v>
      </c>
      <c r="K3367" s="68">
        <f t="shared" si="105"/>
        <v>8</v>
      </c>
    </row>
    <row r="3368" spans="1:11" x14ac:dyDescent="0.2">
      <c r="A3368">
        <f t="shared" si="104"/>
        <v>2913830</v>
      </c>
      <c r="B3368">
        <v>2021</v>
      </c>
      <c r="C3368" t="s">
        <v>739</v>
      </c>
      <c r="D3368" t="s">
        <v>740</v>
      </c>
      <c r="E3368" t="s">
        <v>743</v>
      </c>
      <c r="F3368" s="34">
        <v>559</v>
      </c>
      <c r="G3368" s="34" t="s">
        <v>666</v>
      </c>
      <c r="H3368" s="36">
        <v>2557269</v>
      </c>
      <c r="I3368" s="58">
        <v>15528415</v>
      </c>
      <c r="J3368">
        <f>IFERROR(VLOOKUP(G3368,'LEAID Match'!$A$2:$B$526,2,FALSE),"")</f>
        <v>2913830</v>
      </c>
      <c r="K3368" s="68">
        <f t="shared" si="105"/>
        <v>8</v>
      </c>
    </row>
    <row r="3369" spans="1:11" x14ac:dyDescent="0.2">
      <c r="A3369">
        <f t="shared" si="104"/>
        <v>2913830</v>
      </c>
      <c r="B3369">
        <v>2022</v>
      </c>
      <c r="C3369" t="s">
        <v>739</v>
      </c>
      <c r="D3369" t="s">
        <v>740</v>
      </c>
      <c r="E3369" t="s">
        <v>743</v>
      </c>
      <c r="F3369" s="34">
        <v>559</v>
      </c>
      <c r="G3369" s="34" t="s">
        <v>666</v>
      </c>
      <c r="H3369" s="36">
        <v>2847048</v>
      </c>
      <c r="I3369" s="58">
        <v>15969704</v>
      </c>
      <c r="J3369">
        <f>IFERROR(VLOOKUP(G3369,'LEAID Match'!$A$2:$B$526,2,FALSE),"")</f>
        <v>2913830</v>
      </c>
      <c r="K3369" s="68">
        <f t="shared" si="105"/>
        <v>8</v>
      </c>
    </row>
    <row r="3370" spans="1:11" x14ac:dyDescent="0.2">
      <c r="A3370">
        <f t="shared" si="104"/>
        <v>2912010</v>
      </c>
      <c r="B3370">
        <v>2015</v>
      </c>
      <c r="C3370" t="s">
        <v>739</v>
      </c>
      <c r="D3370" t="s">
        <v>740</v>
      </c>
      <c r="E3370" t="s">
        <v>743</v>
      </c>
      <c r="F3370" s="45">
        <v>560</v>
      </c>
      <c r="G3370" s="34" t="s">
        <v>667</v>
      </c>
      <c r="H3370" s="53">
        <v>1652397</v>
      </c>
      <c r="I3370" s="58">
        <v>9128964</v>
      </c>
      <c r="J3370">
        <f>IFERROR(VLOOKUP(G3370,'LEAID Match'!$A$2:$B$526,2,FALSE),"")</f>
        <v>2912010</v>
      </c>
      <c r="K3370" s="68">
        <f t="shared" si="105"/>
        <v>8</v>
      </c>
    </row>
    <row r="3371" spans="1:11" x14ac:dyDescent="0.2">
      <c r="A3371">
        <f t="shared" si="104"/>
        <v>2912010</v>
      </c>
      <c r="B3371">
        <v>2016</v>
      </c>
      <c r="C3371" t="s">
        <v>739</v>
      </c>
      <c r="D3371" t="s">
        <v>740</v>
      </c>
      <c r="E3371" t="s">
        <v>743</v>
      </c>
      <c r="F3371" s="34">
        <v>560</v>
      </c>
      <c r="G3371" s="34" t="s">
        <v>667</v>
      </c>
      <c r="H3371" s="36">
        <v>1668184</v>
      </c>
      <c r="I3371" s="60">
        <v>9207386</v>
      </c>
      <c r="J3371">
        <f>IFERROR(VLOOKUP(G3371,'LEAID Match'!$A$2:$B$526,2,FALSE),"")</f>
        <v>2912010</v>
      </c>
      <c r="K3371" s="68">
        <f t="shared" si="105"/>
        <v>8</v>
      </c>
    </row>
    <row r="3372" spans="1:11" x14ac:dyDescent="0.2">
      <c r="A3372">
        <f t="shared" si="104"/>
        <v>2912010</v>
      </c>
      <c r="B3372">
        <v>2017</v>
      </c>
      <c r="C3372" t="s">
        <v>739</v>
      </c>
      <c r="D3372" t="s">
        <v>740</v>
      </c>
      <c r="E3372" t="s">
        <v>743</v>
      </c>
      <c r="F3372" s="34">
        <v>560</v>
      </c>
      <c r="G3372" s="34" t="s">
        <v>667</v>
      </c>
      <c r="H3372" s="36">
        <v>1668446</v>
      </c>
      <c r="I3372" s="58">
        <v>9454432</v>
      </c>
      <c r="J3372">
        <f>IFERROR(VLOOKUP(G3372,'LEAID Match'!$A$2:$B$526,2,FALSE),"")</f>
        <v>2912010</v>
      </c>
      <c r="K3372" s="68">
        <f t="shared" si="105"/>
        <v>8</v>
      </c>
    </row>
    <row r="3373" spans="1:11" x14ac:dyDescent="0.2">
      <c r="A3373">
        <f t="shared" si="104"/>
        <v>2912010</v>
      </c>
      <c r="B3373">
        <v>2018</v>
      </c>
      <c r="C3373" t="s">
        <v>739</v>
      </c>
      <c r="D3373" t="s">
        <v>740</v>
      </c>
      <c r="E3373" t="s">
        <v>743</v>
      </c>
      <c r="F3373" s="34">
        <v>560</v>
      </c>
      <c r="G3373" s="34" t="s">
        <v>667</v>
      </c>
      <c r="H3373" s="36">
        <v>1654141</v>
      </c>
      <c r="I3373" s="58">
        <v>9558949</v>
      </c>
      <c r="J3373">
        <f>IFERROR(VLOOKUP(G3373,'LEAID Match'!$A$2:$B$526,2,FALSE),"")</f>
        <v>2912010</v>
      </c>
      <c r="K3373" s="68">
        <f t="shared" si="105"/>
        <v>8</v>
      </c>
    </row>
    <row r="3374" spans="1:11" x14ac:dyDescent="0.2">
      <c r="A3374">
        <f t="shared" si="104"/>
        <v>2912010</v>
      </c>
      <c r="B3374">
        <v>2019</v>
      </c>
      <c r="C3374" t="s">
        <v>739</v>
      </c>
      <c r="D3374" t="s">
        <v>740</v>
      </c>
      <c r="E3374" t="s">
        <v>743</v>
      </c>
      <c r="F3374" s="34">
        <v>560</v>
      </c>
      <c r="G3374" s="34" t="s">
        <v>667</v>
      </c>
      <c r="H3374" s="36">
        <v>1648536</v>
      </c>
      <c r="I3374" s="58">
        <v>9485493</v>
      </c>
      <c r="J3374">
        <f>IFERROR(VLOOKUP(G3374,'LEAID Match'!$A$2:$B$526,2,FALSE),"")</f>
        <v>2912010</v>
      </c>
      <c r="K3374" s="68">
        <f t="shared" si="105"/>
        <v>8</v>
      </c>
    </row>
    <row r="3375" spans="1:11" x14ac:dyDescent="0.2">
      <c r="A3375">
        <f t="shared" si="104"/>
        <v>2912010</v>
      </c>
      <c r="B3375">
        <v>2020</v>
      </c>
      <c r="C3375" t="s">
        <v>739</v>
      </c>
      <c r="D3375" t="s">
        <v>740</v>
      </c>
      <c r="E3375" t="s">
        <v>743</v>
      </c>
      <c r="F3375" s="34">
        <v>560</v>
      </c>
      <c r="G3375" s="34" t="s">
        <v>667</v>
      </c>
      <c r="H3375" s="36">
        <v>1745596</v>
      </c>
      <c r="I3375" s="58">
        <v>9297826</v>
      </c>
      <c r="J3375">
        <f>IFERROR(VLOOKUP(G3375,'LEAID Match'!$A$2:$B$526,2,FALSE),"")</f>
        <v>2912010</v>
      </c>
      <c r="K3375" s="68">
        <f t="shared" si="105"/>
        <v>8</v>
      </c>
    </row>
    <row r="3376" spans="1:11" x14ac:dyDescent="0.2">
      <c r="A3376">
        <f t="shared" si="104"/>
        <v>2912010</v>
      </c>
      <c r="B3376">
        <v>2021</v>
      </c>
      <c r="C3376" t="s">
        <v>739</v>
      </c>
      <c r="D3376" t="s">
        <v>740</v>
      </c>
      <c r="E3376" t="s">
        <v>743</v>
      </c>
      <c r="F3376" s="34">
        <v>560</v>
      </c>
      <c r="G3376" s="34" t="s">
        <v>667</v>
      </c>
      <c r="H3376" s="36">
        <v>1751040</v>
      </c>
      <c r="I3376" s="58">
        <v>9522326</v>
      </c>
      <c r="J3376">
        <f>IFERROR(VLOOKUP(G3376,'LEAID Match'!$A$2:$B$526,2,FALSE),"")</f>
        <v>2912010</v>
      </c>
      <c r="K3376" s="68">
        <f t="shared" si="105"/>
        <v>8</v>
      </c>
    </row>
    <row r="3377" spans="1:11" x14ac:dyDescent="0.2">
      <c r="A3377">
        <f t="shared" si="104"/>
        <v>2912010</v>
      </c>
      <c r="B3377">
        <v>2022</v>
      </c>
      <c r="C3377" t="s">
        <v>739</v>
      </c>
      <c r="D3377" t="s">
        <v>740</v>
      </c>
      <c r="E3377" t="s">
        <v>743</v>
      </c>
      <c r="F3377" s="34">
        <v>560</v>
      </c>
      <c r="G3377" s="34" t="s">
        <v>667</v>
      </c>
      <c r="H3377" s="36">
        <v>1890498</v>
      </c>
      <c r="I3377" s="58">
        <v>9921023</v>
      </c>
      <c r="J3377">
        <f>IFERROR(VLOOKUP(G3377,'LEAID Match'!$A$2:$B$526,2,FALSE),"")</f>
        <v>2912010</v>
      </c>
      <c r="K3377" s="68">
        <f t="shared" si="105"/>
        <v>8</v>
      </c>
    </row>
    <row r="3378" spans="1:11" x14ac:dyDescent="0.2">
      <c r="A3378">
        <f t="shared" si="104"/>
        <v>2923700</v>
      </c>
      <c r="B3378">
        <v>2015</v>
      </c>
      <c r="C3378" t="s">
        <v>739</v>
      </c>
      <c r="D3378" t="s">
        <v>740</v>
      </c>
      <c r="E3378" t="s">
        <v>743</v>
      </c>
      <c r="F3378" s="45">
        <v>561</v>
      </c>
      <c r="G3378" s="50" t="s">
        <v>512</v>
      </c>
      <c r="H3378" s="53">
        <v>1150723</v>
      </c>
      <c r="I3378" s="58">
        <v>5672170</v>
      </c>
      <c r="J3378">
        <f>IFERROR(VLOOKUP(G3378,'LEAID Match'!$A$2:$B$526,2,FALSE),"")</f>
        <v>2923700</v>
      </c>
      <c r="K3378" s="68">
        <f t="shared" si="105"/>
        <v>8</v>
      </c>
    </row>
    <row r="3379" spans="1:11" x14ac:dyDescent="0.2">
      <c r="A3379">
        <f t="shared" si="104"/>
        <v>2923700</v>
      </c>
      <c r="B3379">
        <v>2016</v>
      </c>
      <c r="C3379" t="s">
        <v>739</v>
      </c>
      <c r="D3379" t="s">
        <v>740</v>
      </c>
      <c r="E3379" t="s">
        <v>743</v>
      </c>
      <c r="F3379" s="34">
        <v>561</v>
      </c>
      <c r="G3379" s="34" t="s">
        <v>512</v>
      </c>
      <c r="H3379" s="36">
        <v>1185170</v>
      </c>
      <c r="I3379" s="60">
        <v>5903779</v>
      </c>
      <c r="J3379">
        <f>IFERROR(VLOOKUP(G3379,'LEAID Match'!$A$2:$B$526,2,FALSE),"")</f>
        <v>2923700</v>
      </c>
      <c r="K3379" s="68">
        <f t="shared" si="105"/>
        <v>8</v>
      </c>
    </row>
    <row r="3380" spans="1:11" x14ac:dyDescent="0.2">
      <c r="A3380">
        <f t="shared" si="104"/>
        <v>2923700</v>
      </c>
      <c r="B3380">
        <v>2017</v>
      </c>
      <c r="C3380" t="s">
        <v>739</v>
      </c>
      <c r="D3380" t="s">
        <v>740</v>
      </c>
      <c r="E3380" t="s">
        <v>743</v>
      </c>
      <c r="F3380" s="34">
        <v>561</v>
      </c>
      <c r="G3380" s="34" t="s">
        <v>512</v>
      </c>
      <c r="H3380" s="36">
        <v>1185591</v>
      </c>
      <c r="I3380" s="58">
        <v>5948540</v>
      </c>
      <c r="J3380">
        <f>IFERROR(VLOOKUP(G3380,'LEAID Match'!$A$2:$B$526,2,FALSE),"")</f>
        <v>2923700</v>
      </c>
      <c r="K3380" s="68">
        <f t="shared" si="105"/>
        <v>8</v>
      </c>
    </row>
    <row r="3381" spans="1:11" x14ac:dyDescent="0.2">
      <c r="A3381">
        <f t="shared" si="104"/>
        <v>2923700</v>
      </c>
      <c r="B3381">
        <v>2018</v>
      </c>
      <c r="C3381" t="s">
        <v>739</v>
      </c>
      <c r="D3381" t="s">
        <v>740</v>
      </c>
      <c r="E3381" t="s">
        <v>743</v>
      </c>
      <c r="F3381" s="34">
        <v>561</v>
      </c>
      <c r="G3381" s="34" t="s">
        <v>512</v>
      </c>
      <c r="H3381" s="36">
        <v>1232198</v>
      </c>
      <c r="I3381" s="58">
        <v>6227269</v>
      </c>
      <c r="J3381">
        <f>IFERROR(VLOOKUP(G3381,'LEAID Match'!$A$2:$B$526,2,FALSE),"")</f>
        <v>2923700</v>
      </c>
      <c r="K3381" s="68">
        <f t="shared" si="105"/>
        <v>8</v>
      </c>
    </row>
    <row r="3382" spans="1:11" x14ac:dyDescent="0.2">
      <c r="A3382">
        <f t="shared" si="104"/>
        <v>2923700</v>
      </c>
      <c r="B3382">
        <v>2019</v>
      </c>
      <c r="C3382" t="s">
        <v>739</v>
      </c>
      <c r="D3382" t="s">
        <v>740</v>
      </c>
      <c r="E3382" t="s">
        <v>743</v>
      </c>
      <c r="F3382" s="34">
        <v>561</v>
      </c>
      <c r="G3382" s="34" t="s">
        <v>512</v>
      </c>
      <c r="H3382" s="36">
        <v>1301021</v>
      </c>
      <c r="I3382" s="58">
        <v>6530416</v>
      </c>
      <c r="J3382">
        <f>IFERROR(VLOOKUP(G3382,'LEAID Match'!$A$2:$B$526,2,FALSE),"")</f>
        <v>2923700</v>
      </c>
      <c r="K3382" s="68">
        <f t="shared" si="105"/>
        <v>8</v>
      </c>
    </row>
    <row r="3383" spans="1:11" x14ac:dyDescent="0.2">
      <c r="A3383">
        <f t="shared" si="104"/>
        <v>2923700</v>
      </c>
      <c r="B3383">
        <v>2020</v>
      </c>
      <c r="C3383" t="s">
        <v>739</v>
      </c>
      <c r="D3383" t="s">
        <v>740</v>
      </c>
      <c r="E3383" t="s">
        <v>743</v>
      </c>
      <c r="F3383" s="34">
        <v>561</v>
      </c>
      <c r="G3383" s="34" t="s">
        <v>512</v>
      </c>
      <c r="H3383" s="36">
        <v>1341907</v>
      </c>
      <c r="I3383" s="58">
        <v>6588796</v>
      </c>
      <c r="J3383">
        <f>IFERROR(VLOOKUP(G3383,'LEAID Match'!$A$2:$B$526,2,FALSE),"")</f>
        <v>2923700</v>
      </c>
      <c r="K3383" s="68">
        <f t="shared" si="105"/>
        <v>8</v>
      </c>
    </row>
    <row r="3384" spans="1:11" x14ac:dyDescent="0.2">
      <c r="A3384">
        <f t="shared" si="104"/>
        <v>2923700</v>
      </c>
      <c r="B3384">
        <v>2021</v>
      </c>
      <c r="C3384" t="s">
        <v>739</v>
      </c>
      <c r="D3384" t="s">
        <v>740</v>
      </c>
      <c r="E3384" t="s">
        <v>743</v>
      </c>
      <c r="F3384" s="34">
        <v>561</v>
      </c>
      <c r="G3384" s="34" t="s">
        <v>512</v>
      </c>
      <c r="H3384" s="36">
        <v>1353977</v>
      </c>
      <c r="I3384" s="58">
        <v>6822176</v>
      </c>
      <c r="J3384">
        <f>IFERROR(VLOOKUP(G3384,'LEAID Match'!$A$2:$B$526,2,FALSE),"")</f>
        <v>2923700</v>
      </c>
      <c r="K3384" s="68">
        <f t="shared" si="105"/>
        <v>8</v>
      </c>
    </row>
    <row r="3385" spans="1:11" x14ac:dyDescent="0.2">
      <c r="A3385">
        <f t="shared" si="104"/>
        <v>2923700</v>
      </c>
      <c r="B3385">
        <v>2022</v>
      </c>
      <c r="C3385" t="s">
        <v>739</v>
      </c>
      <c r="D3385" t="s">
        <v>740</v>
      </c>
      <c r="E3385" t="s">
        <v>743</v>
      </c>
      <c r="F3385" s="34">
        <v>561</v>
      </c>
      <c r="G3385" s="34" t="s">
        <v>512</v>
      </c>
      <c r="H3385" s="36">
        <v>1428134</v>
      </c>
      <c r="I3385" s="58">
        <v>7029240</v>
      </c>
      <c r="J3385">
        <f>IFERROR(VLOOKUP(G3385,'LEAID Match'!$A$2:$B$526,2,FALSE),"")</f>
        <v>2923700</v>
      </c>
      <c r="K3385" s="68">
        <f t="shared" si="105"/>
        <v>8</v>
      </c>
    </row>
    <row r="3386" spans="1:11" x14ac:dyDescent="0.2">
      <c r="A3386">
        <f t="shared" si="104"/>
        <v>2926850</v>
      </c>
      <c r="B3386">
        <v>2015</v>
      </c>
      <c r="C3386" t="s">
        <v>739</v>
      </c>
      <c r="D3386" t="s">
        <v>740</v>
      </c>
      <c r="E3386" t="s">
        <v>743</v>
      </c>
      <c r="F3386" s="45">
        <v>562</v>
      </c>
      <c r="G3386" s="50" t="s">
        <v>513</v>
      </c>
      <c r="H3386" s="53">
        <v>2321741</v>
      </c>
      <c r="I3386" s="58">
        <v>17183404</v>
      </c>
      <c r="J3386">
        <f>IFERROR(VLOOKUP(G3386,'LEAID Match'!$A$2:$B$526,2,FALSE),"")</f>
        <v>2926850</v>
      </c>
      <c r="K3386" s="68">
        <f t="shared" si="105"/>
        <v>8</v>
      </c>
    </row>
    <row r="3387" spans="1:11" x14ac:dyDescent="0.2">
      <c r="A3387">
        <f t="shared" si="104"/>
        <v>2926850</v>
      </c>
      <c r="B3387">
        <v>2016</v>
      </c>
      <c r="C3387" t="s">
        <v>739</v>
      </c>
      <c r="D3387" t="s">
        <v>740</v>
      </c>
      <c r="E3387" t="s">
        <v>743</v>
      </c>
      <c r="F3387" s="34">
        <v>562</v>
      </c>
      <c r="G3387" s="34" t="s">
        <v>513</v>
      </c>
      <c r="H3387" s="36">
        <v>2420725</v>
      </c>
      <c r="I3387" s="60">
        <v>17472925</v>
      </c>
      <c r="J3387">
        <f>IFERROR(VLOOKUP(G3387,'LEAID Match'!$A$2:$B$526,2,FALSE),"")</f>
        <v>2926850</v>
      </c>
      <c r="K3387" s="68">
        <f t="shared" si="105"/>
        <v>8</v>
      </c>
    </row>
    <row r="3388" spans="1:11" x14ac:dyDescent="0.2">
      <c r="A3388">
        <f t="shared" si="104"/>
        <v>2926850</v>
      </c>
      <c r="B3388">
        <v>2017</v>
      </c>
      <c r="C3388" t="s">
        <v>739</v>
      </c>
      <c r="D3388" t="s">
        <v>740</v>
      </c>
      <c r="E3388" t="s">
        <v>743</v>
      </c>
      <c r="F3388" s="34">
        <v>562</v>
      </c>
      <c r="G3388" s="34" t="s">
        <v>513</v>
      </c>
      <c r="H3388" s="36">
        <v>2899598</v>
      </c>
      <c r="I3388" s="58">
        <v>17909981</v>
      </c>
      <c r="J3388">
        <f>IFERROR(VLOOKUP(G3388,'LEAID Match'!$A$2:$B$526,2,FALSE),"")</f>
        <v>2926850</v>
      </c>
      <c r="K3388" s="68">
        <f t="shared" si="105"/>
        <v>8</v>
      </c>
    </row>
    <row r="3389" spans="1:11" x14ac:dyDescent="0.2">
      <c r="A3389">
        <f t="shared" si="104"/>
        <v>2926850</v>
      </c>
      <c r="B3389">
        <v>2018</v>
      </c>
      <c r="C3389" t="s">
        <v>739</v>
      </c>
      <c r="D3389" t="s">
        <v>740</v>
      </c>
      <c r="E3389" t="s">
        <v>743</v>
      </c>
      <c r="F3389" s="34">
        <v>562</v>
      </c>
      <c r="G3389" s="34" t="s">
        <v>513</v>
      </c>
      <c r="H3389" s="36">
        <v>3048347</v>
      </c>
      <c r="I3389" s="58">
        <v>18270766</v>
      </c>
      <c r="J3389">
        <f>IFERROR(VLOOKUP(G3389,'LEAID Match'!$A$2:$B$526,2,FALSE),"")</f>
        <v>2926850</v>
      </c>
      <c r="K3389" s="68">
        <f t="shared" si="105"/>
        <v>8</v>
      </c>
    </row>
    <row r="3390" spans="1:11" x14ac:dyDescent="0.2">
      <c r="A3390">
        <f t="shared" si="104"/>
        <v>2926850</v>
      </c>
      <c r="B3390">
        <v>2019</v>
      </c>
      <c r="C3390" t="s">
        <v>739</v>
      </c>
      <c r="D3390" t="s">
        <v>740</v>
      </c>
      <c r="E3390" t="s">
        <v>743</v>
      </c>
      <c r="F3390" s="34">
        <v>562</v>
      </c>
      <c r="G3390" s="34" t="s">
        <v>513</v>
      </c>
      <c r="H3390" s="36">
        <v>3109363</v>
      </c>
      <c r="I3390" s="58">
        <v>18601787</v>
      </c>
      <c r="J3390">
        <f>IFERROR(VLOOKUP(G3390,'LEAID Match'!$A$2:$B$526,2,FALSE),"")</f>
        <v>2926850</v>
      </c>
      <c r="K3390" s="68">
        <f t="shared" si="105"/>
        <v>8</v>
      </c>
    </row>
    <row r="3391" spans="1:11" x14ac:dyDescent="0.2">
      <c r="A3391">
        <f t="shared" si="104"/>
        <v>2926850</v>
      </c>
      <c r="B3391">
        <v>2020</v>
      </c>
      <c r="C3391" t="s">
        <v>739</v>
      </c>
      <c r="D3391" t="s">
        <v>740</v>
      </c>
      <c r="E3391" t="s">
        <v>743</v>
      </c>
      <c r="F3391" s="34">
        <v>562</v>
      </c>
      <c r="G3391" s="34" t="s">
        <v>513</v>
      </c>
      <c r="H3391" s="36">
        <v>3180553</v>
      </c>
      <c r="I3391" s="58">
        <v>18866458</v>
      </c>
      <c r="J3391">
        <f>IFERROR(VLOOKUP(G3391,'LEAID Match'!$A$2:$B$526,2,FALSE),"")</f>
        <v>2926850</v>
      </c>
      <c r="K3391" s="68">
        <f t="shared" si="105"/>
        <v>8</v>
      </c>
    </row>
    <row r="3392" spans="1:11" x14ac:dyDescent="0.2">
      <c r="A3392">
        <f t="shared" si="104"/>
        <v>2926850</v>
      </c>
      <c r="B3392">
        <v>2021</v>
      </c>
      <c r="C3392" t="s">
        <v>739</v>
      </c>
      <c r="D3392" t="s">
        <v>740</v>
      </c>
      <c r="E3392" t="s">
        <v>743</v>
      </c>
      <c r="F3392" s="34">
        <v>562</v>
      </c>
      <c r="G3392" s="34" t="s">
        <v>513</v>
      </c>
      <c r="H3392" s="36">
        <v>3109561</v>
      </c>
      <c r="I3392" s="58">
        <v>19284606</v>
      </c>
      <c r="J3392">
        <f>IFERROR(VLOOKUP(G3392,'LEAID Match'!$A$2:$B$526,2,FALSE),"")</f>
        <v>2926850</v>
      </c>
      <c r="K3392" s="68">
        <f t="shared" si="105"/>
        <v>8</v>
      </c>
    </row>
    <row r="3393" spans="1:11" x14ac:dyDescent="0.2">
      <c r="A3393">
        <f t="shared" si="104"/>
        <v>2926850</v>
      </c>
      <c r="B3393">
        <v>2022</v>
      </c>
      <c r="C3393" t="s">
        <v>739</v>
      </c>
      <c r="D3393" t="s">
        <v>740</v>
      </c>
      <c r="E3393" t="s">
        <v>743</v>
      </c>
      <c r="F3393" s="34">
        <v>562</v>
      </c>
      <c r="G3393" s="34" t="s">
        <v>513</v>
      </c>
      <c r="H3393" s="36">
        <v>3074207</v>
      </c>
      <c r="I3393" s="58">
        <v>19403322</v>
      </c>
      <c r="J3393">
        <f>IFERROR(VLOOKUP(G3393,'LEAID Match'!$A$2:$B$526,2,FALSE),"")</f>
        <v>2926850</v>
      </c>
      <c r="K3393" s="68">
        <f t="shared" si="105"/>
        <v>8</v>
      </c>
    </row>
    <row r="3394" spans="1:11" x14ac:dyDescent="0.2">
      <c r="A3394">
        <f t="shared" si="104"/>
        <v>2916770</v>
      </c>
      <c r="B3394">
        <v>2015</v>
      </c>
      <c r="C3394" t="s">
        <v>739</v>
      </c>
      <c r="D3394" t="s">
        <v>740</v>
      </c>
      <c r="E3394" t="s">
        <v>743</v>
      </c>
      <c r="F3394" s="45">
        <v>563</v>
      </c>
      <c r="G3394" s="50" t="s">
        <v>514</v>
      </c>
      <c r="H3394" s="53">
        <v>763839</v>
      </c>
      <c r="I3394" s="58">
        <v>5586614</v>
      </c>
      <c r="J3394">
        <f>IFERROR(VLOOKUP(G3394,'LEAID Match'!$A$2:$B$526,2,FALSE),"")</f>
        <v>2916770</v>
      </c>
      <c r="K3394" s="68">
        <f t="shared" si="105"/>
        <v>8</v>
      </c>
    </row>
    <row r="3395" spans="1:11" x14ac:dyDescent="0.2">
      <c r="A3395">
        <f t="shared" ref="A3395:A3458" si="106">J3395</f>
        <v>2916770</v>
      </c>
      <c r="B3395">
        <v>2016</v>
      </c>
      <c r="C3395" t="s">
        <v>739</v>
      </c>
      <c r="D3395" t="s">
        <v>740</v>
      </c>
      <c r="E3395" t="s">
        <v>743</v>
      </c>
      <c r="F3395" s="34">
        <v>563</v>
      </c>
      <c r="G3395" s="34" t="s">
        <v>514</v>
      </c>
      <c r="H3395" s="36">
        <v>776520</v>
      </c>
      <c r="I3395" s="60">
        <v>5732262</v>
      </c>
      <c r="J3395">
        <f>IFERROR(VLOOKUP(G3395,'LEAID Match'!$A$2:$B$526,2,FALSE),"")</f>
        <v>2916770</v>
      </c>
      <c r="K3395" s="68">
        <f t="shared" ref="K3395:K3458" si="107">COUNTIF($J$2:$J$4295,J3395)</f>
        <v>8</v>
      </c>
    </row>
    <row r="3396" spans="1:11" x14ac:dyDescent="0.2">
      <c r="A3396">
        <f t="shared" si="106"/>
        <v>2916770</v>
      </c>
      <c r="B3396">
        <v>2017</v>
      </c>
      <c r="C3396" t="s">
        <v>739</v>
      </c>
      <c r="D3396" t="s">
        <v>740</v>
      </c>
      <c r="E3396" t="s">
        <v>743</v>
      </c>
      <c r="F3396" s="34">
        <v>563</v>
      </c>
      <c r="G3396" s="34" t="s">
        <v>514</v>
      </c>
      <c r="H3396" s="36">
        <v>773607</v>
      </c>
      <c r="I3396" s="58">
        <v>5299252</v>
      </c>
      <c r="J3396">
        <f>IFERROR(VLOOKUP(G3396,'LEAID Match'!$A$2:$B$526,2,FALSE),"")</f>
        <v>2916770</v>
      </c>
      <c r="K3396" s="68">
        <f t="shared" si="107"/>
        <v>8</v>
      </c>
    </row>
    <row r="3397" spans="1:11" x14ac:dyDescent="0.2">
      <c r="A3397">
        <f t="shared" si="106"/>
        <v>2916770</v>
      </c>
      <c r="B3397">
        <v>2018</v>
      </c>
      <c r="C3397" t="s">
        <v>739</v>
      </c>
      <c r="D3397" t="s">
        <v>740</v>
      </c>
      <c r="E3397" t="s">
        <v>743</v>
      </c>
      <c r="F3397" s="34">
        <v>563</v>
      </c>
      <c r="G3397" s="34" t="s">
        <v>514</v>
      </c>
      <c r="H3397" s="36">
        <v>784520</v>
      </c>
      <c r="I3397" s="58">
        <v>5450219</v>
      </c>
      <c r="J3397">
        <f>IFERROR(VLOOKUP(G3397,'LEAID Match'!$A$2:$B$526,2,FALSE),"")</f>
        <v>2916770</v>
      </c>
      <c r="K3397" s="68">
        <f t="shared" si="107"/>
        <v>8</v>
      </c>
    </row>
    <row r="3398" spans="1:11" x14ac:dyDescent="0.2">
      <c r="A3398">
        <f t="shared" si="106"/>
        <v>2916770</v>
      </c>
      <c r="B3398">
        <v>2019</v>
      </c>
      <c r="C3398" t="s">
        <v>739</v>
      </c>
      <c r="D3398" t="s">
        <v>740</v>
      </c>
      <c r="E3398" t="s">
        <v>743</v>
      </c>
      <c r="F3398" s="34">
        <v>563</v>
      </c>
      <c r="G3398" s="34" t="s">
        <v>514</v>
      </c>
      <c r="H3398" s="36">
        <v>836670</v>
      </c>
      <c r="I3398" s="58">
        <v>5530396</v>
      </c>
      <c r="J3398">
        <f>IFERROR(VLOOKUP(G3398,'LEAID Match'!$A$2:$B$526,2,FALSE),"")</f>
        <v>2916770</v>
      </c>
      <c r="K3398" s="68">
        <f t="shared" si="107"/>
        <v>8</v>
      </c>
    </row>
    <row r="3399" spans="1:11" x14ac:dyDescent="0.2">
      <c r="A3399">
        <f t="shared" si="106"/>
        <v>2916770</v>
      </c>
      <c r="B3399">
        <v>2020</v>
      </c>
      <c r="C3399" t="s">
        <v>739</v>
      </c>
      <c r="D3399" t="s">
        <v>740</v>
      </c>
      <c r="E3399" t="s">
        <v>743</v>
      </c>
      <c r="F3399" s="34">
        <v>563</v>
      </c>
      <c r="G3399" s="34" t="s">
        <v>514</v>
      </c>
      <c r="H3399" s="36">
        <v>857774</v>
      </c>
      <c r="I3399" s="58">
        <v>5670232</v>
      </c>
      <c r="J3399">
        <f>IFERROR(VLOOKUP(G3399,'LEAID Match'!$A$2:$B$526,2,FALSE),"")</f>
        <v>2916770</v>
      </c>
      <c r="K3399" s="68">
        <f t="shared" si="107"/>
        <v>8</v>
      </c>
    </row>
    <row r="3400" spans="1:11" x14ac:dyDescent="0.2">
      <c r="A3400">
        <f t="shared" si="106"/>
        <v>2916770</v>
      </c>
      <c r="B3400">
        <v>2021</v>
      </c>
      <c r="C3400" t="s">
        <v>739</v>
      </c>
      <c r="D3400" t="s">
        <v>740</v>
      </c>
      <c r="E3400" t="s">
        <v>743</v>
      </c>
      <c r="F3400" s="34">
        <v>563</v>
      </c>
      <c r="G3400" s="34" t="s">
        <v>514</v>
      </c>
      <c r="H3400" s="36">
        <v>865679</v>
      </c>
      <c r="I3400" s="58">
        <v>5810520</v>
      </c>
      <c r="J3400">
        <f>IFERROR(VLOOKUP(G3400,'LEAID Match'!$A$2:$B$526,2,FALSE),"")</f>
        <v>2916770</v>
      </c>
      <c r="K3400" s="68">
        <f t="shared" si="107"/>
        <v>8</v>
      </c>
    </row>
    <row r="3401" spans="1:11" x14ac:dyDescent="0.2">
      <c r="A3401">
        <f t="shared" si="106"/>
        <v>2916770</v>
      </c>
      <c r="B3401">
        <v>2022</v>
      </c>
      <c r="C3401" t="s">
        <v>739</v>
      </c>
      <c r="D3401" t="s">
        <v>740</v>
      </c>
      <c r="E3401" t="s">
        <v>743</v>
      </c>
      <c r="F3401" s="34">
        <v>563</v>
      </c>
      <c r="G3401" s="34" t="s">
        <v>514</v>
      </c>
      <c r="H3401" s="36">
        <v>921623</v>
      </c>
      <c r="I3401" s="58">
        <v>5903330</v>
      </c>
      <c r="J3401">
        <f>IFERROR(VLOOKUP(G3401,'LEAID Match'!$A$2:$B$526,2,FALSE),"")</f>
        <v>2916770</v>
      </c>
      <c r="K3401" s="68">
        <f t="shared" si="107"/>
        <v>8</v>
      </c>
    </row>
    <row r="3402" spans="1:11" x14ac:dyDescent="0.2">
      <c r="A3402">
        <f t="shared" si="106"/>
        <v>2918690</v>
      </c>
      <c r="B3402">
        <v>2015</v>
      </c>
      <c r="C3402" t="s">
        <v>739</v>
      </c>
      <c r="D3402" t="s">
        <v>740</v>
      </c>
      <c r="E3402" t="s">
        <v>743</v>
      </c>
      <c r="F3402" s="45">
        <v>564</v>
      </c>
      <c r="G3402" s="50" t="s">
        <v>515</v>
      </c>
      <c r="H3402" s="53">
        <v>611183</v>
      </c>
      <c r="I3402" s="58">
        <v>4611302</v>
      </c>
      <c r="J3402">
        <f>IFERROR(VLOOKUP(G3402,'LEAID Match'!$A$2:$B$526,2,FALSE),"")</f>
        <v>2918690</v>
      </c>
      <c r="K3402" s="68">
        <f t="shared" si="107"/>
        <v>8</v>
      </c>
    </row>
    <row r="3403" spans="1:11" x14ac:dyDescent="0.2">
      <c r="A3403">
        <f t="shared" si="106"/>
        <v>2918690</v>
      </c>
      <c r="B3403">
        <v>2016</v>
      </c>
      <c r="C3403" t="s">
        <v>739</v>
      </c>
      <c r="D3403" t="s">
        <v>740</v>
      </c>
      <c r="E3403" t="s">
        <v>743</v>
      </c>
      <c r="F3403" s="34">
        <v>564</v>
      </c>
      <c r="G3403" s="34" t="s">
        <v>515</v>
      </c>
      <c r="H3403" s="36">
        <v>616699</v>
      </c>
      <c r="I3403" s="60">
        <v>4834261</v>
      </c>
      <c r="J3403">
        <f>IFERROR(VLOOKUP(G3403,'LEAID Match'!$A$2:$B$526,2,FALSE),"")</f>
        <v>2918690</v>
      </c>
      <c r="K3403" s="68">
        <f t="shared" si="107"/>
        <v>8</v>
      </c>
    </row>
    <row r="3404" spans="1:11" x14ac:dyDescent="0.2">
      <c r="A3404">
        <f t="shared" si="106"/>
        <v>2918690</v>
      </c>
      <c r="B3404">
        <v>2017</v>
      </c>
      <c r="C3404" t="s">
        <v>739</v>
      </c>
      <c r="D3404" t="s">
        <v>740</v>
      </c>
      <c r="E3404" t="s">
        <v>743</v>
      </c>
      <c r="F3404" s="34">
        <v>564</v>
      </c>
      <c r="G3404" s="34" t="s">
        <v>515</v>
      </c>
      <c r="H3404" s="36">
        <v>636127</v>
      </c>
      <c r="I3404" s="58">
        <v>4855890</v>
      </c>
      <c r="J3404">
        <f>IFERROR(VLOOKUP(G3404,'LEAID Match'!$A$2:$B$526,2,FALSE),"")</f>
        <v>2918690</v>
      </c>
      <c r="K3404" s="68">
        <f t="shared" si="107"/>
        <v>8</v>
      </c>
    </row>
    <row r="3405" spans="1:11" x14ac:dyDescent="0.2">
      <c r="A3405">
        <f t="shared" si="106"/>
        <v>2918690</v>
      </c>
      <c r="B3405">
        <v>2018</v>
      </c>
      <c r="C3405" t="s">
        <v>739</v>
      </c>
      <c r="D3405" t="s">
        <v>740</v>
      </c>
      <c r="E3405" t="s">
        <v>743</v>
      </c>
      <c r="F3405" s="34">
        <v>564</v>
      </c>
      <c r="G3405" s="34" t="s">
        <v>515</v>
      </c>
      <c r="H3405" s="36">
        <v>681060</v>
      </c>
      <c r="I3405" s="58">
        <v>5000461</v>
      </c>
      <c r="J3405">
        <f>IFERROR(VLOOKUP(G3405,'LEAID Match'!$A$2:$B$526,2,FALSE),"")</f>
        <v>2918690</v>
      </c>
      <c r="K3405" s="68">
        <f t="shared" si="107"/>
        <v>8</v>
      </c>
    </row>
    <row r="3406" spans="1:11" x14ac:dyDescent="0.2">
      <c r="A3406">
        <f t="shared" si="106"/>
        <v>2918690</v>
      </c>
      <c r="B3406">
        <v>2019</v>
      </c>
      <c r="C3406" t="s">
        <v>739</v>
      </c>
      <c r="D3406" t="s">
        <v>740</v>
      </c>
      <c r="E3406" t="s">
        <v>743</v>
      </c>
      <c r="F3406" s="34">
        <v>564</v>
      </c>
      <c r="G3406" s="34" t="s">
        <v>515</v>
      </c>
      <c r="H3406" s="36">
        <v>696974</v>
      </c>
      <c r="I3406" s="58">
        <v>5177870</v>
      </c>
      <c r="J3406">
        <f>IFERROR(VLOOKUP(G3406,'LEAID Match'!$A$2:$B$526,2,FALSE),"")</f>
        <v>2918690</v>
      </c>
      <c r="K3406" s="68">
        <f t="shared" si="107"/>
        <v>8</v>
      </c>
    </row>
    <row r="3407" spans="1:11" x14ac:dyDescent="0.2">
      <c r="A3407">
        <f t="shared" si="106"/>
        <v>2918690</v>
      </c>
      <c r="B3407">
        <v>2020</v>
      </c>
      <c r="C3407" t="s">
        <v>739</v>
      </c>
      <c r="D3407" t="s">
        <v>740</v>
      </c>
      <c r="E3407" t="s">
        <v>743</v>
      </c>
      <c r="F3407" s="34">
        <v>564</v>
      </c>
      <c r="G3407" s="34" t="s">
        <v>515</v>
      </c>
      <c r="H3407" s="36">
        <v>717748</v>
      </c>
      <c r="I3407" s="58">
        <v>5481194</v>
      </c>
      <c r="J3407">
        <f>IFERROR(VLOOKUP(G3407,'LEAID Match'!$A$2:$B$526,2,FALSE),"")</f>
        <v>2918690</v>
      </c>
      <c r="K3407" s="68">
        <f t="shared" si="107"/>
        <v>8</v>
      </c>
    </row>
    <row r="3408" spans="1:11" x14ac:dyDescent="0.2">
      <c r="A3408">
        <f t="shared" si="106"/>
        <v>2918690</v>
      </c>
      <c r="B3408">
        <v>2021</v>
      </c>
      <c r="C3408" t="s">
        <v>739</v>
      </c>
      <c r="D3408" t="s">
        <v>740</v>
      </c>
      <c r="E3408" t="s">
        <v>743</v>
      </c>
      <c r="F3408" s="34">
        <v>564</v>
      </c>
      <c r="G3408" s="34" t="s">
        <v>515</v>
      </c>
      <c r="H3408" s="36">
        <v>779092</v>
      </c>
      <c r="I3408" s="58">
        <v>5833752</v>
      </c>
      <c r="J3408">
        <f>IFERROR(VLOOKUP(G3408,'LEAID Match'!$A$2:$B$526,2,FALSE),"")</f>
        <v>2918690</v>
      </c>
      <c r="K3408" s="68">
        <f t="shared" si="107"/>
        <v>8</v>
      </c>
    </row>
    <row r="3409" spans="1:11" x14ac:dyDescent="0.2">
      <c r="A3409">
        <f t="shared" si="106"/>
        <v>2918690</v>
      </c>
      <c r="B3409">
        <v>2022</v>
      </c>
      <c r="C3409" t="s">
        <v>739</v>
      </c>
      <c r="D3409" t="s">
        <v>740</v>
      </c>
      <c r="E3409" t="s">
        <v>743</v>
      </c>
      <c r="F3409" s="34">
        <v>564</v>
      </c>
      <c r="G3409" s="34" t="s">
        <v>515</v>
      </c>
      <c r="H3409" s="36">
        <v>799304</v>
      </c>
      <c r="I3409" s="58">
        <v>6026196</v>
      </c>
      <c r="J3409">
        <f>IFERROR(VLOOKUP(G3409,'LEAID Match'!$A$2:$B$526,2,FALSE),"")</f>
        <v>2918690</v>
      </c>
      <c r="K3409" s="68">
        <f t="shared" si="107"/>
        <v>8</v>
      </c>
    </row>
    <row r="3410" spans="1:11" x14ac:dyDescent="0.2">
      <c r="A3410">
        <f t="shared" si="106"/>
        <v>2920670</v>
      </c>
      <c r="B3410">
        <v>2015</v>
      </c>
      <c r="C3410" t="s">
        <v>739</v>
      </c>
      <c r="D3410" t="s">
        <v>740</v>
      </c>
      <c r="E3410" t="s">
        <v>743</v>
      </c>
      <c r="F3410" s="45">
        <v>565</v>
      </c>
      <c r="G3410" s="50" t="s">
        <v>516</v>
      </c>
      <c r="H3410" s="53">
        <v>1084051</v>
      </c>
      <c r="I3410" s="58">
        <v>7583755</v>
      </c>
      <c r="J3410">
        <f>IFERROR(VLOOKUP(G3410,'LEAID Match'!$A$2:$B$526,2,FALSE),"")</f>
        <v>2920670</v>
      </c>
      <c r="K3410" s="68">
        <f t="shared" si="107"/>
        <v>8</v>
      </c>
    </row>
    <row r="3411" spans="1:11" x14ac:dyDescent="0.2">
      <c r="A3411">
        <f t="shared" si="106"/>
        <v>2920670</v>
      </c>
      <c r="B3411">
        <v>2016</v>
      </c>
      <c r="C3411" t="s">
        <v>739</v>
      </c>
      <c r="D3411" t="s">
        <v>740</v>
      </c>
      <c r="E3411" t="s">
        <v>743</v>
      </c>
      <c r="F3411" s="34">
        <v>565</v>
      </c>
      <c r="G3411" s="34" t="s">
        <v>516</v>
      </c>
      <c r="H3411" s="36">
        <v>1040758</v>
      </c>
      <c r="I3411" s="60">
        <v>7286814</v>
      </c>
      <c r="J3411">
        <f>IFERROR(VLOOKUP(G3411,'LEAID Match'!$A$2:$B$526,2,FALSE),"")</f>
        <v>2920670</v>
      </c>
      <c r="K3411" s="68">
        <f t="shared" si="107"/>
        <v>8</v>
      </c>
    </row>
    <row r="3412" spans="1:11" x14ac:dyDescent="0.2">
      <c r="A3412">
        <f t="shared" si="106"/>
        <v>2920670</v>
      </c>
      <c r="B3412">
        <v>2017</v>
      </c>
      <c r="C3412" t="s">
        <v>739</v>
      </c>
      <c r="D3412" t="s">
        <v>740</v>
      </c>
      <c r="E3412" t="s">
        <v>743</v>
      </c>
      <c r="F3412" s="34">
        <v>565</v>
      </c>
      <c r="G3412" s="34" t="s">
        <v>516</v>
      </c>
      <c r="H3412" s="36">
        <v>1042216</v>
      </c>
      <c r="I3412" s="58">
        <v>7595599</v>
      </c>
      <c r="J3412">
        <f>IFERROR(VLOOKUP(G3412,'LEAID Match'!$A$2:$B$526,2,FALSE),"")</f>
        <v>2920670</v>
      </c>
      <c r="K3412" s="68">
        <f t="shared" si="107"/>
        <v>8</v>
      </c>
    </row>
    <row r="3413" spans="1:11" x14ac:dyDescent="0.2">
      <c r="A3413">
        <f t="shared" si="106"/>
        <v>2920670</v>
      </c>
      <c r="B3413">
        <v>2018</v>
      </c>
      <c r="C3413" t="s">
        <v>739</v>
      </c>
      <c r="D3413" t="s">
        <v>740</v>
      </c>
      <c r="E3413" t="s">
        <v>743</v>
      </c>
      <c r="F3413" s="34">
        <v>565</v>
      </c>
      <c r="G3413" s="34" t="s">
        <v>516</v>
      </c>
      <c r="H3413" s="36">
        <v>1105916</v>
      </c>
      <c r="I3413" s="58">
        <v>7736184</v>
      </c>
      <c r="J3413">
        <f>IFERROR(VLOOKUP(G3413,'LEAID Match'!$A$2:$B$526,2,FALSE),"")</f>
        <v>2920670</v>
      </c>
      <c r="K3413" s="68">
        <f t="shared" si="107"/>
        <v>8</v>
      </c>
    </row>
    <row r="3414" spans="1:11" x14ac:dyDescent="0.2">
      <c r="A3414">
        <f t="shared" si="106"/>
        <v>2920670</v>
      </c>
      <c r="B3414">
        <v>2019</v>
      </c>
      <c r="C3414" t="s">
        <v>739</v>
      </c>
      <c r="D3414" t="s">
        <v>740</v>
      </c>
      <c r="E3414" t="s">
        <v>743</v>
      </c>
      <c r="F3414" s="34">
        <v>565</v>
      </c>
      <c r="G3414" s="34" t="s">
        <v>516</v>
      </c>
      <c r="H3414" s="36">
        <v>1161677</v>
      </c>
      <c r="I3414" s="58">
        <v>7987345</v>
      </c>
      <c r="J3414">
        <f>IFERROR(VLOOKUP(G3414,'LEAID Match'!$A$2:$B$526,2,FALSE),"")</f>
        <v>2920670</v>
      </c>
      <c r="K3414" s="68">
        <f t="shared" si="107"/>
        <v>8</v>
      </c>
    </row>
    <row r="3415" spans="1:11" x14ac:dyDescent="0.2">
      <c r="A3415">
        <f t="shared" si="106"/>
        <v>2920670</v>
      </c>
      <c r="B3415">
        <v>2020</v>
      </c>
      <c r="C3415" t="s">
        <v>739</v>
      </c>
      <c r="D3415" t="s">
        <v>740</v>
      </c>
      <c r="E3415" t="s">
        <v>743</v>
      </c>
      <c r="F3415" s="34">
        <v>565</v>
      </c>
      <c r="G3415" s="34" t="s">
        <v>516</v>
      </c>
      <c r="H3415" s="36">
        <v>1186960</v>
      </c>
      <c r="I3415" s="58">
        <v>8186829</v>
      </c>
      <c r="J3415">
        <f>IFERROR(VLOOKUP(G3415,'LEAID Match'!$A$2:$B$526,2,FALSE),"")</f>
        <v>2920670</v>
      </c>
      <c r="K3415" s="68">
        <f t="shared" si="107"/>
        <v>8</v>
      </c>
    </row>
    <row r="3416" spans="1:11" x14ac:dyDescent="0.2">
      <c r="A3416">
        <f t="shared" si="106"/>
        <v>2920670</v>
      </c>
      <c r="B3416">
        <v>2021</v>
      </c>
      <c r="C3416" t="s">
        <v>739</v>
      </c>
      <c r="D3416" t="s">
        <v>740</v>
      </c>
      <c r="E3416" t="s">
        <v>743</v>
      </c>
      <c r="F3416" s="34">
        <v>565</v>
      </c>
      <c r="G3416" s="34" t="s">
        <v>516</v>
      </c>
      <c r="H3416" s="36">
        <v>1203129</v>
      </c>
      <c r="I3416" s="58">
        <v>8430864</v>
      </c>
      <c r="J3416">
        <f>IFERROR(VLOOKUP(G3416,'LEAID Match'!$A$2:$B$526,2,FALSE),"")</f>
        <v>2920670</v>
      </c>
      <c r="K3416" s="68">
        <f t="shared" si="107"/>
        <v>8</v>
      </c>
    </row>
    <row r="3417" spans="1:11" x14ac:dyDescent="0.2">
      <c r="A3417">
        <f t="shared" si="106"/>
        <v>2920670</v>
      </c>
      <c r="B3417">
        <v>2022</v>
      </c>
      <c r="C3417" t="s">
        <v>739</v>
      </c>
      <c r="D3417" t="s">
        <v>740</v>
      </c>
      <c r="E3417" t="s">
        <v>743</v>
      </c>
      <c r="F3417" s="34">
        <v>565</v>
      </c>
      <c r="G3417" s="34" t="s">
        <v>516</v>
      </c>
      <c r="H3417" s="36">
        <v>1254461</v>
      </c>
      <c r="I3417" s="58">
        <v>9052900</v>
      </c>
      <c r="J3417">
        <f>IFERROR(VLOOKUP(G3417,'LEAID Match'!$A$2:$B$526,2,FALSE),"")</f>
        <v>2920670</v>
      </c>
      <c r="K3417" s="68">
        <f t="shared" si="107"/>
        <v>8</v>
      </c>
    </row>
    <row r="3418" spans="1:11" x14ac:dyDescent="0.2">
      <c r="A3418">
        <f t="shared" si="106"/>
        <v>2902910</v>
      </c>
      <c r="B3418">
        <v>2015</v>
      </c>
      <c r="C3418" t="s">
        <v>739</v>
      </c>
      <c r="D3418" t="s">
        <v>740</v>
      </c>
      <c r="E3418" t="s">
        <v>743</v>
      </c>
      <c r="F3418" s="45">
        <v>566</v>
      </c>
      <c r="G3418" s="50" t="s">
        <v>517</v>
      </c>
      <c r="H3418" s="53">
        <v>297797</v>
      </c>
      <c r="I3418" s="58">
        <v>2087362</v>
      </c>
      <c r="J3418">
        <f>IFERROR(VLOOKUP(G3418,'LEAID Match'!$A$2:$B$526,2,FALSE),"")</f>
        <v>2902910</v>
      </c>
      <c r="K3418" s="68">
        <f t="shared" si="107"/>
        <v>8</v>
      </c>
    </row>
    <row r="3419" spans="1:11" x14ac:dyDescent="0.2">
      <c r="A3419">
        <f t="shared" si="106"/>
        <v>2902910</v>
      </c>
      <c r="B3419">
        <v>2016</v>
      </c>
      <c r="C3419" t="s">
        <v>739</v>
      </c>
      <c r="D3419" t="s">
        <v>740</v>
      </c>
      <c r="E3419" t="s">
        <v>743</v>
      </c>
      <c r="F3419" s="34">
        <v>566</v>
      </c>
      <c r="G3419" s="34" t="s">
        <v>517</v>
      </c>
      <c r="H3419" s="36">
        <v>295178</v>
      </c>
      <c r="I3419" s="60">
        <v>2085219</v>
      </c>
      <c r="J3419">
        <f>IFERROR(VLOOKUP(G3419,'LEAID Match'!$A$2:$B$526,2,FALSE),"")</f>
        <v>2902910</v>
      </c>
      <c r="K3419" s="68">
        <f t="shared" si="107"/>
        <v>8</v>
      </c>
    </row>
    <row r="3420" spans="1:11" x14ac:dyDescent="0.2">
      <c r="A3420">
        <f t="shared" si="106"/>
        <v>2902910</v>
      </c>
      <c r="B3420">
        <v>2017</v>
      </c>
      <c r="C3420" t="s">
        <v>739</v>
      </c>
      <c r="D3420" t="s">
        <v>740</v>
      </c>
      <c r="E3420" t="s">
        <v>743</v>
      </c>
      <c r="F3420" s="34">
        <v>566</v>
      </c>
      <c r="G3420" s="34" t="s">
        <v>517</v>
      </c>
      <c r="H3420" s="36">
        <v>287429</v>
      </c>
      <c r="I3420" s="58">
        <v>2025266</v>
      </c>
      <c r="J3420">
        <f>IFERROR(VLOOKUP(G3420,'LEAID Match'!$A$2:$B$526,2,FALSE),"")</f>
        <v>2902910</v>
      </c>
      <c r="K3420" s="68">
        <f t="shared" si="107"/>
        <v>8</v>
      </c>
    </row>
    <row r="3421" spans="1:11" x14ac:dyDescent="0.2">
      <c r="A3421">
        <f t="shared" si="106"/>
        <v>2902910</v>
      </c>
      <c r="B3421">
        <v>2018</v>
      </c>
      <c r="C3421" t="s">
        <v>739</v>
      </c>
      <c r="D3421" t="s">
        <v>740</v>
      </c>
      <c r="E3421" t="s">
        <v>743</v>
      </c>
      <c r="F3421" s="34">
        <v>566</v>
      </c>
      <c r="G3421" s="34" t="s">
        <v>517</v>
      </c>
      <c r="H3421" s="36">
        <v>294260</v>
      </c>
      <c r="I3421" s="58">
        <v>2084364</v>
      </c>
      <c r="J3421">
        <f>IFERROR(VLOOKUP(G3421,'LEAID Match'!$A$2:$B$526,2,FALSE),"")</f>
        <v>2902910</v>
      </c>
      <c r="K3421" s="68">
        <f t="shared" si="107"/>
        <v>8</v>
      </c>
    </row>
    <row r="3422" spans="1:11" x14ac:dyDescent="0.2">
      <c r="A3422">
        <f t="shared" si="106"/>
        <v>2902910</v>
      </c>
      <c r="B3422">
        <v>2019</v>
      </c>
      <c r="C3422" t="s">
        <v>739</v>
      </c>
      <c r="D3422" t="s">
        <v>740</v>
      </c>
      <c r="E3422" t="s">
        <v>743</v>
      </c>
      <c r="F3422" s="34">
        <v>566</v>
      </c>
      <c r="G3422" s="34" t="s">
        <v>517</v>
      </c>
      <c r="H3422" s="36">
        <v>329757</v>
      </c>
      <c r="I3422" s="58">
        <v>2164337</v>
      </c>
      <c r="J3422">
        <f>IFERROR(VLOOKUP(G3422,'LEAID Match'!$A$2:$B$526,2,FALSE),"")</f>
        <v>2902910</v>
      </c>
      <c r="K3422" s="68">
        <f t="shared" si="107"/>
        <v>8</v>
      </c>
    </row>
    <row r="3423" spans="1:11" x14ac:dyDescent="0.2">
      <c r="A3423">
        <f t="shared" si="106"/>
        <v>2902910</v>
      </c>
      <c r="B3423">
        <v>2020</v>
      </c>
      <c r="C3423" t="s">
        <v>739</v>
      </c>
      <c r="D3423" t="s">
        <v>740</v>
      </c>
      <c r="E3423" t="s">
        <v>743</v>
      </c>
      <c r="F3423" s="34">
        <v>566</v>
      </c>
      <c r="G3423" s="34" t="s">
        <v>517</v>
      </c>
      <c r="H3423" s="36">
        <v>334410</v>
      </c>
      <c r="I3423" s="58">
        <v>2181543</v>
      </c>
      <c r="J3423">
        <f>IFERROR(VLOOKUP(G3423,'LEAID Match'!$A$2:$B$526,2,FALSE),"")</f>
        <v>2902910</v>
      </c>
      <c r="K3423" s="68">
        <f t="shared" si="107"/>
        <v>8</v>
      </c>
    </row>
    <row r="3424" spans="1:11" x14ac:dyDescent="0.2">
      <c r="A3424">
        <f t="shared" si="106"/>
        <v>2902910</v>
      </c>
      <c r="B3424">
        <v>2021</v>
      </c>
      <c r="C3424" t="s">
        <v>739</v>
      </c>
      <c r="D3424" t="s">
        <v>740</v>
      </c>
      <c r="E3424" t="s">
        <v>743</v>
      </c>
      <c r="F3424" s="34">
        <v>566</v>
      </c>
      <c r="G3424" s="34" t="s">
        <v>517</v>
      </c>
      <c r="H3424" s="36">
        <v>332728</v>
      </c>
      <c r="I3424" s="58">
        <v>2217176</v>
      </c>
      <c r="J3424">
        <f>IFERROR(VLOOKUP(G3424,'LEAID Match'!$A$2:$B$526,2,FALSE),"")</f>
        <v>2902910</v>
      </c>
      <c r="K3424" s="68">
        <f t="shared" si="107"/>
        <v>8</v>
      </c>
    </row>
    <row r="3425" spans="1:11" x14ac:dyDescent="0.2">
      <c r="A3425">
        <f t="shared" si="106"/>
        <v>2902910</v>
      </c>
      <c r="B3425">
        <v>2022</v>
      </c>
      <c r="C3425" t="s">
        <v>739</v>
      </c>
      <c r="D3425" t="s">
        <v>740</v>
      </c>
      <c r="E3425" t="s">
        <v>743</v>
      </c>
      <c r="F3425" s="34">
        <v>566</v>
      </c>
      <c r="G3425" s="34" t="s">
        <v>517</v>
      </c>
      <c r="H3425" s="36">
        <v>351618</v>
      </c>
      <c r="I3425" s="58">
        <v>2273672</v>
      </c>
      <c r="J3425">
        <f>IFERROR(VLOOKUP(G3425,'LEAID Match'!$A$2:$B$526,2,FALSE),"")</f>
        <v>2902910</v>
      </c>
      <c r="K3425" s="68">
        <f t="shared" si="107"/>
        <v>8</v>
      </c>
    </row>
    <row r="3426" spans="1:11" x14ac:dyDescent="0.2">
      <c r="A3426">
        <f t="shared" si="106"/>
        <v>2904500</v>
      </c>
      <c r="B3426">
        <v>2015</v>
      </c>
      <c r="C3426" t="s">
        <v>739</v>
      </c>
      <c r="D3426" t="s">
        <v>740</v>
      </c>
      <c r="E3426" t="s">
        <v>743</v>
      </c>
      <c r="F3426" s="45">
        <v>567</v>
      </c>
      <c r="G3426" s="50" t="s">
        <v>518</v>
      </c>
      <c r="H3426" s="53">
        <v>114243</v>
      </c>
      <c r="I3426" s="58">
        <v>1127265</v>
      </c>
      <c r="J3426">
        <f>IFERROR(VLOOKUP(G3426,'LEAID Match'!$A$2:$B$526,2,FALSE),"")</f>
        <v>2904500</v>
      </c>
      <c r="K3426" s="68">
        <f t="shared" si="107"/>
        <v>8</v>
      </c>
    </row>
    <row r="3427" spans="1:11" x14ac:dyDescent="0.2">
      <c r="A3427">
        <f t="shared" si="106"/>
        <v>2904500</v>
      </c>
      <c r="B3427">
        <v>2016</v>
      </c>
      <c r="C3427" t="s">
        <v>739</v>
      </c>
      <c r="D3427" t="s">
        <v>740</v>
      </c>
      <c r="E3427" t="s">
        <v>743</v>
      </c>
      <c r="F3427" s="34">
        <v>567</v>
      </c>
      <c r="G3427" s="34" t="s">
        <v>518</v>
      </c>
      <c r="H3427" s="36">
        <v>111140</v>
      </c>
      <c r="I3427" s="60">
        <v>1160629</v>
      </c>
      <c r="J3427">
        <f>IFERROR(VLOOKUP(G3427,'LEAID Match'!$A$2:$B$526,2,FALSE),"")</f>
        <v>2904500</v>
      </c>
      <c r="K3427" s="68">
        <f t="shared" si="107"/>
        <v>8</v>
      </c>
    </row>
    <row r="3428" spans="1:11" x14ac:dyDescent="0.2">
      <c r="A3428">
        <f t="shared" si="106"/>
        <v>2904500</v>
      </c>
      <c r="B3428">
        <v>2017</v>
      </c>
      <c r="C3428" t="s">
        <v>739</v>
      </c>
      <c r="D3428" t="s">
        <v>740</v>
      </c>
      <c r="E3428" t="s">
        <v>743</v>
      </c>
      <c r="F3428" s="34">
        <v>567</v>
      </c>
      <c r="G3428" s="34" t="s">
        <v>518</v>
      </c>
      <c r="H3428" s="36">
        <v>119452</v>
      </c>
      <c r="I3428" s="58">
        <v>1214415</v>
      </c>
      <c r="J3428">
        <f>IFERROR(VLOOKUP(G3428,'LEAID Match'!$A$2:$B$526,2,FALSE),"")</f>
        <v>2904500</v>
      </c>
      <c r="K3428" s="68">
        <f t="shared" si="107"/>
        <v>8</v>
      </c>
    </row>
    <row r="3429" spans="1:11" x14ac:dyDescent="0.2">
      <c r="A3429">
        <f t="shared" si="106"/>
        <v>2904500</v>
      </c>
      <c r="B3429">
        <v>2018</v>
      </c>
      <c r="C3429" t="s">
        <v>739</v>
      </c>
      <c r="D3429" t="s">
        <v>740</v>
      </c>
      <c r="E3429" t="s">
        <v>743</v>
      </c>
      <c r="F3429" s="34">
        <v>567</v>
      </c>
      <c r="G3429" s="34" t="s">
        <v>518</v>
      </c>
      <c r="H3429" s="36">
        <v>132215</v>
      </c>
      <c r="I3429" s="58">
        <v>1265788</v>
      </c>
      <c r="J3429">
        <f>IFERROR(VLOOKUP(G3429,'LEAID Match'!$A$2:$B$526,2,FALSE),"")</f>
        <v>2904500</v>
      </c>
      <c r="K3429" s="68">
        <f t="shared" si="107"/>
        <v>8</v>
      </c>
    </row>
    <row r="3430" spans="1:11" x14ac:dyDescent="0.2">
      <c r="A3430">
        <f t="shared" si="106"/>
        <v>2904500</v>
      </c>
      <c r="B3430">
        <v>2019</v>
      </c>
      <c r="C3430" t="s">
        <v>739</v>
      </c>
      <c r="D3430" t="s">
        <v>740</v>
      </c>
      <c r="E3430" t="s">
        <v>743</v>
      </c>
      <c r="F3430" s="34">
        <v>567</v>
      </c>
      <c r="G3430" s="34" t="s">
        <v>518</v>
      </c>
      <c r="H3430" s="36">
        <v>154094</v>
      </c>
      <c r="I3430" s="58">
        <v>1386716</v>
      </c>
      <c r="J3430">
        <f>IFERROR(VLOOKUP(G3430,'LEAID Match'!$A$2:$B$526,2,FALSE),"")</f>
        <v>2904500</v>
      </c>
      <c r="K3430" s="68">
        <f t="shared" si="107"/>
        <v>8</v>
      </c>
    </row>
    <row r="3431" spans="1:11" x14ac:dyDescent="0.2">
      <c r="A3431">
        <f t="shared" si="106"/>
        <v>2904500</v>
      </c>
      <c r="B3431">
        <v>2020</v>
      </c>
      <c r="C3431" t="s">
        <v>739</v>
      </c>
      <c r="D3431" t="s">
        <v>740</v>
      </c>
      <c r="E3431" t="s">
        <v>743</v>
      </c>
      <c r="F3431" s="34">
        <v>567</v>
      </c>
      <c r="G3431" s="34" t="s">
        <v>518</v>
      </c>
      <c r="H3431" s="36">
        <v>159712</v>
      </c>
      <c r="I3431" s="58">
        <v>1409547</v>
      </c>
      <c r="J3431">
        <f>IFERROR(VLOOKUP(G3431,'LEAID Match'!$A$2:$B$526,2,FALSE),"")</f>
        <v>2904500</v>
      </c>
      <c r="K3431" s="68">
        <f t="shared" si="107"/>
        <v>8</v>
      </c>
    </row>
    <row r="3432" spans="1:11" x14ac:dyDescent="0.2">
      <c r="A3432">
        <f t="shared" si="106"/>
        <v>2904500</v>
      </c>
      <c r="B3432">
        <v>2021</v>
      </c>
      <c r="C3432" t="s">
        <v>739</v>
      </c>
      <c r="D3432" t="s">
        <v>740</v>
      </c>
      <c r="E3432" t="s">
        <v>743</v>
      </c>
      <c r="F3432" s="34">
        <v>567</v>
      </c>
      <c r="G3432" s="34" t="s">
        <v>518</v>
      </c>
      <c r="H3432" s="36">
        <v>150121</v>
      </c>
      <c r="I3432" s="58">
        <v>1401940</v>
      </c>
      <c r="J3432">
        <f>IFERROR(VLOOKUP(G3432,'LEAID Match'!$A$2:$B$526,2,FALSE),"")</f>
        <v>2904500</v>
      </c>
      <c r="K3432" s="68">
        <f t="shared" si="107"/>
        <v>8</v>
      </c>
    </row>
    <row r="3433" spans="1:11" x14ac:dyDescent="0.2">
      <c r="A3433">
        <f t="shared" si="106"/>
        <v>2904500</v>
      </c>
      <c r="B3433">
        <v>2022</v>
      </c>
      <c r="C3433" t="s">
        <v>739</v>
      </c>
      <c r="D3433" t="s">
        <v>740</v>
      </c>
      <c r="E3433" t="s">
        <v>743</v>
      </c>
      <c r="F3433" s="34">
        <v>567</v>
      </c>
      <c r="G3433" s="34" t="s">
        <v>518</v>
      </c>
      <c r="H3433" s="36">
        <v>158782</v>
      </c>
      <c r="I3433" s="58">
        <v>1459704</v>
      </c>
      <c r="J3433">
        <f>IFERROR(VLOOKUP(G3433,'LEAID Match'!$A$2:$B$526,2,FALSE),"")</f>
        <v>2904500</v>
      </c>
      <c r="K3433" s="68">
        <f t="shared" si="107"/>
        <v>8</v>
      </c>
    </row>
    <row r="3434" spans="1:11" x14ac:dyDescent="0.2">
      <c r="A3434">
        <f t="shared" si="106"/>
        <v>2905880</v>
      </c>
      <c r="B3434">
        <v>2015</v>
      </c>
      <c r="C3434" t="s">
        <v>739</v>
      </c>
      <c r="D3434" t="s">
        <v>740</v>
      </c>
      <c r="E3434" t="s">
        <v>743</v>
      </c>
      <c r="F3434" s="45">
        <v>569</v>
      </c>
      <c r="G3434" s="50" t="s">
        <v>519</v>
      </c>
      <c r="H3434" s="53">
        <v>163211</v>
      </c>
      <c r="I3434" s="58">
        <v>1025161</v>
      </c>
      <c r="J3434">
        <f>IFERROR(VLOOKUP(G3434,'LEAID Match'!$A$2:$B$526,2,FALSE),"")</f>
        <v>2905880</v>
      </c>
      <c r="K3434" s="68">
        <f t="shared" si="107"/>
        <v>8</v>
      </c>
    </row>
    <row r="3435" spans="1:11" x14ac:dyDescent="0.2">
      <c r="A3435">
        <f t="shared" si="106"/>
        <v>2905880</v>
      </c>
      <c r="B3435">
        <v>2016</v>
      </c>
      <c r="C3435" t="s">
        <v>739</v>
      </c>
      <c r="D3435" t="s">
        <v>740</v>
      </c>
      <c r="E3435" t="s">
        <v>743</v>
      </c>
      <c r="F3435" s="34">
        <v>569</v>
      </c>
      <c r="G3435" s="34" t="s">
        <v>519</v>
      </c>
      <c r="H3435" s="36">
        <v>172188</v>
      </c>
      <c r="I3435" s="60">
        <v>1045551</v>
      </c>
      <c r="J3435">
        <f>IFERROR(VLOOKUP(G3435,'LEAID Match'!$A$2:$B$526,2,FALSE),"")</f>
        <v>2905880</v>
      </c>
      <c r="K3435" s="68">
        <f t="shared" si="107"/>
        <v>8</v>
      </c>
    </row>
    <row r="3436" spans="1:11" x14ac:dyDescent="0.2">
      <c r="A3436">
        <f t="shared" si="106"/>
        <v>2905880</v>
      </c>
      <c r="B3436">
        <v>2017</v>
      </c>
      <c r="C3436" t="s">
        <v>739</v>
      </c>
      <c r="D3436" t="s">
        <v>740</v>
      </c>
      <c r="E3436" t="s">
        <v>743</v>
      </c>
      <c r="F3436" s="34">
        <v>569</v>
      </c>
      <c r="G3436" s="34" t="s">
        <v>519</v>
      </c>
      <c r="H3436" s="36">
        <v>179802</v>
      </c>
      <c r="I3436" s="58">
        <v>1091732</v>
      </c>
      <c r="J3436">
        <f>IFERROR(VLOOKUP(G3436,'LEAID Match'!$A$2:$B$526,2,FALSE),"")</f>
        <v>2905880</v>
      </c>
      <c r="K3436" s="68">
        <f t="shared" si="107"/>
        <v>8</v>
      </c>
    </row>
    <row r="3437" spans="1:11" x14ac:dyDescent="0.2">
      <c r="A3437">
        <f t="shared" si="106"/>
        <v>2905880</v>
      </c>
      <c r="B3437">
        <v>2018</v>
      </c>
      <c r="C3437" t="s">
        <v>739</v>
      </c>
      <c r="D3437" t="s">
        <v>740</v>
      </c>
      <c r="E3437" t="s">
        <v>743</v>
      </c>
      <c r="F3437" s="34">
        <v>569</v>
      </c>
      <c r="G3437" s="34" t="s">
        <v>519</v>
      </c>
      <c r="H3437" s="36">
        <v>181656</v>
      </c>
      <c r="I3437" s="58">
        <v>1100373</v>
      </c>
      <c r="J3437">
        <f>IFERROR(VLOOKUP(G3437,'LEAID Match'!$A$2:$B$526,2,FALSE),"")</f>
        <v>2905880</v>
      </c>
      <c r="K3437" s="68">
        <f t="shared" si="107"/>
        <v>8</v>
      </c>
    </row>
    <row r="3438" spans="1:11" x14ac:dyDescent="0.2">
      <c r="A3438">
        <f t="shared" si="106"/>
        <v>2905880</v>
      </c>
      <c r="B3438">
        <v>2019</v>
      </c>
      <c r="C3438" t="s">
        <v>739</v>
      </c>
      <c r="D3438" t="s">
        <v>740</v>
      </c>
      <c r="E3438" t="s">
        <v>743</v>
      </c>
      <c r="F3438" s="34">
        <v>569</v>
      </c>
      <c r="G3438" s="34" t="s">
        <v>519</v>
      </c>
      <c r="H3438" s="36">
        <v>187131</v>
      </c>
      <c r="I3438" s="58">
        <v>1115302</v>
      </c>
      <c r="J3438">
        <f>IFERROR(VLOOKUP(G3438,'LEAID Match'!$A$2:$B$526,2,FALSE),"")</f>
        <v>2905880</v>
      </c>
      <c r="K3438" s="68">
        <f t="shared" si="107"/>
        <v>8</v>
      </c>
    </row>
    <row r="3439" spans="1:11" x14ac:dyDescent="0.2">
      <c r="A3439">
        <f t="shared" si="106"/>
        <v>2905880</v>
      </c>
      <c r="B3439">
        <v>2020</v>
      </c>
      <c r="C3439" t="s">
        <v>739</v>
      </c>
      <c r="D3439" t="s">
        <v>740</v>
      </c>
      <c r="E3439" t="s">
        <v>743</v>
      </c>
      <c r="F3439" s="34">
        <v>569</v>
      </c>
      <c r="G3439" s="34" t="s">
        <v>519</v>
      </c>
      <c r="H3439" s="36">
        <v>203785</v>
      </c>
      <c r="I3439" s="58">
        <v>1123440</v>
      </c>
      <c r="J3439">
        <f>IFERROR(VLOOKUP(G3439,'LEAID Match'!$A$2:$B$526,2,FALSE),"")</f>
        <v>2905880</v>
      </c>
      <c r="K3439" s="68">
        <f t="shared" si="107"/>
        <v>8</v>
      </c>
    </row>
    <row r="3440" spans="1:11" x14ac:dyDescent="0.2">
      <c r="A3440">
        <f t="shared" si="106"/>
        <v>2905880</v>
      </c>
      <c r="B3440">
        <v>2021</v>
      </c>
      <c r="C3440" t="s">
        <v>739</v>
      </c>
      <c r="D3440" t="s">
        <v>740</v>
      </c>
      <c r="E3440" t="s">
        <v>743</v>
      </c>
      <c r="F3440" s="34">
        <v>569</v>
      </c>
      <c r="G3440" s="34" t="s">
        <v>519</v>
      </c>
      <c r="H3440" s="36">
        <v>203304</v>
      </c>
      <c r="I3440" s="58">
        <v>1157693</v>
      </c>
      <c r="J3440">
        <f>IFERROR(VLOOKUP(G3440,'LEAID Match'!$A$2:$B$526,2,FALSE),"")</f>
        <v>2905880</v>
      </c>
      <c r="K3440" s="68">
        <f t="shared" si="107"/>
        <v>8</v>
      </c>
    </row>
    <row r="3441" spans="1:11" x14ac:dyDescent="0.2">
      <c r="A3441">
        <f t="shared" si="106"/>
        <v>2905880</v>
      </c>
      <c r="B3441">
        <v>2022</v>
      </c>
      <c r="C3441" t="s">
        <v>739</v>
      </c>
      <c r="D3441" t="s">
        <v>740</v>
      </c>
      <c r="E3441" t="s">
        <v>743</v>
      </c>
      <c r="F3441" s="34">
        <v>569</v>
      </c>
      <c r="G3441" s="34" t="s">
        <v>519</v>
      </c>
      <c r="H3441" s="36">
        <v>196212</v>
      </c>
      <c r="I3441" s="58">
        <v>1201738</v>
      </c>
      <c r="J3441">
        <f>IFERROR(VLOOKUP(G3441,'LEAID Match'!$A$2:$B$526,2,FALSE),"")</f>
        <v>2905880</v>
      </c>
      <c r="K3441" s="68">
        <f t="shared" si="107"/>
        <v>8</v>
      </c>
    </row>
    <row r="3442" spans="1:11" x14ac:dyDescent="0.2">
      <c r="A3442">
        <f t="shared" si="106"/>
        <v>2909720</v>
      </c>
      <c r="B3442">
        <v>2015</v>
      </c>
      <c r="C3442" t="s">
        <v>739</v>
      </c>
      <c r="D3442" t="s">
        <v>740</v>
      </c>
      <c r="E3442" t="s">
        <v>743</v>
      </c>
      <c r="F3442" s="45">
        <v>570</v>
      </c>
      <c r="G3442" s="50" t="s">
        <v>520</v>
      </c>
      <c r="H3442" s="53">
        <v>518849</v>
      </c>
      <c r="I3442" s="58">
        <v>3450675</v>
      </c>
      <c r="J3442">
        <f>IFERROR(VLOOKUP(G3442,'LEAID Match'!$A$2:$B$526,2,FALSE),"")</f>
        <v>2909720</v>
      </c>
      <c r="K3442" s="68">
        <f t="shared" si="107"/>
        <v>8</v>
      </c>
    </row>
    <row r="3443" spans="1:11" x14ac:dyDescent="0.2">
      <c r="A3443">
        <f t="shared" si="106"/>
        <v>2909720</v>
      </c>
      <c r="B3443">
        <v>2016</v>
      </c>
      <c r="C3443" t="s">
        <v>739</v>
      </c>
      <c r="D3443" t="s">
        <v>740</v>
      </c>
      <c r="E3443" t="s">
        <v>743</v>
      </c>
      <c r="F3443" s="34">
        <v>570</v>
      </c>
      <c r="G3443" s="34" t="s">
        <v>520</v>
      </c>
      <c r="H3443" s="36">
        <v>542557</v>
      </c>
      <c r="I3443" s="60">
        <v>3631138</v>
      </c>
      <c r="J3443">
        <f>IFERROR(VLOOKUP(G3443,'LEAID Match'!$A$2:$B$526,2,FALSE),"")</f>
        <v>2909720</v>
      </c>
      <c r="K3443" s="68">
        <f t="shared" si="107"/>
        <v>8</v>
      </c>
    </row>
    <row r="3444" spans="1:11" x14ac:dyDescent="0.2">
      <c r="A3444">
        <f t="shared" si="106"/>
        <v>2909720</v>
      </c>
      <c r="B3444">
        <v>2017</v>
      </c>
      <c r="C3444" t="s">
        <v>739</v>
      </c>
      <c r="D3444" t="s">
        <v>740</v>
      </c>
      <c r="E3444" t="s">
        <v>743</v>
      </c>
      <c r="F3444" s="34">
        <v>570</v>
      </c>
      <c r="G3444" s="34" t="s">
        <v>520</v>
      </c>
      <c r="H3444" s="36">
        <v>558224</v>
      </c>
      <c r="I3444" s="58">
        <v>3768984</v>
      </c>
      <c r="J3444">
        <f>IFERROR(VLOOKUP(G3444,'LEAID Match'!$A$2:$B$526,2,FALSE),"")</f>
        <v>2909720</v>
      </c>
      <c r="K3444" s="68">
        <f t="shared" si="107"/>
        <v>8</v>
      </c>
    </row>
    <row r="3445" spans="1:11" x14ac:dyDescent="0.2">
      <c r="A3445">
        <f t="shared" si="106"/>
        <v>2909720</v>
      </c>
      <c r="B3445">
        <v>2018</v>
      </c>
      <c r="C3445" t="s">
        <v>739</v>
      </c>
      <c r="D3445" t="s">
        <v>740</v>
      </c>
      <c r="E3445" t="s">
        <v>743</v>
      </c>
      <c r="F3445" s="34">
        <v>570</v>
      </c>
      <c r="G3445" s="34" t="s">
        <v>520</v>
      </c>
      <c r="H3445" s="36">
        <v>567941</v>
      </c>
      <c r="I3445" s="58">
        <v>3843008</v>
      </c>
      <c r="J3445">
        <f>IFERROR(VLOOKUP(G3445,'LEAID Match'!$A$2:$B$526,2,FALSE),"")</f>
        <v>2909720</v>
      </c>
      <c r="K3445" s="68">
        <f t="shared" si="107"/>
        <v>8</v>
      </c>
    </row>
    <row r="3446" spans="1:11" x14ac:dyDescent="0.2">
      <c r="A3446">
        <f t="shared" si="106"/>
        <v>2909720</v>
      </c>
      <c r="B3446">
        <v>2019</v>
      </c>
      <c r="C3446" t="s">
        <v>739</v>
      </c>
      <c r="D3446" t="s">
        <v>740</v>
      </c>
      <c r="E3446" t="s">
        <v>743</v>
      </c>
      <c r="F3446" s="34">
        <v>570</v>
      </c>
      <c r="G3446" s="34" t="s">
        <v>520</v>
      </c>
      <c r="H3446" s="36">
        <v>588545</v>
      </c>
      <c r="I3446" s="58">
        <v>3925649</v>
      </c>
      <c r="J3446">
        <f>IFERROR(VLOOKUP(G3446,'LEAID Match'!$A$2:$B$526,2,FALSE),"")</f>
        <v>2909720</v>
      </c>
      <c r="K3446" s="68">
        <f t="shared" si="107"/>
        <v>8</v>
      </c>
    </row>
    <row r="3447" spans="1:11" x14ac:dyDescent="0.2">
      <c r="A3447">
        <f t="shared" si="106"/>
        <v>2909720</v>
      </c>
      <c r="B3447">
        <v>2020</v>
      </c>
      <c r="C3447" t="s">
        <v>739</v>
      </c>
      <c r="D3447" t="s">
        <v>740</v>
      </c>
      <c r="E3447" t="s">
        <v>743</v>
      </c>
      <c r="F3447" s="34">
        <v>570</v>
      </c>
      <c r="G3447" s="34" t="s">
        <v>520</v>
      </c>
      <c r="H3447" s="36">
        <v>591055</v>
      </c>
      <c r="I3447" s="58">
        <v>3972917</v>
      </c>
      <c r="J3447">
        <f>IFERROR(VLOOKUP(G3447,'LEAID Match'!$A$2:$B$526,2,FALSE),"")</f>
        <v>2909720</v>
      </c>
      <c r="K3447" s="68">
        <f t="shared" si="107"/>
        <v>8</v>
      </c>
    </row>
    <row r="3448" spans="1:11" x14ac:dyDescent="0.2">
      <c r="A3448">
        <f t="shared" si="106"/>
        <v>2909720</v>
      </c>
      <c r="B3448">
        <v>2021</v>
      </c>
      <c r="C3448" t="s">
        <v>739</v>
      </c>
      <c r="D3448" t="s">
        <v>740</v>
      </c>
      <c r="E3448" t="s">
        <v>743</v>
      </c>
      <c r="F3448" s="34">
        <v>570</v>
      </c>
      <c r="G3448" s="34" t="s">
        <v>520</v>
      </c>
      <c r="H3448" s="36">
        <v>590848</v>
      </c>
      <c r="I3448" s="58">
        <v>4119889</v>
      </c>
      <c r="J3448">
        <f>IFERROR(VLOOKUP(G3448,'LEAID Match'!$A$2:$B$526,2,FALSE),"")</f>
        <v>2909720</v>
      </c>
      <c r="K3448" s="68">
        <f t="shared" si="107"/>
        <v>8</v>
      </c>
    </row>
    <row r="3449" spans="1:11" x14ac:dyDescent="0.2">
      <c r="A3449">
        <f t="shared" si="106"/>
        <v>2909720</v>
      </c>
      <c r="B3449">
        <v>2022</v>
      </c>
      <c r="C3449" t="s">
        <v>739</v>
      </c>
      <c r="D3449" t="s">
        <v>740</v>
      </c>
      <c r="E3449" t="s">
        <v>743</v>
      </c>
      <c r="F3449" s="34">
        <v>570</v>
      </c>
      <c r="G3449" s="34" t="s">
        <v>520</v>
      </c>
      <c r="H3449" s="36">
        <v>614532</v>
      </c>
      <c r="I3449" s="58">
        <v>4187826</v>
      </c>
      <c r="J3449">
        <f>IFERROR(VLOOKUP(G3449,'LEAID Match'!$A$2:$B$526,2,FALSE),"")</f>
        <v>2909720</v>
      </c>
      <c r="K3449" s="68">
        <f t="shared" si="107"/>
        <v>8</v>
      </c>
    </row>
    <row r="3450" spans="1:11" x14ac:dyDescent="0.2">
      <c r="A3450">
        <f t="shared" si="106"/>
        <v>2913620</v>
      </c>
      <c r="B3450">
        <v>2015</v>
      </c>
      <c r="C3450" t="s">
        <v>739</v>
      </c>
      <c r="D3450" t="s">
        <v>740</v>
      </c>
      <c r="E3450" t="s">
        <v>743</v>
      </c>
      <c r="F3450" s="37">
        <v>571</v>
      </c>
      <c r="G3450" s="39" t="s">
        <v>389</v>
      </c>
      <c r="H3450" s="40">
        <v>128888</v>
      </c>
      <c r="I3450" s="58">
        <v>1217880</v>
      </c>
      <c r="J3450">
        <f>IFERROR(VLOOKUP(G3450,'LEAID Match'!$A$2:$B$526,2,FALSE),"")</f>
        <v>2913620</v>
      </c>
      <c r="K3450" s="68">
        <f t="shared" si="107"/>
        <v>8</v>
      </c>
    </row>
    <row r="3451" spans="1:11" x14ac:dyDescent="0.2">
      <c r="A3451">
        <f t="shared" si="106"/>
        <v>2913620</v>
      </c>
      <c r="B3451">
        <v>2016</v>
      </c>
      <c r="C3451" t="s">
        <v>739</v>
      </c>
      <c r="D3451" t="s">
        <v>740</v>
      </c>
      <c r="E3451" t="s">
        <v>743</v>
      </c>
      <c r="F3451" s="34">
        <v>571</v>
      </c>
      <c r="G3451" s="34" t="s">
        <v>389</v>
      </c>
      <c r="H3451" s="36">
        <v>136872</v>
      </c>
      <c r="I3451" s="60">
        <v>1247268</v>
      </c>
      <c r="J3451">
        <f>IFERROR(VLOOKUP(G3451,'LEAID Match'!$A$2:$B$526,2,FALSE),"")</f>
        <v>2913620</v>
      </c>
      <c r="K3451" s="68">
        <f t="shared" si="107"/>
        <v>8</v>
      </c>
    </row>
    <row r="3452" spans="1:11" x14ac:dyDescent="0.2">
      <c r="A3452">
        <f t="shared" si="106"/>
        <v>2913620</v>
      </c>
      <c r="B3452">
        <v>2017</v>
      </c>
      <c r="C3452" t="s">
        <v>739</v>
      </c>
      <c r="D3452" t="s">
        <v>740</v>
      </c>
      <c r="E3452" t="s">
        <v>743</v>
      </c>
      <c r="F3452" s="34">
        <v>571</v>
      </c>
      <c r="G3452" s="34" t="s">
        <v>389</v>
      </c>
      <c r="H3452" s="36">
        <v>146945</v>
      </c>
      <c r="I3452" s="58">
        <v>1277381</v>
      </c>
      <c r="J3452">
        <f>IFERROR(VLOOKUP(G3452,'LEAID Match'!$A$2:$B$526,2,FALSE),"")</f>
        <v>2913620</v>
      </c>
      <c r="K3452" s="68">
        <f t="shared" si="107"/>
        <v>8</v>
      </c>
    </row>
    <row r="3453" spans="1:11" x14ac:dyDescent="0.2">
      <c r="A3453">
        <f t="shared" si="106"/>
        <v>2913620</v>
      </c>
      <c r="B3453">
        <v>2018</v>
      </c>
      <c r="C3453" t="s">
        <v>739</v>
      </c>
      <c r="D3453" t="s">
        <v>740</v>
      </c>
      <c r="E3453" t="s">
        <v>743</v>
      </c>
      <c r="F3453" s="34">
        <v>571</v>
      </c>
      <c r="G3453" s="34" t="s">
        <v>389</v>
      </c>
      <c r="H3453" s="36">
        <v>150793</v>
      </c>
      <c r="I3453" s="58">
        <v>1322332</v>
      </c>
      <c r="J3453">
        <f>IFERROR(VLOOKUP(G3453,'LEAID Match'!$A$2:$B$526,2,FALSE),"")</f>
        <v>2913620</v>
      </c>
      <c r="K3453" s="68">
        <f t="shared" si="107"/>
        <v>8</v>
      </c>
    </row>
    <row r="3454" spans="1:11" x14ac:dyDescent="0.2">
      <c r="A3454">
        <f t="shared" si="106"/>
        <v>2913620</v>
      </c>
      <c r="B3454">
        <v>2019</v>
      </c>
      <c r="C3454" t="s">
        <v>739</v>
      </c>
      <c r="D3454" t="s">
        <v>740</v>
      </c>
      <c r="E3454" t="s">
        <v>743</v>
      </c>
      <c r="F3454" s="34">
        <v>571</v>
      </c>
      <c r="G3454" s="34" t="s">
        <v>389</v>
      </c>
      <c r="H3454" s="36">
        <v>158804</v>
      </c>
      <c r="I3454" s="58">
        <v>1338435</v>
      </c>
      <c r="J3454">
        <f>IFERROR(VLOOKUP(G3454,'LEAID Match'!$A$2:$B$526,2,FALSE),"")</f>
        <v>2913620</v>
      </c>
      <c r="K3454" s="68">
        <f t="shared" si="107"/>
        <v>8</v>
      </c>
    </row>
    <row r="3455" spans="1:11" x14ac:dyDescent="0.2">
      <c r="A3455">
        <f t="shared" si="106"/>
        <v>2913620</v>
      </c>
      <c r="B3455">
        <v>2020</v>
      </c>
      <c r="C3455" t="s">
        <v>739</v>
      </c>
      <c r="D3455" t="s">
        <v>740</v>
      </c>
      <c r="E3455" t="s">
        <v>743</v>
      </c>
      <c r="F3455" s="34">
        <v>571</v>
      </c>
      <c r="G3455" s="34" t="s">
        <v>389</v>
      </c>
      <c r="H3455" s="36">
        <v>160317</v>
      </c>
      <c r="I3455" s="58">
        <v>1350826</v>
      </c>
      <c r="J3455">
        <f>IFERROR(VLOOKUP(G3455,'LEAID Match'!$A$2:$B$526,2,FALSE),"")</f>
        <v>2913620</v>
      </c>
      <c r="K3455" s="68">
        <f t="shared" si="107"/>
        <v>8</v>
      </c>
    </row>
    <row r="3456" spans="1:11" x14ac:dyDescent="0.2">
      <c r="A3456">
        <f t="shared" si="106"/>
        <v>2913620</v>
      </c>
      <c r="B3456">
        <v>2021</v>
      </c>
      <c r="C3456" t="s">
        <v>739</v>
      </c>
      <c r="D3456" t="s">
        <v>740</v>
      </c>
      <c r="E3456" t="s">
        <v>743</v>
      </c>
      <c r="F3456" s="34">
        <v>571</v>
      </c>
      <c r="G3456" s="34" t="s">
        <v>389</v>
      </c>
      <c r="H3456" s="36">
        <v>167411</v>
      </c>
      <c r="I3456" s="58">
        <v>1395834</v>
      </c>
      <c r="J3456">
        <f>IFERROR(VLOOKUP(G3456,'LEAID Match'!$A$2:$B$526,2,FALSE),"")</f>
        <v>2913620</v>
      </c>
      <c r="K3456" s="68">
        <f t="shared" si="107"/>
        <v>8</v>
      </c>
    </row>
    <row r="3457" spans="1:11" x14ac:dyDescent="0.2">
      <c r="A3457">
        <f t="shared" si="106"/>
        <v>2913620</v>
      </c>
      <c r="B3457">
        <v>2022</v>
      </c>
      <c r="C3457" t="s">
        <v>739</v>
      </c>
      <c r="D3457" t="s">
        <v>740</v>
      </c>
      <c r="E3457" t="s">
        <v>743</v>
      </c>
      <c r="F3457" s="34">
        <v>571</v>
      </c>
      <c r="G3457" s="34" t="s">
        <v>389</v>
      </c>
      <c r="H3457" s="36">
        <v>171451</v>
      </c>
      <c r="I3457" s="58">
        <v>1496939</v>
      </c>
      <c r="J3457">
        <f>IFERROR(VLOOKUP(G3457,'LEAID Match'!$A$2:$B$526,2,FALSE),"")</f>
        <v>2913620</v>
      </c>
      <c r="K3457" s="68">
        <f t="shared" si="107"/>
        <v>8</v>
      </c>
    </row>
    <row r="3458" spans="1:11" x14ac:dyDescent="0.2">
      <c r="A3458">
        <f t="shared" si="106"/>
        <v>2916290</v>
      </c>
      <c r="B3458">
        <v>2015</v>
      </c>
      <c r="C3458" t="s">
        <v>739</v>
      </c>
      <c r="D3458" t="s">
        <v>740</v>
      </c>
      <c r="E3458" t="s">
        <v>743</v>
      </c>
      <c r="F3458" s="37">
        <v>572</v>
      </c>
      <c r="G3458" s="39" t="s">
        <v>390</v>
      </c>
      <c r="H3458" s="40">
        <v>303100</v>
      </c>
      <c r="I3458" s="58">
        <v>1986125</v>
      </c>
      <c r="J3458">
        <f>IFERROR(VLOOKUP(G3458,'LEAID Match'!$A$2:$B$526,2,FALSE),"")</f>
        <v>2916290</v>
      </c>
      <c r="K3458" s="68">
        <f t="shared" si="107"/>
        <v>8</v>
      </c>
    </row>
    <row r="3459" spans="1:11" x14ac:dyDescent="0.2">
      <c r="A3459">
        <f t="shared" ref="A3459:A3522" si="108">J3459</f>
        <v>2916290</v>
      </c>
      <c r="B3459">
        <v>2016</v>
      </c>
      <c r="C3459" t="s">
        <v>739</v>
      </c>
      <c r="D3459" t="s">
        <v>740</v>
      </c>
      <c r="E3459" t="s">
        <v>743</v>
      </c>
      <c r="F3459" s="34">
        <v>572</v>
      </c>
      <c r="G3459" s="34" t="s">
        <v>390</v>
      </c>
      <c r="H3459" s="36">
        <v>304807</v>
      </c>
      <c r="I3459" s="60">
        <v>2017603</v>
      </c>
      <c r="J3459">
        <f>IFERROR(VLOOKUP(G3459,'LEAID Match'!$A$2:$B$526,2,FALSE),"")</f>
        <v>2916290</v>
      </c>
      <c r="K3459" s="68">
        <f t="shared" ref="K3459:K3522" si="109">COUNTIF($J$2:$J$4295,J3459)</f>
        <v>8</v>
      </c>
    </row>
    <row r="3460" spans="1:11" x14ac:dyDescent="0.2">
      <c r="A3460">
        <f t="shared" si="108"/>
        <v>2916290</v>
      </c>
      <c r="B3460">
        <v>2017</v>
      </c>
      <c r="C3460" t="s">
        <v>739</v>
      </c>
      <c r="D3460" t="s">
        <v>740</v>
      </c>
      <c r="E3460" t="s">
        <v>743</v>
      </c>
      <c r="F3460" s="34">
        <v>572</v>
      </c>
      <c r="G3460" s="34" t="s">
        <v>390</v>
      </c>
      <c r="H3460" s="36">
        <v>287817</v>
      </c>
      <c r="I3460" s="58">
        <v>2080114</v>
      </c>
      <c r="J3460">
        <f>IFERROR(VLOOKUP(G3460,'LEAID Match'!$A$2:$B$526,2,FALSE),"")</f>
        <v>2916290</v>
      </c>
      <c r="K3460" s="68">
        <f t="shared" si="109"/>
        <v>8</v>
      </c>
    </row>
    <row r="3461" spans="1:11" x14ac:dyDescent="0.2">
      <c r="A3461">
        <f t="shared" si="108"/>
        <v>2916290</v>
      </c>
      <c r="B3461">
        <v>2018</v>
      </c>
      <c r="C3461" t="s">
        <v>739</v>
      </c>
      <c r="D3461" t="s">
        <v>740</v>
      </c>
      <c r="E3461" t="s">
        <v>743</v>
      </c>
      <c r="F3461" s="34">
        <v>572</v>
      </c>
      <c r="G3461" s="34" t="s">
        <v>390</v>
      </c>
      <c r="H3461" s="36">
        <v>301652</v>
      </c>
      <c r="I3461" s="58">
        <v>1987297</v>
      </c>
      <c r="J3461">
        <f>IFERROR(VLOOKUP(G3461,'LEAID Match'!$A$2:$B$526,2,FALSE),"")</f>
        <v>2916290</v>
      </c>
      <c r="K3461" s="68">
        <f t="shared" si="109"/>
        <v>8</v>
      </c>
    </row>
    <row r="3462" spans="1:11" x14ac:dyDescent="0.2">
      <c r="A3462">
        <f t="shared" si="108"/>
        <v>2916290</v>
      </c>
      <c r="B3462">
        <v>2019</v>
      </c>
      <c r="C3462" t="s">
        <v>739</v>
      </c>
      <c r="D3462" t="s">
        <v>740</v>
      </c>
      <c r="E3462" t="s">
        <v>743</v>
      </c>
      <c r="F3462" s="34">
        <v>572</v>
      </c>
      <c r="G3462" s="34" t="s">
        <v>390</v>
      </c>
      <c r="H3462" s="36">
        <v>320331</v>
      </c>
      <c r="I3462" s="58">
        <v>2062149</v>
      </c>
      <c r="J3462">
        <f>IFERROR(VLOOKUP(G3462,'LEAID Match'!$A$2:$B$526,2,FALSE),"")</f>
        <v>2916290</v>
      </c>
      <c r="K3462" s="68">
        <f t="shared" si="109"/>
        <v>8</v>
      </c>
    </row>
    <row r="3463" spans="1:11" x14ac:dyDescent="0.2">
      <c r="A3463">
        <f t="shared" si="108"/>
        <v>2916290</v>
      </c>
      <c r="B3463">
        <v>2020</v>
      </c>
      <c r="C3463" t="s">
        <v>739</v>
      </c>
      <c r="D3463" t="s">
        <v>740</v>
      </c>
      <c r="E3463" t="s">
        <v>743</v>
      </c>
      <c r="F3463" s="34">
        <v>572</v>
      </c>
      <c r="G3463" s="34" t="s">
        <v>390</v>
      </c>
      <c r="H3463" s="36">
        <v>331618</v>
      </c>
      <c r="I3463" s="58">
        <v>2028183</v>
      </c>
      <c r="J3463">
        <f>IFERROR(VLOOKUP(G3463,'LEAID Match'!$A$2:$B$526,2,FALSE),"")</f>
        <v>2916290</v>
      </c>
      <c r="K3463" s="68">
        <f t="shared" si="109"/>
        <v>8</v>
      </c>
    </row>
    <row r="3464" spans="1:11" x14ac:dyDescent="0.2">
      <c r="A3464">
        <f t="shared" si="108"/>
        <v>2916290</v>
      </c>
      <c r="B3464">
        <v>2021</v>
      </c>
      <c r="C3464" t="s">
        <v>739</v>
      </c>
      <c r="D3464" t="s">
        <v>740</v>
      </c>
      <c r="E3464" t="s">
        <v>743</v>
      </c>
      <c r="F3464" s="34">
        <v>572</v>
      </c>
      <c r="G3464" s="34" t="s">
        <v>390</v>
      </c>
      <c r="H3464" s="36">
        <v>316293</v>
      </c>
      <c r="I3464" s="58">
        <v>1971512</v>
      </c>
      <c r="J3464">
        <f>IFERROR(VLOOKUP(G3464,'LEAID Match'!$A$2:$B$526,2,FALSE),"")</f>
        <v>2916290</v>
      </c>
      <c r="K3464" s="68">
        <f t="shared" si="109"/>
        <v>8</v>
      </c>
    </row>
    <row r="3465" spans="1:11" x14ac:dyDescent="0.2">
      <c r="A3465">
        <f t="shared" si="108"/>
        <v>2916290</v>
      </c>
      <c r="B3465">
        <v>2022</v>
      </c>
      <c r="C3465" t="s">
        <v>739</v>
      </c>
      <c r="D3465" t="s">
        <v>740</v>
      </c>
      <c r="E3465" t="s">
        <v>743</v>
      </c>
      <c r="F3465" s="34">
        <v>572</v>
      </c>
      <c r="G3465" s="34" t="s">
        <v>390</v>
      </c>
      <c r="H3465" s="36">
        <v>343187</v>
      </c>
      <c r="I3465" s="58">
        <v>2006794</v>
      </c>
      <c r="J3465">
        <f>IFERROR(VLOOKUP(G3465,'LEAID Match'!$A$2:$B$526,2,FALSE),"")</f>
        <v>2916290</v>
      </c>
      <c r="K3465" s="68">
        <f t="shared" si="109"/>
        <v>8</v>
      </c>
    </row>
    <row r="3466" spans="1:11" x14ac:dyDescent="0.2">
      <c r="A3466">
        <f t="shared" si="108"/>
        <v>2920010</v>
      </c>
      <c r="B3466">
        <v>2015</v>
      </c>
      <c r="C3466" t="s">
        <v>739</v>
      </c>
      <c r="D3466" t="s">
        <v>740</v>
      </c>
      <c r="E3466" t="s">
        <v>743</v>
      </c>
      <c r="F3466" s="37">
        <v>574</v>
      </c>
      <c r="G3466" s="39" t="s">
        <v>391</v>
      </c>
      <c r="H3466" s="40">
        <v>227226</v>
      </c>
      <c r="I3466" s="58">
        <v>1216302</v>
      </c>
      <c r="J3466">
        <f>IFERROR(VLOOKUP(G3466,'LEAID Match'!$A$2:$B$526,2,FALSE),"")</f>
        <v>2920010</v>
      </c>
      <c r="K3466" s="68">
        <f t="shared" si="109"/>
        <v>8</v>
      </c>
    </row>
    <row r="3467" spans="1:11" x14ac:dyDescent="0.2">
      <c r="A3467">
        <f t="shared" si="108"/>
        <v>2920010</v>
      </c>
      <c r="B3467">
        <v>2016</v>
      </c>
      <c r="C3467" t="s">
        <v>739</v>
      </c>
      <c r="D3467" t="s">
        <v>740</v>
      </c>
      <c r="E3467" t="s">
        <v>743</v>
      </c>
      <c r="F3467" s="34">
        <v>574</v>
      </c>
      <c r="G3467" s="34" t="s">
        <v>391</v>
      </c>
      <c r="H3467" s="36">
        <v>225229</v>
      </c>
      <c r="I3467" s="60">
        <v>1157255</v>
      </c>
      <c r="J3467">
        <f>IFERROR(VLOOKUP(G3467,'LEAID Match'!$A$2:$B$526,2,FALSE),"")</f>
        <v>2920010</v>
      </c>
      <c r="K3467" s="68">
        <f t="shared" si="109"/>
        <v>8</v>
      </c>
    </row>
    <row r="3468" spans="1:11" x14ac:dyDescent="0.2">
      <c r="A3468">
        <f t="shared" si="108"/>
        <v>2920010</v>
      </c>
      <c r="B3468">
        <v>2017</v>
      </c>
      <c r="C3468" t="s">
        <v>739</v>
      </c>
      <c r="D3468" t="s">
        <v>740</v>
      </c>
      <c r="E3468" t="s">
        <v>743</v>
      </c>
      <c r="F3468" s="34">
        <v>574</v>
      </c>
      <c r="G3468" s="34" t="s">
        <v>391</v>
      </c>
      <c r="H3468" s="36">
        <v>225180</v>
      </c>
      <c r="I3468" s="58">
        <v>1239795</v>
      </c>
      <c r="J3468">
        <f>IFERROR(VLOOKUP(G3468,'LEAID Match'!$A$2:$B$526,2,FALSE),"")</f>
        <v>2920010</v>
      </c>
      <c r="K3468" s="68">
        <f t="shared" si="109"/>
        <v>8</v>
      </c>
    </row>
    <row r="3469" spans="1:11" x14ac:dyDescent="0.2">
      <c r="A3469">
        <f t="shared" si="108"/>
        <v>2920010</v>
      </c>
      <c r="B3469">
        <v>2018</v>
      </c>
      <c r="C3469" t="s">
        <v>739</v>
      </c>
      <c r="D3469" t="s">
        <v>740</v>
      </c>
      <c r="E3469" t="s">
        <v>743</v>
      </c>
      <c r="F3469" s="34">
        <v>574</v>
      </c>
      <c r="G3469" s="34" t="s">
        <v>391</v>
      </c>
      <c r="H3469" s="36">
        <v>230682</v>
      </c>
      <c r="I3469" s="58">
        <v>1349972</v>
      </c>
      <c r="J3469">
        <f>IFERROR(VLOOKUP(G3469,'LEAID Match'!$A$2:$B$526,2,FALSE),"")</f>
        <v>2920010</v>
      </c>
      <c r="K3469" s="68">
        <f t="shared" si="109"/>
        <v>8</v>
      </c>
    </row>
    <row r="3470" spans="1:11" x14ac:dyDescent="0.2">
      <c r="A3470">
        <f t="shared" si="108"/>
        <v>2920010</v>
      </c>
      <c r="B3470">
        <v>2019</v>
      </c>
      <c r="C3470" t="s">
        <v>739</v>
      </c>
      <c r="D3470" t="s">
        <v>740</v>
      </c>
      <c r="E3470" t="s">
        <v>743</v>
      </c>
      <c r="F3470" s="34">
        <v>574</v>
      </c>
      <c r="G3470" s="34" t="s">
        <v>391</v>
      </c>
      <c r="H3470" s="36">
        <v>233787</v>
      </c>
      <c r="I3470" s="58">
        <v>1384292</v>
      </c>
      <c r="J3470">
        <f>IFERROR(VLOOKUP(G3470,'LEAID Match'!$A$2:$B$526,2,FALSE),"")</f>
        <v>2920010</v>
      </c>
      <c r="K3470" s="68">
        <f t="shared" si="109"/>
        <v>8</v>
      </c>
    </row>
    <row r="3471" spans="1:11" x14ac:dyDescent="0.2">
      <c r="A3471">
        <f t="shared" si="108"/>
        <v>2920010</v>
      </c>
      <c r="B3471">
        <v>2020</v>
      </c>
      <c r="C3471" t="s">
        <v>739</v>
      </c>
      <c r="D3471" t="s">
        <v>740</v>
      </c>
      <c r="E3471" t="s">
        <v>743</v>
      </c>
      <c r="F3471" s="34">
        <v>574</v>
      </c>
      <c r="G3471" s="34" t="s">
        <v>391</v>
      </c>
      <c r="H3471" s="36">
        <v>245957</v>
      </c>
      <c r="I3471" s="58">
        <v>1483331</v>
      </c>
      <c r="J3471">
        <f>IFERROR(VLOOKUP(G3471,'LEAID Match'!$A$2:$B$526,2,FALSE),"")</f>
        <v>2920010</v>
      </c>
      <c r="K3471" s="68">
        <f t="shared" si="109"/>
        <v>8</v>
      </c>
    </row>
    <row r="3472" spans="1:11" x14ac:dyDescent="0.2">
      <c r="A3472">
        <f t="shared" si="108"/>
        <v>2920010</v>
      </c>
      <c r="B3472">
        <v>2021</v>
      </c>
      <c r="C3472" t="s">
        <v>739</v>
      </c>
      <c r="D3472" t="s">
        <v>740</v>
      </c>
      <c r="E3472" t="s">
        <v>743</v>
      </c>
      <c r="F3472" s="34">
        <v>574</v>
      </c>
      <c r="G3472" s="34" t="s">
        <v>391</v>
      </c>
      <c r="H3472" s="36">
        <v>244467</v>
      </c>
      <c r="I3472" s="58">
        <v>1602501</v>
      </c>
      <c r="J3472">
        <f>IFERROR(VLOOKUP(G3472,'LEAID Match'!$A$2:$B$526,2,FALSE),"")</f>
        <v>2920010</v>
      </c>
      <c r="K3472" s="68">
        <f t="shared" si="109"/>
        <v>8</v>
      </c>
    </row>
    <row r="3473" spans="1:11" x14ac:dyDescent="0.2">
      <c r="A3473">
        <f t="shared" si="108"/>
        <v>2920010</v>
      </c>
      <c r="B3473">
        <v>2022</v>
      </c>
      <c r="C3473" t="s">
        <v>739</v>
      </c>
      <c r="D3473" t="s">
        <v>740</v>
      </c>
      <c r="E3473" t="s">
        <v>743</v>
      </c>
      <c r="F3473" s="34">
        <v>574</v>
      </c>
      <c r="G3473" s="34" t="s">
        <v>391</v>
      </c>
      <c r="H3473" s="36">
        <v>277341</v>
      </c>
      <c r="I3473" s="58">
        <v>1708986</v>
      </c>
      <c r="J3473">
        <f>IFERROR(VLOOKUP(G3473,'LEAID Match'!$A$2:$B$526,2,FALSE),"")</f>
        <v>2920010</v>
      </c>
      <c r="K3473" s="68">
        <f t="shared" si="109"/>
        <v>8</v>
      </c>
    </row>
    <row r="3474" spans="1:11" x14ac:dyDescent="0.2">
      <c r="A3474">
        <f t="shared" si="108"/>
        <v>2922650</v>
      </c>
      <c r="B3474">
        <v>2015</v>
      </c>
      <c r="C3474" t="s">
        <v>739</v>
      </c>
      <c r="D3474" t="s">
        <v>740</v>
      </c>
      <c r="E3474" t="s">
        <v>743</v>
      </c>
      <c r="F3474" s="37">
        <v>575</v>
      </c>
      <c r="G3474" s="34" t="s">
        <v>668</v>
      </c>
      <c r="H3474" s="40">
        <v>372450</v>
      </c>
      <c r="I3474" s="58">
        <v>2133658</v>
      </c>
      <c r="J3474">
        <f>IFERROR(VLOOKUP(G3474,'LEAID Match'!$A$2:$B$526,2,FALSE),"")</f>
        <v>2922650</v>
      </c>
      <c r="K3474" s="68">
        <f t="shared" si="109"/>
        <v>8</v>
      </c>
    </row>
    <row r="3475" spans="1:11" x14ac:dyDescent="0.2">
      <c r="A3475">
        <f t="shared" si="108"/>
        <v>2922650</v>
      </c>
      <c r="B3475">
        <v>2016</v>
      </c>
      <c r="C3475" t="s">
        <v>739</v>
      </c>
      <c r="D3475" t="s">
        <v>740</v>
      </c>
      <c r="E3475" t="s">
        <v>743</v>
      </c>
      <c r="F3475" s="34">
        <v>575</v>
      </c>
      <c r="G3475" s="34" t="s">
        <v>668</v>
      </c>
      <c r="H3475" s="36">
        <v>387457</v>
      </c>
      <c r="I3475" s="60">
        <v>2388032</v>
      </c>
      <c r="J3475">
        <f>IFERROR(VLOOKUP(G3475,'LEAID Match'!$A$2:$B$526,2,FALSE),"")</f>
        <v>2922650</v>
      </c>
      <c r="K3475" s="68">
        <f t="shared" si="109"/>
        <v>8</v>
      </c>
    </row>
    <row r="3476" spans="1:11" x14ac:dyDescent="0.2">
      <c r="A3476">
        <f t="shared" si="108"/>
        <v>2922650</v>
      </c>
      <c r="B3476">
        <v>2017</v>
      </c>
      <c r="C3476" t="s">
        <v>739</v>
      </c>
      <c r="D3476" t="s">
        <v>740</v>
      </c>
      <c r="E3476" t="s">
        <v>743</v>
      </c>
      <c r="F3476" s="34">
        <v>575</v>
      </c>
      <c r="G3476" s="34" t="s">
        <v>668</v>
      </c>
      <c r="H3476" s="36">
        <v>415670</v>
      </c>
      <c r="I3476" s="58">
        <v>2423294</v>
      </c>
      <c r="J3476">
        <f>IFERROR(VLOOKUP(G3476,'LEAID Match'!$A$2:$B$526,2,FALSE),"")</f>
        <v>2922650</v>
      </c>
      <c r="K3476" s="68">
        <f t="shared" si="109"/>
        <v>8</v>
      </c>
    </row>
    <row r="3477" spans="1:11" x14ac:dyDescent="0.2">
      <c r="A3477">
        <f t="shared" si="108"/>
        <v>2922650</v>
      </c>
      <c r="B3477">
        <v>2018</v>
      </c>
      <c r="C3477" t="s">
        <v>739</v>
      </c>
      <c r="D3477" t="s">
        <v>740</v>
      </c>
      <c r="E3477" t="s">
        <v>743</v>
      </c>
      <c r="F3477" s="34">
        <v>575</v>
      </c>
      <c r="G3477" s="34" t="s">
        <v>668</v>
      </c>
      <c r="H3477" s="36">
        <v>558138</v>
      </c>
      <c r="I3477" s="58">
        <v>2480140</v>
      </c>
      <c r="J3477">
        <f>IFERROR(VLOOKUP(G3477,'LEAID Match'!$A$2:$B$526,2,FALSE),"")</f>
        <v>2922650</v>
      </c>
      <c r="K3477" s="68">
        <f t="shared" si="109"/>
        <v>8</v>
      </c>
    </row>
    <row r="3478" spans="1:11" x14ac:dyDescent="0.2">
      <c r="A3478">
        <f t="shared" si="108"/>
        <v>2922650</v>
      </c>
      <c r="B3478">
        <v>2019</v>
      </c>
      <c r="C3478" t="s">
        <v>739</v>
      </c>
      <c r="D3478" t="s">
        <v>740</v>
      </c>
      <c r="E3478" t="s">
        <v>743</v>
      </c>
      <c r="F3478" s="34">
        <v>575</v>
      </c>
      <c r="G3478" s="34" t="s">
        <v>668</v>
      </c>
      <c r="H3478" s="36">
        <v>646388</v>
      </c>
      <c r="I3478" s="58">
        <v>2562571</v>
      </c>
      <c r="J3478">
        <f>IFERROR(VLOOKUP(G3478,'LEAID Match'!$A$2:$B$526,2,FALSE),"")</f>
        <v>2922650</v>
      </c>
      <c r="K3478" s="68">
        <f t="shared" si="109"/>
        <v>8</v>
      </c>
    </row>
    <row r="3479" spans="1:11" x14ac:dyDescent="0.2">
      <c r="A3479">
        <f t="shared" si="108"/>
        <v>2922650</v>
      </c>
      <c r="B3479">
        <v>2020</v>
      </c>
      <c r="C3479" t="s">
        <v>739</v>
      </c>
      <c r="D3479" t="s">
        <v>740</v>
      </c>
      <c r="E3479" t="s">
        <v>743</v>
      </c>
      <c r="F3479" s="34">
        <v>575</v>
      </c>
      <c r="G3479" s="34" t="s">
        <v>668</v>
      </c>
      <c r="H3479" s="36">
        <v>690633</v>
      </c>
      <c r="I3479" s="58">
        <v>2373623</v>
      </c>
      <c r="J3479">
        <f>IFERROR(VLOOKUP(G3479,'LEAID Match'!$A$2:$B$526,2,FALSE),"")</f>
        <v>2922650</v>
      </c>
      <c r="K3479" s="68">
        <f t="shared" si="109"/>
        <v>8</v>
      </c>
    </row>
    <row r="3480" spans="1:11" x14ac:dyDescent="0.2">
      <c r="A3480">
        <f t="shared" si="108"/>
        <v>2922650</v>
      </c>
      <c r="B3480">
        <v>2021</v>
      </c>
      <c r="C3480" t="s">
        <v>739</v>
      </c>
      <c r="D3480" t="s">
        <v>740</v>
      </c>
      <c r="E3480" t="s">
        <v>743</v>
      </c>
      <c r="F3480" s="34">
        <v>575</v>
      </c>
      <c r="G3480" s="34" t="s">
        <v>668</v>
      </c>
      <c r="H3480" s="36">
        <v>633805</v>
      </c>
      <c r="I3480" s="58">
        <v>2171951</v>
      </c>
      <c r="J3480">
        <f>IFERROR(VLOOKUP(G3480,'LEAID Match'!$A$2:$B$526,2,FALSE),"")</f>
        <v>2922650</v>
      </c>
      <c r="K3480" s="68">
        <f t="shared" si="109"/>
        <v>8</v>
      </c>
    </row>
    <row r="3481" spans="1:11" x14ac:dyDescent="0.2">
      <c r="A3481">
        <f t="shared" si="108"/>
        <v>2922650</v>
      </c>
      <c r="B3481">
        <v>2022</v>
      </c>
      <c r="C3481" t="s">
        <v>739</v>
      </c>
      <c r="D3481" t="s">
        <v>740</v>
      </c>
      <c r="E3481" t="s">
        <v>743</v>
      </c>
      <c r="F3481" s="34">
        <v>575</v>
      </c>
      <c r="G3481" s="34" t="s">
        <v>668</v>
      </c>
      <c r="H3481" s="36">
        <v>792573</v>
      </c>
      <c r="I3481" s="58">
        <v>2316313</v>
      </c>
      <c r="J3481">
        <f>IFERROR(VLOOKUP(G3481,'LEAID Match'!$A$2:$B$526,2,FALSE),"")</f>
        <v>2922650</v>
      </c>
      <c r="K3481" s="68">
        <f t="shared" si="109"/>
        <v>8</v>
      </c>
    </row>
    <row r="3482" spans="1:11" x14ac:dyDescent="0.2">
      <c r="A3482">
        <f t="shared" si="108"/>
        <v>2926640</v>
      </c>
      <c r="B3482">
        <v>2015</v>
      </c>
      <c r="C3482" t="s">
        <v>739</v>
      </c>
      <c r="D3482" t="s">
        <v>740</v>
      </c>
      <c r="E3482" t="s">
        <v>743</v>
      </c>
      <c r="F3482" s="37">
        <v>576</v>
      </c>
      <c r="G3482" s="39" t="s">
        <v>393</v>
      </c>
      <c r="H3482" s="40">
        <v>509732</v>
      </c>
      <c r="I3482" s="58">
        <v>4782429</v>
      </c>
      <c r="J3482">
        <f>IFERROR(VLOOKUP(G3482,'LEAID Match'!$A$2:$B$526,2,FALSE),"")</f>
        <v>2926640</v>
      </c>
      <c r="K3482" s="68">
        <f t="shared" si="109"/>
        <v>8</v>
      </c>
    </row>
    <row r="3483" spans="1:11" x14ac:dyDescent="0.2">
      <c r="A3483">
        <f t="shared" si="108"/>
        <v>2926640</v>
      </c>
      <c r="B3483">
        <v>2016</v>
      </c>
      <c r="C3483" t="s">
        <v>739</v>
      </c>
      <c r="D3483" t="s">
        <v>740</v>
      </c>
      <c r="E3483" t="s">
        <v>743</v>
      </c>
      <c r="F3483" s="34">
        <v>576</v>
      </c>
      <c r="G3483" s="34" t="s">
        <v>393</v>
      </c>
      <c r="H3483" s="36">
        <v>524995</v>
      </c>
      <c r="I3483" s="60">
        <v>4884904</v>
      </c>
      <c r="J3483">
        <f>IFERROR(VLOOKUP(G3483,'LEAID Match'!$A$2:$B$526,2,FALSE),"")</f>
        <v>2926640</v>
      </c>
      <c r="K3483" s="68">
        <f t="shared" si="109"/>
        <v>8</v>
      </c>
    </row>
    <row r="3484" spans="1:11" x14ac:dyDescent="0.2">
      <c r="A3484">
        <f t="shared" si="108"/>
        <v>2926640</v>
      </c>
      <c r="B3484">
        <v>2017</v>
      </c>
      <c r="C3484" t="s">
        <v>739</v>
      </c>
      <c r="D3484" t="s">
        <v>740</v>
      </c>
      <c r="E3484" t="s">
        <v>743</v>
      </c>
      <c r="F3484" s="34">
        <v>576</v>
      </c>
      <c r="G3484" s="34" t="s">
        <v>393</v>
      </c>
      <c r="H3484" s="36">
        <v>553977</v>
      </c>
      <c r="I3484" s="58">
        <v>4985238</v>
      </c>
      <c r="J3484">
        <f>IFERROR(VLOOKUP(G3484,'LEAID Match'!$A$2:$B$526,2,FALSE),"")</f>
        <v>2926640</v>
      </c>
      <c r="K3484" s="68">
        <f t="shared" si="109"/>
        <v>8</v>
      </c>
    </row>
    <row r="3485" spans="1:11" x14ac:dyDescent="0.2">
      <c r="A3485">
        <f t="shared" si="108"/>
        <v>2926640</v>
      </c>
      <c r="B3485">
        <v>2018</v>
      </c>
      <c r="C3485" t="s">
        <v>739</v>
      </c>
      <c r="D3485" t="s">
        <v>740</v>
      </c>
      <c r="E3485" t="s">
        <v>743</v>
      </c>
      <c r="F3485" s="34">
        <v>576</v>
      </c>
      <c r="G3485" s="34" t="s">
        <v>393</v>
      </c>
      <c r="H3485" s="36">
        <v>603174</v>
      </c>
      <c r="I3485" s="58">
        <v>5025074</v>
      </c>
      <c r="J3485">
        <f>IFERROR(VLOOKUP(G3485,'LEAID Match'!$A$2:$B$526,2,FALSE),"")</f>
        <v>2926640</v>
      </c>
      <c r="K3485" s="68">
        <f t="shared" si="109"/>
        <v>8</v>
      </c>
    </row>
    <row r="3486" spans="1:11" x14ac:dyDescent="0.2">
      <c r="A3486">
        <f t="shared" si="108"/>
        <v>2926640</v>
      </c>
      <c r="B3486">
        <v>2019</v>
      </c>
      <c r="C3486" t="s">
        <v>739</v>
      </c>
      <c r="D3486" t="s">
        <v>740</v>
      </c>
      <c r="E3486" t="s">
        <v>743</v>
      </c>
      <c r="F3486" s="34">
        <v>576</v>
      </c>
      <c r="G3486" s="34" t="s">
        <v>393</v>
      </c>
      <c r="H3486" s="36">
        <v>584350</v>
      </c>
      <c r="I3486" s="58">
        <v>5105056</v>
      </c>
      <c r="J3486">
        <f>IFERROR(VLOOKUP(G3486,'LEAID Match'!$A$2:$B$526,2,FALSE),"")</f>
        <v>2926640</v>
      </c>
      <c r="K3486" s="68">
        <f t="shared" si="109"/>
        <v>8</v>
      </c>
    </row>
    <row r="3487" spans="1:11" x14ac:dyDescent="0.2">
      <c r="A3487">
        <f t="shared" si="108"/>
        <v>2926640</v>
      </c>
      <c r="B3487">
        <v>2020</v>
      </c>
      <c r="C3487" t="s">
        <v>739</v>
      </c>
      <c r="D3487" t="s">
        <v>740</v>
      </c>
      <c r="E3487" t="s">
        <v>743</v>
      </c>
      <c r="F3487" s="34">
        <v>576</v>
      </c>
      <c r="G3487" s="34" t="s">
        <v>393</v>
      </c>
      <c r="H3487" s="36">
        <v>605719</v>
      </c>
      <c r="I3487" s="58">
        <v>5099959</v>
      </c>
      <c r="J3487">
        <f>IFERROR(VLOOKUP(G3487,'LEAID Match'!$A$2:$B$526,2,FALSE),"")</f>
        <v>2926640</v>
      </c>
      <c r="K3487" s="68">
        <f t="shared" si="109"/>
        <v>8</v>
      </c>
    </row>
    <row r="3488" spans="1:11" x14ac:dyDescent="0.2">
      <c r="A3488">
        <f t="shared" si="108"/>
        <v>2926640</v>
      </c>
      <c r="B3488">
        <v>2021</v>
      </c>
      <c r="C3488" t="s">
        <v>739</v>
      </c>
      <c r="D3488" t="s">
        <v>740</v>
      </c>
      <c r="E3488" t="s">
        <v>743</v>
      </c>
      <c r="F3488" s="34">
        <v>576</v>
      </c>
      <c r="G3488" s="34" t="s">
        <v>393</v>
      </c>
      <c r="H3488" s="36">
        <v>619118</v>
      </c>
      <c r="I3488" s="58">
        <v>5260398</v>
      </c>
      <c r="J3488">
        <f>IFERROR(VLOOKUP(G3488,'LEAID Match'!$A$2:$B$526,2,FALSE),"")</f>
        <v>2926640</v>
      </c>
      <c r="K3488" s="68">
        <f t="shared" si="109"/>
        <v>8</v>
      </c>
    </row>
    <row r="3489" spans="1:11" x14ac:dyDescent="0.2">
      <c r="A3489">
        <f t="shared" si="108"/>
        <v>2926640</v>
      </c>
      <c r="B3489">
        <v>2022</v>
      </c>
      <c r="C3489" t="s">
        <v>739</v>
      </c>
      <c r="D3489" t="s">
        <v>740</v>
      </c>
      <c r="E3489" t="s">
        <v>743</v>
      </c>
      <c r="F3489" s="34">
        <v>576</v>
      </c>
      <c r="G3489" s="34" t="s">
        <v>393</v>
      </c>
      <c r="H3489" s="36">
        <v>703983</v>
      </c>
      <c r="I3489" s="58">
        <v>5693441</v>
      </c>
      <c r="J3489">
        <f>IFERROR(VLOOKUP(G3489,'LEAID Match'!$A$2:$B$526,2,FALSE),"")</f>
        <v>2926640</v>
      </c>
      <c r="K3489" s="68">
        <f t="shared" si="109"/>
        <v>8</v>
      </c>
    </row>
    <row r="3490" spans="1:11" x14ac:dyDescent="0.2">
      <c r="A3490">
        <f t="shared" si="108"/>
        <v>2926670</v>
      </c>
      <c r="B3490">
        <v>2015</v>
      </c>
      <c r="C3490" t="s">
        <v>739</v>
      </c>
      <c r="D3490" t="s">
        <v>740</v>
      </c>
      <c r="E3490" t="s">
        <v>743</v>
      </c>
      <c r="F3490" s="37">
        <v>577</v>
      </c>
      <c r="G3490" s="39" t="s">
        <v>394</v>
      </c>
      <c r="H3490" s="40">
        <v>660420</v>
      </c>
      <c r="I3490" s="58">
        <v>3487214</v>
      </c>
      <c r="J3490">
        <f>IFERROR(VLOOKUP(G3490,'LEAID Match'!$A$2:$B$526,2,FALSE),"")</f>
        <v>2926670</v>
      </c>
      <c r="K3490" s="68">
        <f t="shared" si="109"/>
        <v>8</v>
      </c>
    </row>
    <row r="3491" spans="1:11" x14ac:dyDescent="0.2">
      <c r="A3491">
        <f t="shared" si="108"/>
        <v>2926670</v>
      </c>
      <c r="B3491">
        <v>2016</v>
      </c>
      <c r="C3491" t="s">
        <v>739</v>
      </c>
      <c r="D3491" t="s">
        <v>740</v>
      </c>
      <c r="E3491" t="s">
        <v>743</v>
      </c>
      <c r="F3491" s="34">
        <v>577</v>
      </c>
      <c r="G3491" s="34" t="s">
        <v>394</v>
      </c>
      <c r="H3491" s="36">
        <v>709368</v>
      </c>
      <c r="I3491" s="60">
        <v>3623470</v>
      </c>
      <c r="J3491">
        <f>IFERROR(VLOOKUP(G3491,'LEAID Match'!$A$2:$B$526,2,FALSE),"")</f>
        <v>2926670</v>
      </c>
      <c r="K3491" s="68">
        <f t="shared" si="109"/>
        <v>8</v>
      </c>
    </row>
    <row r="3492" spans="1:11" x14ac:dyDescent="0.2">
      <c r="A3492">
        <f t="shared" si="108"/>
        <v>2926670</v>
      </c>
      <c r="B3492">
        <v>2017</v>
      </c>
      <c r="C3492" t="s">
        <v>739</v>
      </c>
      <c r="D3492" t="s">
        <v>740</v>
      </c>
      <c r="E3492" t="s">
        <v>743</v>
      </c>
      <c r="F3492" s="34">
        <v>577</v>
      </c>
      <c r="G3492" s="34" t="s">
        <v>394</v>
      </c>
      <c r="H3492" s="36">
        <v>659123</v>
      </c>
      <c r="I3492" s="58">
        <v>3569332</v>
      </c>
      <c r="J3492">
        <f>IFERROR(VLOOKUP(G3492,'LEAID Match'!$A$2:$B$526,2,FALSE),"")</f>
        <v>2926670</v>
      </c>
      <c r="K3492" s="68">
        <f t="shared" si="109"/>
        <v>8</v>
      </c>
    </row>
    <row r="3493" spans="1:11" x14ac:dyDescent="0.2">
      <c r="A3493">
        <f t="shared" si="108"/>
        <v>2926670</v>
      </c>
      <c r="B3493">
        <v>2018</v>
      </c>
      <c r="C3493" t="s">
        <v>739</v>
      </c>
      <c r="D3493" t="s">
        <v>740</v>
      </c>
      <c r="E3493" t="s">
        <v>743</v>
      </c>
      <c r="F3493" s="34">
        <v>577</v>
      </c>
      <c r="G3493" s="34" t="s">
        <v>394</v>
      </c>
      <c r="H3493" s="36">
        <v>697309</v>
      </c>
      <c r="I3493" s="58">
        <v>3754751</v>
      </c>
      <c r="J3493">
        <f>IFERROR(VLOOKUP(G3493,'LEAID Match'!$A$2:$B$526,2,FALSE),"")</f>
        <v>2926670</v>
      </c>
      <c r="K3493" s="68">
        <f t="shared" si="109"/>
        <v>8</v>
      </c>
    </row>
    <row r="3494" spans="1:11" x14ac:dyDescent="0.2">
      <c r="A3494">
        <f t="shared" si="108"/>
        <v>2926670</v>
      </c>
      <c r="B3494">
        <v>2019</v>
      </c>
      <c r="C3494" t="s">
        <v>739</v>
      </c>
      <c r="D3494" t="s">
        <v>740</v>
      </c>
      <c r="E3494" t="s">
        <v>743</v>
      </c>
      <c r="F3494" s="34">
        <v>577</v>
      </c>
      <c r="G3494" s="34" t="s">
        <v>394</v>
      </c>
      <c r="H3494" s="36">
        <v>677375</v>
      </c>
      <c r="I3494" s="58">
        <v>3718535</v>
      </c>
      <c r="J3494">
        <f>IFERROR(VLOOKUP(G3494,'LEAID Match'!$A$2:$B$526,2,FALSE),"")</f>
        <v>2926670</v>
      </c>
      <c r="K3494" s="68">
        <f t="shared" si="109"/>
        <v>8</v>
      </c>
    </row>
    <row r="3495" spans="1:11" x14ac:dyDescent="0.2">
      <c r="A3495">
        <f t="shared" si="108"/>
        <v>2926670</v>
      </c>
      <c r="B3495">
        <v>2020</v>
      </c>
      <c r="C3495" t="s">
        <v>739</v>
      </c>
      <c r="D3495" t="s">
        <v>740</v>
      </c>
      <c r="E3495" t="s">
        <v>743</v>
      </c>
      <c r="F3495" s="34">
        <v>577</v>
      </c>
      <c r="G3495" s="34" t="s">
        <v>394</v>
      </c>
      <c r="H3495" s="36">
        <v>700734</v>
      </c>
      <c r="I3495" s="58">
        <v>3576126</v>
      </c>
      <c r="J3495">
        <f>IFERROR(VLOOKUP(G3495,'LEAID Match'!$A$2:$B$526,2,FALSE),"")</f>
        <v>2926670</v>
      </c>
      <c r="K3495" s="68">
        <f t="shared" si="109"/>
        <v>8</v>
      </c>
    </row>
    <row r="3496" spans="1:11" x14ac:dyDescent="0.2">
      <c r="A3496">
        <f t="shared" si="108"/>
        <v>2926670</v>
      </c>
      <c r="B3496">
        <v>2021</v>
      </c>
      <c r="C3496" t="s">
        <v>739</v>
      </c>
      <c r="D3496" t="s">
        <v>740</v>
      </c>
      <c r="E3496" t="s">
        <v>743</v>
      </c>
      <c r="F3496" s="34">
        <v>577</v>
      </c>
      <c r="G3496" s="34" t="s">
        <v>394</v>
      </c>
      <c r="H3496" s="36">
        <v>651261</v>
      </c>
      <c r="I3496" s="58">
        <v>3545951</v>
      </c>
      <c r="J3496">
        <f>IFERROR(VLOOKUP(G3496,'LEAID Match'!$A$2:$B$526,2,FALSE),"")</f>
        <v>2926670</v>
      </c>
      <c r="K3496" s="68">
        <f t="shared" si="109"/>
        <v>8</v>
      </c>
    </row>
    <row r="3497" spans="1:11" x14ac:dyDescent="0.2">
      <c r="A3497">
        <f t="shared" si="108"/>
        <v>2926670</v>
      </c>
      <c r="B3497">
        <v>2022</v>
      </c>
      <c r="C3497" t="s">
        <v>739</v>
      </c>
      <c r="D3497" t="s">
        <v>740</v>
      </c>
      <c r="E3497" t="s">
        <v>743</v>
      </c>
      <c r="F3497" s="34">
        <v>577</v>
      </c>
      <c r="G3497" s="34" t="s">
        <v>394</v>
      </c>
      <c r="H3497" s="36">
        <v>751626</v>
      </c>
      <c r="I3497" s="58">
        <v>3310320</v>
      </c>
      <c r="J3497">
        <f>IFERROR(VLOOKUP(G3497,'LEAID Match'!$A$2:$B$526,2,FALSE),"")</f>
        <v>2926670</v>
      </c>
      <c r="K3497" s="68">
        <f t="shared" si="109"/>
        <v>8</v>
      </c>
    </row>
    <row r="3498" spans="1:11" x14ac:dyDescent="0.2">
      <c r="A3498">
        <f t="shared" si="108"/>
        <v>2930690</v>
      </c>
      <c r="B3498">
        <v>2015</v>
      </c>
      <c r="C3498" t="s">
        <v>739</v>
      </c>
      <c r="D3498" t="s">
        <v>740</v>
      </c>
      <c r="E3498" t="s">
        <v>743</v>
      </c>
      <c r="F3498" s="37">
        <v>578</v>
      </c>
      <c r="G3498" s="39" t="s">
        <v>395</v>
      </c>
      <c r="H3498" s="40">
        <v>106932</v>
      </c>
      <c r="I3498" s="58">
        <v>939379</v>
      </c>
      <c r="J3498">
        <f>IFERROR(VLOOKUP(G3498,'LEAID Match'!$A$2:$B$526,2,FALSE),"")</f>
        <v>2930690</v>
      </c>
      <c r="K3498" s="68">
        <f t="shared" si="109"/>
        <v>8</v>
      </c>
    </row>
    <row r="3499" spans="1:11" x14ac:dyDescent="0.2">
      <c r="A3499">
        <f t="shared" si="108"/>
        <v>2930690</v>
      </c>
      <c r="B3499">
        <v>2016</v>
      </c>
      <c r="C3499" t="s">
        <v>739</v>
      </c>
      <c r="D3499" t="s">
        <v>740</v>
      </c>
      <c r="E3499" t="s">
        <v>743</v>
      </c>
      <c r="F3499" s="34">
        <v>578</v>
      </c>
      <c r="G3499" s="34" t="s">
        <v>395</v>
      </c>
      <c r="H3499" s="36">
        <v>110591</v>
      </c>
      <c r="I3499" s="60">
        <v>979266</v>
      </c>
      <c r="J3499">
        <f>IFERROR(VLOOKUP(G3499,'LEAID Match'!$A$2:$B$526,2,FALSE),"")</f>
        <v>2930690</v>
      </c>
      <c r="K3499" s="68">
        <f t="shared" si="109"/>
        <v>8</v>
      </c>
    </row>
    <row r="3500" spans="1:11" x14ac:dyDescent="0.2">
      <c r="A3500">
        <f t="shared" si="108"/>
        <v>2930690</v>
      </c>
      <c r="B3500">
        <v>2017</v>
      </c>
      <c r="C3500" t="s">
        <v>739</v>
      </c>
      <c r="D3500" t="s">
        <v>740</v>
      </c>
      <c r="E3500" t="s">
        <v>743</v>
      </c>
      <c r="F3500" s="34">
        <v>578</v>
      </c>
      <c r="G3500" s="34" t="s">
        <v>395</v>
      </c>
      <c r="H3500" s="36">
        <v>100129</v>
      </c>
      <c r="I3500" s="58">
        <v>912767</v>
      </c>
      <c r="J3500">
        <f>IFERROR(VLOOKUP(G3500,'LEAID Match'!$A$2:$B$526,2,FALSE),"")</f>
        <v>2930690</v>
      </c>
      <c r="K3500" s="68">
        <f t="shared" si="109"/>
        <v>8</v>
      </c>
    </row>
    <row r="3501" spans="1:11" x14ac:dyDescent="0.2">
      <c r="A3501">
        <f t="shared" si="108"/>
        <v>2930690</v>
      </c>
      <c r="B3501">
        <v>2018</v>
      </c>
      <c r="C3501" t="s">
        <v>739</v>
      </c>
      <c r="D3501" t="s">
        <v>740</v>
      </c>
      <c r="E3501" t="s">
        <v>743</v>
      </c>
      <c r="F3501" s="34">
        <v>578</v>
      </c>
      <c r="G3501" s="34" t="s">
        <v>395</v>
      </c>
      <c r="H3501" s="36">
        <v>105800</v>
      </c>
      <c r="I3501" s="58">
        <v>963080</v>
      </c>
      <c r="J3501">
        <f>IFERROR(VLOOKUP(G3501,'LEAID Match'!$A$2:$B$526,2,FALSE),"")</f>
        <v>2930690</v>
      </c>
      <c r="K3501" s="68">
        <f t="shared" si="109"/>
        <v>8</v>
      </c>
    </row>
    <row r="3502" spans="1:11" x14ac:dyDescent="0.2">
      <c r="A3502">
        <f t="shared" si="108"/>
        <v>2930690</v>
      </c>
      <c r="B3502">
        <v>2019</v>
      </c>
      <c r="C3502" t="s">
        <v>739</v>
      </c>
      <c r="D3502" t="s">
        <v>740</v>
      </c>
      <c r="E3502" t="s">
        <v>743</v>
      </c>
      <c r="F3502" s="34">
        <v>578</v>
      </c>
      <c r="G3502" s="34" t="s">
        <v>395</v>
      </c>
      <c r="H3502" s="36">
        <v>110496</v>
      </c>
      <c r="I3502" s="58">
        <v>990490</v>
      </c>
      <c r="J3502">
        <f>IFERROR(VLOOKUP(G3502,'LEAID Match'!$A$2:$B$526,2,FALSE),"")</f>
        <v>2930690</v>
      </c>
      <c r="K3502" s="68">
        <f t="shared" si="109"/>
        <v>8</v>
      </c>
    </row>
    <row r="3503" spans="1:11" x14ac:dyDescent="0.2">
      <c r="A3503">
        <f t="shared" si="108"/>
        <v>2930690</v>
      </c>
      <c r="B3503">
        <v>2020</v>
      </c>
      <c r="C3503" t="s">
        <v>739</v>
      </c>
      <c r="D3503" t="s">
        <v>740</v>
      </c>
      <c r="E3503" t="s">
        <v>743</v>
      </c>
      <c r="F3503" s="34">
        <v>578</v>
      </c>
      <c r="G3503" s="34" t="s">
        <v>395</v>
      </c>
      <c r="H3503" s="36">
        <v>105181</v>
      </c>
      <c r="I3503" s="58">
        <v>996368</v>
      </c>
      <c r="J3503">
        <f>IFERROR(VLOOKUP(G3503,'LEAID Match'!$A$2:$B$526,2,FALSE),"")</f>
        <v>2930690</v>
      </c>
      <c r="K3503" s="68">
        <f t="shared" si="109"/>
        <v>8</v>
      </c>
    </row>
    <row r="3504" spans="1:11" x14ac:dyDescent="0.2">
      <c r="A3504">
        <f t="shared" si="108"/>
        <v>2930690</v>
      </c>
      <c r="B3504">
        <v>2021</v>
      </c>
      <c r="C3504" t="s">
        <v>739</v>
      </c>
      <c r="D3504" t="s">
        <v>740</v>
      </c>
      <c r="E3504" t="s">
        <v>743</v>
      </c>
      <c r="F3504" s="34">
        <v>578</v>
      </c>
      <c r="G3504" s="34" t="s">
        <v>395</v>
      </c>
      <c r="H3504" s="36">
        <v>88633</v>
      </c>
      <c r="I3504" s="58">
        <v>976050</v>
      </c>
      <c r="J3504">
        <f>IFERROR(VLOOKUP(G3504,'LEAID Match'!$A$2:$B$526,2,FALSE),"")</f>
        <v>2930690</v>
      </c>
      <c r="K3504" s="68">
        <f t="shared" si="109"/>
        <v>8</v>
      </c>
    </row>
    <row r="3505" spans="1:11" x14ac:dyDescent="0.2">
      <c r="A3505">
        <f t="shared" si="108"/>
        <v>2930690</v>
      </c>
      <c r="B3505">
        <v>2022</v>
      </c>
      <c r="C3505" t="s">
        <v>739</v>
      </c>
      <c r="D3505" t="s">
        <v>740</v>
      </c>
      <c r="E3505" t="s">
        <v>743</v>
      </c>
      <c r="F3505" s="34">
        <v>578</v>
      </c>
      <c r="G3505" s="34" t="s">
        <v>395</v>
      </c>
      <c r="H3505" s="36">
        <v>79476</v>
      </c>
      <c r="I3505" s="58">
        <v>978998</v>
      </c>
      <c r="J3505">
        <f>IFERROR(VLOOKUP(G3505,'LEAID Match'!$A$2:$B$526,2,FALSE),"")</f>
        <v>2930690</v>
      </c>
      <c r="K3505" s="68">
        <f t="shared" si="109"/>
        <v>8</v>
      </c>
    </row>
    <row r="3506" spans="1:11" x14ac:dyDescent="0.2">
      <c r="A3506">
        <f t="shared" si="108"/>
        <v>2930660</v>
      </c>
      <c r="B3506">
        <v>2015</v>
      </c>
      <c r="C3506" t="s">
        <v>739</v>
      </c>
      <c r="D3506" t="s">
        <v>740</v>
      </c>
      <c r="E3506" t="s">
        <v>743</v>
      </c>
      <c r="F3506" s="37">
        <v>580</v>
      </c>
      <c r="G3506" s="39" t="s">
        <v>396</v>
      </c>
      <c r="H3506" s="40">
        <v>411563</v>
      </c>
      <c r="I3506" s="58">
        <v>2730853</v>
      </c>
      <c r="J3506">
        <f>IFERROR(VLOOKUP(G3506,'LEAID Match'!$A$2:$B$526,2,FALSE),"")</f>
        <v>2930660</v>
      </c>
      <c r="K3506" s="68">
        <f t="shared" si="109"/>
        <v>8</v>
      </c>
    </row>
    <row r="3507" spans="1:11" x14ac:dyDescent="0.2">
      <c r="A3507">
        <f t="shared" si="108"/>
        <v>2930660</v>
      </c>
      <c r="B3507">
        <v>2016</v>
      </c>
      <c r="C3507" t="s">
        <v>739</v>
      </c>
      <c r="D3507" t="s">
        <v>740</v>
      </c>
      <c r="E3507" t="s">
        <v>743</v>
      </c>
      <c r="F3507" s="34">
        <v>580</v>
      </c>
      <c r="G3507" s="34" t="s">
        <v>396</v>
      </c>
      <c r="H3507" s="36">
        <v>401059</v>
      </c>
      <c r="I3507" s="60">
        <v>2623990</v>
      </c>
      <c r="J3507">
        <f>IFERROR(VLOOKUP(G3507,'LEAID Match'!$A$2:$B$526,2,FALSE),"")</f>
        <v>2930660</v>
      </c>
      <c r="K3507" s="68">
        <f t="shared" si="109"/>
        <v>8</v>
      </c>
    </row>
    <row r="3508" spans="1:11" x14ac:dyDescent="0.2">
      <c r="A3508">
        <f t="shared" si="108"/>
        <v>2930660</v>
      </c>
      <c r="B3508">
        <v>2017</v>
      </c>
      <c r="C3508" t="s">
        <v>739</v>
      </c>
      <c r="D3508" t="s">
        <v>740</v>
      </c>
      <c r="E3508" t="s">
        <v>743</v>
      </c>
      <c r="F3508" s="34">
        <v>580</v>
      </c>
      <c r="G3508" s="34" t="s">
        <v>396</v>
      </c>
      <c r="H3508" s="36">
        <v>411900</v>
      </c>
      <c r="I3508" s="58">
        <v>2627390</v>
      </c>
      <c r="J3508">
        <f>IFERROR(VLOOKUP(G3508,'LEAID Match'!$A$2:$B$526,2,FALSE),"")</f>
        <v>2930660</v>
      </c>
      <c r="K3508" s="68">
        <f t="shared" si="109"/>
        <v>8</v>
      </c>
    </row>
    <row r="3509" spans="1:11" x14ac:dyDescent="0.2">
      <c r="A3509">
        <f t="shared" si="108"/>
        <v>2930660</v>
      </c>
      <c r="B3509">
        <v>2018</v>
      </c>
      <c r="C3509" t="s">
        <v>739</v>
      </c>
      <c r="D3509" t="s">
        <v>740</v>
      </c>
      <c r="E3509" t="s">
        <v>743</v>
      </c>
      <c r="F3509" s="34">
        <v>580</v>
      </c>
      <c r="G3509" s="34" t="s">
        <v>396</v>
      </c>
      <c r="H3509" s="36">
        <v>385994</v>
      </c>
      <c r="I3509" s="58">
        <v>2761030</v>
      </c>
      <c r="J3509">
        <f>IFERROR(VLOOKUP(G3509,'LEAID Match'!$A$2:$B$526,2,FALSE),"")</f>
        <v>2930660</v>
      </c>
      <c r="K3509" s="68">
        <f t="shared" si="109"/>
        <v>8</v>
      </c>
    </row>
    <row r="3510" spans="1:11" x14ac:dyDescent="0.2">
      <c r="A3510">
        <f t="shared" si="108"/>
        <v>2930660</v>
      </c>
      <c r="B3510">
        <v>2019</v>
      </c>
      <c r="C3510" t="s">
        <v>739</v>
      </c>
      <c r="D3510" t="s">
        <v>740</v>
      </c>
      <c r="E3510" t="s">
        <v>743</v>
      </c>
      <c r="F3510" s="34">
        <v>580</v>
      </c>
      <c r="G3510" s="34" t="s">
        <v>396</v>
      </c>
      <c r="H3510" s="36">
        <v>408075</v>
      </c>
      <c r="I3510" s="58">
        <v>2772326</v>
      </c>
      <c r="J3510">
        <f>IFERROR(VLOOKUP(G3510,'LEAID Match'!$A$2:$B$526,2,FALSE),"")</f>
        <v>2930660</v>
      </c>
      <c r="K3510" s="68">
        <f t="shared" si="109"/>
        <v>8</v>
      </c>
    </row>
    <row r="3511" spans="1:11" x14ac:dyDescent="0.2">
      <c r="A3511">
        <f t="shared" si="108"/>
        <v>2930660</v>
      </c>
      <c r="B3511">
        <v>2020</v>
      </c>
      <c r="C3511" t="s">
        <v>739</v>
      </c>
      <c r="D3511" t="s">
        <v>740</v>
      </c>
      <c r="E3511" t="s">
        <v>743</v>
      </c>
      <c r="F3511" s="34">
        <v>580</v>
      </c>
      <c r="G3511" s="34" t="s">
        <v>396</v>
      </c>
      <c r="H3511" s="36">
        <v>395146</v>
      </c>
      <c r="I3511" s="58">
        <v>2860953</v>
      </c>
      <c r="J3511">
        <f>IFERROR(VLOOKUP(G3511,'LEAID Match'!$A$2:$B$526,2,FALSE),"")</f>
        <v>2930660</v>
      </c>
      <c r="K3511" s="68">
        <f t="shared" si="109"/>
        <v>8</v>
      </c>
    </row>
    <row r="3512" spans="1:11" x14ac:dyDescent="0.2">
      <c r="A3512">
        <f t="shared" si="108"/>
        <v>2930660</v>
      </c>
      <c r="B3512">
        <v>2021</v>
      </c>
      <c r="C3512" t="s">
        <v>739</v>
      </c>
      <c r="D3512" t="s">
        <v>740</v>
      </c>
      <c r="E3512" t="s">
        <v>743</v>
      </c>
      <c r="F3512" s="34">
        <v>580</v>
      </c>
      <c r="G3512" s="34" t="s">
        <v>396</v>
      </c>
      <c r="H3512" s="36">
        <v>366591</v>
      </c>
      <c r="I3512" s="58">
        <v>2923481</v>
      </c>
      <c r="J3512">
        <f>IFERROR(VLOOKUP(G3512,'LEAID Match'!$A$2:$B$526,2,FALSE),"")</f>
        <v>2930660</v>
      </c>
      <c r="K3512" s="68">
        <f t="shared" si="109"/>
        <v>8</v>
      </c>
    </row>
    <row r="3513" spans="1:11" x14ac:dyDescent="0.2">
      <c r="A3513">
        <f t="shared" si="108"/>
        <v>2930660</v>
      </c>
      <c r="B3513">
        <v>2022</v>
      </c>
      <c r="C3513" t="s">
        <v>739</v>
      </c>
      <c r="D3513" t="s">
        <v>740</v>
      </c>
      <c r="E3513" t="s">
        <v>743</v>
      </c>
      <c r="F3513" s="34">
        <v>580</v>
      </c>
      <c r="G3513" s="34" t="s">
        <v>396</v>
      </c>
      <c r="H3513" s="36">
        <v>420955</v>
      </c>
      <c r="I3513" s="58">
        <v>2965243</v>
      </c>
      <c r="J3513">
        <f>IFERROR(VLOOKUP(G3513,'LEAID Match'!$A$2:$B$526,2,FALSE),"")</f>
        <v>2930660</v>
      </c>
      <c r="K3513" s="68">
        <f t="shared" si="109"/>
        <v>8</v>
      </c>
    </row>
    <row r="3514" spans="1:11" x14ac:dyDescent="0.2">
      <c r="A3514">
        <f t="shared" si="108"/>
        <v>2931530</v>
      </c>
      <c r="B3514">
        <v>2015</v>
      </c>
      <c r="C3514" t="s">
        <v>739</v>
      </c>
      <c r="D3514" t="s">
        <v>740</v>
      </c>
      <c r="E3514" t="s">
        <v>743</v>
      </c>
      <c r="F3514" s="37">
        <v>581</v>
      </c>
      <c r="G3514" s="39" t="s">
        <v>397</v>
      </c>
      <c r="H3514" s="40">
        <v>583014</v>
      </c>
      <c r="I3514" s="58">
        <v>4287899</v>
      </c>
      <c r="J3514">
        <f>IFERROR(VLOOKUP(G3514,'LEAID Match'!$A$2:$B$526,2,FALSE),"")</f>
        <v>2931530</v>
      </c>
      <c r="K3514" s="68">
        <f t="shared" si="109"/>
        <v>8</v>
      </c>
    </row>
    <row r="3515" spans="1:11" x14ac:dyDescent="0.2">
      <c r="A3515">
        <f t="shared" si="108"/>
        <v>2931530</v>
      </c>
      <c r="B3515">
        <v>2016</v>
      </c>
      <c r="C3515" t="s">
        <v>739</v>
      </c>
      <c r="D3515" t="s">
        <v>740</v>
      </c>
      <c r="E3515" t="s">
        <v>743</v>
      </c>
      <c r="F3515" s="34">
        <v>581</v>
      </c>
      <c r="G3515" s="34" t="s">
        <v>397</v>
      </c>
      <c r="H3515" s="36">
        <v>544948</v>
      </c>
      <c r="I3515" s="60">
        <v>4226026</v>
      </c>
      <c r="J3515">
        <f>IFERROR(VLOOKUP(G3515,'LEAID Match'!$A$2:$B$526,2,FALSE),"")</f>
        <v>2931530</v>
      </c>
      <c r="K3515" s="68">
        <f t="shared" si="109"/>
        <v>8</v>
      </c>
    </row>
    <row r="3516" spans="1:11" x14ac:dyDescent="0.2">
      <c r="A3516">
        <f t="shared" si="108"/>
        <v>2931530</v>
      </c>
      <c r="B3516">
        <v>2017</v>
      </c>
      <c r="C3516" t="s">
        <v>739</v>
      </c>
      <c r="D3516" t="s">
        <v>740</v>
      </c>
      <c r="E3516" t="s">
        <v>743</v>
      </c>
      <c r="F3516" s="34">
        <v>581</v>
      </c>
      <c r="G3516" s="34" t="s">
        <v>397</v>
      </c>
      <c r="H3516" s="36">
        <v>524363</v>
      </c>
      <c r="I3516" s="58">
        <v>4317531</v>
      </c>
      <c r="J3516">
        <f>IFERROR(VLOOKUP(G3516,'LEAID Match'!$A$2:$B$526,2,FALSE),"")</f>
        <v>2931530</v>
      </c>
      <c r="K3516" s="68">
        <f t="shared" si="109"/>
        <v>8</v>
      </c>
    </row>
    <row r="3517" spans="1:11" x14ac:dyDescent="0.2">
      <c r="A3517">
        <f t="shared" si="108"/>
        <v>2931530</v>
      </c>
      <c r="B3517">
        <v>2018</v>
      </c>
      <c r="C3517" t="s">
        <v>739</v>
      </c>
      <c r="D3517" t="s">
        <v>740</v>
      </c>
      <c r="E3517" t="s">
        <v>743</v>
      </c>
      <c r="F3517" s="34">
        <v>581</v>
      </c>
      <c r="G3517" s="34" t="s">
        <v>397</v>
      </c>
      <c r="H3517" s="36">
        <v>567859</v>
      </c>
      <c r="I3517" s="58">
        <v>4422037</v>
      </c>
      <c r="J3517">
        <f>IFERROR(VLOOKUP(G3517,'LEAID Match'!$A$2:$B$526,2,FALSE),"")</f>
        <v>2931530</v>
      </c>
      <c r="K3517" s="68">
        <f t="shared" si="109"/>
        <v>8</v>
      </c>
    </row>
    <row r="3518" spans="1:11" x14ac:dyDescent="0.2">
      <c r="A3518">
        <f t="shared" si="108"/>
        <v>2931530</v>
      </c>
      <c r="B3518">
        <v>2019</v>
      </c>
      <c r="C3518" t="s">
        <v>739</v>
      </c>
      <c r="D3518" t="s">
        <v>740</v>
      </c>
      <c r="E3518" t="s">
        <v>743</v>
      </c>
      <c r="F3518" s="34">
        <v>581</v>
      </c>
      <c r="G3518" s="34" t="s">
        <v>397</v>
      </c>
      <c r="H3518" s="36">
        <v>565392</v>
      </c>
      <c r="I3518" s="58">
        <v>4548739</v>
      </c>
      <c r="J3518">
        <f>IFERROR(VLOOKUP(G3518,'LEAID Match'!$A$2:$B$526,2,FALSE),"")</f>
        <v>2931530</v>
      </c>
      <c r="K3518" s="68">
        <f t="shared" si="109"/>
        <v>8</v>
      </c>
    </row>
    <row r="3519" spans="1:11" x14ac:dyDescent="0.2">
      <c r="A3519">
        <f t="shared" si="108"/>
        <v>2931530</v>
      </c>
      <c r="B3519">
        <v>2020</v>
      </c>
      <c r="C3519" t="s">
        <v>739</v>
      </c>
      <c r="D3519" t="s">
        <v>740</v>
      </c>
      <c r="E3519" t="s">
        <v>743</v>
      </c>
      <c r="F3519" s="34">
        <v>581</v>
      </c>
      <c r="G3519" s="34" t="s">
        <v>397</v>
      </c>
      <c r="H3519" s="36">
        <v>611727</v>
      </c>
      <c r="I3519" s="58">
        <v>4684538</v>
      </c>
      <c r="J3519">
        <f>IFERROR(VLOOKUP(G3519,'LEAID Match'!$A$2:$B$526,2,FALSE),"")</f>
        <v>2931530</v>
      </c>
      <c r="K3519" s="68">
        <f t="shared" si="109"/>
        <v>8</v>
      </c>
    </row>
    <row r="3520" spans="1:11" x14ac:dyDescent="0.2">
      <c r="A3520">
        <f t="shared" si="108"/>
        <v>2931530</v>
      </c>
      <c r="B3520">
        <v>2021</v>
      </c>
      <c r="C3520" t="s">
        <v>739</v>
      </c>
      <c r="D3520" t="s">
        <v>740</v>
      </c>
      <c r="E3520" t="s">
        <v>743</v>
      </c>
      <c r="F3520" s="34">
        <v>581</v>
      </c>
      <c r="G3520" s="34" t="s">
        <v>397</v>
      </c>
      <c r="H3520" s="36">
        <v>602019</v>
      </c>
      <c r="I3520" s="58">
        <v>4682866</v>
      </c>
      <c r="J3520">
        <f>IFERROR(VLOOKUP(G3520,'LEAID Match'!$A$2:$B$526,2,FALSE),"")</f>
        <v>2931530</v>
      </c>
      <c r="K3520" s="68">
        <f t="shared" si="109"/>
        <v>8</v>
      </c>
    </row>
    <row r="3521" spans="1:11" x14ac:dyDescent="0.2">
      <c r="A3521">
        <f t="shared" si="108"/>
        <v>2931530</v>
      </c>
      <c r="B3521">
        <v>2022</v>
      </c>
      <c r="C3521" t="s">
        <v>739</v>
      </c>
      <c r="D3521" t="s">
        <v>740</v>
      </c>
      <c r="E3521" t="s">
        <v>743</v>
      </c>
      <c r="F3521" s="34">
        <v>581</v>
      </c>
      <c r="G3521" s="34" t="s">
        <v>397</v>
      </c>
      <c r="H3521" s="36">
        <v>603127</v>
      </c>
      <c r="I3521" s="58">
        <v>4760906</v>
      </c>
      <c r="J3521">
        <f>IFERROR(VLOOKUP(G3521,'LEAID Match'!$A$2:$B$526,2,FALSE),"")</f>
        <v>2931530</v>
      </c>
      <c r="K3521" s="68">
        <f t="shared" si="109"/>
        <v>8</v>
      </c>
    </row>
    <row r="3522" spans="1:11" x14ac:dyDescent="0.2">
      <c r="A3522">
        <f t="shared" si="108"/>
        <v>2917820</v>
      </c>
      <c r="B3522">
        <v>2015</v>
      </c>
      <c r="C3522" t="s">
        <v>739</v>
      </c>
      <c r="D3522" t="s">
        <v>740</v>
      </c>
      <c r="E3522" t="s">
        <v>743</v>
      </c>
      <c r="F3522" s="37">
        <v>582</v>
      </c>
      <c r="G3522" s="39" t="s">
        <v>398</v>
      </c>
      <c r="H3522" s="40">
        <v>412614</v>
      </c>
      <c r="I3522" s="58">
        <v>4153887</v>
      </c>
      <c r="J3522">
        <f>IFERROR(VLOOKUP(G3522,'LEAID Match'!$A$2:$B$526,2,FALSE),"")</f>
        <v>2917820</v>
      </c>
      <c r="K3522" s="68">
        <f t="shared" si="109"/>
        <v>8</v>
      </c>
    </row>
    <row r="3523" spans="1:11" x14ac:dyDescent="0.2">
      <c r="A3523">
        <f t="shared" ref="A3523:A3586" si="110">J3523</f>
        <v>2917820</v>
      </c>
      <c r="B3523">
        <v>2016</v>
      </c>
      <c r="C3523" t="s">
        <v>739</v>
      </c>
      <c r="D3523" t="s">
        <v>740</v>
      </c>
      <c r="E3523" t="s">
        <v>743</v>
      </c>
      <c r="F3523" s="34">
        <v>582</v>
      </c>
      <c r="G3523" s="34" t="s">
        <v>398</v>
      </c>
      <c r="H3523" s="36">
        <v>414839</v>
      </c>
      <c r="I3523" s="60">
        <v>4388795</v>
      </c>
      <c r="J3523">
        <f>IFERROR(VLOOKUP(G3523,'LEAID Match'!$A$2:$B$526,2,FALSE),"")</f>
        <v>2917820</v>
      </c>
      <c r="K3523" s="68">
        <f t="shared" ref="K3523:K3586" si="111">COUNTIF($J$2:$J$4295,J3523)</f>
        <v>8</v>
      </c>
    </row>
    <row r="3524" spans="1:11" x14ac:dyDescent="0.2">
      <c r="A3524">
        <f t="shared" si="110"/>
        <v>2917820</v>
      </c>
      <c r="B3524">
        <v>2017</v>
      </c>
      <c r="C3524" t="s">
        <v>739</v>
      </c>
      <c r="D3524" t="s">
        <v>740</v>
      </c>
      <c r="E3524" t="s">
        <v>743</v>
      </c>
      <c r="F3524" s="34">
        <v>582</v>
      </c>
      <c r="G3524" s="34" t="s">
        <v>398</v>
      </c>
      <c r="H3524" s="36">
        <v>408001</v>
      </c>
      <c r="I3524" s="58">
        <v>4514810</v>
      </c>
      <c r="J3524">
        <f>IFERROR(VLOOKUP(G3524,'LEAID Match'!$A$2:$B$526,2,FALSE),"")</f>
        <v>2917820</v>
      </c>
      <c r="K3524" s="68">
        <f t="shared" si="111"/>
        <v>8</v>
      </c>
    </row>
    <row r="3525" spans="1:11" x14ac:dyDescent="0.2">
      <c r="A3525">
        <f t="shared" si="110"/>
        <v>2917820</v>
      </c>
      <c r="B3525">
        <v>2018</v>
      </c>
      <c r="C3525" t="s">
        <v>739</v>
      </c>
      <c r="D3525" t="s">
        <v>740</v>
      </c>
      <c r="E3525" t="s">
        <v>743</v>
      </c>
      <c r="F3525" s="34">
        <v>582</v>
      </c>
      <c r="G3525" s="34" t="s">
        <v>398</v>
      </c>
      <c r="H3525" s="36">
        <v>400261</v>
      </c>
      <c r="I3525" s="58">
        <v>4619711</v>
      </c>
      <c r="J3525">
        <f>IFERROR(VLOOKUP(G3525,'LEAID Match'!$A$2:$B$526,2,FALSE),"")</f>
        <v>2917820</v>
      </c>
      <c r="K3525" s="68">
        <f t="shared" si="111"/>
        <v>8</v>
      </c>
    </row>
    <row r="3526" spans="1:11" x14ac:dyDescent="0.2">
      <c r="A3526">
        <f t="shared" si="110"/>
        <v>2917820</v>
      </c>
      <c r="B3526">
        <v>2019</v>
      </c>
      <c r="C3526" t="s">
        <v>739</v>
      </c>
      <c r="D3526" t="s">
        <v>740</v>
      </c>
      <c r="E3526" t="s">
        <v>743</v>
      </c>
      <c r="F3526" s="34">
        <v>582</v>
      </c>
      <c r="G3526" s="34" t="s">
        <v>398</v>
      </c>
      <c r="H3526" s="36">
        <v>398059</v>
      </c>
      <c r="I3526" s="58">
        <v>4740055</v>
      </c>
      <c r="J3526">
        <f>IFERROR(VLOOKUP(G3526,'LEAID Match'!$A$2:$B$526,2,FALSE),"")</f>
        <v>2917820</v>
      </c>
      <c r="K3526" s="68">
        <f t="shared" si="111"/>
        <v>8</v>
      </c>
    </row>
    <row r="3527" spans="1:11" x14ac:dyDescent="0.2">
      <c r="A3527">
        <f t="shared" si="110"/>
        <v>2917820</v>
      </c>
      <c r="B3527">
        <v>2020</v>
      </c>
      <c r="C3527" t="s">
        <v>739</v>
      </c>
      <c r="D3527" t="s">
        <v>740</v>
      </c>
      <c r="E3527" t="s">
        <v>743</v>
      </c>
      <c r="F3527" s="34">
        <v>582</v>
      </c>
      <c r="G3527" s="34" t="s">
        <v>398</v>
      </c>
      <c r="H3527" s="36">
        <v>396510</v>
      </c>
      <c r="I3527" s="58">
        <v>4759365</v>
      </c>
      <c r="J3527">
        <f>IFERROR(VLOOKUP(G3527,'LEAID Match'!$A$2:$B$526,2,FALSE),"")</f>
        <v>2917820</v>
      </c>
      <c r="K3527" s="68">
        <f t="shared" si="111"/>
        <v>8</v>
      </c>
    </row>
    <row r="3528" spans="1:11" x14ac:dyDescent="0.2">
      <c r="A3528">
        <f t="shared" si="110"/>
        <v>2917820</v>
      </c>
      <c r="B3528">
        <v>2021</v>
      </c>
      <c r="C3528" t="s">
        <v>739</v>
      </c>
      <c r="D3528" t="s">
        <v>740</v>
      </c>
      <c r="E3528" t="s">
        <v>743</v>
      </c>
      <c r="F3528" s="34">
        <v>582</v>
      </c>
      <c r="G3528" s="34" t="s">
        <v>398</v>
      </c>
      <c r="H3528" s="36">
        <v>417430</v>
      </c>
      <c r="I3528" s="58">
        <v>4981128</v>
      </c>
      <c r="J3528">
        <f>IFERROR(VLOOKUP(G3528,'LEAID Match'!$A$2:$B$526,2,FALSE),"")</f>
        <v>2917820</v>
      </c>
      <c r="K3528" s="68">
        <f t="shared" si="111"/>
        <v>8</v>
      </c>
    </row>
    <row r="3529" spans="1:11" x14ac:dyDescent="0.2">
      <c r="A3529">
        <f t="shared" si="110"/>
        <v>2917820</v>
      </c>
      <c r="B3529">
        <v>2022</v>
      </c>
      <c r="C3529" t="s">
        <v>739</v>
      </c>
      <c r="D3529" t="s">
        <v>740</v>
      </c>
      <c r="E3529" t="s">
        <v>743</v>
      </c>
      <c r="F3529" s="34">
        <v>582</v>
      </c>
      <c r="G3529" s="34" t="s">
        <v>398</v>
      </c>
      <c r="H3529" s="36">
        <v>427440</v>
      </c>
      <c r="I3529" s="58">
        <v>5142181</v>
      </c>
      <c r="J3529">
        <f>IFERROR(VLOOKUP(G3529,'LEAID Match'!$A$2:$B$526,2,FALSE),"")</f>
        <v>2917820</v>
      </c>
      <c r="K3529" s="68">
        <f t="shared" si="111"/>
        <v>8</v>
      </c>
    </row>
    <row r="3530" spans="1:11" x14ac:dyDescent="0.2">
      <c r="A3530">
        <f t="shared" si="110"/>
        <v>2923580</v>
      </c>
      <c r="B3530">
        <v>2015</v>
      </c>
      <c r="C3530" t="s">
        <v>739</v>
      </c>
      <c r="D3530" t="s">
        <v>740</v>
      </c>
      <c r="E3530" t="s">
        <v>743</v>
      </c>
      <c r="F3530" s="37">
        <v>583</v>
      </c>
      <c r="G3530" s="39" t="s">
        <v>399</v>
      </c>
      <c r="H3530" s="40">
        <v>2605206</v>
      </c>
      <c r="I3530" s="58">
        <v>16773087</v>
      </c>
      <c r="J3530">
        <f>IFERROR(VLOOKUP(G3530,'LEAID Match'!$A$2:$B$526,2,FALSE),"")</f>
        <v>2923580</v>
      </c>
      <c r="K3530" s="68">
        <f t="shared" si="111"/>
        <v>8</v>
      </c>
    </row>
    <row r="3531" spans="1:11" x14ac:dyDescent="0.2">
      <c r="A3531">
        <f t="shared" si="110"/>
        <v>2923580</v>
      </c>
      <c r="B3531">
        <v>2016</v>
      </c>
      <c r="C3531" t="s">
        <v>739</v>
      </c>
      <c r="D3531" t="s">
        <v>740</v>
      </c>
      <c r="E3531" t="s">
        <v>743</v>
      </c>
      <c r="F3531" s="34">
        <v>583</v>
      </c>
      <c r="G3531" s="34" t="s">
        <v>399</v>
      </c>
      <c r="H3531" s="36">
        <v>2606166</v>
      </c>
      <c r="I3531" s="60">
        <v>17084375</v>
      </c>
      <c r="J3531">
        <f>IFERROR(VLOOKUP(G3531,'LEAID Match'!$A$2:$B$526,2,FALSE),"")</f>
        <v>2923580</v>
      </c>
      <c r="K3531" s="68">
        <f t="shared" si="111"/>
        <v>8</v>
      </c>
    </row>
    <row r="3532" spans="1:11" x14ac:dyDescent="0.2">
      <c r="A3532">
        <f t="shared" si="110"/>
        <v>2923580</v>
      </c>
      <c r="B3532">
        <v>2017</v>
      </c>
      <c r="C3532" t="s">
        <v>739</v>
      </c>
      <c r="D3532" t="s">
        <v>740</v>
      </c>
      <c r="E3532" t="s">
        <v>743</v>
      </c>
      <c r="F3532" s="34">
        <v>583</v>
      </c>
      <c r="G3532" s="34" t="s">
        <v>399</v>
      </c>
      <c r="H3532" s="36">
        <v>2658401</v>
      </c>
      <c r="I3532" s="58">
        <v>17724887</v>
      </c>
      <c r="J3532">
        <f>IFERROR(VLOOKUP(G3532,'LEAID Match'!$A$2:$B$526,2,FALSE),"")</f>
        <v>2923580</v>
      </c>
      <c r="K3532" s="68">
        <f t="shared" si="111"/>
        <v>8</v>
      </c>
    </row>
    <row r="3533" spans="1:11" x14ac:dyDescent="0.2">
      <c r="A3533">
        <f t="shared" si="110"/>
        <v>2923580</v>
      </c>
      <c r="B3533">
        <v>2018</v>
      </c>
      <c r="C3533" t="s">
        <v>739</v>
      </c>
      <c r="D3533" t="s">
        <v>740</v>
      </c>
      <c r="E3533" t="s">
        <v>743</v>
      </c>
      <c r="F3533" s="34">
        <v>583</v>
      </c>
      <c r="G3533" s="34" t="s">
        <v>399</v>
      </c>
      <c r="H3533" s="36">
        <v>2721961</v>
      </c>
      <c r="I3533" s="58">
        <v>18091793</v>
      </c>
      <c r="J3533">
        <f>IFERROR(VLOOKUP(G3533,'LEAID Match'!$A$2:$B$526,2,FALSE),"")</f>
        <v>2923580</v>
      </c>
      <c r="K3533" s="68">
        <f t="shared" si="111"/>
        <v>8</v>
      </c>
    </row>
    <row r="3534" spans="1:11" x14ac:dyDescent="0.2">
      <c r="A3534">
        <f t="shared" si="110"/>
        <v>2923580</v>
      </c>
      <c r="B3534">
        <v>2019</v>
      </c>
      <c r="C3534" t="s">
        <v>739</v>
      </c>
      <c r="D3534" t="s">
        <v>740</v>
      </c>
      <c r="E3534" t="s">
        <v>743</v>
      </c>
      <c r="F3534" s="34">
        <v>583</v>
      </c>
      <c r="G3534" s="34" t="s">
        <v>399</v>
      </c>
      <c r="H3534" s="36">
        <v>2722245</v>
      </c>
      <c r="I3534" s="58">
        <v>18396766</v>
      </c>
      <c r="J3534">
        <f>IFERROR(VLOOKUP(G3534,'LEAID Match'!$A$2:$B$526,2,FALSE),"")</f>
        <v>2923580</v>
      </c>
      <c r="K3534" s="68">
        <f t="shared" si="111"/>
        <v>8</v>
      </c>
    </row>
    <row r="3535" spans="1:11" x14ac:dyDescent="0.2">
      <c r="A3535">
        <f t="shared" si="110"/>
        <v>2923580</v>
      </c>
      <c r="B3535">
        <v>2020</v>
      </c>
      <c r="C3535" t="s">
        <v>739</v>
      </c>
      <c r="D3535" t="s">
        <v>740</v>
      </c>
      <c r="E3535" t="s">
        <v>743</v>
      </c>
      <c r="F3535" s="34">
        <v>583</v>
      </c>
      <c r="G3535" s="34" t="s">
        <v>399</v>
      </c>
      <c r="H3535" s="36">
        <v>2666307</v>
      </c>
      <c r="I3535" s="58">
        <v>18610649</v>
      </c>
      <c r="J3535">
        <f>IFERROR(VLOOKUP(G3535,'LEAID Match'!$A$2:$B$526,2,FALSE),"")</f>
        <v>2923580</v>
      </c>
      <c r="K3535" s="68">
        <f t="shared" si="111"/>
        <v>8</v>
      </c>
    </row>
    <row r="3536" spans="1:11" x14ac:dyDescent="0.2">
      <c r="A3536">
        <f t="shared" si="110"/>
        <v>2923580</v>
      </c>
      <c r="B3536">
        <v>2021</v>
      </c>
      <c r="C3536" t="s">
        <v>739</v>
      </c>
      <c r="D3536" t="s">
        <v>740</v>
      </c>
      <c r="E3536" t="s">
        <v>743</v>
      </c>
      <c r="F3536" s="34">
        <v>583</v>
      </c>
      <c r="G3536" s="34" t="s">
        <v>399</v>
      </c>
      <c r="H3536" s="36">
        <v>2517642</v>
      </c>
      <c r="I3536" s="58">
        <v>18732413</v>
      </c>
      <c r="J3536">
        <f>IFERROR(VLOOKUP(G3536,'LEAID Match'!$A$2:$B$526,2,FALSE),"")</f>
        <v>2923580</v>
      </c>
      <c r="K3536" s="68">
        <f t="shared" si="111"/>
        <v>8</v>
      </c>
    </row>
    <row r="3537" spans="1:11" x14ac:dyDescent="0.2">
      <c r="A3537">
        <f t="shared" si="110"/>
        <v>2923580</v>
      </c>
      <c r="B3537">
        <v>2022</v>
      </c>
      <c r="C3537" t="s">
        <v>739</v>
      </c>
      <c r="D3537" t="s">
        <v>740</v>
      </c>
      <c r="E3537" t="s">
        <v>743</v>
      </c>
      <c r="F3537" s="34">
        <v>583</v>
      </c>
      <c r="G3537" s="34" t="s">
        <v>399</v>
      </c>
      <c r="H3537" s="36">
        <v>2649126</v>
      </c>
      <c r="I3537" s="58">
        <v>19452316</v>
      </c>
      <c r="J3537">
        <f>IFERROR(VLOOKUP(G3537,'LEAID Match'!$A$2:$B$526,2,FALSE),"")</f>
        <v>2923580</v>
      </c>
      <c r="K3537" s="68">
        <f t="shared" si="111"/>
        <v>8</v>
      </c>
    </row>
    <row r="3538" spans="1:11" x14ac:dyDescent="0.2">
      <c r="A3538">
        <f t="shared" si="110"/>
        <v>2926760</v>
      </c>
      <c r="B3538">
        <v>2015</v>
      </c>
      <c r="C3538" t="s">
        <v>739</v>
      </c>
      <c r="D3538" t="s">
        <v>740</v>
      </c>
      <c r="E3538" t="s">
        <v>743</v>
      </c>
      <c r="F3538" s="37">
        <v>584</v>
      </c>
      <c r="G3538" s="39" t="s">
        <v>400</v>
      </c>
      <c r="H3538" s="40">
        <v>6320594</v>
      </c>
      <c r="I3538" s="58">
        <v>26849095</v>
      </c>
      <c r="J3538">
        <f>IFERROR(VLOOKUP(G3538,'LEAID Match'!$A$2:$B$526,2,FALSE),"")</f>
        <v>2926760</v>
      </c>
      <c r="K3538" s="68">
        <f t="shared" si="111"/>
        <v>8</v>
      </c>
    </row>
    <row r="3539" spans="1:11" x14ac:dyDescent="0.2">
      <c r="A3539">
        <f t="shared" si="110"/>
        <v>2926760</v>
      </c>
      <c r="B3539">
        <v>2016</v>
      </c>
      <c r="C3539" t="s">
        <v>739</v>
      </c>
      <c r="D3539" t="s">
        <v>740</v>
      </c>
      <c r="E3539" t="s">
        <v>743</v>
      </c>
      <c r="F3539" s="34">
        <v>584</v>
      </c>
      <c r="G3539" s="34" t="s">
        <v>400</v>
      </c>
      <c r="H3539" s="36">
        <v>6487321</v>
      </c>
      <c r="I3539" s="60">
        <v>27319780</v>
      </c>
      <c r="J3539">
        <f>IFERROR(VLOOKUP(G3539,'LEAID Match'!$A$2:$B$526,2,FALSE),"")</f>
        <v>2926760</v>
      </c>
      <c r="K3539" s="68">
        <f t="shared" si="111"/>
        <v>8</v>
      </c>
    </row>
    <row r="3540" spans="1:11" x14ac:dyDescent="0.2">
      <c r="A3540">
        <f t="shared" si="110"/>
        <v>2926760</v>
      </c>
      <c r="B3540">
        <v>2017</v>
      </c>
      <c r="C3540" t="s">
        <v>739</v>
      </c>
      <c r="D3540" t="s">
        <v>740</v>
      </c>
      <c r="E3540" t="s">
        <v>743</v>
      </c>
      <c r="F3540" s="34">
        <v>584</v>
      </c>
      <c r="G3540" s="34" t="s">
        <v>400</v>
      </c>
      <c r="H3540" s="36">
        <v>6892746</v>
      </c>
      <c r="I3540" s="58">
        <v>27860210</v>
      </c>
      <c r="J3540">
        <f>IFERROR(VLOOKUP(G3540,'LEAID Match'!$A$2:$B$526,2,FALSE),"")</f>
        <v>2926760</v>
      </c>
      <c r="K3540" s="68">
        <f t="shared" si="111"/>
        <v>8</v>
      </c>
    </row>
    <row r="3541" spans="1:11" x14ac:dyDescent="0.2">
      <c r="A3541">
        <f t="shared" si="110"/>
        <v>2926760</v>
      </c>
      <c r="B3541">
        <v>2018</v>
      </c>
      <c r="C3541" t="s">
        <v>739</v>
      </c>
      <c r="D3541" t="s">
        <v>740</v>
      </c>
      <c r="E3541" t="s">
        <v>743</v>
      </c>
      <c r="F3541" s="34">
        <v>584</v>
      </c>
      <c r="G3541" s="34" t="s">
        <v>400</v>
      </c>
      <c r="H3541" s="36">
        <v>7132493</v>
      </c>
      <c r="I3541" s="58">
        <v>28511279</v>
      </c>
      <c r="J3541">
        <f>IFERROR(VLOOKUP(G3541,'LEAID Match'!$A$2:$B$526,2,FALSE),"")</f>
        <v>2926760</v>
      </c>
      <c r="K3541" s="68">
        <f t="shared" si="111"/>
        <v>8</v>
      </c>
    </row>
    <row r="3542" spans="1:11" x14ac:dyDescent="0.2">
      <c r="A3542">
        <f t="shared" si="110"/>
        <v>2926760</v>
      </c>
      <c r="B3542">
        <v>2019</v>
      </c>
      <c r="C3542" t="s">
        <v>739</v>
      </c>
      <c r="D3542" t="s">
        <v>740</v>
      </c>
      <c r="E3542" t="s">
        <v>743</v>
      </c>
      <c r="F3542" s="34">
        <v>584</v>
      </c>
      <c r="G3542" s="34" t="s">
        <v>400</v>
      </c>
      <c r="H3542" s="36">
        <v>7532423</v>
      </c>
      <c r="I3542" s="58">
        <v>29188387</v>
      </c>
      <c r="J3542">
        <f>IFERROR(VLOOKUP(G3542,'LEAID Match'!$A$2:$B$526,2,FALSE),"")</f>
        <v>2926760</v>
      </c>
      <c r="K3542" s="68">
        <f t="shared" si="111"/>
        <v>8</v>
      </c>
    </row>
    <row r="3543" spans="1:11" x14ac:dyDescent="0.2">
      <c r="A3543">
        <f t="shared" si="110"/>
        <v>2926760</v>
      </c>
      <c r="B3543">
        <v>2020</v>
      </c>
      <c r="C3543" t="s">
        <v>739</v>
      </c>
      <c r="D3543" t="s">
        <v>740</v>
      </c>
      <c r="E3543" t="s">
        <v>743</v>
      </c>
      <c r="F3543" s="34">
        <v>584</v>
      </c>
      <c r="G3543" s="34" t="s">
        <v>400</v>
      </c>
      <c r="H3543" s="36">
        <v>7893842</v>
      </c>
      <c r="I3543" s="58">
        <v>29622208</v>
      </c>
      <c r="J3543">
        <f>IFERROR(VLOOKUP(G3543,'LEAID Match'!$A$2:$B$526,2,FALSE),"")</f>
        <v>2926760</v>
      </c>
      <c r="K3543" s="68">
        <f t="shared" si="111"/>
        <v>8</v>
      </c>
    </row>
    <row r="3544" spans="1:11" x14ac:dyDescent="0.2">
      <c r="A3544">
        <f t="shared" si="110"/>
        <v>2926760</v>
      </c>
      <c r="B3544">
        <v>2021</v>
      </c>
      <c r="C3544" t="s">
        <v>739</v>
      </c>
      <c r="D3544" t="s">
        <v>740</v>
      </c>
      <c r="E3544" t="s">
        <v>743</v>
      </c>
      <c r="F3544" s="34">
        <v>584</v>
      </c>
      <c r="G3544" s="34" t="s">
        <v>400</v>
      </c>
      <c r="H3544" s="36">
        <v>8525443</v>
      </c>
      <c r="I3544" s="58">
        <v>31363752</v>
      </c>
      <c r="J3544">
        <f>IFERROR(VLOOKUP(G3544,'LEAID Match'!$A$2:$B$526,2,FALSE),"")</f>
        <v>2926760</v>
      </c>
      <c r="K3544" s="68">
        <f t="shared" si="111"/>
        <v>8</v>
      </c>
    </row>
    <row r="3545" spans="1:11" x14ac:dyDescent="0.2">
      <c r="A3545">
        <f t="shared" si="110"/>
        <v>2926760</v>
      </c>
      <c r="B3545">
        <v>2022</v>
      </c>
      <c r="C3545" t="s">
        <v>739</v>
      </c>
      <c r="D3545" t="s">
        <v>740</v>
      </c>
      <c r="E3545" t="s">
        <v>743</v>
      </c>
      <c r="F3545" s="34">
        <v>584</v>
      </c>
      <c r="G3545" s="34" t="s">
        <v>400</v>
      </c>
      <c r="H3545" s="36">
        <v>8922674</v>
      </c>
      <c r="I3545" s="58">
        <v>32047559</v>
      </c>
      <c r="J3545">
        <f>IFERROR(VLOOKUP(G3545,'LEAID Match'!$A$2:$B$526,2,FALSE),"")</f>
        <v>2926760</v>
      </c>
      <c r="K3545" s="68">
        <f t="shared" si="111"/>
        <v>8</v>
      </c>
    </row>
    <row r="3546" spans="1:11" x14ac:dyDescent="0.2">
      <c r="A3546">
        <f t="shared" si="110"/>
        <v>2920840</v>
      </c>
      <c r="B3546">
        <v>2015</v>
      </c>
      <c r="C3546" t="s">
        <v>739</v>
      </c>
      <c r="D3546" t="s">
        <v>740</v>
      </c>
      <c r="E3546" t="s">
        <v>743</v>
      </c>
      <c r="F3546" s="37">
        <v>586</v>
      </c>
      <c r="G3546" s="39" t="s">
        <v>401</v>
      </c>
      <c r="H3546" s="40">
        <v>7972</v>
      </c>
      <c r="I3546" s="58">
        <v>60372</v>
      </c>
      <c r="J3546">
        <f>IFERROR(VLOOKUP(G3546,'LEAID Match'!$A$2:$B$526,2,FALSE),"")</f>
        <v>2920840</v>
      </c>
      <c r="K3546" s="68">
        <f t="shared" si="111"/>
        <v>8</v>
      </c>
    </row>
    <row r="3547" spans="1:11" x14ac:dyDescent="0.2">
      <c r="A3547">
        <f t="shared" si="110"/>
        <v>2920840</v>
      </c>
      <c r="B3547">
        <v>2016</v>
      </c>
      <c r="C3547" t="s">
        <v>739</v>
      </c>
      <c r="D3547" t="s">
        <v>740</v>
      </c>
      <c r="E3547" t="s">
        <v>743</v>
      </c>
      <c r="F3547" s="34">
        <v>586</v>
      </c>
      <c r="G3547" s="34" t="s">
        <v>401</v>
      </c>
      <c r="H3547" s="36">
        <v>9140</v>
      </c>
      <c r="I3547" s="60">
        <v>63014</v>
      </c>
      <c r="J3547">
        <f>IFERROR(VLOOKUP(G3547,'LEAID Match'!$A$2:$B$526,2,FALSE),"")</f>
        <v>2920840</v>
      </c>
      <c r="K3547" s="68">
        <f t="shared" si="111"/>
        <v>8</v>
      </c>
    </row>
    <row r="3548" spans="1:11" x14ac:dyDescent="0.2">
      <c r="A3548">
        <f t="shared" si="110"/>
        <v>2920840</v>
      </c>
      <c r="B3548">
        <v>2017</v>
      </c>
      <c r="C3548" t="s">
        <v>739</v>
      </c>
      <c r="D3548" t="s">
        <v>740</v>
      </c>
      <c r="E3548" t="s">
        <v>743</v>
      </c>
      <c r="F3548" s="34">
        <v>586</v>
      </c>
      <c r="G3548" s="34" t="s">
        <v>401</v>
      </c>
      <c r="H3548" s="36">
        <v>10342</v>
      </c>
      <c r="I3548" s="58">
        <v>70538</v>
      </c>
      <c r="J3548">
        <f>IFERROR(VLOOKUP(G3548,'LEAID Match'!$A$2:$B$526,2,FALSE),"")</f>
        <v>2920840</v>
      </c>
      <c r="K3548" s="68">
        <f t="shared" si="111"/>
        <v>8</v>
      </c>
    </row>
    <row r="3549" spans="1:11" x14ac:dyDescent="0.2">
      <c r="A3549">
        <f t="shared" si="110"/>
        <v>2920840</v>
      </c>
      <c r="B3549">
        <v>2018</v>
      </c>
      <c r="C3549" t="s">
        <v>739</v>
      </c>
      <c r="D3549" t="s">
        <v>740</v>
      </c>
      <c r="E3549" t="s">
        <v>743</v>
      </c>
      <c r="F3549" s="34">
        <v>586</v>
      </c>
      <c r="G3549" s="34" t="s">
        <v>401</v>
      </c>
      <c r="H3549" s="36">
        <v>12299</v>
      </c>
      <c r="I3549" s="58">
        <v>73410</v>
      </c>
      <c r="J3549">
        <f>IFERROR(VLOOKUP(G3549,'LEAID Match'!$A$2:$B$526,2,FALSE),"")</f>
        <v>2920840</v>
      </c>
      <c r="K3549" s="68">
        <f t="shared" si="111"/>
        <v>8</v>
      </c>
    </row>
    <row r="3550" spans="1:11" x14ac:dyDescent="0.2">
      <c r="A3550">
        <f t="shared" si="110"/>
        <v>2920840</v>
      </c>
      <c r="B3550">
        <v>2019</v>
      </c>
      <c r="C3550" t="s">
        <v>739</v>
      </c>
      <c r="D3550" t="s">
        <v>740</v>
      </c>
      <c r="E3550" t="s">
        <v>743</v>
      </c>
      <c r="F3550" s="34">
        <v>586</v>
      </c>
      <c r="G3550" s="34" t="s">
        <v>401</v>
      </c>
      <c r="H3550" s="36">
        <v>13780</v>
      </c>
      <c r="I3550" s="58">
        <v>68080</v>
      </c>
      <c r="J3550">
        <f>IFERROR(VLOOKUP(G3550,'LEAID Match'!$A$2:$B$526,2,FALSE),"")</f>
        <v>2920840</v>
      </c>
      <c r="K3550" s="68">
        <f t="shared" si="111"/>
        <v>8</v>
      </c>
    </row>
    <row r="3551" spans="1:11" x14ac:dyDescent="0.2">
      <c r="A3551">
        <f t="shared" si="110"/>
        <v>2920840</v>
      </c>
      <c r="B3551">
        <v>2020</v>
      </c>
      <c r="C3551" t="s">
        <v>739</v>
      </c>
      <c r="D3551" t="s">
        <v>740</v>
      </c>
      <c r="E3551" t="s">
        <v>743</v>
      </c>
      <c r="F3551" s="34">
        <v>586</v>
      </c>
      <c r="G3551" s="34" t="s">
        <v>401</v>
      </c>
      <c r="H3551" s="36">
        <v>16314</v>
      </c>
      <c r="I3551" s="58">
        <v>73374</v>
      </c>
      <c r="J3551">
        <f>IFERROR(VLOOKUP(G3551,'LEAID Match'!$A$2:$B$526,2,FALSE),"")</f>
        <v>2920840</v>
      </c>
      <c r="K3551" s="68">
        <f t="shared" si="111"/>
        <v>8</v>
      </c>
    </row>
    <row r="3552" spans="1:11" x14ac:dyDescent="0.2">
      <c r="A3552">
        <f t="shared" si="110"/>
        <v>2920840</v>
      </c>
      <c r="B3552">
        <v>2021</v>
      </c>
      <c r="C3552" t="s">
        <v>739</v>
      </c>
      <c r="D3552" t="s">
        <v>740</v>
      </c>
      <c r="E3552" t="s">
        <v>743</v>
      </c>
      <c r="F3552" s="34">
        <v>586</v>
      </c>
      <c r="G3552" s="34" t="s">
        <v>401</v>
      </c>
      <c r="H3552" s="36">
        <v>13285</v>
      </c>
      <c r="I3552" s="58">
        <v>74672</v>
      </c>
      <c r="J3552">
        <f>IFERROR(VLOOKUP(G3552,'LEAID Match'!$A$2:$B$526,2,FALSE),"")</f>
        <v>2920840</v>
      </c>
      <c r="K3552" s="68">
        <f t="shared" si="111"/>
        <v>8</v>
      </c>
    </row>
    <row r="3553" spans="1:11" x14ac:dyDescent="0.2">
      <c r="A3553">
        <f t="shared" si="110"/>
        <v>2920840</v>
      </c>
      <c r="B3553">
        <v>2022</v>
      </c>
      <c r="C3553" t="s">
        <v>739</v>
      </c>
      <c r="D3553" t="s">
        <v>740</v>
      </c>
      <c r="E3553" t="s">
        <v>743</v>
      </c>
      <c r="F3553" s="34">
        <v>586</v>
      </c>
      <c r="G3553" s="34" t="s">
        <v>401</v>
      </c>
      <c r="H3553" s="36">
        <v>15422</v>
      </c>
      <c r="I3553" s="58">
        <v>76917</v>
      </c>
      <c r="J3553">
        <f>IFERROR(VLOOKUP(G3553,'LEAID Match'!$A$2:$B$526,2,FALSE),"")</f>
        <v>2920840</v>
      </c>
      <c r="K3553" s="68">
        <f t="shared" si="111"/>
        <v>8</v>
      </c>
    </row>
    <row r="3554" spans="1:11" x14ac:dyDescent="0.2">
      <c r="A3554">
        <f t="shared" si="110"/>
        <v>2927450</v>
      </c>
      <c r="B3554">
        <v>2015</v>
      </c>
      <c r="C3554" t="s">
        <v>739</v>
      </c>
      <c r="D3554" t="s">
        <v>740</v>
      </c>
      <c r="E3554" t="s">
        <v>743</v>
      </c>
      <c r="F3554" s="37">
        <v>588</v>
      </c>
      <c r="G3554" s="39" t="s">
        <v>402</v>
      </c>
      <c r="H3554" s="40">
        <v>4014</v>
      </c>
      <c r="I3554" s="58">
        <v>39866</v>
      </c>
      <c r="J3554">
        <f>IFERROR(VLOOKUP(G3554,'LEAID Match'!$A$2:$B$526,2,FALSE),"")</f>
        <v>2927450</v>
      </c>
      <c r="K3554" s="68">
        <f t="shared" si="111"/>
        <v>8</v>
      </c>
    </row>
    <row r="3555" spans="1:11" x14ac:dyDescent="0.2">
      <c r="A3555">
        <f t="shared" si="110"/>
        <v>2927450</v>
      </c>
      <c r="B3555">
        <v>2016</v>
      </c>
      <c r="C3555" t="s">
        <v>739</v>
      </c>
      <c r="D3555" t="s">
        <v>740</v>
      </c>
      <c r="E3555" t="s">
        <v>743</v>
      </c>
      <c r="F3555" s="34">
        <v>588</v>
      </c>
      <c r="G3555" s="34" t="s">
        <v>402</v>
      </c>
      <c r="H3555" s="36">
        <v>5674</v>
      </c>
      <c r="I3555" s="60">
        <v>36935</v>
      </c>
      <c r="J3555">
        <f>IFERROR(VLOOKUP(G3555,'LEAID Match'!$A$2:$B$526,2,FALSE),"")</f>
        <v>2927450</v>
      </c>
      <c r="K3555" s="68">
        <f t="shared" si="111"/>
        <v>8</v>
      </c>
    </row>
    <row r="3556" spans="1:11" x14ac:dyDescent="0.2">
      <c r="A3556">
        <f t="shared" si="110"/>
        <v>2927450</v>
      </c>
      <c r="B3556">
        <v>2017</v>
      </c>
      <c r="C3556" t="s">
        <v>739</v>
      </c>
      <c r="D3556" t="s">
        <v>740</v>
      </c>
      <c r="E3556" t="s">
        <v>743</v>
      </c>
      <c r="F3556" s="34">
        <v>588</v>
      </c>
      <c r="G3556" s="34" t="s">
        <v>402</v>
      </c>
      <c r="H3556" s="36">
        <v>7750</v>
      </c>
      <c r="I3556" s="58">
        <v>39691</v>
      </c>
      <c r="J3556">
        <f>IFERROR(VLOOKUP(G3556,'LEAID Match'!$A$2:$B$526,2,FALSE),"")</f>
        <v>2927450</v>
      </c>
      <c r="K3556" s="68">
        <f t="shared" si="111"/>
        <v>8</v>
      </c>
    </row>
    <row r="3557" spans="1:11" x14ac:dyDescent="0.2">
      <c r="A3557">
        <f t="shared" si="110"/>
        <v>2927450</v>
      </c>
      <c r="B3557">
        <v>2018</v>
      </c>
      <c r="C3557" t="s">
        <v>739</v>
      </c>
      <c r="D3557" t="s">
        <v>740</v>
      </c>
      <c r="E3557" t="s">
        <v>743</v>
      </c>
      <c r="F3557" s="34">
        <v>588</v>
      </c>
      <c r="G3557" s="34" t="s">
        <v>402</v>
      </c>
      <c r="H3557" s="36">
        <v>7563</v>
      </c>
      <c r="I3557" s="58">
        <v>45930</v>
      </c>
      <c r="J3557">
        <f>IFERROR(VLOOKUP(G3557,'LEAID Match'!$A$2:$B$526,2,FALSE),"")</f>
        <v>2927450</v>
      </c>
      <c r="K3557" s="68">
        <f t="shared" si="111"/>
        <v>8</v>
      </c>
    </row>
    <row r="3558" spans="1:11" x14ac:dyDescent="0.2">
      <c r="A3558">
        <f t="shared" si="110"/>
        <v>2927450</v>
      </c>
      <c r="B3558">
        <v>2019</v>
      </c>
      <c r="C3558" t="s">
        <v>739</v>
      </c>
      <c r="D3558" t="s">
        <v>740</v>
      </c>
      <c r="E3558" t="s">
        <v>743</v>
      </c>
      <c r="F3558" s="34">
        <v>588</v>
      </c>
      <c r="G3558" s="34" t="s">
        <v>402</v>
      </c>
      <c r="H3558" s="36">
        <v>8264</v>
      </c>
      <c r="I3558" s="58">
        <v>44135</v>
      </c>
      <c r="J3558">
        <f>IFERROR(VLOOKUP(G3558,'LEAID Match'!$A$2:$B$526,2,FALSE),"")</f>
        <v>2927450</v>
      </c>
      <c r="K3558" s="68">
        <f t="shared" si="111"/>
        <v>8</v>
      </c>
    </row>
    <row r="3559" spans="1:11" x14ac:dyDescent="0.2">
      <c r="A3559">
        <f t="shared" si="110"/>
        <v>2927450</v>
      </c>
      <c r="B3559">
        <v>2020</v>
      </c>
      <c r="C3559" t="s">
        <v>739</v>
      </c>
      <c r="D3559" t="s">
        <v>740</v>
      </c>
      <c r="E3559" t="s">
        <v>743</v>
      </c>
      <c r="F3559" s="34">
        <v>588</v>
      </c>
      <c r="G3559" s="34" t="s">
        <v>402</v>
      </c>
      <c r="H3559" s="36">
        <v>10890</v>
      </c>
      <c r="I3559" s="58">
        <v>43802</v>
      </c>
      <c r="J3559">
        <f>IFERROR(VLOOKUP(G3559,'LEAID Match'!$A$2:$B$526,2,FALSE),"")</f>
        <v>2927450</v>
      </c>
      <c r="K3559" s="68">
        <f t="shared" si="111"/>
        <v>8</v>
      </c>
    </row>
    <row r="3560" spans="1:11" x14ac:dyDescent="0.2">
      <c r="A3560">
        <f t="shared" si="110"/>
        <v>2927450</v>
      </c>
      <c r="B3560">
        <v>2021</v>
      </c>
      <c r="C3560" t="s">
        <v>739</v>
      </c>
      <c r="D3560" t="s">
        <v>740</v>
      </c>
      <c r="E3560" t="s">
        <v>743</v>
      </c>
      <c r="F3560" s="34">
        <v>588</v>
      </c>
      <c r="G3560" s="34" t="s">
        <v>402</v>
      </c>
      <c r="H3560" s="36">
        <v>6496</v>
      </c>
      <c r="I3560" s="58">
        <v>50316</v>
      </c>
      <c r="J3560">
        <f>IFERROR(VLOOKUP(G3560,'LEAID Match'!$A$2:$B$526,2,FALSE),"")</f>
        <v>2927450</v>
      </c>
      <c r="K3560" s="68">
        <f t="shared" si="111"/>
        <v>8</v>
      </c>
    </row>
    <row r="3561" spans="1:11" x14ac:dyDescent="0.2">
      <c r="A3561">
        <f t="shared" si="110"/>
        <v>2927450</v>
      </c>
      <c r="B3561">
        <v>2022</v>
      </c>
      <c r="C3561" t="s">
        <v>739</v>
      </c>
      <c r="D3561" t="s">
        <v>740</v>
      </c>
      <c r="E3561" t="s">
        <v>743</v>
      </c>
      <c r="F3561" s="34">
        <v>588</v>
      </c>
      <c r="G3561" s="34" t="s">
        <v>402</v>
      </c>
      <c r="H3561" s="36">
        <v>6138</v>
      </c>
      <c r="I3561" s="58">
        <v>47371</v>
      </c>
      <c r="J3561">
        <f>IFERROR(VLOOKUP(G3561,'LEAID Match'!$A$2:$B$526,2,FALSE),"")</f>
        <v>2927450</v>
      </c>
      <c r="K3561" s="68">
        <f t="shared" si="111"/>
        <v>8</v>
      </c>
    </row>
    <row r="3562" spans="1:11" x14ac:dyDescent="0.2">
      <c r="A3562">
        <f t="shared" si="110"/>
        <v>2919920</v>
      </c>
      <c r="B3562">
        <v>2015</v>
      </c>
      <c r="C3562" t="s">
        <v>739</v>
      </c>
      <c r="D3562" t="s">
        <v>740</v>
      </c>
      <c r="E3562" t="s">
        <v>743</v>
      </c>
      <c r="F3562" s="37">
        <v>589</v>
      </c>
      <c r="G3562" s="39" t="s">
        <v>403</v>
      </c>
      <c r="H3562" s="40">
        <v>8991</v>
      </c>
      <c r="I3562" s="58">
        <v>112128</v>
      </c>
      <c r="J3562">
        <f>IFERROR(VLOOKUP(G3562,'LEAID Match'!$A$2:$B$526,2,FALSE),"")</f>
        <v>2919920</v>
      </c>
      <c r="K3562" s="68">
        <f t="shared" si="111"/>
        <v>8</v>
      </c>
    </row>
    <row r="3563" spans="1:11" x14ac:dyDescent="0.2">
      <c r="A3563">
        <f t="shared" si="110"/>
        <v>2919920</v>
      </c>
      <c r="B3563">
        <v>2016</v>
      </c>
      <c r="C3563" t="s">
        <v>739</v>
      </c>
      <c r="D3563" t="s">
        <v>740</v>
      </c>
      <c r="E3563" t="s">
        <v>743</v>
      </c>
      <c r="F3563" s="34">
        <v>589</v>
      </c>
      <c r="G3563" s="34" t="s">
        <v>403</v>
      </c>
      <c r="H3563" s="36">
        <v>8786</v>
      </c>
      <c r="I3563" s="60">
        <v>114341</v>
      </c>
      <c r="J3563">
        <f>IFERROR(VLOOKUP(G3563,'LEAID Match'!$A$2:$B$526,2,FALSE),"")</f>
        <v>2919920</v>
      </c>
      <c r="K3563" s="68">
        <f t="shared" si="111"/>
        <v>8</v>
      </c>
    </row>
    <row r="3564" spans="1:11" x14ac:dyDescent="0.2">
      <c r="A3564">
        <f t="shared" si="110"/>
        <v>2919920</v>
      </c>
      <c r="B3564">
        <v>2017</v>
      </c>
      <c r="C3564" t="s">
        <v>739</v>
      </c>
      <c r="D3564" t="s">
        <v>740</v>
      </c>
      <c r="E3564" t="s">
        <v>743</v>
      </c>
      <c r="F3564" s="34">
        <v>589</v>
      </c>
      <c r="G3564" s="34" t="s">
        <v>403</v>
      </c>
      <c r="H3564" s="36">
        <v>12663</v>
      </c>
      <c r="I3564" s="58">
        <v>104751</v>
      </c>
      <c r="J3564">
        <f>IFERROR(VLOOKUP(G3564,'LEAID Match'!$A$2:$B$526,2,FALSE),"")</f>
        <v>2919920</v>
      </c>
      <c r="K3564" s="68">
        <f t="shared" si="111"/>
        <v>8</v>
      </c>
    </row>
    <row r="3565" spans="1:11" x14ac:dyDescent="0.2">
      <c r="A3565">
        <f t="shared" si="110"/>
        <v>2919920</v>
      </c>
      <c r="B3565">
        <v>2018</v>
      </c>
      <c r="C3565" t="s">
        <v>739</v>
      </c>
      <c r="D3565" t="s">
        <v>740</v>
      </c>
      <c r="E3565" t="s">
        <v>743</v>
      </c>
      <c r="F3565" s="34">
        <v>589</v>
      </c>
      <c r="G3565" s="34" t="s">
        <v>403</v>
      </c>
      <c r="H3565" s="36">
        <v>15932</v>
      </c>
      <c r="I3565" s="58">
        <v>106703</v>
      </c>
      <c r="J3565">
        <f>IFERROR(VLOOKUP(G3565,'LEAID Match'!$A$2:$B$526,2,FALSE),"")</f>
        <v>2919920</v>
      </c>
      <c r="K3565" s="68">
        <f t="shared" si="111"/>
        <v>8</v>
      </c>
    </row>
    <row r="3566" spans="1:11" x14ac:dyDescent="0.2">
      <c r="A3566">
        <f t="shared" si="110"/>
        <v>2919920</v>
      </c>
      <c r="B3566">
        <v>2019</v>
      </c>
      <c r="C3566" t="s">
        <v>739</v>
      </c>
      <c r="D3566" t="s">
        <v>740</v>
      </c>
      <c r="E3566" t="s">
        <v>743</v>
      </c>
      <c r="F3566" s="34">
        <v>589</v>
      </c>
      <c r="G3566" s="34" t="s">
        <v>403</v>
      </c>
      <c r="H3566" s="36">
        <v>15532</v>
      </c>
      <c r="I3566" s="58">
        <v>110326</v>
      </c>
      <c r="J3566">
        <f>IFERROR(VLOOKUP(G3566,'LEAID Match'!$A$2:$B$526,2,FALSE),"")</f>
        <v>2919920</v>
      </c>
      <c r="K3566" s="68">
        <f t="shared" si="111"/>
        <v>8</v>
      </c>
    </row>
    <row r="3567" spans="1:11" x14ac:dyDescent="0.2">
      <c r="A3567">
        <f t="shared" si="110"/>
        <v>2919920</v>
      </c>
      <c r="B3567">
        <v>2020</v>
      </c>
      <c r="C3567" t="s">
        <v>739</v>
      </c>
      <c r="D3567" t="s">
        <v>740</v>
      </c>
      <c r="E3567" t="s">
        <v>743</v>
      </c>
      <c r="F3567" s="34">
        <v>589</v>
      </c>
      <c r="G3567" s="34" t="s">
        <v>403</v>
      </c>
      <c r="H3567" s="36">
        <v>11964</v>
      </c>
      <c r="I3567" s="58">
        <v>111273</v>
      </c>
      <c r="J3567">
        <f>IFERROR(VLOOKUP(G3567,'LEAID Match'!$A$2:$B$526,2,FALSE),"")</f>
        <v>2919920</v>
      </c>
      <c r="K3567" s="68">
        <f t="shared" si="111"/>
        <v>8</v>
      </c>
    </row>
    <row r="3568" spans="1:11" x14ac:dyDescent="0.2">
      <c r="A3568">
        <f t="shared" si="110"/>
        <v>2919920</v>
      </c>
      <c r="B3568">
        <v>2021</v>
      </c>
      <c r="C3568" t="s">
        <v>739</v>
      </c>
      <c r="D3568" t="s">
        <v>740</v>
      </c>
      <c r="E3568" t="s">
        <v>743</v>
      </c>
      <c r="F3568" s="34">
        <v>589</v>
      </c>
      <c r="G3568" s="34" t="s">
        <v>403</v>
      </c>
      <c r="H3568" s="36">
        <v>12330</v>
      </c>
      <c r="I3568" s="58">
        <v>98181</v>
      </c>
      <c r="J3568">
        <f>IFERROR(VLOOKUP(G3568,'LEAID Match'!$A$2:$B$526,2,FALSE),"")</f>
        <v>2919920</v>
      </c>
      <c r="K3568" s="68">
        <f t="shared" si="111"/>
        <v>8</v>
      </c>
    </row>
    <row r="3569" spans="1:11" x14ac:dyDescent="0.2">
      <c r="A3569">
        <f t="shared" si="110"/>
        <v>2919920</v>
      </c>
      <c r="B3569">
        <v>2022</v>
      </c>
      <c r="C3569" t="s">
        <v>739</v>
      </c>
      <c r="D3569" t="s">
        <v>740</v>
      </c>
      <c r="E3569" t="s">
        <v>743</v>
      </c>
      <c r="F3569" s="34">
        <v>589</v>
      </c>
      <c r="G3569" s="34" t="s">
        <v>403</v>
      </c>
      <c r="H3569" s="36">
        <v>10800</v>
      </c>
      <c r="I3569" s="58">
        <v>107948</v>
      </c>
      <c r="J3569">
        <f>IFERROR(VLOOKUP(G3569,'LEAID Match'!$A$2:$B$526,2,FALSE),"")</f>
        <v>2919920</v>
      </c>
      <c r="K3569" s="68">
        <f t="shared" si="111"/>
        <v>8</v>
      </c>
    </row>
    <row r="3570" spans="1:11" x14ac:dyDescent="0.2">
      <c r="A3570">
        <f t="shared" si="110"/>
        <v>2929880</v>
      </c>
      <c r="B3570">
        <v>2015</v>
      </c>
      <c r="C3570" t="s">
        <v>739</v>
      </c>
      <c r="D3570" t="s">
        <v>740</v>
      </c>
      <c r="E3570" t="s">
        <v>743</v>
      </c>
      <c r="F3570" s="34">
        <v>590</v>
      </c>
      <c r="G3570" s="34" t="s">
        <v>669</v>
      </c>
      <c r="H3570" s="40">
        <v>23954</v>
      </c>
      <c r="I3570" s="58">
        <v>282710</v>
      </c>
      <c r="J3570">
        <f>IFERROR(VLOOKUP(G3570,'LEAID Match'!$A$2:$B$526,2,FALSE),"")</f>
        <v>2929880</v>
      </c>
      <c r="K3570" s="68">
        <f t="shared" si="111"/>
        <v>8</v>
      </c>
    </row>
    <row r="3571" spans="1:11" x14ac:dyDescent="0.2">
      <c r="A3571">
        <f t="shared" si="110"/>
        <v>2929880</v>
      </c>
      <c r="B3571">
        <v>2016</v>
      </c>
      <c r="C3571" t="s">
        <v>739</v>
      </c>
      <c r="D3571" t="s">
        <v>740</v>
      </c>
      <c r="E3571" t="s">
        <v>743</v>
      </c>
      <c r="F3571" s="34">
        <v>590</v>
      </c>
      <c r="G3571" s="34" t="s">
        <v>669</v>
      </c>
      <c r="H3571" s="36">
        <v>25834</v>
      </c>
      <c r="I3571" s="60">
        <v>286160</v>
      </c>
      <c r="J3571">
        <f>IFERROR(VLOOKUP(G3571,'LEAID Match'!$A$2:$B$526,2,FALSE),"")</f>
        <v>2929880</v>
      </c>
      <c r="K3571" s="68">
        <f t="shared" si="111"/>
        <v>8</v>
      </c>
    </row>
    <row r="3572" spans="1:11" x14ac:dyDescent="0.2">
      <c r="A3572">
        <f t="shared" si="110"/>
        <v>2929880</v>
      </c>
      <c r="B3572">
        <v>2017</v>
      </c>
      <c r="C3572" t="s">
        <v>739</v>
      </c>
      <c r="D3572" t="s">
        <v>740</v>
      </c>
      <c r="E3572" t="s">
        <v>743</v>
      </c>
      <c r="F3572" s="34">
        <v>590</v>
      </c>
      <c r="G3572" s="34" t="s">
        <v>669</v>
      </c>
      <c r="H3572" s="36">
        <v>31896</v>
      </c>
      <c r="I3572" s="58">
        <v>292668</v>
      </c>
      <c r="J3572">
        <f>IFERROR(VLOOKUP(G3572,'LEAID Match'!$A$2:$B$526,2,FALSE),"")</f>
        <v>2929880</v>
      </c>
      <c r="K3572" s="68">
        <f t="shared" si="111"/>
        <v>8</v>
      </c>
    </row>
    <row r="3573" spans="1:11" x14ac:dyDescent="0.2">
      <c r="A3573">
        <f t="shared" si="110"/>
        <v>2929880</v>
      </c>
      <c r="B3573">
        <v>2018</v>
      </c>
      <c r="C3573" t="s">
        <v>739</v>
      </c>
      <c r="D3573" t="s">
        <v>740</v>
      </c>
      <c r="E3573" t="s">
        <v>743</v>
      </c>
      <c r="F3573" s="34">
        <v>590</v>
      </c>
      <c r="G3573" s="34" t="s">
        <v>669</v>
      </c>
      <c r="H3573" s="36">
        <v>34312</v>
      </c>
      <c r="I3573" s="58">
        <v>296610</v>
      </c>
      <c r="J3573">
        <f>IFERROR(VLOOKUP(G3573,'LEAID Match'!$A$2:$B$526,2,FALSE),"")</f>
        <v>2929880</v>
      </c>
      <c r="K3573" s="68">
        <f t="shared" si="111"/>
        <v>8</v>
      </c>
    </row>
    <row r="3574" spans="1:11" x14ac:dyDescent="0.2">
      <c r="A3574">
        <f t="shared" si="110"/>
        <v>2929880</v>
      </c>
      <c r="B3574">
        <v>2019</v>
      </c>
      <c r="C3574" t="s">
        <v>739</v>
      </c>
      <c r="D3574" t="s">
        <v>740</v>
      </c>
      <c r="E3574" t="s">
        <v>743</v>
      </c>
      <c r="F3574" s="34">
        <v>590</v>
      </c>
      <c r="G3574" s="34" t="s">
        <v>669</v>
      </c>
      <c r="H3574" s="36">
        <v>38478</v>
      </c>
      <c r="I3574" s="58">
        <v>297651</v>
      </c>
      <c r="J3574">
        <f>IFERROR(VLOOKUP(G3574,'LEAID Match'!$A$2:$B$526,2,FALSE),"")</f>
        <v>2929880</v>
      </c>
      <c r="K3574" s="68">
        <f t="shared" si="111"/>
        <v>8</v>
      </c>
    </row>
    <row r="3575" spans="1:11" x14ac:dyDescent="0.2">
      <c r="A3575">
        <f t="shared" si="110"/>
        <v>2929880</v>
      </c>
      <c r="B3575">
        <v>2020</v>
      </c>
      <c r="C3575" t="s">
        <v>739</v>
      </c>
      <c r="D3575" t="s">
        <v>740</v>
      </c>
      <c r="E3575" t="s">
        <v>743</v>
      </c>
      <c r="F3575" s="34">
        <v>590</v>
      </c>
      <c r="G3575" s="34" t="s">
        <v>669</v>
      </c>
      <c r="H3575" s="36">
        <v>36902</v>
      </c>
      <c r="I3575" s="58">
        <v>316249</v>
      </c>
      <c r="J3575">
        <f>IFERROR(VLOOKUP(G3575,'LEAID Match'!$A$2:$B$526,2,FALSE),"")</f>
        <v>2929880</v>
      </c>
      <c r="K3575" s="68">
        <f t="shared" si="111"/>
        <v>8</v>
      </c>
    </row>
    <row r="3576" spans="1:11" x14ac:dyDescent="0.2">
      <c r="A3576">
        <f t="shared" si="110"/>
        <v>2929880</v>
      </c>
      <c r="B3576">
        <v>2021</v>
      </c>
      <c r="C3576" t="s">
        <v>739</v>
      </c>
      <c r="D3576" t="s">
        <v>740</v>
      </c>
      <c r="E3576" t="s">
        <v>743</v>
      </c>
      <c r="F3576" s="34">
        <v>590</v>
      </c>
      <c r="G3576" s="34" t="s">
        <v>669</v>
      </c>
      <c r="H3576" s="36">
        <v>39745</v>
      </c>
      <c r="I3576" s="58">
        <v>316140</v>
      </c>
      <c r="J3576">
        <f>IFERROR(VLOOKUP(G3576,'LEAID Match'!$A$2:$B$526,2,FALSE),"")</f>
        <v>2929880</v>
      </c>
      <c r="K3576" s="68">
        <f t="shared" si="111"/>
        <v>8</v>
      </c>
    </row>
    <row r="3577" spans="1:11" x14ac:dyDescent="0.2">
      <c r="A3577">
        <f t="shared" si="110"/>
        <v>2929880</v>
      </c>
      <c r="B3577">
        <v>2022</v>
      </c>
      <c r="C3577" t="s">
        <v>739</v>
      </c>
      <c r="D3577" t="s">
        <v>740</v>
      </c>
      <c r="E3577" t="s">
        <v>743</v>
      </c>
      <c r="F3577" s="34">
        <v>590</v>
      </c>
      <c r="G3577" s="34" t="s">
        <v>669</v>
      </c>
      <c r="H3577" s="36">
        <v>52077</v>
      </c>
      <c r="I3577" s="58">
        <v>332412</v>
      </c>
      <c r="J3577">
        <f>IFERROR(VLOOKUP(G3577,'LEAID Match'!$A$2:$B$526,2,FALSE),"")</f>
        <v>2929880</v>
      </c>
      <c r="K3577" s="68">
        <f t="shared" si="111"/>
        <v>8</v>
      </c>
    </row>
    <row r="3578" spans="1:11" x14ac:dyDescent="0.2">
      <c r="A3578">
        <f t="shared" si="110"/>
        <v>2927330</v>
      </c>
      <c r="B3578">
        <v>2015</v>
      </c>
      <c r="C3578" t="s">
        <v>739</v>
      </c>
      <c r="D3578" t="s">
        <v>740</v>
      </c>
      <c r="E3578" t="s">
        <v>743</v>
      </c>
      <c r="F3578" s="37">
        <v>592</v>
      </c>
      <c r="G3578" s="39" t="s">
        <v>404</v>
      </c>
      <c r="H3578" s="40">
        <v>7477</v>
      </c>
      <c r="I3578" s="58">
        <v>41725</v>
      </c>
      <c r="J3578">
        <f>IFERROR(VLOOKUP(G3578,'LEAID Match'!$A$2:$B$526,2,FALSE),"")</f>
        <v>2927330</v>
      </c>
      <c r="K3578" s="68">
        <f t="shared" si="111"/>
        <v>8</v>
      </c>
    </row>
    <row r="3579" spans="1:11" x14ac:dyDescent="0.2">
      <c r="A3579">
        <f t="shared" si="110"/>
        <v>2927330</v>
      </c>
      <c r="B3579">
        <v>2016</v>
      </c>
      <c r="C3579" t="s">
        <v>739</v>
      </c>
      <c r="D3579" t="s">
        <v>740</v>
      </c>
      <c r="E3579" t="s">
        <v>743</v>
      </c>
      <c r="F3579" s="34">
        <v>592</v>
      </c>
      <c r="G3579" s="34" t="s">
        <v>404</v>
      </c>
      <c r="H3579" s="36">
        <v>7772</v>
      </c>
      <c r="I3579" s="60">
        <v>41633</v>
      </c>
      <c r="J3579">
        <f>IFERROR(VLOOKUP(G3579,'LEAID Match'!$A$2:$B$526,2,FALSE),"")</f>
        <v>2927330</v>
      </c>
      <c r="K3579" s="68">
        <f t="shared" si="111"/>
        <v>8</v>
      </c>
    </row>
    <row r="3580" spans="1:11" x14ac:dyDescent="0.2">
      <c r="A3580">
        <f t="shared" si="110"/>
        <v>2927330</v>
      </c>
      <c r="B3580">
        <v>2017</v>
      </c>
      <c r="C3580" t="s">
        <v>739</v>
      </c>
      <c r="D3580" t="s">
        <v>740</v>
      </c>
      <c r="E3580" t="s">
        <v>743</v>
      </c>
      <c r="F3580" s="34">
        <v>592</v>
      </c>
      <c r="G3580" s="34" t="s">
        <v>404</v>
      </c>
      <c r="H3580" s="36">
        <v>7483</v>
      </c>
      <c r="I3580" s="58">
        <v>42824</v>
      </c>
      <c r="J3580">
        <f>IFERROR(VLOOKUP(G3580,'LEAID Match'!$A$2:$B$526,2,FALSE),"")</f>
        <v>2927330</v>
      </c>
      <c r="K3580" s="68">
        <f t="shared" si="111"/>
        <v>8</v>
      </c>
    </row>
    <row r="3581" spans="1:11" x14ac:dyDescent="0.2">
      <c r="A3581">
        <f t="shared" si="110"/>
        <v>2927330</v>
      </c>
      <c r="B3581">
        <v>2018</v>
      </c>
      <c r="C3581" t="s">
        <v>739</v>
      </c>
      <c r="D3581" t="s">
        <v>740</v>
      </c>
      <c r="E3581" t="s">
        <v>743</v>
      </c>
      <c r="F3581" s="34">
        <v>592</v>
      </c>
      <c r="G3581" s="34" t="s">
        <v>404</v>
      </c>
      <c r="H3581" s="36">
        <v>9285</v>
      </c>
      <c r="I3581" s="58">
        <v>45958</v>
      </c>
      <c r="J3581">
        <f>IFERROR(VLOOKUP(G3581,'LEAID Match'!$A$2:$B$526,2,FALSE),"")</f>
        <v>2927330</v>
      </c>
      <c r="K3581" s="68">
        <f t="shared" si="111"/>
        <v>8</v>
      </c>
    </row>
    <row r="3582" spans="1:11" x14ac:dyDescent="0.2">
      <c r="A3582">
        <f t="shared" si="110"/>
        <v>2927330</v>
      </c>
      <c r="B3582">
        <v>2019</v>
      </c>
      <c r="C3582" t="s">
        <v>739</v>
      </c>
      <c r="D3582" t="s">
        <v>740</v>
      </c>
      <c r="E3582" t="s">
        <v>743</v>
      </c>
      <c r="F3582" s="34">
        <v>592</v>
      </c>
      <c r="G3582" s="34" t="s">
        <v>404</v>
      </c>
      <c r="H3582" s="36">
        <v>9108</v>
      </c>
      <c r="I3582" s="58">
        <v>47890</v>
      </c>
      <c r="J3582">
        <f>IFERROR(VLOOKUP(G3582,'LEAID Match'!$A$2:$B$526,2,FALSE),"")</f>
        <v>2927330</v>
      </c>
      <c r="K3582" s="68">
        <f t="shared" si="111"/>
        <v>8</v>
      </c>
    </row>
    <row r="3583" spans="1:11" x14ac:dyDescent="0.2">
      <c r="A3583">
        <f t="shared" si="110"/>
        <v>2927330</v>
      </c>
      <c r="B3583">
        <v>2020</v>
      </c>
      <c r="C3583" t="s">
        <v>739</v>
      </c>
      <c r="D3583" t="s">
        <v>740</v>
      </c>
      <c r="E3583" t="s">
        <v>743</v>
      </c>
      <c r="F3583" s="34">
        <v>592</v>
      </c>
      <c r="G3583" s="34" t="s">
        <v>404</v>
      </c>
      <c r="H3583" s="36">
        <v>14418</v>
      </c>
      <c r="I3583" s="58">
        <v>40162</v>
      </c>
      <c r="J3583">
        <f>IFERROR(VLOOKUP(G3583,'LEAID Match'!$A$2:$B$526,2,FALSE),"")</f>
        <v>2927330</v>
      </c>
      <c r="K3583" s="68">
        <f t="shared" si="111"/>
        <v>8</v>
      </c>
    </row>
    <row r="3584" spans="1:11" x14ac:dyDescent="0.2">
      <c r="A3584">
        <f t="shared" si="110"/>
        <v>2927330</v>
      </c>
      <c r="B3584">
        <v>2021</v>
      </c>
      <c r="C3584" t="s">
        <v>739</v>
      </c>
      <c r="D3584" t="s">
        <v>740</v>
      </c>
      <c r="E3584" t="s">
        <v>743</v>
      </c>
      <c r="F3584" s="34">
        <v>592</v>
      </c>
      <c r="G3584" s="34" t="s">
        <v>404</v>
      </c>
      <c r="H3584" s="36">
        <v>14755</v>
      </c>
      <c r="I3584" s="58">
        <v>39195</v>
      </c>
      <c r="J3584">
        <f>IFERROR(VLOOKUP(G3584,'LEAID Match'!$A$2:$B$526,2,FALSE),"")</f>
        <v>2927330</v>
      </c>
      <c r="K3584" s="68">
        <f t="shared" si="111"/>
        <v>8</v>
      </c>
    </row>
    <row r="3585" spans="1:11" x14ac:dyDescent="0.2">
      <c r="A3585">
        <f t="shared" si="110"/>
        <v>2927330</v>
      </c>
      <c r="B3585">
        <v>2022</v>
      </c>
      <c r="C3585" t="s">
        <v>739</v>
      </c>
      <c r="D3585" t="s">
        <v>740</v>
      </c>
      <c r="E3585" t="s">
        <v>743</v>
      </c>
      <c r="F3585" s="34">
        <v>592</v>
      </c>
      <c r="G3585" s="34" t="s">
        <v>404</v>
      </c>
      <c r="H3585" s="36">
        <v>11221</v>
      </c>
      <c r="I3585" s="58">
        <v>47497</v>
      </c>
      <c r="J3585">
        <f>IFERROR(VLOOKUP(G3585,'LEAID Match'!$A$2:$B$526,2,FALSE),"")</f>
        <v>2927330</v>
      </c>
      <c r="K3585" s="68">
        <f t="shared" si="111"/>
        <v>8</v>
      </c>
    </row>
    <row r="3586" spans="1:11" x14ac:dyDescent="0.2">
      <c r="A3586">
        <f t="shared" si="110"/>
        <v>2912840</v>
      </c>
      <c r="B3586">
        <v>2015</v>
      </c>
      <c r="C3586" t="s">
        <v>739</v>
      </c>
      <c r="D3586" t="s">
        <v>740</v>
      </c>
      <c r="E3586" t="s">
        <v>743</v>
      </c>
      <c r="F3586" s="37">
        <v>596</v>
      </c>
      <c r="G3586" s="39" t="s">
        <v>405</v>
      </c>
      <c r="H3586" s="40">
        <v>4640</v>
      </c>
      <c r="I3586" s="58">
        <v>30335</v>
      </c>
      <c r="J3586">
        <f>IFERROR(VLOOKUP(G3586,'LEAID Match'!$A$2:$B$526,2,FALSE),"")</f>
        <v>2912840</v>
      </c>
      <c r="K3586" s="68">
        <f t="shared" si="111"/>
        <v>8</v>
      </c>
    </row>
    <row r="3587" spans="1:11" x14ac:dyDescent="0.2">
      <c r="A3587">
        <f t="shared" ref="A3587:A3650" si="112">J3587</f>
        <v>2912840</v>
      </c>
      <c r="B3587">
        <v>2016</v>
      </c>
      <c r="C3587" t="s">
        <v>739</v>
      </c>
      <c r="D3587" t="s">
        <v>740</v>
      </c>
      <c r="E3587" t="s">
        <v>743</v>
      </c>
      <c r="F3587" s="34">
        <v>596</v>
      </c>
      <c r="G3587" s="34" t="s">
        <v>405</v>
      </c>
      <c r="H3587" s="36">
        <v>4530</v>
      </c>
      <c r="I3587" s="60">
        <v>30994</v>
      </c>
      <c r="J3587">
        <f>IFERROR(VLOOKUP(G3587,'LEAID Match'!$A$2:$B$526,2,FALSE),"")</f>
        <v>2912840</v>
      </c>
      <c r="K3587" s="68">
        <f t="shared" ref="K3587:K3650" si="113">COUNTIF($J$2:$J$4295,J3587)</f>
        <v>8</v>
      </c>
    </row>
    <row r="3588" spans="1:11" x14ac:dyDescent="0.2">
      <c r="A3588">
        <f t="shared" si="112"/>
        <v>2912840</v>
      </c>
      <c r="B3588">
        <v>2017</v>
      </c>
      <c r="C3588" t="s">
        <v>739</v>
      </c>
      <c r="D3588" t="s">
        <v>740</v>
      </c>
      <c r="E3588" t="s">
        <v>743</v>
      </c>
      <c r="F3588" s="34">
        <v>596</v>
      </c>
      <c r="G3588" s="34" t="s">
        <v>405</v>
      </c>
      <c r="H3588" s="36">
        <v>4102</v>
      </c>
      <c r="I3588" s="58">
        <v>35058</v>
      </c>
      <c r="J3588">
        <f>IFERROR(VLOOKUP(G3588,'LEAID Match'!$A$2:$B$526,2,FALSE),"")</f>
        <v>2912840</v>
      </c>
      <c r="K3588" s="68">
        <f t="shared" si="113"/>
        <v>8</v>
      </c>
    </row>
    <row r="3589" spans="1:11" x14ac:dyDescent="0.2">
      <c r="A3589">
        <f t="shared" si="112"/>
        <v>2912840</v>
      </c>
      <c r="B3589">
        <v>2018</v>
      </c>
      <c r="C3589" t="s">
        <v>739</v>
      </c>
      <c r="D3589" t="s">
        <v>740</v>
      </c>
      <c r="E3589" t="s">
        <v>743</v>
      </c>
      <c r="F3589" s="34">
        <v>596</v>
      </c>
      <c r="G3589" s="34" t="s">
        <v>405</v>
      </c>
      <c r="H3589" s="36">
        <v>5221</v>
      </c>
      <c r="I3589" s="58">
        <v>36038</v>
      </c>
      <c r="J3589">
        <f>IFERROR(VLOOKUP(G3589,'LEAID Match'!$A$2:$B$526,2,FALSE),"")</f>
        <v>2912840</v>
      </c>
      <c r="K3589" s="68">
        <f t="shared" si="113"/>
        <v>8</v>
      </c>
    </row>
    <row r="3590" spans="1:11" x14ac:dyDescent="0.2">
      <c r="A3590">
        <f t="shared" si="112"/>
        <v>2912840</v>
      </c>
      <c r="B3590">
        <v>2019</v>
      </c>
      <c r="C3590" t="s">
        <v>739</v>
      </c>
      <c r="D3590" t="s">
        <v>740</v>
      </c>
      <c r="E3590" t="s">
        <v>743</v>
      </c>
      <c r="F3590" s="34">
        <v>596</v>
      </c>
      <c r="G3590" s="34" t="s">
        <v>405</v>
      </c>
      <c r="H3590" s="36">
        <v>6695</v>
      </c>
      <c r="I3590" s="58">
        <v>33911</v>
      </c>
      <c r="J3590">
        <f>IFERROR(VLOOKUP(G3590,'LEAID Match'!$A$2:$B$526,2,FALSE),"")</f>
        <v>2912840</v>
      </c>
      <c r="K3590" s="68">
        <f t="shared" si="113"/>
        <v>8</v>
      </c>
    </row>
    <row r="3591" spans="1:11" x14ac:dyDescent="0.2">
      <c r="A3591">
        <f t="shared" si="112"/>
        <v>2912840</v>
      </c>
      <c r="B3591">
        <v>2020</v>
      </c>
      <c r="C3591" t="s">
        <v>739</v>
      </c>
      <c r="D3591" t="s">
        <v>740</v>
      </c>
      <c r="E3591" t="s">
        <v>743</v>
      </c>
      <c r="F3591" s="34">
        <v>596</v>
      </c>
      <c r="G3591" s="34" t="s">
        <v>405</v>
      </c>
      <c r="H3591" s="36">
        <v>4226</v>
      </c>
      <c r="I3591" s="58">
        <v>40328</v>
      </c>
      <c r="J3591">
        <f>IFERROR(VLOOKUP(G3591,'LEAID Match'!$A$2:$B$526,2,FALSE),"")</f>
        <v>2912840</v>
      </c>
      <c r="K3591" s="68">
        <f t="shared" si="113"/>
        <v>8</v>
      </c>
    </row>
    <row r="3592" spans="1:11" x14ac:dyDescent="0.2">
      <c r="A3592">
        <f t="shared" si="112"/>
        <v>2912840</v>
      </c>
      <c r="B3592">
        <v>2021</v>
      </c>
      <c r="C3592" t="s">
        <v>739</v>
      </c>
      <c r="D3592" t="s">
        <v>740</v>
      </c>
      <c r="E3592" t="s">
        <v>743</v>
      </c>
      <c r="F3592" s="34">
        <v>596</v>
      </c>
      <c r="G3592" s="34" t="s">
        <v>405</v>
      </c>
      <c r="H3592" s="36">
        <v>5298</v>
      </c>
      <c r="I3592" s="58">
        <v>39628</v>
      </c>
      <c r="J3592">
        <f>IFERROR(VLOOKUP(G3592,'LEAID Match'!$A$2:$B$526,2,FALSE),"")</f>
        <v>2912840</v>
      </c>
      <c r="K3592" s="68">
        <f t="shared" si="113"/>
        <v>8</v>
      </c>
    </row>
    <row r="3593" spans="1:11" x14ac:dyDescent="0.2">
      <c r="A3593">
        <f t="shared" si="112"/>
        <v>2912840</v>
      </c>
      <c r="B3593">
        <v>2022</v>
      </c>
      <c r="C3593" t="s">
        <v>739</v>
      </c>
      <c r="D3593" t="s">
        <v>740</v>
      </c>
      <c r="E3593" t="s">
        <v>743</v>
      </c>
      <c r="F3593" s="34">
        <v>596</v>
      </c>
      <c r="G3593" s="34" t="s">
        <v>405</v>
      </c>
      <c r="H3593" s="36">
        <v>5691</v>
      </c>
      <c r="I3593" s="58">
        <v>35661</v>
      </c>
      <c r="J3593">
        <f>IFERROR(VLOOKUP(G3593,'LEAID Match'!$A$2:$B$526,2,FALSE),"")</f>
        <v>2912840</v>
      </c>
      <c r="K3593" s="68">
        <f t="shared" si="113"/>
        <v>8</v>
      </c>
    </row>
    <row r="3594" spans="1:11" x14ac:dyDescent="0.2">
      <c r="A3594">
        <f t="shared" si="112"/>
        <v>2920410</v>
      </c>
      <c r="B3594">
        <v>2015</v>
      </c>
      <c r="C3594" t="s">
        <v>739</v>
      </c>
      <c r="D3594" t="s">
        <v>740</v>
      </c>
      <c r="E3594" t="s">
        <v>743</v>
      </c>
      <c r="F3594" s="37">
        <v>597</v>
      </c>
      <c r="G3594" s="39" t="s">
        <v>406</v>
      </c>
      <c r="H3594" s="40">
        <v>193264</v>
      </c>
      <c r="I3594" s="58">
        <v>1590996</v>
      </c>
      <c r="J3594">
        <f>IFERROR(VLOOKUP(G3594,'LEAID Match'!$A$2:$B$526,2,FALSE),"")</f>
        <v>2920410</v>
      </c>
      <c r="K3594" s="68">
        <f t="shared" si="113"/>
        <v>8</v>
      </c>
    </row>
    <row r="3595" spans="1:11" x14ac:dyDescent="0.2">
      <c r="A3595">
        <f t="shared" si="112"/>
        <v>2920410</v>
      </c>
      <c r="B3595">
        <v>2016</v>
      </c>
      <c r="C3595" t="s">
        <v>739</v>
      </c>
      <c r="D3595" t="s">
        <v>740</v>
      </c>
      <c r="E3595" t="s">
        <v>743</v>
      </c>
      <c r="F3595" s="34">
        <v>597</v>
      </c>
      <c r="G3595" s="34" t="s">
        <v>406</v>
      </c>
      <c r="H3595" s="36">
        <v>209931</v>
      </c>
      <c r="I3595" s="60">
        <v>1636782</v>
      </c>
      <c r="J3595">
        <f>IFERROR(VLOOKUP(G3595,'LEAID Match'!$A$2:$B$526,2,FALSE),"")</f>
        <v>2920410</v>
      </c>
      <c r="K3595" s="68">
        <f t="shared" si="113"/>
        <v>8</v>
      </c>
    </row>
    <row r="3596" spans="1:11" x14ac:dyDescent="0.2">
      <c r="A3596">
        <f t="shared" si="112"/>
        <v>2920410</v>
      </c>
      <c r="B3596">
        <v>2017</v>
      </c>
      <c r="C3596" t="s">
        <v>739</v>
      </c>
      <c r="D3596" t="s">
        <v>740</v>
      </c>
      <c r="E3596" t="s">
        <v>743</v>
      </c>
      <c r="F3596" s="34">
        <v>597</v>
      </c>
      <c r="G3596" s="34" t="s">
        <v>406</v>
      </c>
      <c r="H3596" s="36">
        <v>223979</v>
      </c>
      <c r="I3596" s="58">
        <v>1710767</v>
      </c>
      <c r="J3596">
        <f>IFERROR(VLOOKUP(G3596,'LEAID Match'!$A$2:$B$526,2,FALSE),"")</f>
        <v>2920410</v>
      </c>
      <c r="K3596" s="68">
        <f t="shared" si="113"/>
        <v>8</v>
      </c>
    </row>
    <row r="3597" spans="1:11" x14ac:dyDescent="0.2">
      <c r="A3597">
        <f t="shared" si="112"/>
        <v>2920410</v>
      </c>
      <c r="B3597">
        <v>2018</v>
      </c>
      <c r="C3597" t="s">
        <v>739</v>
      </c>
      <c r="D3597" t="s">
        <v>740</v>
      </c>
      <c r="E3597" t="s">
        <v>743</v>
      </c>
      <c r="F3597" s="34">
        <v>597</v>
      </c>
      <c r="G3597" s="34" t="s">
        <v>406</v>
      </c>
      <c r="H3597" s="36">
        <v>228075</v>
      </c>
      <c r="I3597" s="58">
        <v>1738040</v>
      </c>
      <c r="J3597">
        <f>IFERROR(VLOOKUP(G3597,'LEAID Match'!$A$2:$B$526,2,FALSE),"")</f>
        <v>2920410</v>
      </c>
      <c r="K3597" s="68">
        <f t="shared" si="113"/>
        <v>8</v>
      </c>
    </row>
    <row r="3598" spans="1:11" x14ac:dyDescent="0.2">
      <c r="A3598">
        <f t="shared" si="112"/>
        <v>2920410</v>
      </c>
      <c r="B3598">
        <v>2019</v>
      </c>
      <c r="C3598" t="s">
        <v>739</v>
      </c>
      <c r="D3598" t="s">
        <v>740</v>
      </c>
      <c r="E3598" t="s">
        <v>743</v>
      </c>
      <c r="F3598" s="34">
        <v>597</v>
      </c>
      <c r="G3598" s="34" t="s">
        <v>406</v>
      </c>
      <c r="H3598" s="36">
        <v>243752</v>
      </c>
      <c r="I3598" s="58">
        <v>1771678</v>
      </c>
      <c r="J3598">
        <f>IFERROR(VLOOKUP(G3598,'LEAID Match'!$A$2:$B$526,2,FALSE),"")</f>
        <v>2920410</v>
      </c>
      <c r="K3598" s="68">
        <f t="shared" si="113"/>
        <v>8</v>
      </c>
    </row>
    <row r="3599" spans="1:11" x14ac:dyDescent="0.2">
      <c r="A3599">
        <f t="shared" si="112"/>
        <v>2920410</v>
      </c>
      <c r="B3599">
        <v>2020</v>
      </c>
      <c r="C3599" t="s">
        <v>739</v>
      </c>
      <c r="D3599" t="s">
        <v>740</v>
      </c>
      <c r="E3599" t="s">
        <v>743</v>
      </c>
      <c r="F3599" s="34">
        <v>597</v>
      </c>
      <c r="G3599" s="34" t="s">
        <v>406</v>
      </c>
      <c r="H3599" s="36">
        <v>264087</v>
      </c>
      <c r="I3599" s="58">
        <v>1819199</v>
      </c>
      <c r="J3599">
        <f>IFERROR(VLOOKUP(G3599,'LEAID Match'!$A$2:$B$526,2,FALSE),"")</f>
        <v>2920410</v>
      </c>
      <c r="K3599" s="68">
        <f t="shared" si="113"/>
        <v>8</v>
      </c>
    </row>
    <row r="3600" spans="1:11" x14ac:dyDescent="0.2">
      <c r="A3600">
        <f t="shared" si="112"/>
        <v>2920410</v>
      </c>
      <c r="B3600">
        <v>2021</v>
      </c>
      <c r="C3600" t="s">
        <v>739</v>
      </c>
      <c r="D3600" t="s">
        <v>740</v>
      </c>
      <c r="E3600" t="s">
        <v>743</v>
      </c>
      <c r="F3600" s="34">
        <v>597</v>
      </c>
      <c r="G3600" s="34" t="s">
        <v>406</v>
      </c>
      <c r="H3600" s="36">
        <v>271801</v>
      </c>
      <c r="I3600" s="58">
        <v>1818273</v>
      </c>
      <c r="J3600">
        <f>IFERROR(VLOOKUP(G3600,'LEAID Match'!$A$2:$B$526,2,FALSE),"")</f>
        <v>2920410</v>
      </c>
      <c r="K3600" s="68">
        <f t="shared" si="113"/>
        <v>8</v>
      </c>
    </row>
    <row r="3601" spans="1:11" x14ac:dyDescent="0.2">
      <c r="A3601">
        <f t="shared" si="112"/>
        <v>2920410</v>
      </c>
      <c r="B3601">
        <v>2022</v>
      </c>
      <c r="C3601" t="s">
        <v>739</v>
      </c>
      <c r="D3601" t="s">
        <v>740</v>
      </c>
      <c r="E3601" t="s">
        <v>743</v>
      </c>
      <c r="F3601" s="34">
        <v>597</v>
      </c>
      <c r="G3601" s="34" t="s">
        <v>406</v>
      </c>
      <c r="H3601" s="36">
        <v>324692</v>
      </c>
      <c r="I3601" s="58">
        <v>1804415</v>
      </c>
      <c r="J3601">
        <f>IFERROR(VLOOKUP(G3601,'LEAID Match'!$A$2:$B$526,2,FALSE),"")</f>
        <v>2920410</v>
      </c>
      <c r="K3601" s="68">
        <f t="shared" si="113"/>
        <v>8</v>
      </c>
    </row>
    <row r="3602" spans="1:11" x14ac:dyDescent="0.2">
      <c r="A3602">
        <f t="shared" si="112"/>
        <v>2928360</v>
      </c>
      <c r="B3602">
        <v>2015</v>
      </c>
      <c r="C3602" t="s">
        <v>739</v>
      </c>
      <c r="D3602" t="s">
        <v>740</v>
      </c>
      <c r="E3602" t="s">
        <v>743</v>
      </c>
      <c r="F3602" s="37">
        <v>598</v>
      </c>
      <c r="G3602" s="39" t="s">
        <v>407</v>
      </c>
      <c r="H3602" s="40">
        <v>40201</v>
      </c>
      <c r="I3602" s="58">
        <v>235509</v>
      </c>
      <c r="J3602">
        <f>IFERROR(VLOOKUP(G3602,'LEAID Match'!$A$2:$B$526,2,FALSE),"")</f>
        <v>2928360</v>
      </c>
      <c r="K3602" s="68">
        <f t="shared" si="113"/>
        <v>8</v>
      </c>
    </row>
    <row r="3603" spans="1:11" x14ac:dyDescent="0.2">
      <c r="A3603">
        <f t="shared" si="112"/>
        <v>2928360</v>
      </c>
      <c r="B3603">
        <v>2016</v>
      </c>
      <c r="C3603" t="s">
        <v>739</v>
      </c>
      <c r="D3603" t="s">
        <v>740</v>
      </c>
      <c r="E3603" t="s">
        <v>743</v>
      </c>
      <c r="F3603" s="34">
        <v>598</v>
      </c>
      <c r="G3603" s="34" t="s">
        <v>407</v>
      </c>
      <c r="H3603" s="36">
        <v>40706</v>
      </c>
      <c r="I3603" s="60">
        <v>234151</v>
      </c>
      <c r="J3603">
        <f>IFERROR(VLOOKUP(G3603,'LEAID Match'!$A$2:$B$526,2,FALSE),"")</f>
        <v>2928360</v>
      </c>
      <c r="K3603" s="68">
        <f t="shared" si="113"/>
        <v>8</v>
      </c>
    </row>
    <row r="3604" spans="1:11" x14ac:dyDescent="0.2">
      <c r="A3604">
        <f t="shared" si="112"/>
        <v>2928360</v>
      </c>
      <c r="B3604">
        <v>2017</v>
      </c>
      <c r="C3604" t="s">
        <v>739</v>
      </c>
      <c r="D3604" t="s">
        <v>740</v>
      </c>
      <c r="E3604" t="s">
        <v>743</v>
      </c>
      <c r="F3604" s="34">
        <v>598</v>
      </c>
      <c r="G3604" s="34" t="s">
        <v>407</v>
      </c>
      <c r="H3604" s="36">
        <v>43913</v>
      </c>
      <c r="I3604" s="58">
        <v>231854</v>
      </c>
      <c r="J3604">
        <f>IFERROR(VLOOKUP(G3604,'LEAID Match'!$A$2:$B$526,2,FALSE),"")</f>
        <v>2928360</v>
      </c>
      <c r="K3604" s="68">
        <f t="shared" si="113"/>
        <v>8</v>
      </c>
    </row>
    <row r="3605" spans="1:11" x14ac:dyDescent="0.2">
      <c r="A3605">
        <f t="shared" si="112"/>
        <v>2928360</v>
      </c>
      <c r="B3605">
        <v>2018</v>
      </c>
      <c r="C3605" t="s">
        <v>739</v>
      </c>
      <c r="D3605" t="s">
        <v>740</v>
      </c>
      <c r="E3605" t="s">
        <v>743</v>
      </c>
      <c r="F3605" s="34">
        <v>598</v>
      </c>
      <c r="G3605" s="34" t="s">
        <v>407</v>
      </c>
      <c r="H3605" s="36">
        <v>42806</v>
      </c>
      <c r="I3605" s="58">
        <v>246772</v>
      </c>
      <c r="J3605">
        <f>IFERROR(VLOOKUP(G3605,'LEAID Match'!$A$2:$B$526,2,FALSE),"")</f>
        <v>2928360</v>
      </c>
      <c r="K3605" s="68">
        <f t="shared" si="113"/>
        <v>8</v>
      </c>
    </row>
    <row r="3606" spans="1:11" x14ac:dyDescent="0.2">
      <c r="A3606">
        <f t="shared" si="112"/>
        <v>2928360</v>
      </c>
      <c r="B3606">
        <v>2019</v>
      </c>
      <c r="C3606" t="s">
        <v>739</v>
      </c>
      <c r="D3606" t="s">
        <v>740</v>
      </c>
      <c r="E3606" t="s">
        <v>743</v>
      </c>
      <c r="F3606" s="34">
        <v>598</v>
      </c>
      <c r="G3606" s="34" t="s">
        <v>407</v>
      </c>
      <c r="H3606" s="36">
        <v>44374</v>
      </c>
      <c r="I3606" s="58">
        <v>261328</v>
      </c>
      <c r="J3606">
        <f>IFERROR(VLOOKUP(G3606,'LEAID Match'!$A$2:$B$526,2,FALSE),"")</f>
        <v>2928360</v>
      </c>
      <c r="K3606" s="68">
        <f t="shared" si="113"/>
        <v>8</v>
      </c>
    </row>
    <row r="3607" spans="1:11" x14ac:dyDescent="0.2">
      <c r="A3607">
        <f t="shared" si="112"/>
        <v>2928360</v>
      </c>
      <c r="B3607">
        <v>2020</v>
      </c>
      <c r="C3607" t="s">
        <v>739</v>
      </c>
      <c r="D3607" t="s">
        <v>740</v>
      </c>
      <c r="E3607" t="s">
        <v>743</v>
      </c>
      <c r="F3607" s="34">
        <v>598</v>
      </c>
      <c r="G3607" s="34" t="s">
        <v>407</v>
      </c>
      <c r="H3607" s="36">
        <v>53471</v>
      </c>
      <c r="I3607" s="58">
        <v>254609</v>
      </c>
      <c r="J3607">
        <f>IFERROR(VLOOKUP(G3607,'LEAID Match'!$A$2:$B$526,2,FALSE),"")</f>
        <v>2928360</v>
      </c>
      <c r="K3607" s="68">
        <f t="shared" si="113"/>
        <v>8</v>
      </c>
    </row>
    <row r="3608" spans="1:11" x14ac:dyDescent="0.2">
      <c r="A3608">
        <f t="shared" si="112"/>
        <v>2928360</v>
      </c>
      <c r="B3608">
        <v>2021</v>
      </c>
      <c r="C3608" t="s">
        <v>739</v>
      </c>
      <c r="D3608" t="s">
        <v>740</v>
      </c>
      <c r="E3608" t="s">
        <v>743</v>
      </c>
      <c r="F3608" s="34">
        <v>598</v>
      </c>
      <c r="G3608" s="34" t="s">
        <v>407</v>
      </c>
      <c r="H3608" s="36">
        <v>53311</v>
      </c>
      <c r="I3608" s="58">
        <v>261024</v>
      </c>
      <c r="J3608">
        <f>IFERROR(VLOOKUP(G3608,'LEAID Match'!$A$2:$B$526,2,FALSE),"")</f>
        <v>2928360</v>
      </c>
      <c r="K3608" s="68">
        <f t="shared" si="113"/>
        <v>8</v>
      </c>
    </row>
    <row r="3609" spans="1:11" x14ac:dyDescent="0.2">
      <c r="A3609">
        <f t="shared" si="112"/>
        <v>2928360</v>
      </c>
      <c r="B3609">
        <v>2022</v>
      </c>
      <c r="C3609" t="s">
        <v>739</v>
      </c>
      <c r="D3609" t="s">
        <v>740</v>
      </c>
      <c r="E3609" t="s">
        <v>743</v>
      </c>
      <c r="F3609" s="34">
        <v>598</v>
      </c>
      <c r="G3609" s="34" t="s">
        <v>407</v>
      </c>
      <c r="H3609" s="36">
        <v>71286</v>
      </c>
      <c r="I3609" s="58">
        <v>231285</v>
      </c>
      <c r="J3609">
        <f>IFERROR(VLOOKUP(G3609,'LEAID Match'!$A$2:$B$526,2,FALSE),"")</f>
        <v>2928360</v>
      </c>
      <c r="K3609" s="68">
        <f t="shared" si="113"/>
        <v>8</v>
      </c>
    </row>
    <row r="3610" spans="1:11" x14ac:dyDescent="0.2">
      <c r="A3610">
        <f t="shared" si="112"/>
        <v>2927660</v>
      </c>
      <c r="B3610">
        <v>2015</v>
      </c>
      <c r="C3610" t="s">
        <v>739</v>
      </c>
      <c r="D3610" t="s">
        <v>740</v>
      </c>
      <c r="E3610" t="s">
        <v>743</v>
      </c>
      <c r="F3610" s="37">
        <v>601</v>
      </c>
      <c r="G3610" s="39" t="s">
        <v>408</v>
      </c>
      <c r="H3610" s="40">
        <v>43166</v>
      </c>
      <c r="I3610" s="58">
        <v>400505</v>
      </c>
      <c r="J3610">
        <f>IFERROR(VLOOKUP(G3610,'LEAID Match'!$A$2:$B$526,2,FALSE),"")</f>
        <v>2927660</v>
      </c>
      <c r="K3610" s="68">
        <f t="shared" si="113"/>
        <v>8</v>
      </c>
    </row>
    <row r="3611" spans="1:11" x14ac:dyDescent="0.2">
      <c r="A3611">
        <f t="shared" si="112"/>
        <v>2927660</v>
      </c>
      <c r="B3611">
        <v>2016</v>
      </c>
      <c r="C3611" t="s">
        <v>739</v>
      </c>
      <c r="D3611" t="s">
        <v>740</v>
      </c>
      <c r="E3611" t="s">
        <v>743</v>
      </c>
      <c r="F3611" s="34">
        <v>601</v>
      </c>
      <c r="G3611" s="34" t="s">
        <v>408</v>
      </c>
      <c r="H3611" s="36">
        <v>43580</v>
      </c>
      <c r="I3611" s="60">
        <v>410153</v>
      </c>
      <c r="J3611">
        <f>IFERROR(VLOOKUP(G3611,'LEAID Match'!$A$2:$B$526,2,FALSE),"")</f>
        <v>2927660</v>
      </c>
      <c r="K3611" s="68">
        <f t="shared" si="113"/>
        <v>8</v>
      </c>
    </row>
    <row r="3612" spans="1:11" x14ac:dyDescent="0.2">
      <c r="A3612">
        <f t="shared" si="112"/>
        <v>2927660</v>
      </c>
      <c r="B3612">
        <v>2017</v>
      </c>
      <c r="C3612" t="s">
        <v>739</v>
      </c>
      <c r="D3612" t="s">
        <v>740</v>
      </c>
      <c r="E3612" t="s">
        <v>743</v>
      </c>
      <c r="F3612" s="34">
        <v>601</v>
      </c>
      <c r="G3612" s="34" t="s">
        <v>408</v>
      </c>
      <c r="H3612" s="36">
        <v>48907</v>
      </c>
      <c r="I3612" s="58">
        <v>385260</v>
      </c>
      <c r="J3612">
        <f>IFERROR(VLOOKUP(G3612,'LEAID Match'!$A$2:$B$526,2,FALSE),"")</f>
        <v>2927660</v>
      </c>
      <c r="K3612" s="68">
        <f t="shared" si="113"/>
        <v>8</v>
      </c>
    </row>
    <row r="3613" spans="1:11" x14ac:dyDescent="0.2">
      <c r="A3613">
        <f t="shared" si="112"/>
        <v>2927660</v>
      </c>
      <c r="B3613">
        <v>2018</v>
      </c>
      <c r="C3613" t="s">
        <v>739</v>
      </c>
      <c r="D3613" t="s">
        <v>740</v>
      </c>
      <c r="E3613" t="s">
        <v>743</v>
      </c>
      <c r="F3613" s="34">
        <v>601</v>
      </c>
      <c r="G3613" s="34" t="s">
        <v>408</v>
      </c>
      <c r="H3613" s="36">
        <v>49732</v>
      </c>
      <c r="I3613" s="58">
        <v>400116</v>
      </c>
      <c r="J3613">
        <f>IFERROR(VLOOKUP(G3613,'LEAID Match'!$A$2:$B$526,2,FALSE),"")</f>
        <v>2927660</v>
      </c>
      <c r="K3613" s="68">
        <f t="shared" si="113"/>
        <v>8</v>
      </c>
    </row>
    <row r="3614" spans="1:11" x14ac:dyDescent="0.2">
      <c r="A3614">
        <f t="shared" si="112"/>
        <v>2927660</v>
      </c>
      <c r="B3614">
        <v>2019</v>
      </c>
      <c r="C3614" t="s">
        <v>739</v>
      </c>
      <c r="D3614" t="s">
        <v>740</v>
      </c>
      <c r="E3614" t="s">
        <v>743</v>
      </c>
      <c r="F3614" s="34">
        <v>601</v>
      </c>
      <c r="G3614" s="34" t="s">
        <v>408</v>
      </c>
      <c r="H3614" s="36">
        <v>46480</v>
      </c>
      <c r="I3614" s="58">
        <v>422031</v>
      </c>
      <c r="J3614">
        <f>IFERROR(VLOOKUP(G3614,'LEAID Match'!$A$2:$B$526,2,FALSE),"")</f>
        <v>2927660</v>
      </c>
      <c r="K3614" s="68">
        <f t="shared" si="113"/>
        <v>8</v>
      </c>
    </row>
    <row r="3615" spans="1:11" x14ac:dyDescent="0.2">
      <c r="A3615">
        <f t="shared" si="112"/>
        <v>2927660</v>
      </c>
      <c r="B3615">
        <v>2020</v>
      </c>
      <c r="C3615" t="s">
        <v>739</v>
      </c>
      <c r="D3615" t="s">
        <v>740</v>
      </c>
      <c r="E3615" t="s">
        <v>743</v>
      </c>
      <c r="F3615" s="34">
        <v>601</v>
      </c>
      <c r="G3615" s="34" t="s">
        <v>408</v>
      </c>
      <c r="H3615" s="36">
        <v>61413</v>
      </c>
      <c r="I3615" s="58">
        <v>415637</v>
      </c>
      <c r="J3615">
        <f>IFERROR(VLOOKUP(G3615,'LEAID Match'!$A$2:$B$526,2,FALSE),"")</f>
        <v>2927660</v>
      </c>
      <c r="K3615" s="68">
        <f t="shared" si="113"/>
        <v>8</v>
      </c>
    </row>
    <row r="3616" spans="1:11" x14ac:dyDescent="0.2">
      <c r="A3616">
        <f t="shared" si="112"/>
        <v>2927660</v>
      </c>
      <c r="B3616">
        <v>2021</v>
      </c>
      <c r="C3616" t="s">
        <v>739</v>
      </c>
      <c r="D3616" t="s">
        <v>740</v>
      </c>
      <c r="E3616" t="s">
        <v>743</v>
      </c>
      <c r="F3616" s="34">
        <v>601</v>
      </c>
      <c r="G3616" s="34" t="s">
        <v>408</v>
      </c>
      <c r="H3616" s="36">
        <v>66834</v>
      </c>
      <c r="I3616" s="58">
        <v>437319</v>
      </c>
      <c r="J3616">
        <f>IFERROR(VLOOKUP(G3616,'LEAID Match'!$A$2:$B$526,2,FALSE),"")</f>
        <v>2927660</v>
      </c>
      <c r="K3616" s="68">
        <f t="shared" si="113"/>
        <v>8</v>
      </c>
    </row>
    <row r="3617" spans="1:11" x14ac:dyDescent="0.2">
      <c r="A3617">
        <f t="shared" si="112"/>
        <v>2927660</v>
      </c>
      <c r="B3617">
        <v>2022</v>
      </c>
      <c r="C3617" t="s">
        <v>739</v>
      </c>
      <c r="D3617" t="s">
        <v>740</v>
      </c>
      <c r="E3617" t="s">
        <v>743</v>
      </c>
      <c r="F3617" s="34">
        <v>601</v>
      </c>
      <c r="G3617" s="34" t="s">
        <v>408</v>
      </c>
      <c r="H3617" s="36">
        <v>71610</v>
      </c>
      <c r="I3617" s="58">
        <v>493008</v>
      </c>
      <c r="J3617">
        <f>IFERROR(VLOOKUP(G3617,'LEAID Match'!$A$2:$B$526,2,FALSE),"")</f>
        <v>2927660</v>
      </c>
      <c r="K3617" s="68">
        <f t="shared" si="113"/>
        <v>8</v>
      </c>
    </row>
    <row r="3618" spans="1:11" x14ac:dyDescent="0.2">
      <c r="A3618">
        <f t="shared" si="112"/>
        <v>2920700</v>
      </c>
      <c r="B3618">
        <v>2015</v>
      </c>
      <c r="C3618" t="s">
        <v>739</v>
      </c>
      <c r="D3618" t="s">
        <v>740</v>
      </c>
      <c r="E3618" t="s">
        <v>743</v>
      </c>
      <c r="F3618" s="37">
        <v>602</v>
      </c>
      <c r="G3618" s="39" t="s">
        <v>409</v>
      </c>
      <c r="H3618" s="40">
        <v>69342</v>
      </c>
      <c r="I3618" s="58">
        <v>393411</v>
      </c>
      <c r="J3618">
        <f>IFERROR(VLOOKUP(G3618,'LEAID Match'!$A$2:$B$526,2,FALSE),"")</f>
        <v>2920700</v>
      </c>
      <c r="K3618" s="68">
        <f t="shared" si="113"/>
        <v>8</v>
      </c>
    </row>
    <row r="3619" spans="1:11" x14ac:dyDescent="0.2">
      <c r="A3619">
        <f t="shared" si="112"/>
        <v>2920700</v>
      </c>
      <c r="B3619">
        <v>2016</v>
      </c>
      <c r="C3619" t="s">
        <v>739</v>
      </c>
      <c r="D3619" t="s">
        <v>740</v>
      </c>
      <c r="E3619" t="s">
        <v>743</v>
      </c>
      <c r="F3619" s="34">
        <v>602</v>
      </c>
      <c r="G3619" s="34" t="s">
        <v>409</v>
      </c>
      <c r="H3619" s="36">
        <v>72034</v>
      </c>
      <c r="I3619" s="60">
        <v>398682</v>
      </c>
      <c r="J3619">
        <f>IFERROR(VLOOKUP(G3619,'LEAID Match'!$A$2:$B$526,2,FALSE),"")</f>
        <v>2920700</v>
      </c>
      <c r="K3619" s="68">
        <f t="shared" si="113"/>
        <v>8</v>
      </c>
    </row>
    <row r="3620" spans="1:11" x14ac:dyDescent="0.2">
      <c r="A3620">
        <f t="shared" si="112"/>
        <v>2920700</v>
      </c>
      <c r="B3620">
        <v>2017</v>
      </c>
      <c r="C3620" t="s">
        <v>739</v>
      </c>
      <c r="D3620" t="s">
        <v>740</v>
      </c>
      <c r="E3620" t="s">
        <v>743</v>
      </c>
      <c r="F3620" s="34">
        <v>602</v>
      </c>
      <c r="G3620" s="34" t="s">
        <v>409</v>
      </c>
      <c r="H3620" s="36">
        <v>72663</v>
      </c>
      <c r="I3620" s="58">
        <v>406258</v>
      </c>
      <c r="J3620">
        <f>IFERROR(VLOOKUP(G3620,'LEAID Match'!$A$2:$B$526,2,FALSE),"")</f>
        <v>2920700</v>
      </c>
      <c r="K3620" s="68">
        <f t="shared" si="113"/>
        <v>8</v>
      </c>
    </row>
    <row r="3621" spans="1:11" x14ac:dyDescent="0.2">
      <c r="A3621">
        <f t="shared" si="112"/>
        <v>2920700</v>
      </c>
      <c r="B3621">
        <v>2018</v>
      </c>
      <c r="C3621" t="s">
        <v>739</v>
      </c>
      <c r="D3621" t="s">
        <v>740</v>
      </c>
      <c r="E3621" t="s">
        <v>743</v>
      </c>
      <c r="F3621" s="34">
        <v>602</v>
      </c>
      <c r="G3621" s="34" t="s">
        <v>409</v>
      </c>
      <c r="H3621" s="36">
        <v>76185</v>
      </c>
      <c r="I3621" s="58">
        <v>423067</v>
      </c>
      <c r="J3621">
        <f>IFERROR(VLOOKUP(G3621,'LEAID Match'!$A$2:$B$526,2,FALSE),"")</f>
        <v>2920700</v>
      </c>
      <c r="K3621" s="68">
        <f t="shared" si="113"/>
        <v>8</v>
      </c>
    </row>
    <row r="3622" spans="1:11" x14ac:dyDescent="0.2">
      <c r="A3622">
        <f t="shared" si="112"/>
        <v>2920700</v>
      </c>
      <c r="B3622">
        <v>2019</v>
      </c>
      <c r="C3622" t="s">
        <v>739</v>
      </c>
      <c r="D3622" t="s">
        <v>740</v>
      </c>
      <c r="E3622" t="s">
        <v>743</v>
      </c>
      <c r="F3622" s="34">
        <v>602</v>
      </c>
      <c r="G3622" s="34" t="s">
        <v>409</v>
      </c>
      <c r="H3622" s="36">
        <v>78842</v>
      </c>
      <c r="I3622" s="58">
        <v>440134</v>
      </c>
      <c r="J3622">
        <f>IFERROR(VLOOKUP(G3622,'LEAID Match'!$A$2:$B$526,2,FALSE),"")</f>
        <v>2920700</v>
      </c>
      <c r="K3622" s="68">
        <f t="shared" si="113"/>
        <v>8</v>
      </c>
    </row>
    <row r="3623" spans="1:11" x14ac:dyDescent="0.2">
      <c r="A3623">
        <f t="shared" si="112"/>
        <v>2920700</v>
      </c>
      <c r="B3623">
        <v>2020</v>
      </c>
      <c r="C3623" t="s">
        <v>739</v>
      </c>
      <c r="D3623" t="s">
        <v>740</v>
      </c>
      <c r="E3623" t="s">
        <v>743</v>
      </c>
      <c r="F3623" s="34">
        <v>602</v>
      </c>
      <c r="G3623" s="34" t="s">
        <v>409</v>
      </c>
      <c r="H3623" s="36">
        <v>80347</v>
      </c>
      <c r="I3623" s="58">
        <v>468347</v>
      </c>
      <c r="J3623">
        <f>IFERROR(VLOOKUP(G3623,'LEAID Match'!$A$2:$B$526,2,FALSE),"")</f>
        <v>2920700</v>
      </c>
      <c r="K3623" s="68">
        <f t="shared" si="113"/>
        <v>8</v>
      </c>
    </row>
    <row r="3624" spans="1:11" x14ac:dyDescent="0.2">
      <c r="A3624">
        <f t="shared" si="112"/>
        <v>2920700</v>
      </c>
      <c r="B3624">
        <v>2021</v>
      </c>
      <c r="C3624" t="s">
        <v>739</v>
      </c>
      <c r="D3624" t="s">
        <v>740</v>
      </c>
      <c r="E3624" t="s">
        <v>743</v>
      </c>
      <c r="F3624" s="34">
        <v>602</v>
      </c>
      <c r="G3624" s="34" t="s">
        <v>409</v>
      </c>
      <c r="H3624" s="36">
        <v>91032</v>
      </c>
      <c r="I3624" s="58">
        <v>480040</v>
      </c>
      <c r="J3624">
        <f>IFERROR(VLOOKUP(G3624,'LEAID Match'!$A$2:$B$526,2,FALSE),"")</f>
        <v>2920700</v>
      </c>
      <c r="K3624" s="68">
        <f t="shared" si="113"/>
        <v>8</v>
      </c>
    </row>
    <row r="3625" spans="1:11" x14ac:dyDescent="0.2">
      <c r="A3625">
        <f t="shared" si="112"/>
        <v>2920700</v>
      </c>
      <c r="B3625">
        <v>2022</v>
      </c>
      <c r="C3625" t="s">
        <v>739</v>
      </c>
      <c r="D3625" t="s">
        <v>740</v>
      </c>
      <c r="E3625" t="s">
        <v>743</v>
      </c>
      <c r="F3625" s="34">
        <v>602</v>
      </c>
      <c r="G3625" s="34" t="s">
        <v>409</v>
      </c>
      <c r="H3625" s="36">
        <v>91306</v>
      </c>
      <c r="I3625" s="58">
        <v>489359</v>
      </c>
      <c r="J3625">
        <f>IFERROR(VLOOKUP(G3625,'LEAID Match'!$A$2:$B$526,2,FALSE),"")</f>
        <v>2920700</v>
      </c>
      <c r="K3625" s="68">
        <f t="shared" si="113"/>
        <v>8</v>
      </c>
    </row>
    <row r="3626" spans="1:11" x14ac:dyDescent="0.2">
      <c r="A3626">
        <f t="shared" si="112"/>
        <v>2913020</v>
      </c>
      <c r="B3626">
        <v>2015</v>
      </c>
      <c r="C3626" t="s">
        <v>739</v>
      </c>
      <c r="D3626" t="s">
        <v>740</v>
      </c>
      <c r="E3626" t="s">
        <v>743</v>
      </c>
      <c r="F3626" s="37">
        <v>603</v>
      </c>
      <c r="G3626" s="39" t="s">
        <v>410</v>
      </c>
      <c r="H3626" s="40">
        <v>5685</v>
      </c>
      <c r="I3626" s="58">
        <v>45956</v>
      </c>
      <c r="J3626">
        <f>IFERROR(VLOOKUP(G3626,'LEAID Match'!$A$2:$B$526,2,FALSE),"")</f>
        <v>2913020</v>
      </c>
      <c r="K3626" s="68">
        <f t="shared" si="113"/>
        <v>8</v>
      </c>
    </row>
    <row r="3627" spans="1:11" x14ac:dyDescent="0.2">
      <c r="A3627">
        <f t="shared" si="112"/>
        <v>2913020</v>
      </c>
      <c r="B3627">
        <v>2016</v>
      </c>
      <c r="C3627" t="s">
        <v>739</v>
      </c>
      <c r="D3627" t="s">
        <v>740</v>
      </c>
      <c r="E3627" t="s">
        <v>743</v>
      </c>
      <c r="F3627" s="34">
        <v>603</v>
      </c>
      <c r="G3627" s="34" t="s">
        <v>410</v>
      </c>
      <c r="H3627" s="34">
        <v>0</v>
      </c>
      <c r="I3627" s="60"/>
      <c r="J3627">
        <f>IFERROR(VLOOKUP(G3627,'LEAID Match'!$A$2:$B$526,2,FALSE),"")</f>
        <v>2913020</v>
      </c>
      <c r="K3627" s="68">
        <f t="shared" si="113"/>
        <v>8</v>
      </c>
    </row>
    <row r="3628" spans="1:11" x14ac:dyDescent="0.2">
      <c r="A3628">
        <f t="shared" si="112"/>
        <v>2913020</v>
      </c>
      <c r="B3628">
        <v>2017</v>
      </c>
      <c r="C3628" t="s">
        <v>739</v>
      </c>
      <c r="D3628" t="s">
        <v>740</v>
      </c>
      <c r="E3628" t="s">
        <v>743</v>
      </c>
      <c r="F3628" s="34">
        <v>603</v>
      </c>
      <c r="G3628" s="34" t="s">
        <v>410</v>
      </c>
      <c r="H3628" s="34" t="s">
        <v>551</v>
      </c>
      <c r="J3628">
        <f>IFERROR(VLOOKUP(G3628,'LEAID Match'!$A$2:$B$526,2,FALSE),"")</f>
        <v>2913020</v>
      </c>
      <c r="K3628" s="68">
        <f t="shared" si="113"/>
        <v>8</v>
      </c>
    </row>
    <row r="3629" spans="1:11" x14ac:dyDescent="0.2">
      <c r="A3629">
        <f t="shared" si="112"/>
        <v>2913020</v>
      </c>
      <c r="B3629">
        <v>2018</v>
      </c>
      <c r="C3629" t="s">
        <v>739</v>
      </c>
      <c r="D3629" t="s">
        <v>740</v>
      </c>
      <c r="E3629" t="s">
        <v>743</v>
      </c>
      <c r="F3629" s="34">
        <v>603</v>
      </c>
      <c r="G3629" s="34" t="s">
        <v>410</v>
      </c>
      <c r="H3629" s="34" t="s">
        <v>551</v>
      </c>
      <c r="J3629">
        <f>IFERROR(VLOOKUP(G3629,'LEAID Match'!$A$2:$B$526,2,FALSE),"")</f>
        <v>2913020</v>
      </c>
      <c r="K3629" s="68">
        <f t="shared" si="113"/>
        <v>8</v>
      </c>
    </row>
    <row r="3630" spans="1:11" x14ac:dyDescent="0.2">
      <c r="A3630">
        <f t="shared" si="112"/>
        <v>2913020</v>
      </c>
      <c r="B3630">
        <v>2019</v>
      </c>
      <c r="C3630" t="s">
        <v>739</v>
      </c>
      <c r="D3630" t="s">
        <v>740</v>
      </c>
      <c r="E3630" t="s">
        <v>743</v>
      </c>
      <c r="F3630" s="34">
        <v>603</v>
      </c>
      <c r="G3630" s="34" t="s">
        <v>410</v>
      </c>
      <c r="H3630" s="34"/>
      <c r="J3630">
        <f>IFERROR(VLOOKUP(G3630,'LEAID Match'!$A$2:$B$526,2,FALSE),"")</f>
        <v>2913020</v>
      </c>
      <c r="K3630" s="68">
        <f t="shared" si="113"/>
        <v>8</v>
      </c>
    </row>
    <row r="3631" spans="1:11" x14ac:dyDescent="0.2">
      <c r="A3631">
        <f t="shared" si="112"/>
        <v>2913020</v>
      </c>
      <c r="B3631">
        <v>2020</v>
      </c>
      <c r="C3631" t="s">
        <v>739</v>
      </c>
      <c r="D3631" t="s">
        <v>740</v>
      </c>
      <c r="E3631" t="s">
        <v>743</v>
      </c>
      <c r="F3631" s="34">
        <v>603</v>
      </c>
      <c r="G3631" s="34" t="s">
        <v>410</v>
      </c>
      <c r="H3631" s="34"/>
      <c r="J3631">
        <f>IFERROR(VLOOKUP(G3631,'LEAID Match'!$A$2:$B$526,2,FALSE),"")</f>
        <v>2913020</v>
      </c>
      <c r="K3631" s="68">
        <f t="shared" si="113"/>
        <v>8</v>
      </c>
    </row>
    <row r="3632" spans="1:11" x14ac:dyDescent="0.2">
      <c r="A3632">
        <f t="shared" si="112"/>
        <v>2913020</v>
      </c>
      <c r="B3632">
        <v>2021</v>
      </c>
      <c r="C3632" t="s">
        <v>739</v>
      </c>
      <c r="D3632" t="s">
        <v>740</v>
      </c>
      <c r="E3632" t="s">
        <v>743</v>
      </c>
      <c r="F3632" s="34">
        <v>603</v>
      </c>
      <c r="G3632" s="34" t="s">
        <v>410</v>
      </c>
      <c r="H3632" s="34"/>
      <c r="J3632">
        <f>IFERROR(VLOOKUP(G3632,'LEAID Match'!$A$2:$B$526,2,FALSE),"")</f>
        <v>2913020</v>
      </c>
      <c r="K3632" s="68">
        <f t="shared" si="113"/>
        <v>8</v>
      </c>
    </row>
    <row r="3633" spans="1:11" x14ac:dyDescent="0.2">
      <c r="A3633">
        <f t="shared" si="112"/>
        <v>2913020</v>
      </c>
      <c r="B3633">
        <v>2022</v>
      </c>
      <c r="C3633" t="s">
        <v>739</v>
      </c>
      <c r="D3633" t="s">
        <v>740</v>
      </c>
      <c r="E3633" t="s">
        <v>743</v>
      </c>
      <c r="F3633" s="34">
        <v>603</v>
      </c>
      <c r="G3633" s="34" t="s">
        <v>410</v>
      </c>
      <c r="H3633" s="34"/>
      <c r="J3633">
        <f>IFERROR(VLOOKUP(G3633,'LEAID Match'!$A$2:$B$526,2,FALSE),"")</f>
        <v>2913020</v>
      </c>
      <c r="K3633" s="68">
        <f t="shared" si="113"/>
        <v>8</v>
      </c>
    </row>
    <row r="3634" spans="1:11" x14ac:dyDescent="0.2">
      <c r="A3634">
        <f t="shared" si="112"/>
        <v>2915450</v>
      </c>
      <c r="B3634">
        <v>2015</v>
      </c>
      <c r="C3634" t="s">
        <v>739</v>
      </c>
      <c r="D3634" t="s">
        <v>740</v>
      </c>
      <c r="E3634" t="s">
        <v>743</v>
      </c>
      <c r="F3634" s="37">
        <v>607</v>
      </c>
      <c r="G3634" s="39" t="s">
        <v>411</v>
      </c>
      <c r="H3634" s="40">
        <v>58098</v>
      </c>
      <c r="I3634" s="58">
        <v>553946</v>
      </c>
      <c r="J3634">
        <f>IFERROR(VLOOKUP(G3634,'LEAID Match'!$A$2:$B$526,2,FALSE),"")</f>
        <v>2915450</v>
      </c>
      <c r="K3634" s="68">
        <f t="shared" si="113"/>
        <v>8</v>
      </c>
    </row>
    <row r="3635" spans="1:11" x14ac:dyDescent="0.2">
      <c r="A3635">
        <f t="shared" si="112"/>
        <v>2915450</v>
      </c>
      <c r="B3635">
        <v>2016</v>
      </c>
      <c r="C3635" t="s">
        <v>739</v>
      </c>
      <c r="D3635" t="s">
        <v>740</v>
      </c>
      <c r="E3635" t="s">
        <v>743</v>
      </c>
      <c r="F3635" s="34">
        <v>607</v>
      </c>
      <c r="G3635" s="34" t="s">
        <v>411</v>
      </c>
      <c r="H3635" s="36">
        <v>63350</v>
      </c>
      <c r="I3635" s="60">
        <v>583051</v>
      </c>
      <c r="J3635">
        <f>IFERROR(VLOOKUP(G3635,'LEAID Match'!$A$2:$B$526,2,FALSE),"")</f>
        <v>2915450</v>
      </c>
      <c r="K3635" s="68">
        <f t="shared" si="113"/>
        <v>8</v>
      </c>
    </row>
    <row r="3636" spans="1:11" x14ac:dyDescent="0.2">
      <c r="A3636">
        <f t="shared" si="112"/>
        <v>2915450</v>
      </c>
      <c r="B3636">
        <v>2017</v>
      </c>
      <c r="C3636" t="s">
        <v>739</v>
      </c>
      <c r="D3636" t="s">
        <v>740</v>
      </c>
      <c r="E3636" t="s">
        <v>743</v>
      </c>
      <c r="F3636" s="34">
        <v>607</v>
      </c>
      <c r="G3636" s="34" t="s">
        <v>411</v>
      </c>
      <c r="H3636" s="36">
        <v>64893</v>
      </c>
      <c r="I3636" s="58">
        <v>613611</v>
      </c>
      <c r="J3636">
        <f>IFERROR(VLOOKUP(G3636,'LEAID Match'!$A$2:$B$526,2,FALSE),"")</f>
        <v>2915450</v>
      </c>
      <c r="K3636" s="68">
        <f t="shared" si="113"/>
        <v>8</v>
      </c>
    </row>
    <row r="3637" spans="1:11" x14ac:dyDescent="0.2">
      <c r="A3637">
        <f t="shared" si="112"/>
        <v>2915450</v>
      </c>
      <c r="B3637">
        <v>2018</v>
      </c>
      <c r="C3637" t="s">
        <v>739</v>
      </c>
      <c r="D3637" t="s">
        <v>740</v>
      </c>
      <c r="E3637" t="s">
        <v>743</v>
      </c>
      <c r="F3637" s="34">
        <v>607</v>
      </c>
      <c r="G3637" s="34" t="s">
        <v>411</v>
      </c>
      <c r="H3637" s="36">
        <v>63533</v>
      </c>
      <c r="I3637" s="58">
        <v>610522</v>
      </c>
      <c r="J3637">
        <f>IFERROR(VLOOKUP(G3637,'LEAID Match'!$A$2:$B$526,2,FALSE),"")</f>
        <v>2915450</v>
      </c>
      <c r="K3637" s="68">
        <f t="shared" si="113"/>
        <v>8</v>
      </c>
    </row>
    <row r="3638" spans="1:11" x14ac:dyDescent="0.2">
      <c r="A3638">
        <f t="shared" si="112"/>
        <v>2915450</v>
      </c>
      <c r="B3638">
        <v>2019</v>
      </c>
      <c r="C3638" t="s">
        <v>739</v>
      </c>
      <c r="D3638" t="s">
        <v>740</v>
      </c>
      <c r="E3638" t="s">
        <v>743</v>
      </c>
      <c r="F3638" s="34">
        <v>607</v>
      </c>
      <c r="G3638" s="34" t="s">
        <v>411</v>
      </c>
      <c r="H3638" s="36">
        <v>66873</v>
      </c>
      <c r="I3638" s="58">
        <v>590100</v>
      </c>
      <c r="J3638">
        <f>IFERROR(VLOOKUP(G3638,'LEAID Match'!$A$2:$B$526,2,FALSE),"")</f>
        <v>2915450</v>
      </c>
      <c r="K3638" s="68">
        <f t="shared" si="113"/>
        <v>8</v>
      </c>
    </row>
    <row r="3639" spans="1:11" x14ac:dyDescent="0.2">
      <c r="A3639">
        <f t="shared" si="112"/>
        <v>2915450</v>
      </c>
      <c r="B3639">
        <v>2020</v>
      </c>
      <c r="C3639" t="s">
        <v>739</v>
      </c>
      <c r="D3639" t="s">
        <v>740</v>
      </c>
      <c r="E3639" t="s">
        <v>743</v>
      </c>
      <c r="F3639" s="34">
        <v>607</v>
      </c>
      <c r="G3639" s="34" t="s">
        <v>411</v>
      </c>
      <c r="H3639" s="36">
        <v>70564</v>
      </c>
      <c r="I3639" s="58">
        <v>592064</v>
      </c>
      <c r="J3639">
        <f>IFERROR(VLOOKUP(G3639,'LEAID Match'!$A$2:$B$526,2,FALSE),"")</f>
        <v>2915450</v>
      </c>
      <c r="K3639" s="68">
        <f t="shared" si="113"/>
        <v>8</v>
      </c>
    </row>
    <row r="3640" spans="1:11" x14ac:dyDescent="0.2">
      <c r="A3640">
        <f t="shared" si="112"/>
        <v>2915450</v>
      </c>
      <c r="B3640">
        <v>2021</v>
      </c>
      <c r="C3640" t="s">
        <v>739</v>
      </c>
      <c r="D3640" t="s">
        <v>740</v>
      </c>
      <c r="E3640" t="s">
        <v>743</v>
      </c>
      <c r="F3640" s="34">
        <v>607</v>
      </c>
      <c r="G3640" s="34" t="s">
        <v>411</v>
      </c>
      <c r="H3640" s="36">
        <v>83148</v>
      </c>
      <c r="I3640" s="58">
        <v>637706</v>
      </c>
      <c r="J3640">
        <f>IFERROR(VLOOKUP(G3640,'LEAID Match'!$A$2:$B$526,2,FALSE),"")</f>
        <v>2915450</v>
      </c>
      <c r="K3640" s="68">
        <f t="shared" si="113"/>
        <v>8</v>
      </c>
    </row>
    <row r="3641" spans="1:11" x14ac:dyDescent="0.2">
      <c r="A3641">
        <f t="shared" si="112"/>
        <v>2915450</v>
      </c>
      <c r="B3641">
        <v>2022</v>
      </c>
      <c r="C3641" t="s">
        <v>739</v>
      </c>
      <c r="D3641" t="s">
        <v>740</v>
      </c>
      <c r="E3641" t="s">
        <v>743</v>
      </c>
      <c r="F3641" s="34">
        <v>607</v>
      </c>
      <c r="G3641" s="34" t="s">
        <v>411</v>
      </c>
      <c r="H3641" s="36">
        <v>94598</v>
      </c>
      <c r="I3641" s="58">
        <v>658404</v>
      </c>
      <c r="J3641">
        <f>IFERROR(VLOOKUP(G3641,'LEAID Match'!$A$2:$B$526,2,FALSE),"")</f>
        <v>2915450</v>
      </c>
      <c r="K3641" s="68">
        <f t="shared" si="113"/>
        <v>8</v>
      </c>
    </row>
    <row r="3642" spans="1:11" x14ac:dyDescent="0.2">
      <c r="A3642">
        <f t="shared" si="112"/>
        <v>2908460</v>
      </c>
      <c r="B3642">
        <v>2015</v>
      </c>
      <c r="C3642" t="s">
        <v>739</v>
      </c>
      <c r="D3642" t="s">
        <v>740</v>
      </c>
      <c r="E3642" t="s">
        <v>743</v>
      </c>
      <c r="F3642" s="37">
        <v>608</v>
      </c>
      <c r="G3642" s="39" t="s">
        <v>412</v>
      </c>
      <c r="H3642" s="40">
        <v>39511</v>
      </c>
      <c r="I3642" s="58">
        <v>351824</v>
      </c>
      <c r="J3642">
        <f>IFERROR(VLOOKUP(G3642,'LEAID Match'!$A$2:$B$526,2,FALSE),"")</f>
        <v>2908460</v>
      </c>
      <c r="K3642" s="68">
        <f t="shared" si="113"/>
        <v>8</v>
      </c>
    </row>
    <row r="3643" spans="1:11" x14ac:dyDescent="0.2">
      <c r="A3643">
        <f t="shared" si="112"/>
        <v>2908460</v>
      </c>
      <c r="B3643">
        <v>2016</v>
      </c>
      <c r="C3643" t="s">
        <v>739</v>
      </c>
      <c r="D3643" t="s">
        <v>740</v>
      </c>
      <c r="E3643" t="s">
        <v>743</v>
      </c>
      <c r="F3643" s="34">
        <v>608</v>
      </c>
      <c r="G3643" s="34" t="s">
        <v>412</v>
      </c>
      <c r="H3643" s="36">
        <v>40983</v>
      </c>
      <c r="I3643" s="60">
        <v>353309</v>
      </c>
      <c r="J3643">
        <f>IFERROR(VLOOKUP(G3643,'LEAID Match'!$A$2:$B$526,2,FALSE),"")</f>
        <v>2908460</v>
      </c>
      <c r="K3643" s="68">
        <f t="shared" si="113"/>
        <v>8</v>
      </c>
    </row>
    <row r="3644" spans="1:11" x14ac:dyDescent="0.2">
      <c r="A3644">
        <f t="shared" si="112"/>
        <v>2908460</v>
      </c>
      <c r="B3644">
        <v>2017</v>
      </c>
      <c r="C3644" t="s">
        <v>739</v>
      </c>
      <c r="D3644" t="s">
        <v>740</v>
      </c>
      <c r="E3644" t="s">
        <v>743</v>
      </c>
      <c r="F3644" s="34">
        <v>608</v>
      </c>
      <c r="G3644" s="34" t="s">
        <v>412</v>
      </c>
      <c r="H3644" s="36">
        <v>44922</v>
      </c>
      <c r="I3644" s="58">
        <v>371123</v>
      </c>
      <c r="J3644">
        <f>IFERROR(VLOOKUP(G3644,'LEAID Match'!$A$2:$B$526,2,FALSE),"")</f>
        <v>2908460</v>
      </c>
      <c r="K3644" s="68">
        <f t="shared" si="113"/>
        <v>8</v>
      </c>
    </row>
    <row r="3645" spans="1:11" x14ac:dyDescent="0.2">
      <c r="A3645">
        <f t="shared" si="112"/>
        <v>2908460</v>
      </c>
      <c r="B3645">
        <v>2018</v>
      </c>
      <c r="C3645" t="s">
        <v>739</v>
      </c>
      <c r="D3645" t="s">
        <v>740</v>
      </c>
      <c r="E3645" t="s">
        <v>743</v>
      </c>
      <c r="F3645" s="34">
        <v>608</v>
      </c>
      <c r="G3645" s="34" t="s">
        <v>412</v>
      </c>
      <c r="H3645" s="36">
        <v>49673</v>
      </c>
      <c r="I3645" s="58">
        <v>383981</v>
      </c>
      <c r="J3645">
        <f>IFERROR(VLOOKUP(G3645,'LEAID Match'!$A$2:$B$526,2,FALSE),"")</f>
        <v>2908460</v>
      </c>
      <c r="K3645" s="68">
        <f t="shared" si="113"/>
        <v>8</v>
      </c>
    </row>
    <row r="3646" spans="1:11" x14ac:dyDescent="0.2">
      <c r="A3646">
        <f t="shared" si="112"/>
        <v>2908460</v>
      </c>
      <c r="B3646">
        <v>2019</v>
      </c>
      <c r="C3646" t="s">
        <v>739</v>
      </c>
      <c r="D3646" t="s">
        <v>740</v>
      </c>
      <c r="E3646" t="s">
        <v>743</v>
      </c>
      <c r="F3646" s="34">
        <v>608</v>
      </c>
      <c r="G3646" s="34" t="s">
        <v>412</v>
      </c>
      <c r="H3646" s="36">
        <v>52144</v>
      </c>
      <c r="I3646" s="58">
        <v>409489</v>
      </c>
      <c r="J3646">
        <f>IFERROR(VLOOKUP(G3646,'LEAID Match'!$A$2:$B$526,2,FALSE),"")</f>
        <v>2908460</v>
      </c>
      <c r="K3646" s="68">
        <f t="shared" si="113"/>
        <v>8</v>
      </c>
    </row>
    <row r="3647" spans="1:11" x14ac:dyDescent="0.2">
      <c r="A3647">
        <f t="shared" si="112"/>
        <v>2908460</v>
      </c>
      <c r="B3647">
        <v>2020</v>
      </c>
      <c r="C3647" t="s">
        <v>739</v>
      </c>
      <c r="D3647" t="s">
        <v>740</v>
      </c>
      <c r="E3647" t="s">
        <v>743</v>
      </c>
      <c r="F3647" s="34">
        <v>608</v>
      </c>
      <c r="G3647" s="34" t="s">
        <v>412</v>
      </c>
      <c r="H3647" s="36">
        <v>51797</v>
      </c>
      <c r="I3647" s="58">
        <v>403895</v>
      </c>
      <c r="J3647">
        <f>IFERROR(VLOOKUP(G3647,'LEAID Match'!$A$2:$B$526,2,FALSE),"")</f>
        <v>2908460</v>
      </c>
      <c r="K3647" s="68">
        <f t="shared" si="113"/>
        <v>8</v>
      </c>
    </row>
    <row r="3648" spans="1:11" x14ac:dyDescent="0.2">
      <c r="A3648">
        <f t="shared" si="112"/>
        <v>2908460</v>
      </c>
      <c r="B3648">
        <v>2021</v>
      </c>
      <c r="C3648" t="s">
        <v>739</v>
      </c>
      <c r="D3648" t="s">
        <v>740</v>
      </c>
      <c r="E3648" t="s">
        <v>743</v>
      </c>
      <c r="F3648" s="34">
        <v>608</v>
      </c>
      <c r="G3648" s="34" t="s">
        <v>412</v>
      </c>
      <c r="H3648" s="36">
        <v>46920</v>
      </c>
      <c r="I3648" s="58">
        <v>417074</v>
      </c>
      <c r="J3648">
        <f>IFERROR(VLOOKUP(G3648,'LEAID Match'!$A$2:$B$526,2,FALSE),"")</f>
        <v>2908460</v>
      </c>
      <c r="K3648" s="68">
        <f t="shared" si="113"/>
        <v>8</v>
      </c>
    </row>
    <row r="3649" spans="1:11" x14ac:dyDescent="0.2">
      <c r="A3649">
        <f t="shared" si="112"/>
        <v>2908460</v>
      </c>
      <c r="B3649">
        <v>2022</v>
      </c>
      <c r="C3649" t="s">
        <v>739</v>
      </c>
      <c r="D3649" t="s">
        <v>740</v>
      </c>
      <c r="E3649" t="s">
        <v>743</v>
      </c>
      <c r="F3649" s="34">
        <v>608</v>
      </c>
      <c r="G3649" s="34" t="s">
        <v>412</v>
      </c>
      <c r="H3649" s="36">
        <v>53503</v>
      </c>
      <c r="I3649" s="58">
        <v>432880</v>
      </c>
      <c r="J3649">
        <f>IFERROR(VLOOKUP(G3649,'LEAID Match'!$A$2:$B$526,2,FALSE),"")</f>
        <v>2908460</v>
      </c>
      <c r="K3649" s="68">
        <f t="shared" si="113"/>
        <v>8</v>
      </c>
    </row>
    <row r="3650" spans="1:11" x14ac:dyDescent="0.2">
      <c r="A3650">
        <f t="shared" si="112"/>
        <v>2923130</v>
      </c>
      <c r="B3650">
        <v>2015</v>
      </c>
      <c r="C3650" t="s">
        <v>739</v>
      </c>
      <c r="D3650" t="s">
        <v>740</v>
      </c>
      <c r="E3650" t="s">
        <v>743</v>
      </c>
      <c r="F3650" s="37">
        <v>609</v>
      </c>
      <c r="G3650" s="39" t="s">
        <v>413</v>
      </c>
      <c r="H3650" s="40">
        <v>18275</v>
      </c>
      <c r="I3650" s="58">
        <v>218988</v>
      </c>
      <c r="J3650">
        <f>IFERROR(VLOOKUP(G3650,'LEAID Match'!$A$2:$B$526,2,FALSE),"")</f>
        <v>2923130</v>
      </c>
      <c r="K3650" s="68">
        <f t="shared" si="113"/>
        <v>8</v>
      </c>
    </row>
    <row r="3651" spans="1:11" x14ac:dyDescent="0.2">
      <c r="A3651">
        <f t="shared" ref="A3651:A3714" si="114">J3651</f>
        <v>2923130</v>
      </c>
      <c r="B3651">
        <v>2016</v>
      </c>
      <c r="C3651" t="s">
        <v>739</v>
      </c>
      <c r="D3651" t="s">
        <v>740</v>
      </c>
      <c r="E3651" t="s">
        <v>743</v>
      </c>
      <c r="F3651" s="34">
        <v>609</v>
      </c>
      <c r="G3651" s="34" t="s">
        <v>413</v>
      </c>
      <c r="H3651" s="36">
        <v>17995</v>
      </c>
      <c r="I3651" s="60">
        <v>222792</v>
      </c>
      <c r="J3651">
        <f>IFERROR(VLOOKUP(G3651,'LEAID Match'!$A$2:$B$526,2,FALSE),"")</f>
        <v>2923130</v>
      </c>
      <c r="K3651" s="68">
        <f t="shared" ref="K3651:K3714" si="115">COUNTIF($J$2:$J$4295,J3651)</f>
        <v>8</v>
      </c>
    </row>
    <row r="3652" spans="1:11" x14ac:dyDescent="0.2">
      <c r="A3652">
        <f t="shared" si="114"/>
        <v>2923130</v>
      </c>
      <c r="B3652">
        <v>2017</v>
      </c>
      <c r="C3652" t="s">
        <v>739</v>
      </c>
      <c r="D3652" t="s">
        <v>740</v>
      </c>
      <c r="E3652" t="s">
        <v>743</v>
      </c>
      <c r="F3652" s="34">
        <v>609</v>
      </c>
      <c r="G3652" s="34" t="s">
        <v>413</v>
      </c>
      <c r="H3652" s="36">
        <v>19067</v>
      </c>
      <c r="I3652" s="58">
        <v>225163</v>
      </c>
      <c r="J3652">
        <f>IFERROR(VLOOKUP(G3652,'LEAID Match'!$A$2:$B$526,2,FALSE),"")</f>
        <v>2923130</v>
      </c>
      <c r="K3652" s="68">
        <f t="shared" si="115"/>
        <v>8</v>
      </c>
    </row>
    <row r="3653" spans="1:11" x14ac:dyDescent="0.2">
      <c r="A3653">
        <f t="shared" si="114"/>
        <v>2923130</v>
      </c>
      <c r="B3653">
        <v>2018</v>
      </c>
      <c r="C3653" t="s">
        <v>739</v>
      </c>
      <c r="D3653" t="s">
        <v>740</v>
      </c>
      <c r="E3653" t="s">
        <v>743</v>
      </c>
      <c r="F3653" s="34">
        <v>609</v>
      </c>
      <c r="G3653" s="34" t="s">
        <v>413</v>
      </c>
      <c r="H3653" s="36">
        <v>19589</v>
      </c>
      <c r="I3653" s="58">
        <v>227368</v>
      </c>
      <c r="J3653">
        <f>IFERROR(VLOOKUP(G3653,'LEAID Match'!$A$2:$B$526,2,FALSE),"")</f>
        <v>2923130</v>
      </c>
      <c r="K3653" s="68">
        <f t="shared" si="115"/>
        <v>8</v>
      </c>
    </row>
    <row r="3654" spans="1:11" x14ac:dyDescent="0.2">
      <c r="A3654">
        <f t="shared" si="114"/>
        <v>2923130</v>
      </c>
      <c r="B3654">
        <v>2019</v>
      </c>
      <c r="C3654" t="s">
        <v>739</v>
      </c>
      <c r="D3654" t="s">
        <v>740</v>
      </c>
      <c r="E3654" t="s">
        <v>743</v>
      </c>
      <c r="F3654" s="34">
        <v>609</v>
      </c>
      <c r="G3654" s="34" t="s">
        <v>413</v>
      </c>
      <c r="H3654" s="36">
        <v>16908</v>
      </c>
      <c r="I3654" s="58">
        <v>229981</v>
      </c>
      <c r="J3654">
        <f>IFERROR(VLOOKUP(G3654,'LEAID Match'!$A$2:$B$526,2,FALSE),"")</f>
        <v>2923130</v>
      </c>
      <c r="K3654" s="68">
        <f t="shared" si="115"/>
        <v>8</v>
      </c>
    </row>
    <row r="3655" spans="1:11" x14ac:dyDescent="0.2">
      <c r="A3655">
        <f t="shared" si="114"/>
        <v>2923130</v>
      </c>
      <c r="B3655">
        <v>2020</v>
      </c>
      <c r="C3655" t="s">
        <v>739</v>
      </c>
      <c r="D3655" t="s">
        <v>740</v>
      </c>
      <c r="E3655" t="s">
        <v>743</v>
      </c>
      <c r="F3655" s="34">
        <v>609</v>
      </c>
      <c r="G3655" s="34" t="s">
        <v>413</v>
      </c>
      <c r="H3655" s="36">
        <v>17278</v>
      </c>
      <c r="I3655" s="58">
        <v>225534</v>
      </c>
      <c r="J3655">
        <f>IFERROR(VLOOKUP(G3655,'LEAID Match'!$A$2:$B$526,2,FALSE),"")</f>
        <v>2923130</v>
      </c>
      <c r="K3655" s="68">
        <f t="shared" si="115"/>
        <v>8</v>
      </c>
    </row>
    <row r="3656" spans="1:11" x14ac:dyDescent="0.2">
      <c r="A3656">
        <f t="shared" si="114"/>
        <v>2923130</v>
      </c>
      <c r="B3656">
        <v>2021</v>
      </c>
      <c r="C3656" t="s">
        <v>739</v>
      </c>
      <c r="D3656" t="s">
        <v>740</v>
      </c>
      <c r="E3656" t="s">
        <v>743</v>
      </c>
      <c r="F3656" s="34">
        <v>609</v>
      </c>
      <c r="G3656" s="34" t="s">
        <v>413</v>
      </c>
      <c r="H3656" s="36">
        <v>19738</v>
      </c>
      <c r="I3656" s="58">
        <v>242537</v>
      </c>
      <c r="J3656">
        <f>IFERROR(VLOOKUP(G3656,'LEAID Match'!$A$2:$B$526,2,FALSE),"")</f>
        <v>2923130</v>
      </c>
      <c r="K3656" s="68">
        <f t="shared" si="115"/>
        <v>8</v>
      </c>
    </row>
    <row r="3657" spans="1:11" x14ac:dyDescent="0.2">
      <c r="A3657">
        <f t="shared" si="114"/>
        <v>2923130</v>
      </c>
      <c r="B3657">
        <v>2022</v>
      </c>
      <c r="C3657" t="s">
        <v>739</v>
      </c>
      <c r="D3657" t="s">
        <v>740</v>
      </c>
      <c r="E3657" t="s">
        <v>743</v>
      </c>
      <c r="F3657" s="34">
        <v>609</v>
      </c>
      <c r="G3657" s="34" t="s">
        <v>413</v>
      </c>
      <c r="H3657" s="36">
        <v>16965</v>
      </c>
      <c r="I3657" s="58">
        <v>239805</v>
      </c>
      <c r="J3657">
        <f>IFERROR(VLOOKUP(G3657,'LEAID Match'!$A$2:$B$526,2,FALSE),"")</f>
        <v>2923130</v>
      </c>
      <c r="K3657" s="68">
        <f t="shared" si="115"/>
        <v>8</v>
      </c>
    </row>
    <row r="3658" spans="1:11" x14ac:dyDescent="0.2">
      <c r="A3658" t="str">
        <f t="shared" si="114"/>
        <v/>
      </c>
      <c r="B3658">
        <v>2015</v>
      </c>
      <c r="C3658" t="s">
        <v>739</v>
      </c>
      <c r="D3658" t="s">
        <v>740</v>
      </c>
      <c r="E3658" t="s">
        <v>743</v>
      </c>
      <c r="F3658" s="37">
        <v>610</v>
      </c>
      <c r="G3658" s="39" t="s">
        <v>414</v>
      </c>
      <c r="H3658" s="40">
        <v>62205</v>
      </c>
      <c r="I3658" s="58">
        <v>559796</v>
      </c>
      <c r="J3658" t="str">
        <f>IFERROR(VLOOKUP(G3658,'LEAID Match'!$A$2:$B$526,2,FALSE),"")</f>
        <v/>
      </c>
      <c r="K3658" s="68">
        <f t="shared" si="115"/>
        <v>216</v>
      </c>
    </row>
    <row r="3659" spans="1:11" x14ac:dyDescent="0.2">
      <c r="A3659" t="str">
        <f t="shared" si="114"/>
        <v/>
      </c>
      <c r="B3659">
        <v>2016</v>
      </c>
      <c r="C3659" t="s">
        <v>739</v>
      </c>
      <c r="D3659" t="s">
        <v>740</v>
      </c>
      <c r="E3659" t="s">
        <v>743</v>
      </c>
      <c r="F3659" s="34">
        <v>610</v>
      </c>
      <c r="G3659" s="34" t="s">
        <v>414</v>
      </c>
      <c r="H3659" s="36">
        <v>62100</v>
      </c>
      <c r="I3659" s="60">
        <v>578892</v>
      </c>
      <c r="J3659" t="str">
        <f>IFERROR(VLOOKUP(G3659,'LEAID Match'!$A$2:$B$526,2,FALSE),"")</f>
        <v/>
      </c>
      <c r="K3659" s="68">
        <f t="shared" si="115"/>
        <v>216</v>
      </c>
    </row>
    <row r="3660" spans="1:11" x14ac:dyDescent="0.2">
      <c r="A3660" t="str">
        <f t="shared" si="114"/>
        <v/>
      </c>
      <c r="B3660">
        <v>2017</v>
      </c>
      <c r="C3660" t="s">
        <v>739</v>
      </c>
      <c r="D3660" t="s">
        <v>740</v>
      </c>
      <c r="E3660" t="s">
        <v>743</v>
      </c>
      <c r="F3660" s="34">
        <v>610</v>
      </c>
      <c r="G3660" s="34" t="s">
        <v>414</v>
      </c>
      <c r="H3660" s="36">
        <v>64295</v>
      </c>
      <c r="I3660" s="58">
        <v>581596</v>
      </c>
      <c r="J3660" t="str">
        <f>IFERROR(VLOOKUP(G3660,'LEAID Match'!$A$2:$B$526,2,FALSE),"")</f>
        <v/>
      </c>
      <c r="K3660" s="68">
        <f t="shared" si="115"/>
        <v>216</v>
      </c>
    </row>
    <row r="3661" spans="1:11" x14ac:dyDescent="0.2">
      <c r="A3661" t="str">
        <f t="shared" si="114"/>
        <v/>
      </c>
      <c r="B3661">
        <v>2018</v>
      </c>
      <c r="C3661" t="s">
        <v>739</v>
      </c>
      <c r="D3661" t="s">
        <v>740</v>
      </c>
      <c r="E3661" t="s">
        <v>743</v>
      </c>
      <c r="F3661" s="34">
        <v>610</v>
      </c>
      <c r="G3661" s="34" t="s">
        <v>414</v>
      </c>
      <c r="H3661" s="36">
        <v>66410</v>
      </c>
      <c r="I3661" s="58">
        <v>598923</v>
      </c>
      <c r="J3661" t="str">
        <f>IFERROR(VLOOKUP(G3661,'LEAID Match'!$A$2:$B$526,2,FALSE),"")</f>
        <v/>
      </c>
      <c r="K3661" s="68">
        <f t="shared" si="115"/>
        <v>216</v>
      </c>
    </row>
    <row r="3662" spans="1:11" x14ac:dyDescent="0.2">
      <c r="A3662" t="str">
        <f t="shared" si="114"/>
        <v/>
      </c>
      <c r="B3662">
        <v>2019</v>
      </c>
      <c r="C3662" t="s">
        <v>739</v>
      </c>
      <c r="D3662" t="s">
        <v>740</v>
      </c>
      <c r="E3662" t="s">
        <v>743</v>
      </c>
      <c r="F3662" s="34">
        <v>610</v>
      </c>
      <c r="G3662" s="34" t="s">
        <v>414</v>
      </c>
      <c r="H3662" s="36">
        <v>66499</v>
      </c>
      <c r="I3662" s="58">
        <v>607367</v>
      </c>
      <c r="J3662" t="str">
        <f>IFERROR(VLOOKUP(G3662,'LEAID Match'!$A$2:$B$526,2,FALSE),"")</f>
        <v/>
      </c>
      <c r="K3662" s="68">
        <f t="shared" si="115"/>
        <v>216</v>
      </c>
    </row>
    <row r="3663" spans="1:11" x14ac:dyDescent="0.2">
      <c r="A3663" t="str">
        <f t="shared" si="114"/>
        <v/>
      </c>
      <c r="B3663">
        <v>2020</v>
      </c>
      <c r="C3663" t="s">
        <v>739</v>
      </c>
      <c r="D3663" t="s">
        <v>740</v>
      </c>
      <c r="E3663" t="s">
        <v>743</v>
      </c>
      <c r="F3663" s="34">
        <v>610</v>
      </c>
      <c r="G3663" s="34" t="s">
        <v>414</v>
      </c>
      <c r="H3663" s="36">
        <v>73588</v>
      </c>
      <c r="I3663" s="58">
        <v>608658</v>
      </c>
      <c r="J3663" t="str">
        <f>IFERROR(VLOOKUP(G3663,'LEAID Match'!$A$2:$B$526,2,FALSE),"")</f>
        <v/>
      </c>
      <c r="K3663" s="68">
        <f t="shared" si="115"/>
        <v>216</v>
      </c>
    </row>
    <row r="3664" spans="1:11" x14ac:dyDescent="0.2">
      <c r="A3664" t="str">
        <f t="shared" si="114"/>
        <v/>
      </c>
      <c r="B3664">
        <v>2021</v>
      </c>
      <c r="C3664" t="s">
        <v>739</v>
      </c>
      <c r="D3664" t="s">
        <v>740</v>
      </c>
      <c r="E3664" t="s">
        <v>743</v>
      </c>
      <c r="F3664" s="34">
        <v>610</v>
      </c>
      <c r="G3664" s="34" t="s">
        <v>414</v>
      </c>
      <c r="H3664" s="36">
        <v>66637</v>
      </c>
      <c r="I3664" s="58">
        <v>635055</v>
      </c>
      <c r="J3664" t="str">
        <f>IFERROR(VLOOKUP(G3664,'LEAID Match'!$A$2:$B$526,2,FALSE),"")</f>
        <v/>
      </c>
      <c r="K3664" s="68">
        <f t="shared" si="115"/>
        <v>216</v>
      </c>
    </row>
    <row r="3665" spans="1:11" x14ac:dyDescent="0.2">
      <c r="A3665" t="str">
        <f t="shared" si="114"/>
        <v/>
      </c>
      <c r="B3665">
        <v>2022</v>
      </c>
      <c r="C3665" t="s">
        <v>739</v>
      </c>
      <c r="D3665" t="s">
        <v>740</v>
      </c>
      <c r="E3665" t="s">
        <v>743</v>
      </c>
      <c r="F3665" s="34">
        <v>610</v>
      </c>
      <c r="G3665" s="34" t="s">
        <v>414</v>
      </c>
      <c r="H3665" s="36">
        <v>70903</v>
      </c>
      <c r="I3665" s="58">
        <v>673444</v>
      </c>
      <c r="J3665" t="str">
        <f>IFERROR(VLOOKUP(G3665,'LEAID Match'!$A$2:$B$526,2,FALSE),"")</f>
        <v/>
      </c>
      <c r="K3665" s="68">
        <f t="shared" si="115"/>
        <v>216</v>
      </c>
    </row>
    <row r="3666" spans="1:11" x14ac:dyDescent="0.2">
      <c r="A3666">
        <f t="shared" si="114"/>
        <v>2921420</v>
      </c>
      <c r="B3666">
        <v>2015</v>
      </c>
      <c r="C3666" t="s">
        <v>739</v>
      </c>
      <c r="D3666" t="s">
        <v>740</v>
      </c>
      <c r="E3666" t="s">
        <v>743</v>
      </c>
      <c r="F3666" s="37">
        <v>611</v>
      </c>
      <c r="G3666" s="39" t="s">
        <v>415</v>
      </c>
      <c r="H3666" s="40">
        <v>27345</v>
      </c>
      <c r="I3666" s="58">
        <v>282159</v>
      </c>
      <c r="J3666">
        <f>IFERROR(VLOOKUP(G3666,'LEAID Match'!$A$2:$B$526,2,FALSE),"")</f>
        <v>2921420</v>
      </c>
      <c r="K3666" s="68">
        <f t="shared" si="115"/>
        <v>8</v>
      </c>
    </row>
    <row r="3667" spans="1:11" x14ac:dyDescent="0.2">
      <c r="A3667">
        <f t="shared" si="114"/>
        <v>2921420</v>
      </c>
      <c r="B3667">
        <v>2016</v>
      </c>
      <c r="C3667" t="s">
        <v>739</v>
      </c>
      <c r="D3667" t="s">
        <v>740</v>
      </c>
      <c r="E3667" t="s">
        <v>743</v>
      </c>
      <c r="F3667" s="34">
        <v>611</v>
      </c>
      <c r="G3667" s="34" t="s">
        <v>415</v>
      </c>
      <c r="H3667" s="36">
        <v>27671</v>
      </c>
      <c r="I3667" s="60">
        <v>303782</v>
      </c>
      <c r="J3667">
        <f>IFERROR(VLOOKUP(G3667,'LEAID Match'!$A$2:$B$526,2,FALSE),"")</f>
        <v>2921420</v>
      </c>
      <c r="K3667" s="68">
        <f t="shared" si="115"/>
        <v>8</v>
      </c>
    </row>
    <row r="3668" spans="1:11" x14ac:dyDescent="0.2">
      <c r="A3668">
        <f t="shared" si="114"/>
        <v>2921420</v>
      </c>
      <c r="B3668">
        <v>2017</v>
      </c>
      <c r="C3668" t="s">
        <v>739</v>
      </c>
      <c r="D3668" t="s">
        <v>740</v>
      </c>
      <c r="E3668" t="s">
        <v>743</v>
      </c>
      <c r="F3668" s="34">
        <v>611</v>
      </c>
      <c r="G3668" s="34" t="s">
        <v>415</v>
      </c>
      <c r="H3668" s="36">
        <v>29924</v>
      </c>
      <c r="I3668" s="58">
        <v>283115</v>
      </c>
      <c r="J3668">
        <f>IFERROR(VLOOKUP(G3668,'LEAID Match'!$A$2:$B$526,2,FALSE),"")</f>
        <v>2921420</v>
      </c>
      <c r="K3668" s="68">
        <f t="shared" si="115"/>
        <v>8</v>
      </c>
    </row>
    <row r="3669" spans="1:11" x14ac:dyDescent="0.2">
      <c r="A3669">
        <f t="shared" si="114"/>
        <v>2921420</v>
      </c>
      <c r="B3669">
        <v>2018</v>
      </c>
      <c r="C3669" t="s">
        <v>739</v>
      </c>
      <c r="D3669" t="s">
        <v>740</v>
      </c>
      <c r="E3669" t="s">
        <v>743</v>
      </c>
      <c r="F3669" s="34">
        <v>611</v>
      </c>
      <c r="G3669" s="34" t="s">
        <v>415</v>
      </c>
      <c r="H3669" s="36">
        <v>26912</v>
      </c>
      <c r="I3669" s="58">
        <v>236363</v>
      </c>
      <c r="J3669">
        <f>IFERROR(VLOOKUP(G3669,'LEAID Match'!$A$2:$B$526,2,FALSE),"")</f>
        <v>2921420</v>
      </c>
      <c r="K3669" s="68">
        <f t="shared" si="115"/>
        <v>8</v>
      </c>
    </row>
    <row r="3670" spans="1:11" x14ac:dyDescent="0.2">
      <c r="A3670">
        <f t="shared" si="114"/>
        <v>2921420</v>
      </c>
      <c r="B3670">
        <v>2019</v>
      </c>
      <c r="C3670" t="s">
        <v>739</v>
      </c>
      <c r="D3670" t="s">
        <v>740</v>
      </c>
      <c r="E3670" t="s">
        <v>743</v>
      </c>
      <c r="F3670" s="34">
        <v>611</v>
      </c>
      <c r="G3670" s="34" t="s">
        <v>415</v>
      </c>
      <c r="H3670" s="36">
        <v>30550</v>
      </c>
      <c r="I3670" s="58">
        <v>238919</v>
      </c>
      <c r="J3670">
        <f>IFERROR(VLOOKUP(G3670,'LEAID Match'!$A$2:$B$526,2,FALSE),"")</f>
        <v>2921420</v>
      </c>
      <c r="K3670" s="68">
        <f t="shared" si="115"/>
        <v>8</v>
      </c>
    </row>
    <row r="3671" spans="1:11" x14ac:dyDescent="0.2">
      <c r="A3671">
        <f t="shared" si="114"/>
        <v>2921420</v>
      </c>
      <c r="B3671">
        <v>2020</v>
      </c>
      <c r="C3671" t="s">
        <v>739</v>
      </c>
      <c r="D3671" t="s">
        <v>740</v>
      </c>
      <c r="E3671" t="s">
        <v>743</v>
      </c>
      <c r="F3671" s="34">
        <v>611</v>
      </c>
      <c r="G3671" s="34" t="s">
        <v>415</v>
      </c>
      <c r="H3671" s="36">
        <v>25733</v>
      </c>
      <c r="I3671" s="58">
        <v>239036</v>
      </c>
      <c r="J3671">
        <f>IFERROR(VLOOKUP(G3671,'LEAID Match'!$A$2:$B$526,2,FALSE),"")</f>
        <v>2921420</v>
      </c>
      <c r="K3671" s="68">
        <f t="shared" si="115"/>
        <v>8</v>
      </c>
    </row>
    <row r="3672" spans="1:11" x14ac:dyDescent="0.2">
      <c r="A3672">
        <f t="shared" si="114"/>
        <v>2921420</v>
      </c>
      <c r="B3672">
        <v>2021</v>
      </c>
      <c r="C3672" t="s">
        <v>739</v>
      </c>
      <c r="D3672" t="s">
        <v>740</v>
      </c>
      <c r="E3672" t="s">
        <v>743</v>
      </c>
      <c r="F3672" s="34">
        <v>611</v>
      </c>
      <c r="G3672" s="34" t="s">
        <v>415</v>
      </c>
      <c r="H3672" s="36">
        <v>27826</v>
      </c>
      <c r="I3672" s="58">
        <v>250989</v>
      </c>
      <c r="J3672">
        <f>IFERROR(VLOOKUP(G3672,'LEAID Match'!$A$2:$B$526,2,FALSE),"")</f>
        <v>2921420</v>
      </c>
      <c r="K3672" s="68">
        <f t="shared" si="115"/>
        <v>8</v>
      </c>
    </row>
    <row r="3673" spans="1:11" x14ac:dyDescent="0.2">
      <c r="A3673">
        <f t="shared" si="114"/>
        <v>2921420</v>
      </c>
      <c r="B3673">
        <v>2022</v>
      </c>
      <c r="C3673" t="s">
        <v>739</v>
      </c>
      <c r="D3673" t="s">
        <v>740</v>
      </c>
      <c r="E3673" t="s">
        <v>743</v>
      </c>
      <c r="F3673" s="34">
        <v>611</v>
      </c>
      <c r="G3673" s="34" t="s">
        <v>415</v>
      </c>
      <c r="H3673" s="36">
        <v>32451</v>
      </c>
      <c r="I3673" s="58">
        <v>262528</v>
      </c>
      <c r="J3673">
        <f>IFERROR(VLOOKUP(G3673,'LEAID Match'!$A$2:$B$526,2,FALSE),"")</f>
        <v>2921420</v>
      </c>
      <c r="K3673" s="68">
        <f t="shared" si="115"/>
        <v>8</v>
      </c>
    </row>
    <row r="3674" spans="1:11" x14ac:dyDescent="0.2">
      <c r="A3674">
        <f t="shared" si="114"/>
        <v>2928260</v>
      </c>
      <c r="B3674">
        <v>2015</v>
      </c>
      <c r="C3674" t="s">
        <v>739</v>
      </c>
      <c r="D3674" t="s">
        <v>740</v>
      </c>
      <c r="E3674" t="s">
        <v>743</v>
      </c>
      <c r="F3674" s="37">
        <v>612</v>
      </c>
      <c r="G3674" s="39" t="s">
        <v>416</v>
      </c>
      <c r="H3674" s="40">
        <v>301731</v>
      </c>
      <c r="I3674" s="58">
        <v>2259917</v>
      </c>
      <c r="J3674">
        <f>IFERROR(VLOOKUP(G3674,'LEAID Match'!$A$2:$B$526,2,FALSE),"")</f>
        <v>2928260</v>
      </c>
      <c r="K3674" s="68">
        <f t="shared" si="115"/>
        <v>8</v>
      </c>
    </row>
    <row r="3675" spans="1:11" x14ac:dyDescent="0.2">
      <c r="A3675">
        <f t="shared" si="114"/>
        <v>2928260</v>
      </c>
      <c r="B3675">
        <v>2016</v>
      </c>
      <c r="C3675" t="s">
        <v>739</v>
      </c>
      <c r="D3675" t="s">
        <v>740</v>
      </c>
      <c r="E3675" t="s">
        <v>743</v>
      </c>
      <c r="F3675" s="34">
        <v>612</v>
      </c>
      <c r="G3675" s="34" t="s">
        <v>416</v>
      </c>
      <c r="H3675" s="36">
        <v>280896</v>
      </c>
      <c r="I3675" s="60">
        <v>2329656</v>
      </c>
      <c r="J3675">
        <f>IFERROR(VLOOKUP(G3675,'LEAID Match'!$A$2:$B$526,2,FALSE),"")</f>
        <v>2928260</v>
      </c>
      <c r="K3675" s="68">
        <f t="shared" si="115"/>
        <v>8</v>
      </c>
    </row>
    <row r="3676" spans="1:11" x14ac:dyDescent="0.2">
      <c r="A3676">
        <f t="shared" si="114"/>
        <v>2928260</v>
      </c>
      <c r="B3676">
        <v>2017</v>
      </c>
      <c r="C3676" t="s">
        <v>739</v>
      </c>
      <c r="D3676" t="s">
        <v>740</v>
      </c>
      <c r="E3676" t="s">
        <v>743</v>
      </c>
      <c r="F3676" s="34">
        <v>612</v>
      </c>
      <c r="G3676" s="34" t="s">
        <v>416</v>
      </c>
      <c r="H3676" s="36">
        <v>300776</v>
      </c>
      <c r="I3676" s="58">
        <v>2386075</v>
      </c>
      <c r="J3676">
        <f>IFERROR(VLOOKUP(G3676,'LEAID Match'!$A$2:$B$526,2,FALSE),"")</f>
        <v>2928260</v>
      </c>
      <c r="K3676" s="68">
        <f t="shared" si="115"/>
        <v>8</v>
      </c>
    </row>
    <row r="3677" spans="1:11" x14ac:dyDescent="0.2">
      <c r="A3677">
        <f t="shared" si="114"/>
        <v>2928260</v>
      </c>
      <c r="B3677">
        <v>2018</v>
      </c>
      <c r="C3677" t="s">
        <v>739</v>
      </c>
      <c r="D3677" t="s">
        <v>740</v>
      </c>
      <c r="E3677" t="s">
        <v>743</v>
      </c>
      <c r="F3677" s="34">
        <v>612</v>
      </c>
      <c r="G3677" s="34" t="s">
        <v>416</v>
      </c>
      <c r="H3677" s="36">
        <v>303420</v>
      </c>
      <c r="I3677" s="58">
        <v>2473474</v>
      </c>
      <c r="J3677">
        <f>IFERROR(VLOOKUP(G3677,'LEAID Match'!$A$2:$B$526,2,FALSE),"")</f>
        <v>2928260</v>
      </c>
      <c r="K3677" s="68">
        <f t="shared" si="115"/>
        <v>8</v>
      </c>
    </row>
    <row r="3678" spans="1:11" x14ac:dyDescent="0.2">
      <c r="A3678">
        <f t="shared" si="114"/>
        <v>2928260</v>
      </c>
      <c r="B3678">
        <v>2019</v>
      </c>
      <c r="C3678" t="s">
        <v>739</v>
      </c>
      <c r="D3678" t="s">
        <v>740</v>
      </c>
      <c r="E3678" t="s">
        <v>743</v>
      </c>
      <c r="F3678" s="34">
        <v>612</v>
      </c>
      <c r="G3678" s="34" t="s">
        <v>416</v>
      </c>
      <c r="H3678" s="36">
        <v>303755</v>
      </c>
      <c r="I3678" s="58">
        <v>2439190</v>
      </c>
      <c r="J3678">
        <f>IFERROR(VLOOKUP(G3678,'LEAID Match'!$A$2:$B$526,2,FALSE),"")</f>
        <v>2928260</v>
      </c>
      <c r="K3678" s="68">
        <f t="shared" si="115"/>
        <v>8</v>
      </c>
    </row>
    <row r="3679" spans="1:11" x14ac:dyDescent="0.2">
      <c r="A3679">
        <f t="shared" si="114"/>
        <v>2928260</v>
      </c>
      <c r="B3679">
        <v>2020</v>
      </c>
      <c r="C3679" t="s">
        <v>739</v>
      </c>
      <c r="D3679" t="s">
        <v>740</v>
      </c>
      <c r="E3679" t="s">
        <v>743</v>
      </c>
      <c r="F3679" s="34">
        <v>612</v>
      </c>
      <c r="G3679" s="34" t="s">
        <v>416</v>
      </c>
      <c r="H3679" s="36">
        <v>325009</v>
      </c>
      <c r="I3679" s="58">
        <v>2482499</v>
      </c>
      <c r="J3679">
        <f>IFERROR(VLOOKUP(G3679,'LEAID Match'!$A$2:$B$526,2,FALSE),"")</f>
        <v>2928260</v>
      </c>
      <c r="K3679" s="68">
        <f t="shared" si="115"/>
        <v>8</v>
      </c>
    </row>
    <row r="3680" spans="1:11" x14ac:dyDescent="0.2">
      <c r="A3680">
        <f t="shared" si="114"/>
        <v>2928260</v>
      </c>
      <c r="B3680">
        <v>2021</v>
      </c>
      <c r="C3680" t="s">
        <v>739</v>
      </c>
      <c r="D3680" t="s">
        <v>740</v>
      </c>
      <c r="E3680" t="s">
        <v>743</v>
      </c>
      <c r="F3680" s="34">
        <v>612</v>
      </c>
      <c r="G3680" s="34" t="s">
        <v>416</v>
      </c>
      <c r="H3680" s="36">
        <v>352955</v>
      </c>
      <c r="I3680" s="58">
        <v>2565248</v>
      </c>
      <c r="J3680">
        <f>IFERROR(VLOOKUP(G3680,'LEAID Match'!$A$2:$B$526,2,FALSE),"")</f>
        <v>2928260</v>
      </c>
      <c r="K3680" s="68">
        <f t="shared" si="115"/>
        <v>8</v>
      </c>
    </row>
    <row r="3681" spans="1:11" x14ac:dyDescent="0.2">
      <c r="A3681">
        <f t="shared" si="114"/>
        <v>2928260</v>
      </c>
      <c r="B3681">
        <v>2022</v>
      </c>
      <c r="C3681" t="s">
        <v>739</v>
      </c>
      <c r="D3681" t="s">
        <v>740</v>
      </c>
      <c r="E3681" t="s">
        <v>743</v>
      </c>
      <c r="F3681" s="34">
        <v>612</v>
      </c>
      <c r="G3681" s="34" t="s">
        <v>416</v>
      </c>
      <c r="H3681" s="36">
        <v>393533</v>
      </c>
      <c r="I3681" s="58">
        <v>2572920</v>
      </c>
      <c r="J3681">
        <f>IFERROR(VLOOKUP(G3681,'LEAID Match'!$A$2:$B$526,2,FALSE),"")</f>
        <v>2928260</v>
      </c>
      <c r="K3681" s="68">
        <f t="shared" si="115"/>
        <v>8</v>
      </c>
    </row>
    <row r="3682" spans="1:11" x14ac:dyDescent="0.2">
      <c r="A3682">
        <f t="shared" si="114"/>
        <v>2916470</v>
      </c>
      <c r="B3682">
        <v>2015</v>
      </c>
      <c r="C3682" t="s">
        <v>739</v>
      </c>
      <c r="D3682" t="s">
        <v>740</v>
      </c>
      <c r="E3682" t="s">
        <v>743</v>
      </c>
      <c r="F3682" s="37">
        <v>613</v>
      </c>
      <c r="G3682" s="39" t="s">
        <v>417</v>
      </c>
      <c r="H3682" s="40">
        <v>6543</v>
      </c>
      <c r="I3682" s="58">
        <v>78722</v>
      </c>
      <c r="J3682">
        <f>IFERROR(VLOOKUP(G3682,'LEAID Match'!$A$2:$B$526,2,FALSE),"")</f>
        <v>2916470</v>
      </c>
      <c r="K3682" s="68">
        <f t="shared" si="115"/>
        <v>8</v>
      </c>
    </row>
    <row r="3683" spans="1:11" x14ac:dyDescent="0.2">
      <c r="A3683">
        <f t="shared" si="114"/>
        <v>2916470</v>
      </c>
      <c r="B3683">
        <v>2016</v>
      </c>
      <c r="C3683" t="s">
        <v>739</v>
      </c>
      <c r="D3683" t="s">
        <v>740</v>
      </c>
      <c r="E3683" t="s">
        <v>743</v>
      </c>
      <c r="F3683" s="34">
        <v>613</v>
      </c>
      <c r="G3683" s="34" t="s">
        <v>417</v>
      </c>
      <c r="H3683" s="36">
        <v>8138</v>
      </c>
      <c r="I3683" s="60">
        <v>83664</v>
      </c>
      <c r="J3683">
        <f>IFERROR(VLOOKUP(G3683,'LEAID Match'!$A$2:$B$526,2,FALSE),"")</f>
        <v>2916470</v>
      </c>
      <c r="K3683" s="68">
        <f t="shared" si="115"/>
        <v>8</v>
      </c>
    </row>
    <row r="3684" spans="1:11" x14ac:dyDescent="0.2">
      <c r="A3684">
        <f t="shared" si="114"/>
        <v>2916470</v>
      </c>
      <c r="B3684">
        <v>2017</v>
      </c>
      <c r="C3684" t="s">
        <v>739</v>
      </c>
      <c r="D3684" t="s">
        <v>740</v>
      </c>
      <c r="E3684" t="s">
        <v>743</v>
      </c>
      <c r="F3684" s="34">
        <v>613</v>
      </c>
      <c r="G3684" s="34" t="s">
        <v>417</v>
      </c>
      <c r="H3684" s="36">
        <v>10777</v>
      </c>
      <c r="I3684" s="58">
        <v>93336</v>
      </c>
      <c r="J3684">
        <f>IFERROR(VLOOKUP(G3684,'LEAID Match'!$A$2:$B$526,2,FALSE),"")</f>
        <v>2916470</v>
      </c>
      <c r="K3684" s="68">
        <f t="shared" si="115"/>
        <v>8</v>
      </c>
    </row>
    <row r="3685" spans="1:11" x14ac:dyDescent="0.2">
      <c r="A3685">
        <f t="shared" si="114"/>
        <v>2916470</v>
      </c>
      <c r="B3685">
        <v>2018</v>
      </c>
      <c r="C3685" t="s">
        <v>739</v>
      </c>
      <c r="D3685" t="s">
        <v>740</v>
      </c>
      <c r="E3685" t="s">
        <v>743</v>
      </c>
      <c r="F3685" s="34">
        <v>613</v>
      </c>
      <c r="G3685" s="34" t="s">
        <v>417</v>
      </c>
      <c r="H3685" s="36">
        <v>12231</v>
      </c>
      <c r="I3685" s="58">
        <v>103069</v>
      </c>
      <c r="J3685">
        <f>IFERROR(VLOOKUP(G3685,'LEAID Match'!$A$2:$B$526,2,FALSE),"")</f>
        <v>2916470</v>
      </c>
      <c r="K3685" s="68">
        <f t="shared" si="115"/>
        <v>8</v>
      </c>
    </row>
    <row r="3686" spans="1:11" x14ac:dyDescent="0.2">
      <c r="A3686">
        <f t="shared" si="114"/>
        <v>2916470</v>
      </c>
      <c r="B3686">
        <v>2019</v>
      </c>
      <c r="C3686" t="s">
        <v>739</v>
      </c>
      <c r="D3686" t="s">
        <v>740</v>
      </c>
      <c r="E3686" t="s">
        <v>743</v>
      </c>
      <c r="F3686" s="34">
        <v>613</v>
      </c>
      <c r="G3686" s="34" t="s">
        <v>417</v>
      </c>
      <c r="H3686" s="36">
        <v>16551</v>
      </c>
      <c r="I3686" s="58">
        <v>105355</v>
      </c>
      <c r="J3686">
        <f>IFERROR(VLOOKUP(G3686,'LEAID Match'!$A$2:$B$526,2,FALSE),"")</f>
        <v>2916470</v>
      </c>
      <c r="K3686" s="68">
        <f t="shared" si="115"/>
        <v>8</v>
      </c>
    </row>
    <row r="3687" spans="1:11" x14ac:dyDescent="0.2">
      <c r="A3687">
        <f t="shared" si="114"/>
        <v>2916470</v>
      </c>
      <c r="B3687">
        <v>2020</v>
      </c>
      <c r="C3687" t="s">
        <v>739</v>
      </c>
      <c r="D3687" t="s">
        <v>740</v>
      </c>
      <c r="E3687" t="s">
        <v>743</v>
      </c>
      <c r="F3687" s="34">
        <v>613</v>
      </c>
      <c r="G3687" s="34" t="s">
        <v>417</v>
      </c>
      <c r="H3687" s="36">
        <v>15192</v>
      </c>
      <c r="I3687" s="58">
        <v>114705</v>
      </c>
      <c r="J3687">
        <f>IFERROR(VLOOKUP(G3687,'LEAID Match'!$A$2:$B$526,2,FALSE),"")</f>
        <v>2916470</v>
      </c>
      <c r="K3687" s="68">
        <f t="shared" si="115"/>
        <v>8</v>
      </c>
    </row>
    <row r="3688" spans="1:11" x14ac:dyDescent="0.2">
      <c r="A3688">
        <f t="shared" si="114"/>
        <v>2916470</v>
      </c>
      <c r="B3688">
        <v>2021</v>
      </c>
      <c r="C3688" t="s">
        <v>739</v>
      </c>
      <c r="D3688" t="s">
        <v>740</v>
      </c>
      <c r="E3688" t="s">
        <v>743</v>
      </c>
      <c r="F3688" s="34">
        <v>613</v>
      </c>
      <c r="G3688" s="34" t="s">
        <v>417</v>
      </c>
      <c r="H3688" s="36">
        <v>15549</v>
      </c>
      <c r="I3688" s="58">
        <v>117458</v>
      </c>
      <c r="J3688">
        <f>IFERROR(VLOOKUP(G3688,'LEAID Match'!$A$2:$B$526,2,FALSE),"")</f>
        <v>2916470</v>
      </c>
      <c r="K3688" s="68">
        <f t="shared" si="115"/>
        <v>8</v>
      </c>
    </row>
    <row r="3689" spans="1:11" x14ac:dyDescent="0.2">
      <c r="A3689">
        <f t="shared" si="114"/>
        <v>2916470</v>
      </c>
      <c r="B3689">
        <v>2022</v>
      </c>
      <c r="C3689" t="s">
        <v>739</v>
      </c>
      <c r="D3689" t="s">
        <v>740</v>
      </c>
      <c r="E3689" t="s">
        <v>743</v>
      </c>
      <c r="F3689" s="34">
        <v>613</v>
      </c>
      <c r="G3689" s="34" t="s">
        <v>417</v>
      </c>
      <c r="H3689" s="36">
        <v>19336</v>
      </c>
      <c r="I3689" s="58">
        <v>112535</v>
      </c>
      <c r="J3689">
        <f>IFERROR(VLOOKUP(G3689,'LEAID Match'!$A$2:$B$526,2,FALSE),"")</f>
        <v>2916470</v>
      </c>
      <c r="K3689" s="68">
        <f t="shared" si="115"/>
        <v>8</v>
      </c>
    </row>
    <row r="3690" spans="1:11" x14ac:dyDescent="0.2">
      <c r="A3690">
        <f t="shared" si="114"/>
        <v>2911450</v>
      </c>
      <c r="B3690">
        <v>2015</v>
      </c>
      <c r="C3690" t="s">
        <v>739</v>
      </c>
      <c r="D3690" t="s">
        <v>740</v>
      </c>
      <c r="E3690" t="s">
        <v>743</v>
      </c>
      <c r="F3690" s="37">
        <v>614</v>
      </c>
      <c r="G3690" s="39" t="s">
        <v>418</v>
      </c>
      <c r="H3690" s="40">
        <v>34325</v>
      </c>
      <c r="I3690" s="58">
        <v>165097</v>
      </c>
      <c r="J3690">
        <f>IFERROR(VLOOKUP(G3690,'LEAID Match'!$A$2:$B$526,2,FALSE),"")</f>
        <v>2911450</v>
      </c>
      <c r="K3690" s="68">
        <f t="shared" si="115"/>
        <v>8</v>
      </c>
    </row>
    <row r="3691" spans="1:11" x14ac:dyDescent="0.2">
      <c r="A3691">
        <f t="shared" si="114"/>
        <v>2911450</v>
      </c>
      <c r="B3691">
        <v>2016</v>
      </c>
      <c r="C3691" t="s">
        <v>739</v>
      </c>
      <c r="D3691" t="s">
        <v>740</v>
      </c>
      <c r="E3691" t="s">
        <v>743</v>
      </c>
      <c r="F3691" s="34">
        <v>614</v>
      </c>
      <c r="G3691" s="34" t="s">
        <v>418</v>
      </c>
      <c r="H3691" s="36">
        <v>33065</v>
      </c>
      <c r="I3691" s="60">
        <v>171245</v>
      </c>
      <c r="J3691">
        <f>IFERROR(VLOOKUP(G3691,'LEAID Match'!$A$2:$B$526,2,FALSE),"")</f>
        <v>2911450</v>
      </c>
      <c r="K3691" s="68">
        <f t="shared" si="115"/>
        <v>8</v>
      </c>
    </row>
    <row r="3692" spans="1:11" x14ac:dyDescent="0.2">
      <c r="A3692">
        <f t="shared" si="114"/>
        <v>2911450</v>
      </c>
      <c r="B3692">
        <v>2017</v>
      </c>
      <c r="C3692" t="s">
        <v>739</v>
      </c>
      <c r="D3692" t="s">
        <v>740</v>
      </c>
      <c r="E3692" t="s">
        <v>743</v>
      </c>
      <c r="F3692" s="34">
        <v>614</v>
      </c>
      <c r="G3692" s="34" t="s">
        <v>418</v>
      </c>
      <c r="H3692" s="36">
        <v>32767</v>
      </c>
      <c r="I3692" s="58">
        <v>168294</v>
      </c>
      <c r="J3692">
        <f>IFERROR(VLOOKUP(G3692,'LEAID Match'!$A$2:$B$526,2,FALSE),"")</f>
        <v>2911450</v>
      </c>
      <c r="K3692" s="68">
        <f t="shared" si="115"/>
        <v>8</v>
      </c>
    </row>
    <row r="3693" spans="1:11" x14ac:dyDescent="0.2">
      <c r="A3693">
        <f t="shared" si="114"/>
        <v>2911450</v>
      </c>
      <c r="B3693">
        <v>2018</v>
      </c>
      <c r="C3693" t="s">
        <v>739</v>
      </c>
      <c r="D3693" t="s">
        <v>740</v>
      </c>
      <c r="E3693" t="s">
        <v>743</v>
      </c>
      <c r="F3693" s="34">
        <v>614</v>
      </c>
      <c r="G3693" s="34" t="s">
        <v>418</v>
      </c>
      <c r="H3693" s="36">
        <v>36588</v>
      </c>
      <c r="I3693" s="58">
        <v>176290</v>
      </c>
      <c r="J3693">
        <f>IFERROR(VLOOKUP(G3693,'LEAID Match'!$A$2:$B$526,2,FALSE),"")</f>
        <v>2911450</v>
      </c>
      <c r="K3693" s="68">
        <f t="shared" si="115"/>
        <v>8</v>
      </c>
    </row>
    <row r="3694" spans="1:11" x14ac:dyDescent="0.2">
      <c r="A3694">
        <f t="shared" si="114"/>
        <v>2911450</v>
      </c>
      <c r="B3694">
        <v>2019</v>
      </c>
      <c r="C3694" t="s">
        <v>739</v>
      </c>
      <c r="D3694" t="s">
        <v>740</v>
      </c>
      <c r="E3694" t="s">
        <v>743</v>
      </c>
      <c r="F3694" s="34">
        <v>614</v>
      </c>
      <c r="G3694" s="34" t="s">
        <v>418</v>
      </c>
      <c r="H3694" s="36">
        <v>37848</v>
      </c>
      <c r="I3694" s="58">
        <v>173415</v>
      </c>
      <c r="J3694">
        <f>IFERROR(VLOOKUP(G3694,'LEAID Match'!$A$2:$B$526,2,FALSE),"")</f>
        <v>2911450</v>
      </c>
      <c r="K3694" s="68">
        <f t="shared" si="115"/>
        <v>8</v>
      </c>
    </row>
    <row r="3695" spans="1:11" x14ac:dyDescent="0.2">
      <c r="A3695">
        <f t="shared" si="114"/>
        <v>2911450</v>
      </c>
      <c r="B3695">
        <v>2020</v>
      </c>
      <c r="C3695" t="s">
        <v>739</v>
      </c>
      <c r="D3695" t="s">
        <v>740</v>
      </c>
      <c r="E3695" t="s">
        <v>743</v>
      </c>
      <c r="F3695" s="34">
        <v>614</v>
      </c>
      <c r="G3695" s="34" t="s">
        <v>418</v>
      </c>
      <c r="H3695" s="36">
        <v>42270</v>
      </c>
      <c r="I3695" s="58">
        <v>178091</v>
      </c>
      <c r="J3695">
        <f>IFERROR(VLOOKUP(G3695,'LEAID Match'!$A$2:$B$526,2,FALSE),"")</f>
        <v>2911450</v>
      </c>
      <c r="K3695" s="68">
        <f t="shared" si="115"/>
        <v>8</v>
      </c>
    </row>
    <row r="3696" spans="1:11" x14ac:dyDescent="0.2">
      <c r="A3696">
        <f t="shared" si="114"/>
        <v>2911450</v>
      </c>
      <c r="B3696">
        <v>2021</v>
      </c>
      <c r="C3696" t="s">
        <v>739</v>
      </c>
      <c r="D3696" t="s">
        <v>740</v>
      </c>
      <c r="E3696" t="s">
        <v>743</v>
      </c>
      <c r="F3696" s="34">
        <v>614</v>
      </c>
      <c r="G3696" s="34" t="s">
        <v>418</v>
      </c>
      <c r="H3696" s="36">
        <v>47785</v>
      </c>
      <c r="I3696" s="58">
        <v>195919</v>
      </c>
      <c r="J3696">
        <f>IFERROR(VLOOKUP(G3696,'LEAID Match'!$A$2:$B$526,2,FALSE),"")</f>
        <v>2911450</v>
      </c>
      <c r="K3696" s="68">
        <f t="shared" si="115"/>
        <v>8</v>
      </c>
    </row>
    <row r="3697" spans="1:11" x14ac:dyDescent="0.2">
      <c r="A3697">
        <f t="shared" si="114"/>
        <v>2911450</v>
      </c>
      <c r="B3697">
        <v>2022</v>
      </c>
      <c r="C3697" t="s">
        <v>739</v>
      </c>
      <c r="D3697" t="s">
        <v>740</v>
      </c>
      <c r="E3697" t="s">
        <v>743</v>
      </c>
      <c r="F3697" s="34">
        <v>614</v>
      </c>
      <c r="G3697" s="34" t="s">
        <v>418</v>
      </c>
      <c r="H3697" s="36">
        <v>48963</v>
      </c>
      <c r="I3697" s="58">
        <v>191867</v>
      </c>
      <c r="J3697">
        <f>IFERROR(VLOOKUP(G3697,'LEAID Match'!$A$2:$B$526,2,FALSE),"")</f>
        <v>2911450</v>
      </c>
      <c r="K3697" s="68">
        <f t="shared" si="115"/>
        <v>8</v>
      </c>
    </row>
    <row r="3698" spans="1:11" x14ac:dyDescent="0.2">
      <c r="A3698">
        <f t="shared" si="114"/>
        <v>2932220</v>
      </c>
      <c r="B3698">
        <v>2015</v>
      </c>
      <c r="C3698" t="s">
        <v>739</v>
      </c>
      <c r="D3698" t="s">
        <v>740</v>
      </c>
      <c r="E3698" t="s">
        <v>743</v>
      </c>
      <c r="F3698" s="37">
        <v>615</v>
      </c>
      <c r="G3698" s="39" t="s">
        <v>419</v>
      </c>
      <c r="H3698" s="40">
        <v>60230</v>
      </c>
      <c r="I3698" s="58">
        <v>308921</v>
      </c>
      <c r="J3698">
        <f>IFERROR(VLOOKUP(G3698,'LEAID Match'!$A$2:$B$526,2,FALSE),"")</f>
        <v>2932220</v>
      </c>
      <c r="K3698" s="68">
        <f t="shared" si="115"/>
        <v>8</v>
      </c>
    </row>
    <row r="3699" spans="1:11" x14ac:dyDescent="0.2">
      <c r="A3699">
        <f t="shared" si="114"/>
        <v>2932220</v>
      </c>
      <c r="B3699">
        <v>2016</v>
      </c>
      <c r="C3699" t="s">
        <v>739</v>
      </c>
      <c r="D3699" t="s">
        <v>740</v>
      </c>
      <c r="E3699" t="s">
        <v>743</v>
      </c>
      <c r="F3699" s="34">
        <v>615</v>
      </c>
      <c r="G3699" s="34" t="s">
        <v>419</v>
      </c>
      <c r="H3699" s="36">
        <v>59115</v>
      </c>
      <c r="I3699" s="60">
        <v>309858</v>
      </c>
      <c r="J3699">
        <f>IFERROR(VLOOKUP(G3699,'LEAID Match'!$A$2:$B$526,2,FALSE),"")</f>
        <v>2932220</v>
      </c>
      <c r="K3699" s="68">
        <f t="shared" si="115"/>
        <v>8</v>
      </c>
    </row>
    <row r="3700" spans="1:11" x14ac:dyDescent="0.2">
      <c r="A3700">
        <f t="shared" si="114"/>
        <v>2932220</v>
      </c>
      <c r="B3700">
        <v>2017</v>
      </c>
      <c r="C3700" t="s">
        <v>739</v>
      </c>
      <c r="D3700" t="s">
        <v>740</v>
      </c>
      <c r="E3700" t="s">
        <v>743</v>
      </c>
      <c r="F3700" s="34">
        <v>615</v>
      </c>
      <c r="G3700" s="34" t="s">
        <v>419</v>
      </c>
      <c r="H3700" s="36">
        <v>53239</v>
      </c>
      <c r="I3700" s="58">
        <v>293091</v>
      </c>
      <c r="J3700">
        <f>IFERROR(VLOOKUP(G3700,'LEAID Match'!$A$2:$B$526,2,FALSE),"")</f>
        <v>2932220</v>
      </c>
      <c r="K3700" s="68">
        <f t="shared" si="115"/>
        <v>8</v>
      </c>
    </row>
    <row r="3701" spans="1:11" x14ac:dyDescent="0.2">
      <c r="A3701">
        <f t="shared" si="114"/>
        <v>2932220</v>
      </c>
      <c r="B3701">
        <v>2018</v>
      </c>
      <c r="C3701" t="s">
        <v>739</v>
      </c>
      <c r="D3701" t="s">
        <v>740</v>
      </c>
      <c r="E3701" t="s">
        <v>743</v>
      </c>
      <c r="F3701" s="34">
        <v>615</v>
      </c>
      <c r="G3701" s="34" t="s">
        <v>419</v>
      </c>
      <c r="H3701" s="36">
        <v>50683</v>
      </c>
      <c r="I3701" s="58">
        <v>280816</v>
      </c>
      <c r="J3701">
        <f>IFERROR(VLOOKUP(G3701,'LEAID Match'!$A$2:$B$526,2,FALSE),"")</f>
        <v>2932220</v>
      </c>
      <c r="K3701" s="68">
        <f t="shared" si="115"/>
        <v>8</v>
      </c>
    </row>
    <row r="3702" spans="1:11" x14ac:dyDescent="0.2">
      <c r="A3702">
        <f t="shared" si="114"/>
        <v>2932220</v>
      </c>
      <c r="B3702">
        <v>2019</v>
      </c>
      <c r="C3702" t="s">
        <v>739</v>
      </c>
      <c r="D3702" t="s">
        <v>740</v>
      </c>
      <c r="E3702" t="s">
        <v>743</v>
      </c>
      <c r="F3702" s="34">
        <v>615</v>
      </c>
      <c r="G3702" s="34" t="s">
        <v>419</v>
      </c>
      <c r="H3702" s="36">
        <v>45876</v>
      </c>
      <c r="I3702" s="58">
        <v>296098</v>
      </c>
      <c r="J3702">
        <f>IFERROR(VLOOKUP(G3702,'LEAID Match'!$A$2:$B$526,2,FALSE),"")</f>
        <v>2932220</v>
      </c>
      <c r="K3702" s="68">
        <f t="shared" si="115"/>
        <v>8</v>
      </c>
    </row>
    <row r="3703" spans="1:11" x14ac:dyDescent="0.2">
      <c r="A3703">
        <f t="shared" si="114"/>
        <v>2932220</v>
      </c>
      <c r="B3703">
        <v>2020</v>
      </c>
      <c r="C3703" t="s">
        <v>739</v>
      </c>
      <c r="D3703" t="s">
        <v>740</v>
      </c>
      <c r="E3703" t="s">
        <v>743</v>
      </c>
      <c r="F3703" s="34">
        <v>615</v>
      </c>
      <c r="G3703" s="34" t="s">
        <v>419</v>
      </c>
      <c r="H3703" s="36">
        <v>48488</v>
      </c>
      <c r="I3703" s="58">
        <v>302890</v>
      </c>
      <c r="J3703">
        <f>IFERROR(VLOOKUP(G3703,'LEAID Match'!$A$2:$B$526,2,FALSE),"")</f>
        <v>2932220</v>
      </c>
      <c r="K3703" s="68">
        <f t="shared" si="115"/>
        <v>8</v>
      </c>
    </row>
    <row r="3704" spans="1:11" x14ac:dyDescent="0.2">
      <c r="A3704">
        <f t="shared" si="114"/>
        <v>2932220</v>
      </c>
      <c r="B3704">
        <v>2021</v>
      </c>
      <c r="C3704" t="s">
        <v>739</v>
      </c>
      <c r="D3704" t="s">
        <v>740</v>
      </c>
      <c r="E3704" t="s">
        <v>743</v>
      </c>
      <c r="F3704" s="34">
        <v>615</v>
      </c>
      <c r="G3704" s="34" t="s">
        <v>419</v>
      </c>
      <c r="H3704" s="36">
        <v>54973</v>
      </c>
      <c r="I3704" s="58">
        <v>320093</v>
      </c>
      <c r="J3704">
        <f>IFERROR(VLOOKUP(G3704,'LEAID Match'!$A$2:$B$526,2,FALSE),"")</f>
        <v>2932220</v>
      </c>
      <c r="K3704" s="68">
        <f t="shared" si="115"/>
        <v>8</v>
      </c>
    </row>
    <row r="3705" spans="1:11" x14ac:dyDescent="0.2">
      <c r="A3705">
        <f t="shared" si="114"/>
        <v>2932220</v>
      </c>
      <c r="B3705">
        <v>2022</v>
      </c>
      <c r="C3705" t="s">
        <v>739</v>
      </c>
      <c r="D3705" t="s">
        <v>740</v>
      </c>
      <c r="E3705" t="s">
        <v>743</v>
      </c>
      <c r="F3705" s="34">
        <v>615</v>
      </c>
      <c r="G3705" s="34" t="s">
        <v>419</v>
      </c>
      <c r="H3705" s="36">
        <v>58635</v>
      </c>
      <c r="I3705" s="58">
        <v>366362</v>
      </c>
      <c r="J3705">
        <f>IFERROR(VLOOKUP(G3705,'LEAID Match'!$A$2:$B$526,2,FALSE),"")</f>
        <v>2932220</v>
      </c>
      <c r="K3705" s="68">
        <f t="shared" si="115"/>
        <v>8</v>
      </c>
    </row>
    <row r="3706" spans="1:11" x14ac:dyDescent="0.2">
      <c r="A3706">
        <f t="shared" si="114"/>
        <v>2928110</v>
      </c>
      <c r="B3706">
        <v>2015</v>
      </c>
      <c r="C3706" t="s">
        <v>739</v>
      </c>
      <c r="D3706" t="s">
        <v>740</v>
      </c>
      <c r="E3706" t="s">
        <v>743</v>
      </c>
      <c r="F3706" s="37">
        <v>617</v>
      </c>
      <c r="G3706" s="39" t="s">
        <v>420</v>
      </c>
      <c r="H3706" s="40">
        <v>80583</v>
      </c>
      <c r="I3706" s="58">
        <v>449660</v>
      </c>
      <c r="J3706">
        <f>IFERROR(VLOOKUP(G3706,'LEAID Match'!$A$2:$B$526,2,FALSE),"")</f>
        <v>2928110</v>
      </c>
      <c r="K3706" s="68">
        <f t="shared" si="115"/>
        <v>8</v>
      </c>
    </row>
    <row r="3707" spans="1:11" x14ac:dyDescent="0.2">
      <c r="A3707">
        <f t="shared" si="114"/>
        <v>2928110</v>
      </c>
      <c r="B3707">
        <v>2016</v>
      </c>
      <c r="C3707" t="s">
        <v>739</v>
      </c>
      <c r="D3707" t="s">
        <v>740</v>
      </c>
      <c r="E3707" t="s">
        <v>743</v>
      </c>
      <c r="F3707" s="34">
        <v>617</v>
      </c>
      <c r="G3707" s="34" t="s">
        <v>420</v>
      </c>
      <c r="H3707" s="36">
        <v>89485</v>
      </c>
      <c r="I3707" s="60">
        <v>451790</v>
      </c>
      <c r="J3707">
        <f>IFERROR(VLOOKUP(G3707,'LEAID Match'!$A$2:$B$526,2,FALSE),"")</f>
        <v>2928110</v>
      </c>
      <c r="K3707" s="68">
        <f t="shared" si="115"/>
        <v>8</v>
      </c>
    </row>
    <row r="3708" spans="1:11" x14ac:dyDescent="0.2">
      <c r="A3708">
        <f t="shared" si="114"/>
        <v>2928110</v>
      </c>
      <c r="B3708">
        <v>2017</v>
      </c>
      <c r="C3708" t="s">
        <v>739</v>
      </c>
      <c r="D3708" t="s">
        <v>740</v>
      </c>
      <c r="E3708" t="s">
        <v>743</v>
      </c>
      <c r="F3708" s="34">
        <v>617</v>
      </c>
      <c r="G3708" s="34" t="s">
        <v>420</v>
      </c>
      <c r="H3708" s="36">
        <v>87361</v>
      </c>
      <c r="I3708" s="58">
        <v>466874</v>
      </c>
      <c r="J3708">
        <f>IFERROR(VLOOKUP(G3708,'LEAID Match'!$A$2:$B$526,2,FALSE),"")</f>
        <v>2928110</v>
      </c>
      <c r="K3708" s="68">
        <f t="shared" si="115"/>
        <v>8</v>
      </c>
    </row>
    <row r="3709" spans="1:11" x14ac:dyDescent="0.2">
      <c r="A3709">
        <f t="shared" si="114"/>
        <v>2928110</v>
      </c>
      <c r="B3709">
        <v>2018</v>
      </c>
      <c r="C3709" t="s">
        <v>739</v>
      </c>
      <c r="D3709" t="s">
        <v>740</v>
      </c>
      <c r="E3709" t="s">
        <v>743</v>
      </c>
      <c r="F3709" s="34">
        <v>617</v>
      </c>
      <c r="G3709" s="34" t="s">
        <v>420</v>
      </c>
      <c r="H3709" s="36">
        <v>89811</v>
      </c>
      <c r="I3709" s="58">
        <v>470278</v>
      </c>
      <c r="J3709">
        <f>IFERROR(VLOOKUP(G3709,'LEAID Match'!$A$2:$B$526,2,FALSE),"")</f>
        <v>2928110</v>
      </c>
      <c r="K3709" s="68">
        <f t="shared" si="115"/>
        <v>8</v>
      </c>
    </row>
    <row r="3710" spans="1:11" x14ac:dyDescent="0.2">
      <c r="A3710">
        <f t="shared" si="114"/>
        <v>2928110</v>
      </c>
      <c r="B3710">
        <v>2019</v>
      </c>
      <c r="C3710" t="s">
        <v>739</v>
      </c>
      <c r="D3710" t="s">
        <v>740</v>
      </c>
      <c r="E3710" t="s">
        <v>743</v>
      </c>
      <c r="F3710" s="34">
        <v>617</v>
      </c>
      <c r="G3710" s="34" t="s">
        <v>420</v>
      </c>
      <c r="H3710" s="36">
        <v>89386</v>
      </c>
      <c r="I3710" s="58">
        <v>482291</v>
      </c>
      <c r="J3710">
        <f>IFERROR(VLOOKUP(G3710,'LEAID Match'!$A$2:$B$526,2,FALSE),"")</f>
        <v>2928110</v>
      </c>
      <c r="K3710" s="68">
        <f t="shared" si="115"/>
        <v>8</v>
      </c>
    </row>
    <row r="3711" spans="1:11" x14ac:dyDescent="0.2">
      <c r="A3711">
        <f t="shared" si="114"/>
        <v>2928110</v>
      </c>
      <c r="B3711">
        <v>2020</v>
      </c>
      <c r="C3711" t="s">
        <v>739</v>
      </c>
      <c r="D3711" t="s">
        <v>740</v>
      </c>
      <c r="E3711" t="s">
        <v>743</v>
      </c>
      <c r="F3711" s="34">
        <v>617</v>
      </c>
      <c r="G3711" s="34" t="s">
        <v>420</v>
      </c>
      <c r="H3711" s="36">
        <v>97437</v>
      </c>
      <c r="I3711" s="58">
        <v>477385</v>
      </c>
      <c r="J3711">
        <f>IFERROR(VLOOKUP(G3711,'LEAID Match'!$A$2:$B$526,2,FALSE),"")</f>
        <v>2928110</v>
      </c>
      <c r="K3711" s="68">
        <f t="shared" si="115"/>
        <v>8</v>
      </c>
    </row>
    <row r="3712" spans="1:11" x14ac:dyDescent="0.2">
      <c r="A3712">
        <f t="shared" si="114"/>
        <v>2928110</v>
      </c>
      <c r="B3712">
        <v>2021</v>
      </c>
      <c r="C3712" t="s">
        <v>739</v>
      </c>
      <c r="D3712" t="s">
        <v>740</v>
      </c>
      <c r="E3712" t="s">
        <v>743</v>
      </c>
      <c r="F3712" s="34">
        <v>617</v>
      </c>
      <c r="G3712" s="34" t="s">
        <v>420</v>
      </c>
      <c r="H3712" s="36">
        <v>114549</v>
      </c>
      <c r="I3712" s="58">
        <v>506947</v>
      </c>
      <c r="J3712">
        <f>IFERROR(VLOOKUP(G3712,'LEAID Match'!$A$2:$B$526,2,FALSE),"")</f>
        <v>2928110</v>
      </c>
      <c r="K3712" s="68">
        <f t="shared" si="115"/>
        <v>8</v>
      </c>
    </row>
    <row r="3713" spans="1:11" x14ac:dyDescent="0.2">
      <c r="A3713">
        <f t="shared" si="114"/>
        <v>2928110</v>
      </c>
      <c r="B3713">
        <v>2022</v>
      </c>
      <c r="C3713" t="s">
        <v>739</v>
      </c>
      <c r="D3713" t="s">
        <v>740</v>
      </c>
      <c r="E3713" t="s">
        <v>743</v>
      </c>
      <c r="F3713" s="34">
        <v>617</v>
      </c>
      <c r="G3713" s="34" t="s">
        <v>420</v>
      </c>
      <c r="H3713" s="36">
        <v>114996</v>
      </c>
      <c r="I3713" s="58">
        <v>529870</v>
      </c>
      <c r="J3713">
        <f>IFERROR(VLOOKUP(G3713,'LEAID Match'!$A$2:$B$526,2,FALSE),"")</f>
        <v>2928110</v>
      </c>
      <c r="K3713" s="68">
        <f t="shared" si="115"/>
        <v>8</v>
      </c>
    </row>
    <row r="3714" spans="1:11" x14ac:dyDescent="0.2">
      <c r="A3714" t="str">
        <f t="shared" si="114"/>
        <v/>
      </c>
      <c r="B3714">
        <v>2015</v>
      </c>
      <c r="C3714" t="s">
        <v>739</v>
      </c>
      <c r="D3714" t="s">
        <v>740</v>
      </c>
      <c r="E3714" t="s">
        <v>743</v>
      </c>
      <c r="F3714" s="37">
        <v>618</v>
      </c>
      <c r="G3714" s="39" t="s">
        <v>421</v>
      </c>
      <c r="H3714" s="40">
        <v>28115</v>
      </c>
      <c r="I3714" s="58">
        <v>222731</v>
      </c>
      <c r="J3714" t="str">
        <f>IFERROR(VLOOKUP(G3714,'LEAID Match'!$A$2:$B$526,2,FALSE),"")</f>
        <v/>
      </c>
      <c r="K3714" s="68">
        <f t="shared" si="115"/>
        <v>216</v>
      </c>
    </row>
    <row r="3715" spans="1:11" x14ac:dyDescent="0.2">
      <c r="A3715" t="str">
        <f t="shared" ref="A3715:A3778" si="116">J3715</f>
        <v/>
      </c>
      <c r="B3715">
        <v>2016</v>
      </c>
      <c r="C3715" t="s">
        <v>739</v>
      </c>
      <c r="D3715" t="s">
        <v>740</v>
      </c>
      <c r="E3715" t="s">
        <v>743</v>
      </c>
      <c r="F3715" s="34">
        <v>618</v>
      </c>
      <c r="G3715" s="34" t="s">
        <v>421</v>
      </c>
      <c r="H3715" s="36">
        <v>29567</v>
      </c>
      <c r="I3715" s="60">
        <v>226736</v>
      </c>
      <c r="J3715" t="str">
        <f>IFERROR(VLOOKUP(G3715,'LEAID Match'!$A$2:$B$526,2,FALSE),"")</f>
        <v/>
      </c>
      <c r="K3715" s="68">
        <f t="shared" ref="K3715:K3778" si="117">COUNTIF($J$2:$J$4295,J3715)</f>
        <v>216</v>
      </c>
    </row>
    <row r="3716" spans="1:11" x14ac:dyDescent="0.2">
      <c r="A3716" t="str">
        <f t="shared" si="116"/>
        <v/>
      </c>
      <c r="B3716">
        <v>2017</v>
      </c>
      <c r="C3716" t="s">
        <v>739</v>
      </c>
      <c r="D3716" t="s">
        <v>740</v>
      </c>
      <c r="E3716" t="s">
        <v>743</v>
      </c>
      <c r="F3716" s="34">
        <v>618</v>
      </c>
      <c r="G3716" s="34" t="s">
        <v>421</v>
      </c>
      <c r="H3716" s="36">
        <v>31479</v>
      </c>
      <c r="I3716" s="58">
        <v>235898</v>
      </c>
      <c r="J3716" t="str">
        <f>IFERROR(VLOOKUP(G3716,'LEAID Match'!$A$2:$B$526,2,FALSE),"")</f>
        <v/>
      </c>
      <c r="K3716" s="68">
        <f t="shared" si="117"/>
        <v>216</v>
      </c>
    </row>
    <row r="3717" spans="1:11" x14ac:dyDescent="0.2">
      <c r="A3717" t="str">
        <f t="shared" si="116"/>
        <v/>
      </c>
      <c r="B3717">
        <v>2018</v>
      </c>
      <c r="C3717" t="s">
        <v>739</v>
      </c>
      <c r="D3717" t="s">
        <v>740</v>
      </c>
      <c r="E3717" t="s">
        <v>743</v>
      </c>
      <c r="F3717" s="34">
        <v>618</v>
      </c>
      <c r="G3717" s="34" t="s">
        <v>421</v>
      </c>
      <c r="H3717" s="36">
        <v>30767</v>
      </c>
      <c r="I3717" s="58">
        <v>251422</v>
      </c>
      <c r="J3717" t="str">
        <f>IFERROR(VLOOKUP(G3717,'LEAID Match'!$A$2:$B$526,2,FALSE),"")</f>
        <v/>
      </c>
      <c r="K3717" s="68">
        <f t="shared" si="117"/>
        <v>216</v>
      </c>
    </row>
    <row r="3718" spans="1:11" x14ac:dyDescent="0.2">
      <c r="A3718" t="str">
        <f t="shared" si="116"/>
        <v/>
      </c>
      <c r="B3718">
        <v>2019</v>
      </c>
      <c r="C3718" t="s">
        <v>739</v>
      </c>
      <c r="D3718" t="s">
        <v>740</v>
      </c>
      <c r="E3718" t="s">
        <v>743</v>
      </c>
      <c r="F3718" s="34">
        <v>618</v>
      </c>
      <c r="G3718" s="34" t="s">
        <v>421</v>
      </c>
      <c r="H3718" s="36">
        <v>36039</v>
      </c>
      <c r="I3718" s="58">
        <v>260897</v>
      </c>
      <c r="J3718" t="str">
        <f>IFERROR(VLOOKUP(G3718,'LEAID Match'!$A$2:$B$526,2,FALSE),"")</f>
        <v/>
      </c>
      <c r="K3718" s="68">
        <f t="shared" si="117"/>
        <v>216</v>
      </c>
    </row>
    <row r="3719" spans="1:11" x14ac:dyDescent="0.2">
      <c r="A3719" t="str">
        <f t="shared" si="116"/>
        <v/>
      </c>
      <c r="B3719">
        <v>2020</v>
      </c>
      <c r="C3719" t="s">
        <v>739</v>
      </c>
      <c r="D3719" t="s">
        <v>740</v>
      </c>
      <c r="E3719" t="s">
        <v>743</v>
      </c>
      <c r="F3719" s="34">
        <v>618</v>
      </c>
      <c r="G3719" s="34" t="s">
        <v>421</v>
      </c>
      <c r="H3719" s="36">
        <v>43105</v>
      </c>
      <c r="I3719" s="58">
        <v>270027</v>
      </c>
      <c r="J3719" t="str">
        <f>IFERROR(VLOOKUP(G3719,'LEAID Match'!$A$2:$B$526,2,FALSE),"")</f>
        <v/>
      </c>
      <c r="K3719" s="68">
        <f t="shared" si="117"/>
        <v>216</v>
      </c>
    </row>
    <row r="3720" spans="1:11" x14ac:dyDescent="0.2">
      <c r="A3720" t="str">
        <f t="shared" si="116"/>
        <v/>
      </c>
      <c r="B3720">
        <v>2021</v>
      </c>
      <c r="C3720" t="s">
        <v>739</v>
      </c>
      <c r="D3720" t="s">
        <v>740</v>
      </c>
      <c r="E3720" t="s">
        <v>743</v>
      </c>
      <c r="F3720" s="34">
        <v>618</v>
      </c>
      <c r="G3720" s="34" t="s">
        <v>421</v>
      </c>
      <c r="H3720" s="36">
        <v>44077</v>
      </c>
      <c r="I3720" s="58">
        <v>264089</v>
      </c>
      <c r="J3720" t="str">
        <f>IFERROR(VLOOKUP(G3720,'LEAID Match'!$A$2:$B$526,2,FALSE),"")</f>
        <v/>
      </c>
      <c r="K3720" s="68">
        <f t="shared" si="117"/>
        <v>216</v>
      </c>
    </row>
    <row r="3721" spans="1:11" x14ac:dyDescent="0.2">
      <c r="A3721" t="str">
        <f t="shared" si="116"/>
        <v/>
      </c>
      <c r="B3721">
        <v>2022</v>
      </c>
      <c r="C3721" t="s">
        <v>739</v>
      </c>
      <c r="D3721" t="s">
        <v>740</v>
      </c>
      <c r="E3721" t="s">
        <v>743</v>
      </c>
      <c r="F3721" s="34">
        <v>618</v>
      </c>
      <c r="G3721" s="34" t="s">
        <v>421</v>
      </c>
      <c r="H3721" s="36">
        <v>47057</v>
      </c>
      <c r="I3721" s="58">
        <v>278081</v>
      </c>
      <c r="J3721" t="str">
        <f>IFERROR(VLOOKUP(G3721,'LEAID Match'!$A$2:$B$526,2,FALSE),"")</f>
        <v/>
      </c>
      <c r="K3721" s="68">
        <f t="shared" si="117"/>
        <v>216</v>
      </c>
    </row>
    <row r="3722" spans="1:11" x14ac:dyDescent="0.2">
      <c r="A3722">
        <f t="shared" si="116"/>
        <v>2926400</v>
      </c>
      <c r="B3722">
        <v>2015</v>
      </c>
      <c r="C3722" t="s">
        <v>739</v>
      </c>
      <c r="D3722" t="s">
        <v>740</v>
      </c>
      <c r="E3722" t="s">
        <v>743</v>
      </c>
      <c r="F3722" s="37">
        <v>619</v>
      </c>
      <c r="G3722" s="39" t="s">
        <v>422</v>
      </c>
      <c r="H3722" s="40">
        <v>38502</v>
      </c>
      <c r="I3722" s="58">
        <v>198475</v>
      </c>
      <c r="J3722">
        <f>IFERROR(VLOOKUP(G3722,'LEAID Match'!$A$2:$B$526,2,FALSE),"")</f>
        <v>2926400</v>
      </c>
      <c r="K3722" s="68">
        <f t="shared" si="117"/>
        <v>8</v>
      </c>
    </row>
    <row r="3723" spans="1:11" x14ac:dyDescent="0.2">
      <c r="A3723">
        <f t="shared" si="116"/>
        <v>2926400</v>
      </c>
      <c r="B3723">
        <v>2016</v>
      </c>
      <c r="C3723" t="s">
        <v>739</v>
      </c>
      <c r="D3723" t="s">
        <v>740</v>
      </c>
      <c r="E3723" t="s">
        <v>743</v>
      </c>
      <c r="F3723" s="34">
        <v>619</v>
      </c>
      <c r="G3723" s="34" t="s">
        <v>422</v>
      </c>
      <c r="H3723" s="36">
        <v>39482</v>
      </c>
      <c r="I3723" s="60">
        <v>211066</v>
      </c>
      <c r="J3723">
        <f>IFERROR(VLOOKUP(G3723,'LEAID Match'!$A$2:$B$526,2,FALSE),"")</f>
        <v>2926400</v>
      </c>
      <c r="K3723" s="68">
        <f t="shared" si="117"/>
        <v>8</v>
      </c>
    </row>
    <row r="3724" spans="1:11" x14ac:dyDescent="0.2">
      <c r="A3724">
        <f t="shared" si="116"/>
        <v>2926400</v>
      </c>
      <c r="B3724">
        <v>2017</v>
      </c>
      <c r="C3724" t="s">
        <v>739</v>
      </c>
      <c r="D3724" t="s">
        <v>740</v>
      </c>
      <c r="E3724" t="s">
        <v>743</v>
      </c>
      <c r="F3724" s="34">
        <v>619</v>
      </c>
      <c r="G3724" s="34" t="s">
        <v>422</v>
      </c>
      <c r="H3724" s="36">
        <v>42014</v>
      </c>
      <c r="I3724" s="58">
        <v>205736</v>
      </c>
      <c r="J3724">
        <f>IFERROR(VLOOKUP(G3724,'LEAID Match'!$A$2:$B$526,2,FALSE),"")</f>
        <v>2926400</v>
      </c>
      <c r="K3724" s="68">
        <f t="shared" si="117"/>
        <v>8</v>
      </c>
    </row>
    <row r="3725" spans="1:11" x14ac:dyDescent="0.2">
      <c r="A3725">
        <f t="shared" si="116"/>
        <v>2926400</v>
      </c>
      <c r="B3725">
        <v>2018</v>
      </c>
      <c r="C3725" t="s">
        <v>739</v>
      </c>
      <c r="D3725" t="s">
        <v>740</v>
      </c>
      <c r="E3725" t="s">
        <v>743</v>
      </c>
      <c r="F3725" s="34">
        <v>619</v>
      </c>
      <c r="G3725" s="34" t="s">
        <v>422</v>
      </c>
      <c r="H3725" s="36">
        <v>41443</v>
      </c>
      <c r="I3725" s="58">
        <v>226436</v>
      </c>
      <c r="J3725">
        <f>IFERROR(VLOOKUP(G3725,'LEAID Match'!$A$2:$B$526,2,FALSE),"")</f>
        <v>2926400</v>
      </c>
      <c r="K3725" s="68">
        <f t="shared" si="117"/>
        <v>8</v>
      </c>
    </row>
    <row r="3726" spans="1:11" x14ac:dyDescent="0.2">
      <c r="A3726">
        <f t="shared" si="116"/>
        <v>2926400</v>
      </c>
      <c r="B3726">
        <v>2019</v>
      </c>
      <c r="C3726" t="s">
        <v>739</v>
      </c>
      <c r="D3726" t="s">
        <v>740</v>
      </c>
      <c r="E3726" t="s">
        <v>743</v>
      </c>
      <c r="F3726" s="34">
        <v>619</v>
      </c>
      <c r="G3726" s="34" t="s">
        <v>422</v>
      </c>
      <c r="H3726" s="36">
        <v>41069</v>
      </c>
      <c r="I3726" s="58">
        <v>231964</v>
      </c>
      <c r="J3726">
        <f>IFERROR(VLOOKUP(G3726,'LEAID Match'!$A$2:$B$526,2,FALSE),"")</f>
        <v>2926400</v>
      </c>
      <c r="K3726" s="68">
        <f t="shared" si="117"/>
        <v>8</v>
      </c>
    </row>
    <row r="3727" spans="1:11" x14ac:dyDescent="0.2">
      <c r="A3727">
        <f t="shared" si="116"/>
        <v>2926400</v>
      </c>
      <c r="B3727">
        <v>2020</v>
      </c>
      <c r="C3727" t="s">
        <v>739</v>
      </c>
      <c r="D3727" t="s">
        <v>740</v>
      </c>
      <c r="E3727" t="s">
        <v>743</v>
      </c>
      <c r="F3727" s="34">
        <v>619</v>
      </c>
      <c r="G3727" s="34" t="s">
        <v>422</v>
      </c>
      <c r="H3727" s="36">
        <v>41440</v>
      </c>
      <c r="I3727" s="58">
        <v>238642</v>
      </c>
      <c r="J3727">
        <f>IFERROR(VLOOKUP(G3727,'LEAID Match'!$A$2:$B$526,2,FALSE),"")</f>
        <v>2926400</v>
      </c>
      <c r="K3727" s="68">
        <f t="shared" si="117"/>
        <v>8</v>
      </c>
    </row>
    <row r="3728" spans="1:11" x14ac:dyDescent="0.2">
      <c r="A3728">
        <f t="shared" si="116"/>
        <v>2926400</v>
      </c>
      <c r="B3728">
        <v>2021</v>
      </c>
      <c r="C3728" t="s">
        <v>739</v>
      </c>
      <c r="D3728" t="s">
        <v>740</v>
      </c>
      <c r="E3728" t="s">
        <v>743</v>
      </c>
      <c r="F3728" s="34">
        <v>619</v>
      </c>
      <c r="G3728" s="34" t="s">
        <v>422</v>
      </c>
      <c r="H3728" s="36">
        <v>43933</v>
      </c>
      <c r="I3728" s="58">
        <v>220948</v>
      </c>
      <c r="J3728">
        <f>IFERROR(VLOOKUP(G3728,'LEAID Match'!$A$2:$B$526,2,FALSE),"")</f>
        <v>2926400</v>
      </c>
      <c r="K3728" s="68">
        <f t="shared" si="117"/>
        <v>8</v>
      </c>
    </row>
    <row r="3729" spans="1:11" x14ac:dyDescent="0.2">
      <c r="A3729">
        <f t="shared" si="116"/>
        <v>2926400</v>
      </c>
      <c r="B3729">
        <v>2022</v>
      </c>
      <c r="C3729" t="s">
        <v>739</v>
      </c>
      <c r="D3729" t="s">
        <v>740</v>
      </c>
      <c r="E3729" t="s">
        <v>743</v>
      </c>
      <c r="F3729" s="34">
        <v>619</v>
      </c>
      <c r="G3729" s="34" t="s">
        <v>422</v>
      </c>
      <c r="H3729" s="36">
        <v>42760</v>
      </c>
      <c r="I3729" s="58">
        <v>232610</v>
      </c>
      <c r="J3729">
        <f>IFERROR(VLOOKUP(G3729,'LEAID Match'!$A$2:$B$526,2,FALSE),"")</f>
        <v>2926400</v>
      </c>
      <c r="K3729" s="68">
        <f t="shared" si="117"/>
        <v>8</v>
      </c>
    </row>
    <row r="3730" spans="1:11" x14ac:dyDescent="0.2">
      <c r="A3730">
        <f t="shared" si="116"/>
        <v>2904530</v>
      </c>
      <c r="B3730">
        <v>2015</v>
      </c>
      <c r="C3730" t="s">
        <v>739</v>
      </c>
      <c r="D3730" t="s">
        <v>740</v>
      </c>
      <c r="E3730" t="s">
        <v>743</v>
      </c>
      <c r="F3730" s="37">
        <v>620</v>
      </c>
      <c r="G3730" s="39" t="s">
        <v>423</v>
      </c>
      <c r="H3730" s="40">
        <v>25193</v>
      </c>
      <c r="I3730" s="58">
        <v>180255</v>
      </c>
      <c r="J3730">
        <f>IFERROR(VLOOKUP(G3730,'LEAID Match'!$A$2:$B$526,2,FALSE),"")</f>
        <v>2904530</v>
      </c>
      <c r="K3730" s="68">
        <f t="shared" si="117"/>
        <v>8</v>
      </c>
    </row>
    <row r="3731" spans="1:11" x14ac:dyDescent="0.2">
      <c r="A3731">
        <f t="shared" si="116"/>
        <v>2904530</v>
      </c>
      <c r="B3731">
        <v>2016</v>
      </c>
      <c r="C3731" t="s">
        <v>739</v>
      </c>
      <c r="D3731" t="s">
        <v>740</v>
      </c>
      <c r="E3731" t="s">
        <v>743</v>
      </c>
      <c r="F3731" s="34">
        <v>620</v>
      </c>
      <c r="G3731" s="34" t="s">
        <v>423</v>
      </c>
      <c r="H3731" s="36">
        <v>26170</v>
      </c>
      <c r="I3731" s="60">
        <v>180398</v>
      </c>
      <c r="J3731">
        <f>IFERROR(VLOOKUP(G3731,'LEAID Match'!$A$2:$B$526,2,FALSE),"")</f>
        <v>2904530</v>
      </c>
      <c r="K3731" s="68">
        <f t="shared" si="117"/>
        <v>8</v>
      </c>
    </row>
    <row r="3732" spans="1:11" x14ac:dyDescent="0.2">
      <c r="A3732">
        <f t="shared" si="116"/>
        <v>2904530</v>
      </c>
      <c r="B3732">
        <v>2017</v>
      </c>
      <c r="C3732" t="s">
        <v>739</v>
      </c>
      <c r="D3732" t="s">
        <v>740</v>
      </c>
      <c r="E3732" t="s">
        <v>743</v>
      </c>
      <c r="F3732" s="34">
        <v>620</v>
      </c>
      <c r="G3732" s="34" t="s">
        <v>423</v>
      </c>
      <c r="H3732" s="36">
        <v>28158</v>
      </c>
      <c r="I3732" s="58">
        <v>192215</v>
      </c>
      <c r="J3732">
        <f>IFERROR(VLOOKUP(G3732,'LEAID Match'!$A$2:$B$526,2,FALSE),"")</f>
        <v>2904530</v>
      </c>
      <c r="K3732" s="68">
        <f t="shared" si="117"/>
        <v>8</v>
      </c>
    </row>
    <row r="3733" spans="1:11" x14ac:dyDescent="0.2">
      <c r="A3733">
        <f t="shared" si="116"/>
        <v>2904530</v>
      </c>
      <c r="B3733">
        <v>2018</v>
      </c>
      <c r="C3733" t="s">
        <v>739</v>
      </c>
      <c r="D3733" t="s">
        <v>740</v>
      </c>
      <c r="E3733" t="s">
        <v>743</v>
      </c>
      <c r="F3733" s="34">
        <v>620</v>
      </c>
      <c r="G3733" s="34" t="s">
        <v>423</v>
      </c>
      <c r="H3733" s="36">
        <v>31238</v>
      </c>
      <c r="I3733" s="58">
        <v>199764</v>
      </c>
      <c r="J3733">
        <f>IFERROR(VLOOKUP(G3733,'LEAID Match'!$A$2:$B$526,2,FALSE),"")</f>
        <v>2904530</v>
      </c>
      <c r="K3733" s="68">
        <f t="shared" si="117"/>
        <v>8</v>
      </c>
    </row>
    <row r="3734" spans="1:11" x14ac:dyDescent="0.2">
      <c r="A3734">
        <f t="shared" si="116"/>
        <v>2904530</v>
      </c>
      <c r="B3734">
        <v>2019</v>
      </c>
      <c r="C3734" t="s">
        <v>739</v>
      </c>
      <c r="D3734" t="s">
        <v>740</v>
      </c>
      <c r="E3734" t="s">
        <v>743</v>
      </c>
      <c r="F3734" s="34">
        <v>620</v>
      </c>
      <c r="G3734" s="34" t="s">
        <v>423</v>
      </c>
      <c r="H3734" s="36">
        <v>27472</v>
      </c>
      <c r="I3734" s="58">
        <v>200452</v>
      </c>
      <c r="J3734">
        <f>IFERROR(VLOOKUP(G3734,'LEAID Match'!$A$2:$B$526,2,FALSE),"")</f>
        <v>2904530</v>
      </c>
      <c r="K3734" s="68">
        <f t="shared" si="117"/>
        <v>8</v>
      </c>
    </row>
    <row r="3735" spans="1:11" x14ac:dyDescent="0.2">
      <c r="A3735">
        <f t="shared" si="116"/>
        <v>2904530</v>
      </c>
      <c r="B3735">
        <v>2020</v>
      </c>
      <c r="C3735" t="s">
        <v>739</v>
      </c>
      <c r="D3735" t="s">
        <v>740</v>
      </c>
      <c r="E3735" t="s">
        <v>743</v>
      </c>
      <c r="F3735" s="34">
        <v>620</v>
      </c>
      <c r="G3735" s="34" t="s">
        <v>423</v>
      </c>
      <c r="H3735" s="36">
        <v>28976</v>
      </c>
      <c r="I3735" s="58">
        <v>194950</v>
      </c>
      <c r="J3735">
        <f>IFERROR(VLOOKUP(G3735,'LEAID Match'!$A$2:$B$526,2,FALSE),"")</f>
        <v>2904530</v>
      </c>
      <c r="K3735" s="68">
        <f t="shared" si="117"/>
        <v>8</v>
      </c>
    </row>
    <row r="3736" spans="1:11" x14ac:dyDescent="0.2">
      <c r="A3736">
        <f t="shared" si="116"/>
        <v>2904530</v>
      </c>
      <c r="B3736">
        <v>2021</v>
      </c>
      <c r="C3736" t="s">
        <v>739</v>
      </c>
      <c r="D3736" t="s">
        <v>740</v>
      </c>
      <c r="E3736" t="s">
        <v>743</v>
      </c>
      <c r="F3736" s="34">
        <v>620</v>
      </c>
      <c r="G3736" s="34" t="s">
        <v>423</v>
      </c>
      <c r="H3736" s="36">
        <v>30180</v>
      </c>
      <c r="I3736" s="58">
        <v>204846</v>
      </c>
      <c r="J3736">
        <f>IFERROR(VLOOKUP(G3736,'LEAID Match'!$A$2:$B$526,2,FALSE),"")</f>
        <v>2904530</v>
      </c>
      <c r="K3736" s="68">
        <f t="shared" si="117"/>
        <v>8</v>
      </c>
    </row>
    <row r="3737" spans="1:11" x14ac:dyDescent="0.2">
      <c r="A3737">
        <f t="shared" si="116"/>
        <v>2904530</v>
      </c>
      <c r="B3737">
        <v>2022</v>
      </c>
      <c r="C3737" t="s">
        <v>739</v>
      </c>
      <c r="D3737" t="s">
        <v>740</v>
      </c>
      <c r="E3737" t="s">
        <v>743</v>
      </c>
      <c r="F3737" s="34">
        <v>620</v>
      </c>
      <c r="G3737" s="34" t="s">
        <v>423</v>
      </c>
      <c r="H3737" s="36">
        <v>39751</v>
      </c>
      <c r="I3737" s="58">
        <v>211173</v>
      </c>
      <c r="J3737">
        <f>IFERROR(VLOOKUP(G3737,'LEAID Match'!$A$2:$B$526,2,FALSE),"")</f>
        <v>2904530</v>
      </c>
      <c r="K3737" s="68">
        <f t="shared" si="117"/>
        <v>8</v>
      </c>
    </row>
    <row r="3738" spans="1:11" x14ac:dyDescent="0.2">
      <c r="A3738">
        <f t="shared" si="116"/>
        <v>2902880</v>
      </c>
      <c r="B3738">
        <v>2015</v>
      </c>
      <c r="C3738" t="s">
        <v>739</v>
      </c>
      <c r="D3738" t="s">
        <v>740</v>
      </c>
      <c r="E3738" t="s">
        <v>743</v>
      </c>
      <c r="F3738" s="37">
        <v>621</v>
      </c>
      <c r="G3738" s="39" t="s">
        <v>424</v>
      </c>
      <c r="H3738" s="40">
        <v>20534</v>
      </c>
      <c r="I3738" s="58">
        <v>258390</v>
      </c>
      <c r="J3738">
        <f>IFERROR(VLOOKUP(G3738,'LEAID Match'!$A$2:$B$526,2,FALSE),"")</f>
        <v>2902880</v>
      </c>
      <c r="K3738" s="68">
        <f t="shared" si="117"/>
        <v>8</v>
      </c>
    </row>
    <row r="3739" spans="1:11" x14ac:dyDescent="0.2">
      <c r="A3739">
        <f t="shared" si="116"/>
        <v>2902880</v>
      </c>
      <c r="B3739">
        <v>2016</v>
      </c>
      <c r="C3739" t="s">
        <v>739</v>
      </c>
      <c r="D3739" t="s">
        <v>740</v>
      </c>
      <c r="E3739" t="s">
        <v>743</v>
      </c>
      <c r="F3739" s="34">
        <v>621</v>
      </c>
      <c r="G3739" s="34" t="s">
        <v>424</v>
      </c>
      <c r="H3739" s="36">
        <v>22073</v>
      </c>
      <c r="I3739" s="60">
        <v>266395</v>
      </c>
      <c r="J3739">
        <f>IFERROR(VLOOKUP(G3739,'LEAID Match'!$A$2:$B$526,2,FALSE),"")</f>
        <v>2902880</v>
      </c>
      <c r="K3739" s="68">
        <f t="shared" si="117"/>
        <v>8</v>
      </c>
    </row>
    <row r="3740" spans="1:11" x14ac:dyDescent="0.2">
      <c r="A3740">
        <f t="shared" si="116"/>
        <v>2902880</v>
      </c>
      <c r="B3740">
        <v>2017</v>
      </c>
      <c r="C3740" t="s">
        <v>739</v>
      </c>
      <c r="D3740" t="s">
        <v>740</v>
      </c>
      <c r="E3740" t="s">
        <v>743</v>
      </c>
      <c r="F3740" s="34">
        <v>621</v>
      </c>
      <c r="G3740" s="34" t="s">
        <v>424</v>
      </c>
      <c r="H3740" s="36">
        <v>25144</v>
      </c>
      <c r="I3740" s="58">
        <v>285866</v>
      </c>
      <c r="J3740">
        <f>IFERROR(VLOOKUP(G3740,'LEAID Match'!$A$2:$B$526,2,FALSE),"")</f>
        <v>2902880</v>
      </c>
      <c r="K3740" s="68">
        <f t="shared" si="117"/>
        <v>8</v>
      </c>
    </row>
    <row r="3741" spans="1:11" x14ac:dyDescent="0.2">
      <c r="A3741">
        <f t="shared" si="116"/>
        <v>2902880</v>
      </c>
      <c r="B3741">
        <v>2018</v>
      </c>
      <c r="C3741" t="s">
        <v>739</v>
      </c>
      <c r="D3741" t="s">
        <v>740</v>
      </c>
      <c r="E3741" t="s">
        <v>743</v>
      </c>
      <c r="F3741" s="34">
        <v>621</v>
      </c>
      <c r="G3741" s="34" t="s">
        <v>424</v>
      </c>
      <c r="H3741" s="36">
        <v>26196</v>
      </c>
      <c r="I3741" s="58">
        <v>284590</v>
      </c>
      <c r="J3741">
        <f>IFERROR(VLOOKUP(G3741,'LEAID Match'!$A$2:$B$526,2,FALSE),"")</f>
        <v>2902880</v>
      </c>
      <c r="K3741" s="68">
        <f t="shared" si="117"/>
        <v>8</v>
      </c>
    </row>
    <row r="3742" spans="1:11" x14ac:dyDescent="0.2">
      <c r="A3742">
        <f t="shared" si="116"/>
        <v>2902880</v>
      </c>
      <c r="B3742">
        <v>2019</v>
      </c>
      <c r="C3742" t="s">
        <v>739</v>
      </c>
      <c r="D3742" t="s">
        <v>740</v>
      </c>
      <c r="E3742" t="s">
        <v>743</v>
      </c>
      <c r="F3742" s="34">
        <v>621</v>
      </c>
      <c r="G3742" s="34" t="s">
        <v>424</v>
      </c>
      <c r="H3742" s="36">
        <v>29472</v>
      </c>
      <c r="I3742" s="58">
        <v>286778</v>
      </c>
      <c r="J3742">
        <f>IFERROR(VLOOKUP(G3742,'LEAID Match'!$A$2:$B$526,2,FALSE),"")</f>
        <v>2902880</v>
      </c>
      <c r="K3742" s="68">
        <f t="shared" si="117"/>
        <v>8</v>
      </c>
    </row>
    <row r="3743" spans="1:11" x14ac:dyDescent="0.2">
      <c r="A3743">
        <f t="shared" si="116"/>
        <v>2902880</v>
      </c>
      <c r="B3743">
        <v>2020</v>
      </c>
      <c r="C3743" t="s">
        <v>739</v>
      </c>
      <c r="D3743" t="s">
        <v>740</v>
      </c>
      <c r="E3743" t="s">
        <v>743</v>
      </c>
      <c r="F3743" s="34">
        <v>621</v>
      </c>
      <c r="G3743" s="34" t="s">
        <v>424</v>
      </c>
      <c r="H3743" s="36">
        <v>31727</v>
      </c>
      <c r="I3743" s="58">
        <v>279031</v>
      </c>
      <c r="J3743">
        <f>IFERROR(VLOOKUP(G3743,'LEAID Match'!$A$2:$B$526,2,FALSE),"")</f>
        <v>2902880</v>
      </c>
      <c r="K3743" s="68">
        <f t="shared" si="117"/>
        <v>8</v>
      </c>
    </row>
    <row r="3744" spans="1:11" x14ac:dyDescent="0.2">
      <c r="A3744">
        <f t="shared" si="116"/>
        <v>2902880</v>
      </c>
      <c r="B3744">
        <v>2021</v>
      </c>
      <c r="C3744" t="s">
        <v>739</v>
      </c>
      <c r="D3744" t="s">
        <v>740</v>
      </c>
      <c r="E3744" t="s">
        <v>743</v>
      </c>
      <c r="F3744" s="34">
        <v>621</v>
      </c>
      <c r="G3744" s="34" t="s">
        <v>424</v>
      </c>
      <c r="H3744" s="36">
        <v>35205</v>
      </c>
      <c r="I3744" s="58">
        <v>298397</v>
      </c>
      <c r="J3744">
        <f>IFERROR(VLOOKUP(G3744,'LEAID Match'!$A$2:$B$526,2,FALSE),"")</f>
        <v>2902880</v>
      </c>
      <c r="K3744" s="68">
        <f t="shared" si="117"/>
        <v>8</v>
      </c>
    </row>
    <row r="3745" spans="1:11" x14ac:dyDescent="0.2">
      <c r="A3745">
        <f t="shared" si="116"/>
        <v>2902880</v>
      </c>
      <c r="B3745">
        <v>2022</v>
      </c>
      <c r="C3745" t="s">
        <v>739</v>
      </c>
      <c r="D3745" t="s">
        <v>740</v>
      </c>
      <c r="E3745" t="s">
        <v>743</v>
      </c>
      <c r="F3745" s="34">
        <v>621</v>
      </c>
      <c r="G3745" s="34" t="s">
        <v>424</v>
      </c>
      <c r="H3745" s="36">
        <v>36572</v>
      </c>
      <c r="I3745" s="58">
        <v>295684</v>
      </c>
      <c r="J3745">
        <f>IFERROR(VLOOKUP(G3745,'LEAID Match'!$A$2:$B$526,2,FALSE),"")</f>
        <v>2902880</v>
      </c>
      <c r="K3745" s="68">
        <f t="shared" si="117"/>
        <v>8</v>
      </c>
    </row>
    <row r="3746" spans="1:11" x14ac:dyDescent="0.2">
      <c r="A3746">
        <f t="shared" si="116"/>
        <v>2925650</v>
      </c>
      <c r="B3746">
        <v>2015</v>
      </c>
      <c r="C3746" t="s">
        <v>739</v>
      </c>
      <c r="D3746" t="s">
        <v>740</v>
      </c>
      <c r="E3746" t="s">
        <v>743</v>
      </c>
      <c r="F3746" s="37">
        <v>622</v>
      </c>
      <c r="G3746" s="39" t="s">
        <v>425</v>
      </c>
      <c r="H3746" s="40">
        <v>72058</v>
      </c>
      <c r="I3746" s="58">
        <v>497968</v>
      </c>
      <c r="J3746">
        <f>IFERROR(VLOOKUP(G3746,'LEAID Match'!$A$2:$B$526,2,FALSE),"")</f>
        <v>2925650</v>
      </c>
      <c r="K3746" s="68">
        <f t="shared" si="117"/>
        <v>8</v>
      </c>
    </row>
    <row r="3747" spans="1:11" x14ac:dyDescent="0.2">
      <c r="A3747">
        <f t="shared" si="116"/>
        <v>2925650</v>
      </c>
      <c r="B3747">
        <v>2016</v>
      </c>
      <c r="C3747" t="s">
        <v>739</v>
      </c>
      <c r="D3747" t="s">
        <v>740</v>
      </c>
      <c r="E3747" t="s">
        <v>743</v>
      </c>
      <c r="F3747" s="34">
        <v>622</v>
      </c>
      <c r="G3747" s="34" t="s">
        <v>425</v>
      </c>
      <c r="H3747" s="36">
        <v>70840</v>
      </c>
      <c r="I3747" s="60">
        <v>488654</v>
      </c>
      <c r="J3747">
        <f>IFERROR(VLOOKUP(G3747,'LEAID Match'!$A$2:$B$526,2,FALSE),"")</f>
        <v>2925650</v>
      </c>
      <c r="K3747" s="68">
        <f t="shared" si="117"/>
        <v>8</v>
      </c>
    </row>
    <row r="3748" spans="1:11" x14ac:dyDescent="0.2">
      <c r="A3748">
        <f t="shared" si="116"/>
        <v>2925650</v>
      </c>
      <c r="B3748">
        <v>2017</v>
      </c>
      <c r="C3748" t="s">
        <v>739</v>
      </c>
      <c r="D3748" t="s">
        <v>740</v>
      </c>
      <c r="E3748" t="s">
        <v>743</v>
      </c>
      <c r="F3748" s="34">
        <v>622</v>
      </c>
      <c r="G3748" s="34" t="s">
        <v>425</v>
      </c>
      <c r="H3748" s="36">
        <v>74397</v>
      </c>
      <c r="I3748" s="58">
        <v>508150</v>
      </c>
      <c r="J3748">
        <f>IFERROR(VLOOKUP(G3748,'LEAID Match'!$A$2:$B$526,2,FALSE),"")</f>
        <v>2925650</v>
      </c>
      <c r="K3748" s="68">
        <f t="shared" si="117"/>
        <v>8</v>
      </c>
    </row>
    <row r="3749" spans="1:11" x14ac:dyDescent="0.2">
      <c r="A3749">
        <f t="shared" si="116"/>
        <v>2925650</v>
      </c>
      <c r="B3749">
        <v>2018</v>
      </c>
      <c r="C3749" t="s">
        <v>739</v>
      </c>
      <c r="D3749" t="s">
        <v>740</v>
      </c>
      <c r="E3749" t="s">
        <v>743</v>
      </c>
      <c r="F3749" s="34">
        <v>622</v>
      </c>
      <c r="G3749" s="34" t="s">
        <v>425</v>
      </c>
      <c r="H3749" s="36">
        <v>78105</v>
      </c>
      <c r="I3749" s="58">
        <v>477490</v>
      </c>
      <c r="J3749">
        <f>IFERROR(VLOOKUP(G3749,'LEAID Match'!$A$2:$B$526,2,FALSE),"")</f>
        <v>2925650</v>
      </c>
      <c r="K3749" s="68">
        <f t="shared" si="117"/>
        <v>8</v>
      </c>
    </row>
    <row r="3750" spans="1:11" x14ac:dyDescent="0.2">
      <c r="A3750">
        <f t="shared" si="116"/>
        <v>2925650</v>
      </c>
      <c r="B3750">
        <v>2019</v>
      </c>
      <c r="C3750" t="s">
        <v>739</v>
      </c>
      <c r="D3750" t="s">
        <v>740</v>
      </c>
      <c r="E3750" t="s">
        <v>743</v>
      </c>
      <c r="F3750" s="34">
        <v>622</v>
      </c>
      <c r="G3750" s="34" t="s">
        <v>425</v>
      </c>
      <c r="H3750" s="36">
        <v>76763</v>
      </c>
      <c r="I3750" s="58">
        <v>492996</v>
      </c>
      <c r="J3750">
        <f>IFERROR(VLOOKUP(G3750,'LEAID Match'!$A$2:$B$526,2,FALSE),"")</f>
        <v>2925650</v>
      </c>
      <c r="K3750" s="68">
        <f t="shared" si="117"/>
        <v>8</v>
      </c>
    </row>
    <row r="3751" spans="1:11" x14ac:dyDescent="0.2">
      <c r="A3751">
        <f t="shared" si="116"/>
        <v>2925650</v>
      </c>
      <c r="B3751">
        <v>2020</v>
      </c>
      <c r="C3751" t="s">
        <v>739</v>
      </c>
      <c r="D3751" t="s">
        <v>740</v>
      </c>
      <c r="E3751" t="s">
        <v>743</v>
      </c>
      <c r="F3751" s="34">
        <v>622</v>
      </c>
      <c r="G3751" s="34" t="s">
        <v>425</v>
      </c>
      <c r="H3751" s="36">
        <v>73892</v>
      </c>
      <c r="I3751" s="58">
        <v>496753</v>
      </c>
      <c r="J3751">
        <f>IFERROR(VLOOKUP(G3751,'LEAID Match'!$A$2:$B$526,2,FALSE),"")</f>
        <v>2925650</v>
      </c>
      <c r="K3751" s="68">
        <f t="shared" si="117"/>
        <v>8</v>
      </c>
    </row>
    <row r="3752" spans="1:11" x14ac:dyDescent="0.2">
      <c r="A3752">
        <f t="shared" si="116"/>
        <v>2925650</v>
      </c>
      <c r="B3752">
        <v>2021</v>
      </c>
      <c r="C3752" t="s">
        <v>739</v>
      </c>
      <c r="D3752" t="s">
        <v>740</v>
      </c>
      <c r="E3752" t="s">
        <v>743</v>
      </c>
      <c r="F3752" s="34">
        <v>622</v>
      </c>
      <c r="G3752" s="34" t="s">
        <v>425</v>
      </c>
      <c r="H3752" s="36">
        <v>73848</v>
      </c>
      <c r="I3752" s="58">
        <v>489643</v>
      </c>
      <c r="J3752">
        <f>IFERROR(VLOOKUP(G3752,'LEAID Match'!$A$2:$B$526,2,FALSE),"")</f>
        <v>2925650</v>
      </c>
      <c r="K3752" s="68">
        <f t="shared" si="117"/>
        <v>8</v>
      </c>
    </row>
    <row r="3753" spans="1:11" x14ac:dyDescent="0.2">
      <c r="A3753">
        <f t="shared" si="116"/>
        <v>2925650</v>
      </c>
      <c r="B3753">
        <v>2022</v>
      </c>
      <c r="C3753" t="s">
        <v>739</v>
      </c>
      <c r="D3753" t="s">
        <v>740</v>
      </c>
      <c r="E3753" t="s">
        <v>743</v>
      </c>
      <c r="F3753" s="34">
        <v>622</v>
      </c>
      <c r="G3753" s="34" t="s">
        <v>425</v>
      </c>
      <c r="H3753" s="36">
        <v>81027</v>
      </c>
      <c r="I3753" s="58">
        <v>496717</v>
      </c>
      <c r="J3753">
        <f>IFERROR(VLOOKUP(G3753,'LEAID Match'!$A$2:$B$526,2,FALSE),"")</f>
        <v>2925650</v>
      </c>
      <c r="K3753" s="68">
        <f t="shared" si="117"/>
        <v>8</v>
      </c>
    </row>
    <row r="3754" spans="1:11" x14ac:dyDescent="0.2">
      <c r="A3754">
        <f t="shared" si="116"/>
        <v>2910770</v>
      </c>
      <c r="B3754">
        <v>2015</v>
      </c>
      <c r="C3754" t="s">
        <v>739</v>
      </c>
      <c r="D3754" t="s">
        <v>740</v>
      </c>
      <c r="E3754" t="s">
        <v>743</v>
      </c>
      <c r="F3754" s="37">
        <v>623</v>
      </c>
      <c r="G3754" s="39" t="s">
        <v>426</v>
      </c>
      <c r="H3754" s="40">
        <v>140967</v>
      </c>
      <c r="I3754" s="58">
        <v>1342700</v>
      </c>
      <c r="J3754">
        <f>IFERROR(VLOOKUP(G3754,'LEAID Match'!$A$2:$B$526,2,FALSE),"")</f>
        <v>2910770</v>
      </c>
      <c r="K3754" s="68">
        <f t="shared" si="117"/>
        <v>8</v>
      </c>
    </row>
    <row r="3755" spans="1:11" x14ac:dyDescent="0.2">
      <c r="A3755">
        <f t="shared" si="116"/>
        <v>2910770</v>
      </c>
      <c r="B3755">
        <v>2016</v>
      </c>
      <c r="C3755" t="s">
        <v>739</v>
      </c>
      <c r="D3755" t="s">
        <v>740</v>
      </c>
      <c r="E3755" t="s">
        <v>743</v>
      </c>
      <c r="F3755" s="34">
        <v>623</v>
      </c>
      <c r="G3755" s="34" t="s">
        <v>426</v>
      </c>
      <c r="H3755" s="36">
        <v>136710</v>
      </c>
      <c r="I3755" s="60">
        <v>1367221</v>
      </c>
      <c r="J3755">
        <f>IFERROR(VLOOKUP(G3755,'LEAID Match'!$A$2:$B$526,2,FALSE),"")</f>
        <v>2910770</v>
      </c>
      <c r="K3755" s="68">
        <f t="shared" si="117"/>
        <v>8</v>
      </c>
    </row>
    <row r="3756" spans="1:11" x14ac:dyDescent="0.2">
      <c r="A3756">
        <f t="shared" si="116"/>
        <v>2910770</v>
      </c>
      <c r="B3756">
        <v>2017</v>
      </c>
      <c r="C3756" t="s">
        <v>739</v>
      </c>
      <c r="D3756" t="s">
        <v>740</v>
      </c>
      <c r="E3756" t="s">
        <v>743</v>
      </c>
      <c r="F3756" s="34">
        <v>623</v>
      </c>
      <c r="G3756" s="34" t="s">
        <v>426</v>
      </c>
      <c r="H3756" s="36">
        <v>123682</v>
      </c>
      <c r="I3756" s="58">
        <v>1354513</v>
      </c>
      <c r="J3756">
        <f>IFERROR(VLOOKUP(G3756,'LEAID Match'!$A$2:$B$526,2,FALSE),"")</f>
        <v>2910770</v>
      </c>
      <c r="K3756" s="68">
        <f t="shared" si="117"/>
        <v>8</v>
      </c>
    </row>
    <row r="3757" spans="1:11" x14ac:dyDescent="0.2">
      <c r="A3757">
        <f t="shared" si="116"/>
        <v>2910770</v>
      </c>
      <c r="B3757">
        <v>2018</v>
      </c>
      <c r="C3757" t="s">
        <v>739</v>
      </c>
      <c r="D3757" t="s">
        <v>740</v>
      </c>
      <c r="E3757" t="s">
        <v>743</v>
      </c>
      <c r="F3757" s="34">
        <v>623</v>
      </c>
      <c r="G3757" s="34" t="s">
        <v>426</v>
      </c>
      <c r="H3757" s="36">
        <v>120683</v>
      </c>
      <c r="I3757" s="58">
        <v>1387060</v>
      </c>
      <c r="J3757">
        <f>IFERROR(VLOOKUP(G3757,'LEAID Match'!$A$2:$B$526,2,FALSE),"")</f>
        <v>2910770</v>
      </c>
      <c r="K3757" s="68">
        <f t="shared" si="117"/>
        <v>8</v>
      </c>
    </row>
    <row r="3758" spans="1:11" x14ac:dyDescent="0.2">
      <c r="A3758">
        <f t="shared" si="116"/>
        <v>2910770</v>
      </c>
      <c r="B3758">
        <v>2019</v>
      </c>
      <c r="C3758" t="s">
        <v>739</v>
      </c>
      <c r="D3758" t="s">
        <v>740</v>
      </c>
      <c r="E3758" t="s">
        <v>743</v>
      </c>
      <c r="F3758" s="34">
        <v>623</v>
      </c>
      <c r="G3758" s="34" t="s">
        <v>426</v>
      </c>
      <c r="H3758" s="36">
        <v>133768</v>
      </c>
      <c r="I3758" s="58">
        <v>1397859</v>
      </c>
      <c r="J3758">
        <f>IFERROR(VLOOKUP(G3758,'LEAID Match'!$A$2:$B$526,2,FALSE),"")</f>
        <v>2910770</v>
      </c>
      <c r="K3758" s="68">
        <f t="shared" si="117"/>
        <v>8</v>
      </c>
    </row>
    <row r="3759" spans="1:11" x14ac:dyDescent="0.2">
      <c r="A3759">
        <f t="shared" si="116"/>
        <v>2910770</v>
      </c>
      <c r="B3759">
        <v>2020</v>
      </c>
      <c r="C3759" t="s">
        <v>739</v>
      </c>
      <c r="D3759" t="s">
        <v>740</v>
      </c>
      <c r="E3759" t="s">
        <v>743</v>
      </c>
      <c r="F3759" s="34">
        <v>623</v>
      </c>
      <c r="G3759" s="34" t="s">
        <v>426</v>
      </c>
      <c r="H3759" s="36">
        <v>140863</v>
      </c>
      <c r="I3759" s="58">
        <v>1397679</v>
      </c>
      <c r="J3759">
        <f>IFERROR(VLOOKUP(G3759,'LEAID Match'!$A$2:$B$526,2,FALSE),"")</f>
        <v>2910770</v>
      </c>
      <c r="K3759" s="68">
        <f t="shared" si="117"/>
        <v>8</v>
      </c>
    </row>
    <row r="3760" spans="1:11" x14ac:dyDescent="0.2">
      <c r="A3760">
        <f t="shared" si="116"/>
        <v>2910770</v>
      </c>
      <c r="B3760">
        <v>2021</v>
      </c>
      <c r="C3760" t="s">
        <v>739</v>
      </c>
      <c r="D3760" t="s">
        <v>740</v>
      </c>
      <c r="E3760" t="s">
        <v>743</v>
      </c>
      <c r="F3760" s="34">
        <v>623</v>
      </c>
      <c r="G3760" s="34" t="s">
        <v>426</v>
      </c>
      <c r="H3760" s="36">
        <v>163228</v>
      </c>
      <c r="I3760" s="58">
        <v>1500802</v>
      </c>
      <c r="J3760">
        <f>IFERROR(VLOOKUP(G3760,'LEAID Match'!$A$2:$B$526,2,FALSE),"")</f>
        <v>2910770</v>
      </c>
      <c r="K3760" s="68">
        <f t="shared" si="117"/>
        <v>8</v>
      </c>
    </row>
    <row r="3761" spans="1:11" x14ac:dyDescent="0.2">
      <c r="A3761">
        <f t="shared" si="116"/>
        <v>2910770</v>
      </c>
      <c r="B3761">
        <v>2022</v>
      </c>
      <c r="C3761" t="s">
        <v>739</v>
      </c>
      <c r="D3761" t="s">
        <v>740</v>
      </c>
      <c r="E3761" t="s">
        <v>743</v>
      </c>
      <c r="F3761" s="34">
        <v>623</v>
      </c>
      <c r="G3761" s="34" t="s">
        <v>426</v>
      </c>
      <c r="H3761" s="36">
        <v>176121</v>
      </c>
      <c r="I3761" s="58">
        <v>1471139</v>
      </c>
      <c r="J3761">
        <f>IFERROR(VLOOKUP(G3761,'LEAID Match'!$A$2:$B$526,2,FALSE),"")</f>
        <v>2910770</v>
      </c>
      <c r="K3761" s="68">
        <f t="shared" si="117"/>
        <v>8</v>
      </c>
    </row>
    <row r="3762" spans="1:11" x14ac:dyDescent="0.2">
      <c r="A3762">
        <f t="shared" si="116"/>
        <v>2904950</v>
      </c>
      <c r="B3762">
        <v>2015</v>
      </c>
      <c r="C3762" t="s">
        <v>739</v>
      </c>
      <c r="D3762" t="s">
        <v>740</v>
      </c>
      <c r="E3762" t="s">
        <v>743</v>
      </c>
      <c r="F3762" s="37">
        <v>624</v>
      </c>
      <c r="G3762" s="39" t="s">
        <v>427</v>
      </c>
      <c r="H3762" s="40">
        <v>35236</v>
      </c>
      <c r="I3762" s="58">
        <v>346671</v>
      </c>
      <c r="J3762">
        <f>IFERROR(VLOOKUP(G3762,'LEAID Match'!$A$2:$B$526,2,FALSE),"")</f>
        <v>2904950</v>
      </c>
      <c r="K3762" s="68">
        <f t="shared" si="117"/>
        <v>8</v>
      </c>
    </row>
    <row r="3763" spans="1:11" x14ac:dyDescent="0.2">
      <c r="A3763">
        <f t="shared" si="116"/>
        <v>2904950</v>
      </c>
      <c r="B3763">
        <v>2016</v>
      </c>
      <c r="C3763" t="s">
        <v>739</v>
      </c>
      <c r="D3763" t="s">
        <v>740</v>
      </c>
      <c r="E3763" t="s">
        <v>743</v>
      </c>
      <c r="F3763" s="34">
        <v>624</v>
      </c>
      <c r="G3763" s="34" t="s">
        <v>427</v>
      </c>
      <c r="H3763" s="36">
        <v>36569</v>
      </c>
      <c r="I3763" s="60">
        <v>338184</v>
      </c>
      <c r="J3763">
        <f>IFERROR(VLOOKUP(G3763,'LEAID Match'!$A$2:$B$526,2,FALSE),"")</f>
        <v>2904950</v>
      </c>
      <c r="K3763" s="68">
        <f t="shared" si="117"/>
        <v>8</v>
      </c>
    </row>
    <row r="3764" spans="1:11" x14ac:dyDescent="0.2">
      <c r="A3764">
        <f t="shared" si="116"/>
        <v>2904950</v>
      </c>
      <c r="B3764">
        <v>2017</v>
      </c>
      <c r="C3764" t="s">
        <v>739</v>
      </c>
      <c r="D3764" t="s">
        <v>740</v>
      </c>
      <c r="E3764" t="s">
        <v>743</v>
      </c>
      <c r="F3764" s="34">
        <v>624</v>
      </c>
      <c r="G3764" s="34" t="s">
        <v>427</v>
      </c>
      <c r="H3764" s="36">
        <v>38373</v>
      </c>
      <c r="I3764" s="58">
        <v>335987</v>
      </c>
      <c r="J3764">
        <f>IFERROR(VLOOKUP(G3764,'LEAID Match'!$A$2:$B$526,2,FALSE),"")</f>
        <v>2904950</v>
      </c>
      <c r="K3764" s="68">
        <f t="shared" si="117"/>
        <v>8</v>
      </c>
    </row>
    <row r="3765" spans="1:11" x14ac:dyDescent="0.2">
      <c r="A3765">
        <f t="shared" si="116"/>
        <v>2904950</v>
      </c>
      <c r="B3765">
        <v>2018</v>
      </c>
      <c r="C3765" t="s">
        <v>739</v>
      </c>
      <c r="D3765" t="s">
        <v>740</v>
      </c>
      <c r="E3765" t="s">
        <v>743</v>
      </c>
      <c r="F3765" s="34">
        <v>624</v>
      </c>
      <c r="G3765" s="34" t="s">
        <v>427</v>
      </c>
      <c r="H3765" s="36">
        <v>33920</v>
      </c>
      <c r="I3765" s="58">
        <v>344260</v>
      </c>
      <c r="J3765">
        <f>IFERROR(VLOOKUP(G3765,'LEAID Match'!$A$2:$B$526,2,FALSE),"")</f>
        <v>2904950</v>
      </c>
      <c r="K3765" s="68">
        <f t="shared" si="117"/>
        <v>8</v>
      </c>
    </row>
    <row r="3766" spans="1:11" x14ac:dyDescent="0.2">
      <c r="A3766">
        <f t="shared" si="116"/>
        <v>2904950</v>
      </c>
      <c r="B3766">
        <v>2019</v>
      </c>
      <c r="C3766" t="s">
        <v>739</v>
      </c>
      <c r="D3766" t="s">
        <v>740</v>
      </c>
      <c r="E3766" t="s">
        <v>743</v>
      </c>
      <c r="F3766" s="34">
        <v>624</v>
      </c>
      <c r="G3766" s="34" t="s">
        <v>427</v>
      </c>
      <c r="H3766" s="36">
        <v>35047</v>
      </c>
      <c r="I3766" s="58">
        <v>353165</v>
      </c>
      <c r="J3766">
        <f>IFERROR(VLOOKUP(G3766,'LEAID Match'!$A$2:$B$526,2,FALSE),"")</f>
        <v>2904950</v>
      </c>
      <c r="K3766" s="68">
        <f t="shared" si="117"/>
        <v>8</v>
      </c>
    </row>
    <row r="3767" spans="1:11" x14ac:dyDescent="0.2">
      <c r="A3767">
        <f t="shared" si="116"/>
        <v>2904950</v>
      </c>
      <c r="B3767">
        <v>2020</v>
      </c>
      <c r="C3767" t="s">
        <v>739</v>
      </c>
      <c r="D3767" t="s">
        <v>740</v>
      </c>
      <c r="E3767" t="s">
        <v>743</v>
      </c>
      <c r="F3767" s="34">
        <v>624</v>
      </c>
      <c r="G3767" s="34" t="s">
        <v>427</v>
      </c>
      <c r="H3767" s="36">
        <v>36014</v>
      </c>
      <c r="I3767" s="58">
        <v>367663</v>
      </c>
      <c r="J3767">
        <f>IFERROR(VLOOKUP(G3767,'LEAID Match'!$A$2:$B$526,2,FALSE),"")</f>
        <v>2904950</v>
      </c>
      <c r="K3767" s="68">
        <f t="shared" si="117"/>
        <v>8</v>
      </c>
    </row>
    <row r="3768" spans="1:11" x14ac:dyDescent="0.2">
      <c r="A3768">
        <f t="shared" si="116"/>
        <v>2904950</v>
      </c>
      <c r="B3768">
        <v>2021</v>
      </c>
      <c r="C3768" t="s">
        <v>739</v>
      </c>
      <c r="D3768" t="s">
        <v>740</v>
      </c>
      <c r="E3768" t="s">
        <v>743</v>
      </c>
      <c r="F3768" s="34">
        <v>624</v>
      </c>
      <c r="G3768" s="34" t="s">
        <v>427</v>
      </c>
      <c r="H3768" s="36">
        <v>39753</v>
      </c>
      <c r="I3768" s="58">
        <v>381416</v>
      </c>
      <c r="J3768">
        <f>IFERROR(VLOOKUP(G3768,'LEAID Match'!$A$2:$B$526,2,FALSE),"")</f>
        <v>2904950</v>
      </c>
      <c r="K3768" s="68">
        <f t="shared" si="117"/>
        <v>8</v>
      </c>
    </row>
    <row r="3769" spans="1:11" x14ac:dyDescent="0.2">
      <c r="A3769">
        <f t="shared" si="116"/>
        <v>2904950</v>
      </c>
      <c r="B3769">
        <v>2022</v>
      </c>
      <c r="C3769" t="s">
        <v>739</v>
      </c>
      <c r="D3769" t="s">
        <v>740</v>
      </c>
      <c r="E3769" t="s">
        <v>743</v>
      </c>
      <c r="F3769" s="34">
        <v>624</v>
      </c>
      <c r="G3769" s="34" t="s">
        <v>427</v>
      </c>
      <c r="H3769" s="36">
        <v>45503</v>
      </c>
      <c r="I3769" s="58">
        <v>390928</v>
      </c>
      <c r="J3769">
        <f>IFERROR(VLOOKUP(G3769,'LEAID Match'!$A$2:$B$526,2,FALSE),"")</f>
        <v>2904950</v>
      </c>
      <c r="K3769" s="68">
        <f t="shared" si="117"/>
        <v>8</v>
      </c>
    </row>
    <row r="3770" spans="1:11" x14ac:dyDescent="0.2">
      <c r="A3770">
        <f t="shared" si="116"/>
        <v>2905250</v>
      </c>
      <c r="B3770">
        <v>2015</v>
      </c>
      <c r="C3770" t="s">
        <v>739</v>
      </c>
      <c r="D3770" t="s">
        <v>740</v>
      </c>
      <c r="E3770" t="s">
        <v>743</v>
      </c>
      <c r="F3770" s="37">
        <v>625</v>
      </c>
      <c r="G3770" s="39" t="s">
        <v>428</v>
      </c>
      <c r="H3770" s="40">
        <v>51980</v>
      </c>
      <c r="I3770" s="58">
        <v>403758</v>
      </c>
      <c r="J3770">
        <f>IFERROR(VLOOKUP(G3770,'LEAID Match'!$A$2:$B$526,2,FALSE),"")</f>
        <v>2905250</v>
      </c>
      <c r="K3770" s="68">
        <f t="shared" si="117"/>
        <v>8</v>
      </c>
    </row>
    <row r="3771" spans="1:11" x14ac:dyDescent="0.2">
      <c r="A3771">
        <f t="shared" si="116"/>
        <v>2905250</v>
      </c>
      <c r="B3771">
        <v>2016</v>
      </c>
      <c r="C3771" t="s">
        <v>739</v>
      </c>
      <c r="D3771" t="s">
        <v>740</v>
      </c>
      <c r="E3771" t="s">
        <v>743</v>
      </c>
      <c r="F3771" s="34">
        <v>625</v>
      </c>
      <c r="G3771" s="34" t="s">
        <v>428</v>
      </c>
      <c r="H3771" s="36">
        <v>52848</v>
      </c>
      <c r="I3771" s="60">
        <v>390805</v>
      </c>
      <c r="J3771">
        <f>IFERROR(VLOOKUP(G3771,'LEAID Match'!$A$2:$B$526,2,FALSE),"")</f>
        <v>2905250</v>
      </c>
      <c r="K3771" s="68">
        <f t="shared" si="117"/>
        <v>8</v>
      </c>
    </row>
    <row r="3772" spans="1:11" x14ac:dyDescent="0.2">
      <c r="A3772">
        <f t="shared" si="116"/>
        <v>2905250</v>
      </c>
      <c r="B3772">
        <v>2017</v>
      </c>
      <c r="C3772" t="s">
        <v>739</v>
      </c>
      <c r="D3772" t="s">
        <v>740</v>
      </c>
      <c r="E3772" t="s">
        <v>743</v>
      </c>
      <c r="F3772" s="34">
        <v>625</v>
      </c>
      <c r="G3772" s="34" t="s">
        <v>428</v>
      </c>
      <c r="H3772" s="36">
        <v>54356</v>
      </c>
      <c r="I3772" s="58">
        <v>409557</v>
      </c>
      <c r="J3772">
        <f>IFERROR(VLOOKUP(G3772,'LEAID Match'!$A$2:$B$526,2,FALSE),"")</f>
        <v>2905250</v>
      </c>
      <c r="K3772" s="68">
        <f t="shared" si="117"/>
        <v>8</v>
      </c>
    </row>
    <row r="3773" spans="1:11" x14ac:dyDescent="0.2">
      <c r="A3773">
        <f t="shared" si="116"/>
        <v>2905250</v>
      </c>
      <c r="B3773">
        <v>2018</v>
      </c>
      <c r="C3773" t="s">
        <v>739</v>
      </c>
      <c r="D3773" t="s">
        <v>740</v>
      </c>
      <c r="E3773" t="s">
        <v>743</v>
      </c>
      <c r="F3773" s="34">
        <v>625</v>
      </c>
      <c r="G3773" s="34" t="s">
        <v>428</v>
      </c>
      <c r="H3773" s="36">
        <v>53146</v>
      </c>
      <c r="I3773" s="58">
        <v>410208</v>
      </c>
      <c r="J3773">
        <f>IFERROR(VLOOKUP(G3773,'LEAID Match'!$A$2:$B$526,2,FALSE),"")</f>
        <v>2905250</v>
      </c>
      <c r="K3773" s="68">
        <f t="shared" si="117"/>
        <v>8</v>
      </c>
    </row>
    <row r="3774" spans="1:11" x14ac:dyDescent="0.2">
      <c r="A3774">
        <f t="shared" si="116"/>
        <v>2905250</v>
      </c>
      <c r="B3774">
        <v>2019</v>
      </c>
      <c r="C3774" t="s">
        <v>739</v>
      </c>
      <c r="D3774" t="s">
        <v>740</v>
      </c>
      <c r="E3774" t="s">
        <v>743</v>
      </c>
      <c r="F3774" s="34">
        <v>625</v>
      </c>
      <c r="G3774" s="34" t="s">
        <v>428</v>
      </c>
      <c r="H3774" s="36">
        <v>59071</v>
      </c>
      <c r="I3774" s="58">
        <v>402457</v>
      </c>
      <c r="J3774">
        <f>IFERROR(VLOOKUP(G3774,'LEAID Match'!$A$2:$B$526,2,FALSE),"")</f>
        <v>2905250</v>
      </c>
      <c r="K3774" s="68">
        <f t="shared" si="117"/>
        <v>8</v>
      </c>
    </row>
    <row r="3775" spans="1:11" x14ac:dyDescent="0.2">
      <c r="A3775">
        <f t="shared" si="116"/>
        <v>2905250</v>
      </c>
      <c r="B3775">
        <v>2020</v>
      </c>
      <c r="C3775" t="s">
        <v>739</v>
      </c>
      <c r="D3775" t="s">
        <v>740</v>
      </c>
      <c r="E3775" t="s">
        <v>743</v>
      </c>
      <c r="F3775" s="34">
        <v>625</v>
      </c>
      <c r="G3775" s="34" t="s">
        <v>428</v>
      </c>
      <c r="H3775" s="36">
        <v>61315</v>
      </c>
      <c r="I3775" s="58">
        <v>381477</v>
      </c>
      <c r="J3775">
        <f>IFERROR(VLOOKUP(G3775,'LEAID Match'!$A$2:$B$526,2,FALSE),"")</f>
        <v>2905250</v>
      </c>
      <c r="K3775" s="68">
        <f t="shared" si="117"/>
        <v>8</v>
      </c>
    </row>
    <row r="3776" spans="1:11" x14ac:dyDescent="0.2">
      <c r="A3776">
        <f t="shared" si="116"/>
        <v>2905250</v>
      </c>
      <c r="B3776">
        <v>2021</v>
      </c>
      <c r="C3776" t="s">
        <v>739</v>
      </c>
      <c r="D3776" t="s">
        <v>740</v>
      </c>
      <c r="E3776" t="s">
        <v>743</v>
      </c>
      <c r="F3776" s="34">
        <v>625</v>
      </c>
      <c r="G3776" s="34" t="s">
        <v>428</v>
      </c>
      <c r="H3776" s="36">
        <v>72471</v>
      </c>
      <c r="I3776" s="58">
        <v>384128</v>
      </c>
      <c r="J3776">
        <f>IFERROR(VLOOKUP(G3776,'LEAID Match'!$A$2:$B$526,2,FALSE),"")</f>
        <v>2905250</v>
      </c>
      <c r="K3776" s="68">
        <f t="shared" si="117"/>
        <v>8</v>
      </c>
    </row>
    <row r="3777" spans="1:11" x14ac:dyDescent="0.2">
      <c r="A3777">
        <f t="shared" si="116"/>
        <v>2905250</v>
      </c>
      <c r="B3777">
        <v>2022</v>
      </c>
      <c r="C3777" t="s">
        <v>739</v>
      </c>
      <c r="D3777" t="s">
        <v>740</v>
      </c>
      <c r="E3777" t="s">
        <v>743</v>
      </c>
      <c r="F3777" s="34">
        <v>625</v>
      </c>
      <c r="G3777" s="34" t="s">
        <v>428</v>
      </c>
      <c r="H3777" s="36">
        <v>75058</v>
      </c>
      <c r="I3777" s="58">
        <v>403232</v>
      </c>
      <c r="J3777">
        <f>IFERROR(VLOOKUP(G3777,'LEAID Match'!$A$2:$B$526,2,FALSE),"")</f>
        <v>2905250</v>
      </c>
      <c r="K3777" s="68">
        <f t="shared" si="117"/>
        <v>8</v>
      </c>
    </row>
    <row r="3778" spans="1:11" x14ac:dyDescent="0.2">
      <c r="A3778">
        <f t="shared" si="116"/>
        <v>2915390</v>
      </c>
      <c r="B3778">
        <v>2015</v>
      </c>
      <c r="C3778" t="s">
        <v>739</v>
      </c>
      <c r="D3778" t="s">
        <v>740</v>
      </c>
      <c r="E3778" t="s">
        <v>743</v>
      </c>
      <c r="F3778" s="37">
        <v>626</v>
      </c>
      <c r="G3778" s="39" t="s">
        <v>429</v>
      </c>
      <c r="H3778" s="40">
        <v>24025</v>
      </c>
      <c r="I3778" s="58">
        <v>170363</v>
      </c>
      <c r="J3778">
        <f>IFERROR(VLOOKUP(G3778,'LEAID Match'!$A$2:$B$526,2,FALSE),"")</f>
        <v>2915390</v>
      </c>
      <c r="K3778" s="68">
        <f t="shared" si="117"/>
        <v>8</v>
      </c>
    </row>
    <row r="3779" spans="1:11" x14ac:dyDescent="0.2">
      <c r="A3779">
        <f t="shared" ref="A3779:A3842" si="118">J3779</f>
        <v>2915390</v>
      </c>
      <c r="B3779">
        <v>2016</v>
      </c>
      <c r="C3779" t="s">
        <v>739</v>
      </c>
      <c r="D3779" t="s">
        <v>740</v>
      </c>
      <c r="E3779" t="s">
        <v>743</v>
      </c>
      <c r="F3779" s="34">
        <v>626</v>
      </c>
      <c r="G3779" s="34" t="s">
        <v>429</v>
      </c>
      <c r="H3779" s="36">
        <v>26952</v>
      </c>
      <c r="I3779" s="60">
        <v>162614</v>
      </c>
      <c r="J3779">
        <f>IFERROR(VLOOKUP(G3779,'LEAID Match'!$A$2:$B$526,2,FALSE),"")</f>
        <v>2915390</v>
      </c>
      <c r="K3779" s="68">
        <f t="shared" ref="K3779:K3842" si="119">COUNTIF($J$2:$J$4295,J3779)</f>
        <v>8</v>
      </c>
    </row>
    <row r="3780" spans="1:11" x14ac:dyDescent="0.2">
      <c r="A3780">
        <f t="shared" si="118"/>
        <v>2915390</v>
      </c>
      <c r="B3780">
        <v>2017</v>
      </c>
      <c r="C3780" t="s">
        <v>739</v>
      </c>
      <c r="D3780" t="s">
        <v>740</v>
      </c>
      <c r="E3780" t="s">
        <v>743</v>
      </c>
      <c r="F3780" s="34">
        <v>626</v>
      </c>
      <c r="G3780" s="34" t="s">
        <v>429</v>
      </c>
      <c r="H3780" s="36">
        <v>21274</v>
      </c>
      <c r="I3780" s="58">
        <v>164092</v>
      </c>
      <c r="J3780">
        <f>IFERROR(VLOOKUP(G3780,'LEAID Match'!$A$2:$B$526,2,FALSE),"")</f>
        <v>2915390</v>
      </c>
      <c r="K3780" s="68">
        <f t="shared" si="119"/>
        <v>8</v>
      </c>
    </row>
    <row r="3781" spans="1:11" x14ac:dyDescent="0.2">
      <c r="A3781">
        <f t="shared" si="118"/>
        <v>2915390</v>
      </c>
      <c r="B3781">
        <v>2018</v>
      </c>
      <c r="C3781" t="s">
        <v>739</v>
      </c>
      <c r="D3781" t="s">
        <v>740</v>
      </c>
      <c r="E3781" t="s">
        <v>743</v>
      </c>
      <c r="F3781" s="34">
        <v>626</v>
      </c>
      <c r="G3781" s="34" t="s">
        <v>429</v>
      </c>
      <c r="H3781" s="36">
        <v>19515</v>
      </c>
      <c r="I3781" s="58">
        <v>168801</v>
      </c>
      <c r="J3781">
        <f>IFERROR(VLOOKUP(G3781,'LEAID Match'!$A$2:$B$526,2,FALSE),"")</f>
        <v>2915390</v>
      </c>
      <c r="K3781" s="68">
        <f t="shared" si="119"/>
        <v>8</v>
      </c>
    </row>
    <row r="3782" spans="1:11" x14ac:dyDescent="0.2">
      <c r="A3782">
        <f t="shared" si="118"/>
        <v>2915390</v>
      </c>
      <c r="B3782">
        <v>2019</v>
      </c>
      <c r="C3782" t="s">
        <v>739</v>
      </c>
      <c r="D3782" t="s">
        <v>740</v>
      </c>
      <c r="E3782" t="s">
        <v>743</v>
      </c>
      <c r="F3782" s="34">
        <v>626</v>
      </c>
      <c r="G3782" s="34" t="s">
        <v>429</v>
      </c>
      <c r="H3782" s="36">
        <v>22276</v>
      </c>
      <c r="I3782" s="58">
        <v>162203</v>
      </c>
      <c r="J3782">
        <f>IFERROR(VLOOKUP(G3782,'LEAID Match'!$A$2:$B$526,2,FALSE),"")</f>
        <v>2915390</v>
      </c>
      <c r="K3782" s="68">
        <f t="shared" si="119"/>
        <v>8</v>
      </c>
    </row>
    <row r="3783" spans="1:11" x14ac:dyDescent="0.2">
      <c r="A3783">
        <f t="shared" si="118"/>
        <v>2915390</v>
      </c>
      <c r="B3783">
        <v>2020</v>
      </c>
      <c r="C3783" t="s">
        <v>739</v>
      </c>
      <c r="D3783" t="s">
        <v>740</v>
      </c>
      <c r="E3783" t="s">
        <v>743</v>
      </c>
      <c r="F3783" s="34">
        <v>626</v>
      </c>
      <c r="G3783" s="34" t="s">
        <v>429</v>
      </c>
      <c r="H3783" s="36">
        <v>17395</v>
      </c>
      <c r="I3783" s="58">
        <v>163996</v>
      </c>
      <c r="J3783">
        <f>IFERROR(VLOOKUP(G3783,'LEAID Match'!$A$2:$B$526,2,FALSE),"")</f>
        <v>2915390</v>
      </c>
      <c r="K3783" s="68">
        <f t="shared" si="119"/>
        <v>8</v>
      </c>
    </row>
    <row r="3784" spans="1:11" x14ac:dyDescent="0.2">
      <c r="A3784">
        <f t="shared" si="118"/>
        <v>2915390</v>
      </c>
      <c r="B3784">
        <v>2021</v>
      </c>
      <c r="C3784" t="s">
        <v>739</v>
      </c>
      <c r="D3784" t="s">
        <v>740</v>
      </c>
      <c r="E3784" t="s">
        <v>743</v>
      </c>
      <c r="F3784" s="34">
        <v>626</v>
      </c>
      <c r="G3784" s="34" t="s">
        <v>429</v>
      </c>
      <c r="H3784" s="36">
        <v>17739</v>
      </c>
      <c r="I3784" s="58">
        <v>168632</v>
      </c>
      <c r="J3784">
        <f>IFERROR(VLOOKUP(G3784,'LEAID Match'!$A$2:$B$526,2,FALSE),"")</f>
        <v>2915390</v>
      </c>
      <c r="K3784" s="68">
        <f t="shared" si="119"/>
        <v>8</v>
      </c>
    </row>
    <row r="3785" spans="1:11" x14ac:dyDescent="0.2">
      <c r="A3785">
        <f t="shared" si="118"/>
        <v>2915390</v>
      </c>
      <c r="B3785">
        <v>2022</v>
      </c>
      <c r="C3785" t="s">
        <v>739</v>
      </c>
      <c r="D3785" t="s">
        <v>740</v>
      </c>
      <c r="E3785" t="s">
        <v>743</v>
      </c>
      <c r="F3785" s="34">
        <v>626</v>
      </c>
      <c r="G3785" s="34" t="s">
        <v>429</v>
      </c>
      <c r="H3785" s="36">
        <v>27983</v>
      </c>
      <c r="I3785" s="58">
        <v>184610</v>
      </c>
      <c r="J3785">
        <f>IFERROR(VLOOKUP(G3785,'LEAID Match'!$A$2:$B$526,2,FALSE),"")</f>
        <v>2915390</v>
      </c>
      <c r="K3785" s="68">
        <f t="shared" si="119"/>
        <v>8</v>
      </c>
    </row>
    <row r="3786" spans="1:11" x14ac:dyDescent="0.2">
      <c r="A3786">
        <f t="shared" si="118"/>
        <v>2912630</v>
      </c>
      <c r="B3786">
        <v>2015</v>
      </c>
      <c r="C3786" t="s">
        <v>739</v>
      </c>
      <c r="D3786" t="s">
        <v>740</v>
      </c>
      <c r="E3786" t="s">
        <v>743</v>
      </c>
      <c r="F3786" s="37">
        <v>627</v>
      </c>
      <c r="G3786" s="39" t="s">
        <v>430</v>
      </c>
      <c r="H3786" s="40">
        <v>45078</v>
      </c>
      <c r="I3786" s="58">
        <v>329400</v>
      </c>
      <c r="J3786">
        <f>IFERROR(VLOOKUP(G3786,'LEAID Match'!$A$2:$B$526,2,FALSE),"")</f>
        <v>2912630</v>
      </c>
      <c r="K3786" s="68">
        <f t="shared" si="119"/>
        <v>8</v>
      </c>
    </row>
    <row r="3787" spans="1:11" x14ac:dyDescent="0.2">
      <c r="A3787">
        <f t="shared" si="118"/>
        <v>2912630</v>
      </c>
      <c r="B3787">
        <v>2016</v>
      </c>
      <c r="C3787" t="s">
        <v>739</v>
      </c>
      <c r="D3787" t="s">
        <v>740</v>
      </c>
      <c r="E3787" t="s">
        <v>743</v>
      </c>
      <c r="F3787" s="34">
        <v>627</v>
      </c>
      <c r="G3787" s="34" t="s">
        <v>430</v>
      </c>
      <c r="H3787" s="36">
        <v>46471</v>
      </c>
      <c r="I3787" s="60">
        <v>333323</v>
      </c>
      <c r="J3787">
        <f>IFERROR(VLOOKUP(G3787,'LEAID Match'!$A$2:$B$526,2,FALSE),"")</f>
        <v>2912630</v>
      </c>
      <c r="K3787" s="68">
        <f t="shared" si="119"/>
        <v>8</v>
      </c>
    </row>
    <row r="3788" spans="1:11" x14ac:dyDescent="0.2">
      <c r="A3788">
        <f t="shared" si="118"/>
        <v>2912630</v>
      </c>
      <c r="B3788">
        <v>2017</v>
      </c>
      <c r="C3788" t="s">
        <v>739</v>
      </c>
      <c r="D3788" t="s">
        <v>740</v>
      </c>
      <c r="E3788" t="s">
        <v>743</v>
      </c>
      <c r="F3788" s="34">
        <v>627</v>
      </c>
      <c r="G3788" s="34" t="s">
        <v>430</v>
      </c>
      <c r="H3788" s="36">
        <v>47010</v>
      </c>
      <c r="I3788" s="58">
        <v>330774</v>
      </c>
      <c r="J3788">
        <f>IFERROR(VLOOKUP(G3788,'LEAID Match'!$A$2:$B$526,2,FALSE),"")</f>
        <v>2912630</v>
      </c>
      <c r="K3788" s="68">
        <f t="shared" si="119"/>
        <v>8</v>
      </c>
    </row>
    <row r="3789" spans="1:11" x14ac:dyDescent="0.2">
      <c r="A3789">
        <f t="shared" si="118"/>
        <v>2912630</v>
      </c>
      <c r="B3789">
        <v>2018</v>
      </c>
      <c r="C3789" t="s">
        <v>739</v>
      </c>
      <c r="D3789" t="s">
        <v>740</v>
      </c>
      <c r="E3789" t="s">
        <v>743</v>
      </c>
      <c r="F3789" s="34">
        <v>627</v>
      </c>
      <c r="G3789" s="34" t="s">
        <v>430</v>
      </c>
      <c r="H3789" s="36">
        <v>49580</v>
      </c>
      <c r="I3789" s="58">
        <v>333361</v>
      </c>
      <c r="J3789">
        <f>IFERROR(VLOOKUP(G3789,'LEAID Match'!$A$2:$B$526,2,FALSE),"")</f>
        <v>2912630</v>
      </c>
      <c r="K3789" s="68">
        <f t="shared" si="119"/>
        <v>8</v>
      </c>
    </row>
    <row r="3790" spans="1:11" x14ac:dyDescent="0.2">
      <c r="A3790">
        <f t="shared" si="118"/>
        <v>2912630</v>
      </c>
      <c r="B3790">
        <v>2019</v>
      </c>
      <c r="C3790" t="s">
        <v>739</v>
      </c>
      <c r="D3790" t="s">
        <v>740</v>
      </c>
      <c r="E3790" t="s">
        <v>743</v>
      </c>
      <c r="F3790" s="34">
        <v>627</v>
      </c>
      <c r="G3790" s="34" t="s">
        <v>430</v>
      </c>
      <c r="H3790" s="36">
        <v>53448</v>
      </c>
      <c r="I3790" s="58">
        <v>339025</v>
      </c>
      <c r="J3790">
        <f>IFERROR(VLOOKUP(G3790,'LEAID Match'!$A$2:$B$526,2,FALSE),"")</f>
        <v>2912630</v>
      </c>
      <c r="K3790" s="68">
        <f t="shared" si="119"/>
        <v>8</v>
      </c>
    </row>
    <row r="3791" spans="1:11" x14ac:dyDescent="0.2">
      <c r="A3791">
        <f t="shared" si="118"/>
        <v>2912630</v>
      </c>
      <c r="B3791">
        <v>2020</v>
      </c>
      <c r="C3791" t="s">
        <v>739</v>
      </c>
      <c r="D3791" t="s">
        <v>740</v>
      </c>
      <c r="E3791" t="s">
        <v>743</v>
      </c>
      <c r="F3791" s="34">
        <v>627</v>
      </c>
      <c r="G3791" s="34" t="s">
        <v>430</v>
      </c>
      <c r="H3791" s="36">
        <v>51197</v>
      </c>
      <c r="I3791" s="58">
        <v>345169</v>
      </c>
      <c r="J3791">
        <f>IFERROR(VLOOKUP(G3791,'LEAID Match'!$A$2:$B$526,2,FALSE),"")</f>
        <v>2912630</v>
      </c>
      <c r="K3791" s="68">
        <f t="shared" si="119"/>
        <v>8</v>
      </c>
    </row>
    <row r="3792" spans="1:11" x14ac:dyDescent="0.2">
      <c r="A3792">
        <f t="shared" si="118"/>
        <v>2912630</v>
      </c>
      <c r="B3792">
        <v>2021</v>
      </c>
      <c r="C3792" t="s">
        <v>739</v>
      </c>
      <c r="D3792" t="s">
        <v>740</v>
      </c>
      <c r="E3792" t="s">
        <v>743</v>
      </c>
      <c r="F3792" s="34">
        <v>627</v>
      </c>
      <c r="G3792" s="34" t="s">
        <v>430</v>
      </c>
      <c r="H3792" s="36">
        <v>51252</v>
      </c>
      <c r="I3792" s="58">
        <v>327968</v>
      </c>
      <c r="J3792">
        <f>IFERROR(VLOOKUP(G3792,'LEAID Match'!$A$2:$B$526,2,FALSE),"")</f>
        <v>2912630</v>
      </c>
      <c r="K3792" s="68">
        <f t="shared" si="119"/>
        <v>8</v>
      </c>
    </row>
    <row r="3793" spans="1:11" x14ac:dyDescent="0.2">
      <c r="A3793">
        <f t="shared" si="118"/>
        <v>2912630</v>
      </c>
      <c r="B3793">
        <v>2022</v>
      </c>
      <c r="C3793" t="s">
        <v>739</v>
      </c>
      <c r="D3793" t="s">
        <v>740</v>
      </c>
      <c r="E3793" t="s">
        <v>743</v>
      </c>
      <c r="F3793" s="34">
        <v>627</v>
      </c>
      <c r="G3793" s="34" t="s">
        <v>430</v>
      </c>
      <c r="H3793" s="36">
        <v>45544</v>
      </c>
      <c r="I3793" s="58">
        <v>324896</v>
      </c>
      <c r="J3793">
        <f>IFERROR(VLOOKUP(G3793,'LEAID Match'!$A$2:$B$526,2,FALSE),"")</f>
        <v>2912630</v>
      </c>
      <c r="K3793" s="68">
        <f t="shared" si="119"/>
        <v>8</v>
      </c>
    </row>
    <row r="3794" spans="1:11" x14ac:dyDescent="0.2">
      <c r="A3794">
        <f t="shared" si="118"/>
        <v>2910290</v>
      </c>
      <c r="B3794">
        <v>2015</v>
      </c>
      <c r="C3794" t="s">
        <v>739</v>
      </c>
      <c r="D3794" t="s">
        <v>740</v>
      </c>
      <c r="E3794" t="s">
        <v>743</v>
      </c>
      <c r="F3794" s="37">
        <v>628</v>
      </c>
      <c r="G3794" s="39" t="s">
        <v>431</v>
      </c>
      <c r="H3794" s="40">
        <v>54146</v>
      </c>
      <c r="I3794" s="58">
        <v>377404</v>
      </c>
      <c r="J3794">
        <f>IFERROR(VLOOKUP(G3794,'LEAID Match'!$A$2:$B$526,2,FALSE),"")</f>
        <v>2910290</v>
      </c>
      <c r="K3794" s="68">
        <f t="shared" si="119"/>
        <v>8</v>
      </c>
    </row>
    <row r="3795" spans="1:11" x14ac:dyDescent="0.2">
      <c r="A3795">
        <f t="shared" si="118"/>
        <v>2910290</v>
      </c>
      <c r="B3795">
        <v>2016</v>
      </c>
      <c r="C3795" t="s">
        <v>739</v>
      </c>
      <c r="D3795" t="s">
        <v>740</v>
      </c>
      <c r="E3795" t="s">
        <v>743</v>
      </c>
      <c r="F3795" s="34">
        <v>628</v>
      </c>
      <c r="G3795" s="34" t="s">
        <v>431</v>
      </c>
      <c r="H3795" s="36">
        <v>57394</v>
      </c>
      <c r="I3795" s="60">
        <v>383068</v>
      </c>
      <c r="J3795">
        <f>IFERROR(VLOOKUP(G3795,'LEAID Match'!$A$2:$B$526,2,FALSE),"")</f>
        <v>2910290</v>
      </c>
      <c r="K3795" s="68">
        <f t="shared" si="119"/>
        <v>8</v>
      </c>
    </row>
    <row r="3796" spans="1:11" x14ac:dyDescent="0.2">
      <c r="A3796">
        <f t="shared" si="118"/>
        <v>2910290</v>
      </c>
      <c r="B3796">
        <v>2017</v>
      </c>
      <c r="C3796" t="s">
        <v>739</v>
      </c>
      <c r="D3796" t="s">
        <v>740</v>
      </c>
      <c r="E3796" t="s">
        <v>743</v>
      </c>
      <c r="F3796" s="34">
        <v>628</v>
      </c>
      <c r="G3796" s="34" t="s">
        <v>431</v>
      </c>
      <c r="H3796" s="36">
        <v>50158</v>
      </c>
      <c r="I3796" s="58">
        <v>385457</v>
      </c>
      <c r="J3796">
        <f>IFERROR(VLOOKUP(G3796,'LEAID Match'!$A$2:$B$526,2,FALSE),"")</f>
        <v>2910290</v>
      </c>
      <c r="K3796" s="68">
        <f t="shared" si="119"/>
        <v>8</v>
      </c>
    </row>
    <row r="3797" spans="1:11" x14ac:dyDescent="0.2">
      <c r="A3797">
        <f t="shared" si="118"/>
        <v>2910290</v>
      </c>
      <c r="B3797">
        <v>2018</v>
      </c>
      <c r="C3797" t="s">
        <v>739</v>
      </c>
      <c r="D3797" t="s">
        <v>740</v>
      </c>
      <c r="E3797" t="s">
        <v>743</v>
      </c>
      <c r="F3797" s="34">
        <v>628</v>
      </c>
      <c r="G3797" s="34" t="s">
        <v>431</v>
      </c>
      <c r="H3797" s="36">
        <v>47191</v>
      </c>
      <c r="I3797" s="58">
        <v>388149</v>
      </c>
      <c r="J3797">
        <f>IFERROR(VLOOKUP(G3797,'LEAID Match'!$A$2:$B$526,2,FALSE),"")</f>
        <v>2910290</v>
      </c>
      <c r="K3797" s="68">
        <f t="shared" si="119"/>
        <v>8</v>
      </c>
    </row>
    <row r="3798" spans="1:11" x14ac:dyDescent="0.2">
      <c r="A3798">
        <f t="shared" si="118"/>
        <v>2910290</v>
      </c>
      <c r="B3798">
        <v>2019</v>
      </c>
      <c r="C3798" t="s">
        <v>739</v>
      </c>
      <c r="D3798" t="s">
        <v>740</v>
      </c>
      <c r="E3798" t="s">
        <v>743</v>
      </c>
      <c r="F3798" s="34">
        <v>628</v>
      </c>
      <c r="G3798" s="34" t="s">
        <v>431</v>
      </c>
      <c r="H3798" s="36">
        <v>46956</v>
      </c>
      <c r="I3798" s="58">
        <v>396083</v>
      </c>
      <c r="J3798">
        <f>IFERROR(VLOOKUP(G3798,'LEAID Match'!$A$2:$B$526,2,FALSE),"")</f>
        <v>2910290</v>
      </c>
      <c r="K3798" s="68">
        <f t="shared" si="119"/>
        <v>8</v>
      </c>
    </row>
    <row r="3799" spans="1:11" x14ac:dyDescent="0.2">
      <c r="A3799">
        <f t="shared" si="118"/>
        <v>2910290</v>
      </c>
      <c r="B3799">
        <v>2020</v>
      </c>
      <c r="C3799" t="s">
        <v>739</v>
      </c>
      <c r="D3799" t="s">
        <v>740</v>
      </c>
      <c r="E3799" t="s">
        <v>743</v>
      </c>
      <c r="F3799" s="34">
        <v>628</v>
      </c>
      <c r="G3799" s="34" t="s">
        <v>431</v>
      </c>
      <c r="H3799" s="36">
        <v>47683</v>
      </c>
      <c r="I3799" s="58">
        <v>394742</v>
      </c>
      <c r="J3799">
        <f>IFERROR(VLOOKUP(G3799,'LEAID Match'!$A$2:$B$526,2,FALSE),"")</f>
        <v>2910290</v>
      </c>
      <c r="K3799" s="68">
        <f t="shared" si="119"/>
        <v>8</v>
      </c>
    </row>
    <row r="3800" spans="1:11" x14ac:dyDescent="0.2">
      <c r="A3800">
        <f t="shared" si="118"/>
        <v>2910290</v>
      </c>
      <c r="B3800">
        <v>2021</v>
      </c>
      <c r="C3800" t="s">
        <v>739</v>
      </c>
      <c r="D3800" t="s">
        <v>740</v>
      </c>
      <c r="E3800" t="s">
        <v>743</v>
      </c>
      <c r="F3800" s="34">
        <v>628</v>
      </c>
      <c r="G3800" s="34" t="s">
        <v>431</v>
      </c>
      <c r="H3800" s="36">
        <v>47348</v>
      </c>
      <c r="I3800" s="58">
        <v>391070</v>
      </c>
      <c r="J3800">
        <f>IFERROR(VLOOKUP(G3800,'LEAID Match'!$A$2:$B$526,2,FALSE),"")</f>
        <v>2910290</v>
      </c>
      <c r="K3800" s="68">
        <f t="shared" si="119"/>
        <v>8</v>
      </c>
    </row>
    <row r="3801" spans="1:11" x14ac:dyDescent="0.2">
      <c r="A3801">
        <f t="shared" si="118"/>
        <v>2910290</v>
      </c>
      <c r="B3801">
        <v>2022</v>
      </c>
      <c r="C3801" t="s">
        <v>739</v>
      </c>
      <c r="D3801" t="s">
        <v>740</v>
      </c>
      <c r="E3801" t="s">
        <v>743</v>
      </c>
      <c r="F3801" s="34">
        <v>628</v>
      </c>
      <c r="G3801" s="34" t="s">
        <v>431</v>
      </c>
      <c r="H3801" s="36">
        <v>55354</v>
      </c>
      <c r="I3801" s="58">
        <v>388957</v>
      </c>
      <c r="J3801">
        <f>IFERROR(VLOOKUP(G3801,'LEAID Match'!$A$2:$B$526,2,FALSE),"")</f>
        <v>2910290</v>
      </c>
      <c r="K3801" s="68">
        <f t="shared" si="119"/>
        <v>8</v>
      </c>
    </row>
    <row r="3802" spans="1:11" x14ac:dyDescent="0.2">
      <c r="A3802">
        <f t="shared" si="118"/>
        <v>2926160</v>
      </c>
      <c r="B3802">
        <v>2015</v>
      </c>
      <c r="C3802" t="s">
        <v>739</v>
      </c>
      <c r="D3802" t="s">
        <v>740</v>
      </c>
      <c r="E3802" t="s">
        <v>743</v>
      </c>
      <c r="F3802" s="37">
        <v>629</v>
      </c>
      <c r="G3802" s="39" t="s">
        <v>432</v>
      </c>
      <c r="H3802" s="40">
        <v>229383</v>
      </c>
      <c r="I3802" s="58">
        <v>1397531</v>
      </c>
      <c r="J3802">
        <f>IFERROR(VLOOKUP(G3802,'LEAID Match'!$A$2:$B$526,2,FALSE),"")</f>
        <v>2926160</v>
      </c>
      <c r="K3802" s="68">
        <f t="shared" si="119"/>
        <v>8</v>
      </c>
    </row>
    <row r="3803" spans="1:11" x14ac:dyDescent="0.2">
      <c r="A3803">
        <f t="shared" si="118"/>
        <v>2926160</v>
      </c>
      <c r="B3803">
        <v>2016</v>
      </c>
      <c r="C3803" t="s">
        <v>739</v>
      </c>
      <c r="D3803" t="s">
        <v>740</v>
      </c>
      <c r="E3803" t="s">
        <v>743</v>
      </c>
      <c r="F3803" s="34">
        <v>629</v>
      </c>
      <c r="G3803" s="34" t="s">
        <v>432</v>
      </c>
      <c r="H3803" s="36">
        <v>235997</v>
      </c>
      <c r="I3803" s="60">
        <v>1414906</v>
      </c>
      <c r="J3803">
        <f>IFERROR(VLOOKUP(G3803,'LEAID Match'!$A$2:$B$526,2,FALSE),"")</f>
        <v>2926160</v>
      </c>
      <c r="K3803" s="68">
        <f t="shared" si="119"/>
        <v>8</v>
      </c>
    </row>
    <row r="3804" spans="1:11" x14ac:dyDescent="0.2">
      <c r="A3804">
        <f t="shared" si="118"/>
        <v>2926160</v>
      </c>
      <c r="B3804">
        <v>2017</v>
      </c>
      <c r="C3804" t="s">
        <v>739</v>
      </c>
      <c r="D3804" t="s">
        <v>740</v>
      </c>
      <c r="E3804" t="s">
        <v>743</v>
      </c>
      <c r="F3804" s="34">
        <v>629</v>
      </c>
      <c r="G3804" s="34" t="s">
        <v>432</v>
      </c>
      <c r="H3804" s="36">
        <v>248987</v>
      </c>
      <c r="I3804" s="58">
        <v>1425185</v>
      </c>
      <c r="J3804">
        <f>IFERROR(VLOOKUP(G3804,'LEAID Match'!$A$2:$B$526,2,FALSE),"")</f>
        <v>2926160</v>
      </c>
      <c r="K3804" s="68">
        <f t="shared" si="119"/>
        <v>8</v>
      </c>
    </row>
    <row r="3805" spans="1:11" x14ac:dyDescent="0.2">
      <c r="A3805">
        <f t="shared" si="118"/>
        <v>2926160</v>
      </c>
      <c r="B3805">
        <v>2018</v>
      </c>
      <c r="C3805" t="s">
        <v>739</v>
      </c>
      <c r="D3805" t="s">
        <v>740</v>
      </c>
      <c r="E3805" t="s">
        <v>743</v>
      </c>
      <c r="F3805" s="34">
        <v>629</v>
      </c>
      <c r="G3805" s="34" t="s">
        <v>432</v>
      </c>
      <c r="H3805" s="36">
        <v>259172</v>
      </c>
      <c r="I3805" s="58">
        <v>1432650</v>
      </c>
      <c r="J3805">
        <f>IFERROR(VLOOKUP(G3805,'LEAID Match'!$A$2:$B$526,2,FALSE),"")</f>
        <v>2926160</v>
      </c>
      <c r="K3805" s="68">
        <f t="shared" si="119"/>
        <v>8</v>
      </c>
    </row>
    <row r="3806" spans="1:11" x14ac:dyDescent="0.2">
      <c r="A3806">
        <f t="shared" si="118"/>
        <v>2926160</v>
      </c>
      <c r="B3806">
        <v>2019</v>
      </c>
      <c r="C3806" t="s">
        <v>739</v>
      </c>
      <c r="D3806" t="s">
        <v>740</v>
      </c>
      <c r="E3806" t="s">
        <v>743</v>
      </c>
      <c r="F3806" s="34">
        <v>629</v>
      </c>
      <c r="G3806" s="34" t="s">
        <v>432</v>
      </c>
      <c r="H3806" s="36">
        <v>258997</v>
      </c>
      <c r="I3806" s="58">
        <v>1455252</v>
      </c>
      <c r="J3806">
        <f>IFERROR(VLOOKUP(G3806,'LEAID Match'!$A$2:$B$526,2,FALSE),"")</f>
        <v>2926160</v>
      </c>
      <c r="K3806" s="68">
        <f t="shared" si="119"/>
        <v>8</v>
      </c>
    </row>
    <row r="3807" spans="1:11" x14ac:dyDescent="0.2">
      <c r="A3807">
        <f t="shared" si="118"/>
        <v>2926160</v>
      </c>
      <c r="B3807">
        <v>2020</v>
      </c>
      <c r="C3807" t="s">
        <v>739</v>
      </c>
      <c r="D3807" t="s">
        <v>740</v>
      </c>
      <c r="E3807" t="s">
        <v>743</v>
      </c>
      <c r="F3807" s="34">
        <v>629</v>
      </c>
      <c r="G3807" s="34" t="s">
        <v>432</v>
      </c>
      <c r="H3807" s="36">
        <v>263688</v>
      </c>
      <c r="I3807" s="58">
        <v>1479306</v>
      </c>
      <c r="J3807">
        <f>IFERROR(VLOOKUP(G3807,'LEAID Match'!$A$2:$B$526,2,FALSE),"")</f>
        <v>2926160</v>
      </c>
      <c r="K3807" s="68">
        <f t="shared" si="119"/>
        <v>8</v>
      </c>
    </row>
    <row r="3808" spans="1:11" x14ac:dyDescent="0.2">
      <c r="A3808">
        <f t="shared" si="118"/>
        <v>2926160</v>
      </c>
      <c r="B3808">
        <v>2021</v>
      </c>
      <c r="C3808" t="s">
        <v>739</v>
      </c>
      <c r="D3808" t="s">
        <v>740</v>
      </c>
      <c r="E3808" t="s">
        <v>743</v>
      </c>
      <c r="F3808" s="34">
        <v>629</v>
      </c>
      <c r="G3808" s="34" t="s">
        <v>432</v>
      </c>
      <c r="H3808" s="36">
        <v>261237</v>
      </c>
      <c r="I3808" s="58">
        <v>1497346</v>
      </c>
      <c r="J3808">
        <f>IFERROR(VLOOKUP(G3808,'LEAID Match'!$A$2:$B$526,2,FALSE),"")</f>
        <v>2926160</v>
      </c>
      <c r="K3808" s="68">
        <f t="shared" si="119"/>
        <v>8</v>
      </c>
    </row>
    <row r="3809" spans="1:11" x14ac:dyDescent="0.2">
      <c r="A3809">
        <f t="shared" si="118"/>
        <v>2926160</v>
      </c>
      <c r="B3809">
        <v>2022</v>
      </c>
      <c r="C3809" t="s">
        <v>739</v>
      </c>
      <c r="D3809" t="s">
        <v>740</v>
      </c>
      <c r="E3809" t="s">
        <v>743</v>
      </c>
      <c r="F3809" s="34">
        <v>629</v>
      </c>
      <c r="G3809" s="34" t="s">
        <v>432</v>
      </c>
      <c r="H3809" s="36">
        <v>307073</v>
      </c>
      <c r="I3809" s="58">
        <v>1700129</v>
      </c>
      <c r="J3809">
        <f>IFERROR(VLOOKUP(G3809,'LEAID Match'!$A$2:$B$526,2,FALSE),"")</f>
        <v>2926160</v>
      </c>
      <c r="K3809" s="68">
        <f t="shared" si="119"/>
        <v>8</v>
      </c>
    </row>
    <row r="3810" spans="1:11" x14ac:dyDescent="0.2">
      <c r="A3810">
        <f t="shared" si="118"/>
        <v>2905280</v>
      </c>
      <c r="B3810">
        <v>2015</v>
      </c>
      <c r="C3810" t="s">
        <v>739</v>
      </c>
      <c r="D3810" t="s">
        <v>740</v>
      </c>
      <c r="E3810" t="s">
        <v>743</v>
      </c>
      <c r="F3810" s="37">
        <v>630</v>
      </c>
      <c r="G3810" s="39" t="s">
        <v>433</v>
      </c>
      <c r="H3810" s="40">
        <v>105601</v>
      </c>
      <c r="I3810" s="58">
        <v>545735</v>
      </c>
      <c r="J3810">
        <f>IFERROR(VLOOKUP(G3810,'LEAID Match'!$A$2:$B$526,2,FALSE),"")</f>
        <v>2905280</v>
      </c>
      <c r="K3810" s="68">
        <f t="shared" si="119"/>
        <v>8</v>
      </c>
    </row>
    <row r="3811" spans="1:11" x14ac:dyDescent="0.2">
      <c r="A3811">
        <f t="shared" si="118"/>
        <v>2905280</v>
      </c>
      <c r="B3811">
        <v>2016</v>
      </c>
      <c r="C3811" t="s">
        <v>739</v>
      </c>
      <c r="D3811" t="s">
        <v>740</v>
      </c>
      <c r="E3811" t="s">
        <v>743</v>
      </c>
      <c r="F3811" s="34">
        <v>630</v>
      </c>
      <c r="G3811" s="34" t="s">
        <v>433</v>
      </c>
      <c r="H3811" s="36">
        <v>102253</v>
      </c>
      <c r="I3811" s="60">
        <v>536510</v>
      </c>
      <c r="J3811">
        <f>IFERROR(VLOOKUP(G3811,'LEAID Match'!$A$2:$B$526,2,FALSE),"")</f>
        <v>2905280</v>
      </c>
      <c r="K3811" s="68">
        <f t="shared" si="119"/>
        <v>8</v>
      </c>
    </row>
    <row r="3812" spans="1:11" x14ac:dyDescent="0.2">
      <c r="A3812">
        <f t="shared" si="118"/>
        <v>2905280</v>
      </c>
      <c r="B3812">
        <v>2017</v>
      </c>
      <c r="C3812" t="s">
        <v>739</v>
      </c>
      <c r="D3812" t="s">
        <v>740</v>
      </c>
      <c r="E3812" t="s">
        <v>743</v>
      </c>
      <c r="F3812" s="34">
        <v>630</v>
      </c>
      <c r="G3812" s="34" t="s">
        <v>433</v>
      </c>
      <c r="H3812" s="36">
        <v>107402</v>
      </c>
      <c r="I3812" s="58">
        <v>536045</v>
      </c>
      <c r="J3812">
        <f>IFERROR(VLOOKUP(G3812,'LEAID Match'!$A$2:$B$526,2,FALSE),"")</f>
        <v>2905280</v>
      </c>
      <c r="K3812" s="68">
        <f t="shared" si="119"/>
        <v>8</v>
      </c>
    </row>
    <row r="3813" spans="1:11" x14ac:dyDescent="0.2">
      <c r="A3813">
        <f t="shared" si="118"/>
        <v>2905280</v>
      </c>
      <c r="B3813">
        <v>2018</v>
      </c>
      <c r="C3813" t="s">
        <v>739</v>
      </c>
      <c r="D3813" t="s">
        <v>740</v>
      </c>
      <c r="E3813" t="s">
        <v>743</v>
      </c>
      <c r="F3813" s="34">
        <v>630</v>
      </c>
      <c r="G3813" s="34" t="s">
        <v>433</v>
      </c>
      <c r="H3813" s="36">
        <v>116216</v>
      </c>
      <c r="I3813" s="58">
        <v>539567</v>
      </c>
      <c r="J3813">
        <f>IFERROR(VLOOKUP(G3813,'LEAID Match'!$A$2:$B$526,2,FALSE),"")</f>
        <v>2905280</v>
      </c>
      <c r="K3813" s="68">
        <f t="shared" si="119"/>
        <v>8</v>
      </c>
    </row>
    <row r="3814" spans="1:11" x14ac:dyDescent="0.2">
      <c r="A3814">
        <f t="shared" si="118"/>
        <v>2905280</v>
      </c>
      <c r="B3814">
        <v>2019</v>
      </c>
      <c r="C3814" t="s">
        <v>739</v>
      </c>
      <c r="D3814" t="s">
        <v>740</v>
      </c>
      <c r="E3814" t="s">
        <v>743</v>
      </c>
      <c r="F3814" s="34">
        <v>630</v>
      </c>
      <c r="G3814" s="34" t="s">
        <v>433</v>
      </c>
      <c r="H3814" s="36">
        <v>121507</v>
      </c>
      <c r="I3814" s="58">
        <v>521177</v>
      </c>
      <c r="J3814">
        <f>IFERROR(VLOOKUP(G3814,'LEAID Match'!$A$2:$B$526,2,FALSE),"")</f>
        <v>2905280</v>
      </c>
      <c r="K3814" s="68">
        <f t="shared" si="119"/>
        <v>8</v>
      </c>
    </row>
    <row r="3815" spans="1:11" x14ac:dyDescent="0.2">
      <c r="A3815">
        <f t="shared" si="118"/>
        <v>2905280</v>
      </c>
      <c r="B3815">
        <v>2020</v>
      </c>
      <c r="C3815" t="s">
        <v>739</v>
      </c>
      <c r="D3815" t="s">
        <v>740</v>
      </c>
      <c r="E3815" t="s">
        <v>743</v>
      </c>
      <c r="F3815" s="34">
        <v>630</v>
      </c>
      <c r="G3815" s="34" t="s">
        <v>433</v>
      </c>
      <c r="H3815" s="36">
        <v>95702</v>
      </c>
      <c r="I3815" s="58">
        <v>446735</v>
      </c>
      <c r="J3815">
        <f>IFERROR(VLOOKUP(G3815,'LEAID Match'!$A$2:$B$526,2,FALSE),"")</f>
        <v>2905280</v>
      </c>
      <c r="K3815" s="68">
        <f t="shared" si="119"/>
        <v>8</v>
      </c>
    </row>
    <row r="3816" spans="1:11" x14ac:dyDescent="0.2">
      <c r="A3816">
        <f t="shared" si="118"/>
        <v>2905280</v>
      </c>
      <c r="B3816">
        <v>2021</v>
      </c>
      <c r="C3816" t="s">
        <v>739</v>
      </c>
      <c r="D3816" t="s">
        <v>740</v>
      </c>
      <c r="E3816" t="s">
        <v>743</v>
      </c>
      <c r="F3816" s="34">
        <v>630</v>
      </c>
      <c r="G3816" s="34" t="s">
        <v>433</v>
      </c>
      <c r="H3816" s="36">
        <v>93395</v>
      </c>
      <c r="I3816" s="58">
        <v>465534</v>
      </c>
      <c r="J3816">
        <f>IFERROR(VLOOKUP(G3816,'LEAID Match'!$A$2:$B$526,2,FALSE),"")</f>
        <v>2905280</v>
      </c>
      <c r="K3816" s="68">
        <f t="shared" si="119"/>
        <v>8</v>
      </c>
    </row>
    <row r="3817" spans="1:11" x14ac:dyDescent="0.2">
      <c r="A3817">
        <f t="shared" si="118"/>
        <v>2905280</v>
      </c>
      <c r="B3817">
        <v>2022</v>
      </c>
      <c r="C3817" t="s">
        <v>739</v>
      </c>
      <c r="D3817" t="s">
        <v>740</v>
      </c>
      <c r="E3817" t="s">
        <v>743</v>
      </c>
      <c r="F3817" s="34">
        <v>630</v>
      </c>
      <c r="G3817" s="34" t="s">
        <v>433</v>
      </c>
      <c r="H3817" s="36">
        <v>99836</v>
      </c>
      <c r="I3817" s="58">
        <v>487711</v>
      </c>
      <c r="J3817">
        <f>IFERROR(VLOOKUP(G3817,'LEAID Match'!$A$2:$B$526,2,FALSE),"")</f>
        <v>2905280</v>
      </c>
      <c r="K3817" s="68">
        <f t="shared" si="119"/>
        <v>8</v>
      </c>
    </row>
    <row r="3818" spans="1:11" x14ac:dyDescent="0.2">
      <c r="A3818">
        <f t="shared" si="118"/>
        <v>2913230</v>
      </c>
      <c r="B3818">
        <v>2015</v>
      </c>
      <c r="C3818" t="s">
        <v>739</v>
      </c>
      <c r="D3818" t="s">
        <v>740</v>
      </c>
      <c r="E3818" t="s">
        <v>743</v>
      </c>
      <c r="F3818" s="37">
        <v>631</v>
      </c>
      <c r="G3818" s="39" t="s">
        <v>434</v>
      </c>
      <c r="H3818" s="40">
        <v>35495</v>
      </c>
      <c r="I3818" s="58">
        <v>208665</v>
      </c>
      <c r="J3818">
        <f>IFERROR(VLOOKUP(G3818,'LEAID Match'!$A$2:$B$526,2,FALSE),"")</f>
        <v>2913230</v>
      </c>
      <c r="K3818" s="68">
        <f t="shared" si="119"/>
        <v>8</v>
      </c>
    </row>
    <row r="3819" spans="1:11" x14ac:dyDescent="0.2">
      <c r="A3819">
        <f t="shared" si="118"/>
        <v>2913230</v>
      </c>
      <c r="B3819">
        <v>2016</v>
      </c>
      <c r="C3819" t="s">
        <v>739</v>
      </c>
      <c r="D3819" t="s">
        <v>740</v>
      </c>
      <c r="E3819" t="s">
        <v>743</v>
      </c>
      <c r="F3819" s="34">
        <v>631</v>
      </c>
      <c r="G3819" s="34" t="s">
        <v>434</v>
      </c>
      <c r="H3819" s="36">
        <v>32597</v>
      </c>
      <c r="I3819" s="60">
        <v>219319</v>
      </c>
      <c r="J3819">
        <f>IFERROR(VLOOKUP(G3819,'LEAID Match'!$A$2:$B$526,2,FALSE),"")</f>
        <v>2913230</v>
      </c>
      <c r="K3819" s="68">
        <f t="shared" si="119"/>
        <v>8</v>
      </c>
    </row>
    <row r="3820" spans="1:11" x14ac:dyDescent="0.2">
      <c r="A3820">
        <f t="shared" si="118"/>
        <v>2913230</v>
      </c>
      <c r="B3820">
        <v>2017</v>
      </c>
      <c r="C3820" t="s">
        <v>739</v>
      </c>
      <c r="D3820" t="s">
        <v>740</v>
      </c>
      <c r="E3820" t="s">
        <v>743</v>
      </c>
      <c r="F3820" s="34">
        <v>631</v>
      </c>
      <c r="G3820" s="34" t="s">
        <v>434</v>
      </c>
      <c r="H3820" s="36">
        <v>35174</v>
      </c>
      <c r="I3820" s="58">
        <v>222173</v>
      </c>
      <c r="J3820">
        <f>IFERROR(VLOOKUP(G3820,'LEAID Match'!$A$2:$B$526,2,FALSE),"")</f>
        <v>2913230</v>
      </c>
      <c r="K3820" s="68">
        <f t="shared" si="119"/>
        <v>8</v>
      </c>
    </row>
    <row r="3821" spans="1:11" x14ac:dyDescent="0.2">
      <c r="A3821">
        <f t="shared" si="118"/>
        <v>2913230</v>
      </c>
      <c r="B3821">
        <v>2018</v>
      </c>
      <c r="C3821" t="s">
        <v>739</v>
      </c>
      <c r="D3821" t="s">
        <v>740</v>
      </c>
      <c r="E3821" t="s">
        <v>743</v>
      </c>
      <c r="F3821" s="34">
        <v>631</v>
      </c>
      <c r="G3821" s="34" t="s">
        <v>434</v>
      </c>
      <c r="H3821" s="36">
        <v>36649</v>
      </c>
      <c r="I3821" s="58">
        <v>224451</v>
      </c>
      <c r="J3821">
        <f>IFERROR(VLOOKUP(G3821,'LEAID Match'!$A$2:$B$526,2,FALSE),"")</f>
        <v>2913230</v>
      </c>
      <c r="K3821" s="68">
        <f t="shared" si="119"/>
        <v>8</v>
      </c>
    </row>
    <row r="3822" spans="1:11" x14ac:dyDescent="0.2">
      <c r="A3822">
        <f t="shared" si="118"/>
        <v>2913230</v>
      </c>
      <c r="B3822">
        <v>2019</v>
      </c>
      <c r="C3822" t="s">
        <v>739</v>
      </c>
      <c r="D3822" t="s">
        <v>740</v>
      </c>
      <c r="E3822" t="s">
        <v>743</v>
      </c>
      <c r="F3822" s="34">
        <v>631</v>
      </c>
      <c r="G3822" s="34" t="s">
        <v>434</v>
      </c>
      <c r="H3822" s="36">
        <v>49022</v>
      </c>
      <c r="I3822" s="58">
        <v>228783</v>
      </c>
      <c r="J3822">
        <f>IFERROR(VLOOKUP(G3822,'LEAID Match'!$A$2:$B$526,2,FALSE),"")</f>
        <v>2913230</v>
      </c>
      <c r="K3822" s="68">
        <f t="shared" si="119"/>
        <v>8</v>
      </c>
    </row>
    <row r="3823" spans="1:11" x14ac:dyDescent="0.2">
      <c r="A3823">
        <f t="shared" si="118"/>
        <v>2913230</v>
      </c>
      <c r="B3823">
        <v>2020</v>
      </c>
      <c r="C3823" t="s">
        <v>739</v>
      </c>
      <c r="D3823" t="s">
        <v>740</v>
      </c>
      <c r="E3823" t="s">
        <v>743</v>
      </c>
      <c r="F3823" s="34">
        <v>631</v>
      </c>
      <c r="G3823" s="34" t="s">
        <v>434</v>
      </c>
      <c r="H3823" s="36">
        <v>47892</v>
      </c>
      <c r="I3823" s="58">
        <v>256631</v>
      </c>
      <c r="J3823">
        <f>IFERROR(VLOOKUP(G3823,'LEAID Match'!$A$2:$B$526,2,FALSE),"")</f>
        <v>2913230</v>
      </c>
      <c r="K3823" s="68">
        <f t="shared" si="119"/>
        <v>8</v>
      </c>
    </row>
    <row r="3824" spans="1:11" x14ac:dyDescent="0.2">
      <c r="A3824">
        <f t="shared" si="118"/>
        <v>2913230</v>
      </c>
      <c r="B3824">
        <v>2021</v>
      </c>
      <c r="C3824" t="s">
        <v>739</v>
      </c>
      <c r="D3824" t="s">
        <v>740</v>
      </c>
      <c r="E3824" t="s">
        <v>743</v>
      </c>
      <c r="F3824" s="34">
        <v>631</v>
      </c>
      <c r="G3824" s="34" t="s">
        <v>434</v>
      </c>
      <c r="H3824" s="36">
        <v>45184</v>
      </c>
      <c r="I3824" s="58">
        <v>241776</v>
      </c>
      <c r="J3824">
        <f>IFERROR(VLOOKUP(G3824,'LEAID Match'!$A$2:$B$526,2,FALSE),"")</f>
        <v>2913230</v>
      </c>
      <c r="K3824" s="68">
        <f t="shared" si="119"/>
        <v>8</v>
      </c>
    </row>
    <row r="3825" spans="1:11" x14ac:dyDescent="0.2">
      <c r="A3825">
        <f t="shared" si="118"/>
        <v>2913230</v>
      </c>
      <c r="B3825">
        <v>2022</v>
      </c>
      <c r="C3825" t="s">
        <v>739</v>
      </c>
      <c r="D3825" t="s">
        <v>740</v>
      </c>
      <c r="E3825" t="s">
        <v>743</v>
      </c>
      <c r="F3825" s="34">
        <v>631</v>
      </c>
      <c r="G3825" s="34" t="s">
        <v>434</v>
      </c>
      <c r="H3825" s="36">
        <v>55487</v>
      </c>
      <c r="I3825" s="58">
        <v>253760</v>
      </c>
      <c r="J3825">
        <f>IFERROR(VLOOKUP(G3825,'LEAID Match'!$A$2:$B$526,2,FALSE),"")</f>
        <v>2913230</v>
      </c>
      <c r="K3825" s="68">
        <f t="shared" si="119"/>
        <v>8</v>
      </c>
    </row>
    <row r="3826" spans="1:11" x14ac:dyDescent="0.2">
      <c r="A3826">
        <f t="shared" si="118"/>
        <v>2922470</v>
      </c>
      <c r="B3826">
        <v>2015</v>
      </c>
      <c r="C3826" t="s">
        <v>739</v>
      </c>
      <c r="D3826" t="s">
        <v>740</v>
      </c>
      <c r="E3826" t="s">
        <v>743</v>
      </c>
      <c r="F3826" s="37">
        <v>632</v>
      </c>
      <c r="G3826" s="39" t="s">
        <v>435</v>
      </c>
      <c r="H3826" s="40">
        <v>15307</v>
      </c>
      <c r="I3826" s="58">
        <v>115321</v>
      </c>
      <c r="J3826">
        <f>IFERROR(VLOOKUP(G3826,'LEAID Match'!$A$2:$B$526,2,FALSE),"")</f>
        <v>2922470</v>
      </c>
      <c r="K3826" s="68">
        <f t="shared" si="119"/>
        <v>8</v>
      </c>
    </row>
    <row r="3827" spans="1:11" x14ac:dyDescent="0.2">
      <c r="A3827">
        <f t="shared" si="118"/>
        <v>2922470</v>
      </c>
      <c r="B3827">
        <v>2016</v>
      </c>
      <c r="C3827" t="s">
        <v>739</v>
      </c>
      <c r="D3827" t="s">
        <v>740</v>
      </c>
      <c r="E3827" t="s">
        <v>743</v>
      </c>
      <c r="F3827" s="34">
        <v>632</v>
      </c>
      <c r="G3827" s="34" t="s">
        <v>435</v>
      </c>
      <c r="H3827" s="36">
        <v>15692</v>
      </c>
      <c r="I3827" s="60">
        <v>115801</v>
      </c>
      <c r="J3827">
        <f>IFERROR(VLOOKUP(G3827,'LEAID Match'!$A$2:$B$526,2,FALSE),"")</f>
        <v>2922470</v>
      </c>
      <c r="K3827" s="68">
        <f t="shared" si="119"/>
        <v>8</v>
      </c>
    </row>
    <row r="3828" spans="1:11" x14ac:dyDescent="0.2">
      <c r="A3828">
        <f t="shared" si="118"/>
        <v>2922470</v>
      </c>
      <c r="B3828">
        <v>2017</v>
      </c>
      <c r="C3828" t="s">
        <v>739</v>
      </c>
      <c r="D3828" t="s">
        <v>740</v>
      </c>
      <c r="E3828" t="s">
        <v>743</v>
      </c>
      <c r="F3828" s="34">
        <v>632</v>
      </c>
      <c r="G3828" s="34" t="s">
        <v>435</v>
      </c>
      <c r="H3828" s="36">
        <v>17738</v>
      </c>
      <c r="I3828" s="58">
        <v>107689</v>
      </c>
      <c r="J3828">
        <f>IFERROR(VLOOKUP(G3828,'LEAID Match'!$A$2:$B$526,2,FALSE),"")</f>
        <v>2922470</v>
      </c>
      <c r="K3828" s="68">
        <f t="shared" si="119"/>
        <v>8</v>
      </c>
    </row>
    <row r="3829" spans="1:11" x14ac:dyDescent="0.2">
      <c r="A3829">
        <f t="shared" si="118"/>
        <v>2922470</v>
      </c>
      <c r="B3829">
        <v>2018</v>
      </c>
      <c r="C3829" t="s">
        <v>739</v>
      </c>
      <c r="D3829" t="s">
        <v>740</v>
      </c>
      <c r="E3829" t="s">
        <v>743</v>
      </c>
      <c r="F3829" s="34">
        <v>632</v>
      </c>
      <c r="G3829" s="34" t="s">
        <v>435</v>
      </c>
      <c r="H3829" s="36">
        <v>21176</v>
      </c>
      <c r="I3829" s="58">
        <v>108739</v>
      </c>
      <c r="J3829">
        <f>IFERROR(VLOOKUP(G3829,'LEAID Match'!$A$2:$B$526,2,FALSE),"")</f>
        <v>2922470</v>
      </c>
      <c r="K3829" s="68">
        <f t="shared" si="119"/>
        <v>8</v>
      </c>
    </row>
    <row r="3830" spans="1:11" x14ac:dyDescent="0.2">
      <c r="A3830">
        <f t="shared" si="118"/>
        <v>2922470</v>
      </c>
      <c r="B3830">
        <v>2019</v>
      </c>
      <c r="C3830" t="s">
        <v>739</v>
      </c>
      <c r="D3830" t="s">
        <v>740</v>
      </c>
      <c r="E3830" t="s">
        <v>743</v>
      </c>
      <c r="F3830" s="34">
        <v>632</v>
      </c>
      <c r="G3830" s="34" t="s">
        <v>435</v>
      </c>
      <c r="H3830" s="36">
        <v>25354</v>
      </c>
      <c r="I3830" s="58">
        <v>111731</v>
      </c>
      <c r="J3830">
        <f>IFERROR(VLOOKUP(G3830,'LEAID Match'!$A$2:$B$526,2,FALSE),"")</f>
        <v>2922470</v>
      </c>
      <c r="K3830" s="68">
        <f t="shared" si="119"/>
        <v>8</v>
      </c>
    </row>
    <row r="3831" spans="1:11" x14ac:dyDescent="0.2">
      <c r="A3831">
        <f t="shared" si="118"/>
        <v>2922470</v>
      </c>
      <c r="B3831">
        <v>2020</v>
      </c>
      <c r="C3831" t="s">
        <v>739</v>
      </c>
      <c r="D3831" t="s">
        <v>740</v>
      </c>
      <c r="E3831" t="s">
        <v>743</v>
      </c>
      <c r="F3831" s="34">
        <v>632</v>
      </c>
      <c r="G3831" s="34" t="s">
        <v>435</v>
      </c>
      <c r="H3831" s="36">
        <v>30532</v>
      </c>
      <c r="I3831" s="58">
        <v>100423</v>
      </c>
      <c r="J3831">
        <f>IFERROR(VLOOKUP(G3831,'LEAID Match'!$A$2:$B$526,2,FALSE),"")</f>
        <v>2922470</v>
      </c>
      <c r="K3831" s="68">
        <f t="shared" si="119"/>
        <v>8</v>
      </c>
    </row>
    <row r="3832" spans="1:11" x14ac:dyDescent="0.2">
      <c r="A3832">
        <f t="shared" si="118"/>
        <v>2922470</v>
      </c>
      <c r="B3832">
        <v>2021</v>
      </c>
      <c r="C3832" t="s">
        <v>739</v>
      </c>
      <c r="D3832" t="s">
        <v>740</v>
      </c>
      <c r="E3832" t="s">
        <v>743</v>
      </c>
      <c r="F3832" s="34">
        <v>632</v>
      </c>
      <c r="G3832" s="34" t="s">
        <v>435</v>
      </c>
      <c r="H3832" s="36">
        <v>29973</v>
      </c>
      <c r="I3832" s="58">
        <v>95001</v>
      </c>
      <c r="J3832">
        <f>IFERROR(VLOOKUP(G3832,'LEAID Match'!$A$2:$B$526,2,FALSE),"")</f>
        <v>2922470</v>
      </c>
      <c r="K3832" s="68">
        <f t="shared" si="119"/>
        <v>8</v>
      </c>
    </row>
    <row r="3833" spans="1:11" x14ac:dyDescent="0.2">
      <c r="A3833">
        <f t="shared" si="118"/>
        <v>2922470</v>
      </c>
      <c r="B3833">
        <v>2022</v>
      </c>
      <c r="C3833" t="s">
        <v>739</v>
      </c>
      <c r="D3833" t="s">
        <v>740</v>
      </c>
      <c r="E3833" t="s">
        <v>743</v>
      </c>
      <c r="F3833" s="34">
        <v>632</v>
      </c>
      <c r="G3833" s="34" t="s">
        <v>435</v>
      </c>
      <c r="H3833" s="36">
        <v>31603</v>
      </c>
      <c r="I3833" s="58">
        <v>98100</v>
      </c>
      <c r="J3833">
        <f>IFERROR(VLOOKUP(G3833,'LEAID Match'!$A$2:$B$526,2,FALSE),"")</f>
        <v>2922470</v>
      </c>
      <c r="K3833" s="68">
        <f t="shared" si="119"/>
        <v>8</v>
      </c>
    </row>
    <row r="3834" spans="1:11" x14ac:dyDescent="0.2">
      <c r="A3834">
        <f t="shared" si="118"/>
        <v>2920940</v>
      </c>
      <c r="B3834">
        <v>2015</v>
      </c>
      <c r="C3834" t="s">
        <v>739</v>
      </c>
      <c r="D3834" t="s">
        <v>740</v>
      </c>
      <c r="E3834" t="s">
        <v>743</v>
      </c>
      <c r="F3834" s="37">
        <v>633</v>
      </c>
      <c r="G3834" s="39" t="s">
        <v>436</v>
      </c>
      <c r="H3834" s="40">
        <v>58858</v>
      </c>
      <c r="I3834" s="58">
        <v>436684</v>
      </c>
      <c r="J3834">
        <f>IFERROR(VLOOKUP(G3834,'LEAID Match'!$A$2:$B$526,2,FALSE),"")</f>
        <v>2920940</v>
      </c>
      <c r="K3834" s="68">
        <f t="shared" si="119"/>
        <v>8</v>
      </c>
    </row>
    <row r="3835" spans="1:11" x14ac:dyDescent="0.2">
      <c r="A3835">
        <f t="shared" si="118"/>
        <v>2920940</v>
      </c>
      <c r="B3835">
        <v>2016</v>
      </c>
      <c r="C3835" t="s">
        <v>739</v>
      </c>
      <c r="D3835" t="s">
        <v>740</v>
      </c>
      <c r="E3835" t="s">
        <v>743</v>
      </c>
      <c r="F3835" s="34">
        <v>633</v>
      </c>
      <c r="G3835" s="34" t="s">
        <v>436</v>
      </c>
      <c r="H3835" s="36">
        <v>60985</v>
      </c>
      <c r="I3835" s="60">
        <v>441152</v>
      </c>
      <c r="J3835">
        <f>IFERROR(VLOOKUP(G3835,'LEAID Match'!$A$2:$B$526,2,FALSE),"")</f>
        <v>2920940</v>
      </c>
      <c r="K3835" s="68">
        <f t="shared" si="119"/>
        <v>8</v>
      </c>
    </row>
    <row r="3836" spans="1:11" x14ac:dyDescent="0.2">
      <c r="A3836">
        <f t="shared" si="118"/>
        <v>2920940</v>
      </c>
      <c r="B3836">
        <v>2017</v>
      </c>
      <c r="C3836" t="s">
        <v>739</v>
      </c>
      <c r="D3836" t="s">
        <v>740</v>
      </c>
      <c r="E3836" t="s">
        <v>743</v>
      </c>
      <c r="F3836" s="34">
        <v>633</v>
      </c>
      <c r="G3836" s="34" t="s">
        <v>436</v>
      </c>
      <c r="H3836" s="36">
        <v>68120</v>
      </c>
      <c r="I3836" s="58">
        <v>440871</v>
      </c>
      <c r="J3836">
        <f>IFERROR(VLOOKUP(G3836,'LEAID Match'!$A$2:$B$526,2,FALSE),"")</f>
        <v>2920940</v>
      </c>
      <c r="K3836" s="68">
        <f t="shared" si="119"/>
        <v>8</v>
      </c>
    </row>
    <row r="3837" spans="1:11" x14ac:dyDescent="0.2">
      <c r="A3837">
        <f t="shared" si="118"/>
        <v>2920940</v>
      </c>
      <c r="B3837">
        <v>2018</v>
      </c>
      <c r="C3837" t="s">
        <v>739</v>
      </c>
      <c r="D3837" t="s">
        <v>740</v>
      </c>
      <c r="E3837" t="s">
        <v>743</v>
      </c>
      <c r="F3837" s="34">
        <v>633</v>
      </c>
      <c r="G3837" s="34" t="s">
        <v>436</v>
      </c>
      <c r="H3837" s="36">
        <v>68335</v>
      </c>
      <c r="I3837" s="58">
        <v>455797</v>
      </c>
      <c r="J3837">
        <f>IFERROR(VLOOKUP(G3837,'LEAID Match'!$A$2:$B$526,2,FALSE),"")</f>
        <v>2920940</v>
      </c>
      <c r="K3837" s="68">
        <f t="shared" si="119"/>
        <v>8</v>
      </c>
    </row>
    <row r="3838" spans="1:11" x14ac:dyDescent="0.2">
      <c r="A3838">
        <f t="shared" si="118"/>
        <v>2920940</v>
      </c>
      <c r="B3838">
        <v>2019</v>
      </c>
      <c r="C3838" t="s">
        <v>739</v>
      </c>
      <c r="D3838" t="s">
        <v>740</v>
      </c>
      <c r="E3838" t="s">
        <v>743</v>
      </c>
      <c r="F3838" s="34">
        <v>633</v>
      </c>
      <c r="G3838" s="34" t="s">
        <v>436</v>
      </c>
      <c r="H3838" s="36">
        <v>72061</v>
      </c>
      <c r="I3838" s="58">
        <v>472038</v>
      </c>
      <c r="J3838">
        <f>IFERROR(VLOOKUP(G3838,'LEAID Match'!$A$2:$B$526,2,FALSE),"")</f>
        <v>2920940</v>
      </c>
      <c r="K3838" s="68">
        <f t="shared" si="119"/>
        <v>8</v>
      </c>
    </row>
    <row r="3839" spans="1:11" x14ac:dyDescent="0.2">
      <c r="A3839">
        <f t="shared" si="118"/>
        <v>2920940</v>
      </c>
      <c r="B3839">
        <v>2020</v>
      </c>
      <c r="C3839" t="s">
        <v>739</v>
      </c>
      <c r="D3839" t="s">
        <v>740</v>
      </c>
      <c r="E3839" t="s">
        <v>743</v>
      </c>
      <c r="F3839" s="34">
        <v>633</v>
      </c>
      <c r="G3839" s="34" t="s">
        <v>436</v>
      </c>
      <c r="H3839" s="36">
        <v>69123</v>
      </c>
      <c r="I3839" s="58">
        <v>463368</v>
      </c>
      <c r="J3839">
        <f>IFERROR(VLOOKUP(G3839,'LEAID Match'!$A$2:$B$526,2,FALSE),"")</f>
        <v>2920940</v>
      </c>
      <c r="K3839" s="68">
        <f t="shared" si="119"/>
        <v>8</v>
      </c>
    </row>
    <row r="3840" spans="1:11" x14ac:dyDescent="0.2">
      <c r="A3840">
        <f t="shared" si="118"/>
        <v>2920940</v>
      </c>
      <c r="B3840">
        <v>2021</v>
      </c>
      <c r="C3840" t="s">
        <v>739</v>
      </c>
      <c r="D3840" t="s">
        <v>740</v>
      </c>
      <c r="E3840" t="s">
        <v>743</v>
      </c>
      <c r="F3840" s="34">
        <v>633</v>
      </c>
      <c r="G3840" s="34" t="s">
        <v>436</v>
      </c>
      <c r="H3840" s="36">
        <v>77269</v>
      </c>
      <c r="I3840" s="58">
        <v>507785</v>
      </c>
      <c r="J3840">
        <f>IFERROR(VLOOKUP(G3840,'LEAID Match'!$A$2:$B$526,2,FALSE),"")</f>
        <v>2920940</v>
      </c>
      <c r="K3840" s="68">
        <f t="shared" si="119"/>
        <v>8</v>
      </c>
    </row>
    <row r="3841" spans="1:11" x14ac:dyDescent="0.2">
      <c r="A3841">
        <f t="shared" si="118"/>
        <v>2920940</v>
      </c>
      <c r="B3841">
        <v>2022</v>
      </c>
      <c r="C3841" t="s">
        <v>739</v>
      </c>
      <c r="D3841" t="s">
        <v>740</v>
      </c>
      <c r="E3841" t="s">
        <v>743</v>
      </c>
      <c r="F3841" s="34">
        <v>633</v>
      </c>
      <c r="G3841" s="34" t="s">
        <v>436</v>
      </c>
      <c r="H3841" s="36">
        <v>97742</v>
      </c>
      <c r="I3841" s="58">
        <v>474024</v>
      </c>
      <c r="J3841">
        <f>IFERROR(VLOOKUP(G3841,'LEAID Match'!$A$2:$B$526,2,FALSE),"")</f>
        <v>2920940</v>
      </c>
      <c r="K3841" s="68">
        <f t="shared" si="119"/>
        <v>8</v>
      </c>
    </row>
    <row r="3842" spans="1:11" x14ac:dyDescent="0.2">
      <c r="A3842">
        <f t="shared" si="118"/>
        <v>2905700</v>
      </c>
      <c r="B3842">
        <v>2015</v>
      </c>
      <c r="C3842" t="s">
        <v>739</v>
      </c>
      <c r="D3842" t="s">
        <v>740</v>
      </c>
      <c r="E3842" t="s">
        <v>743</v>
      </c>
      <c r="F3842" s="37">
        <v>634</v>
      </c>
      <c r="G3842" s="39" t="s">
        <v>437</v>
      </c>
      <c r="H3842" s="40">
        <v>23188</v>
      </c>
      <c r="I3842" s="58">
        <v>165438</v>
      </c>
      <c r="J3842">
        <f>IFERROR(VLOOKUP(G3842,'LEAID Match'!$A$2:$B$526,2,FALSE),"")</f>
        <v>2905700</v>
      </c>
      <c r="K3842" s="68">
        <f t="shared" si="119"/>
        <v>8</v>
      </c>
    </row>
    <row r="3843" spans="1:11" x14ac:dyDescent="0.2">
      <c r="A3843">
        <f t="shared" ref="A3843:A3906" si="120">J3843</f>
        <v>2905700</v>
      </c>
      <c r="B3843">
        <v>2016</v>
      </c>
      <c r="C3843" t="s">
        <v>739</v>
      </c>
      <c r="D3843" t="s">
        <v>740</v>
      </c>
      <c r="E3843" t="s">
        <v>743</v>
      </c>
      <c r="F3843" s="34">
        <v>634</v>
      </c>
      <c r="G3843" s="34" t="s">
        <v>437</v>
      </c>
      <c r="H3843" s="36">
        <v>22259</v>
      </c>
      <c r="I3843" s="60">
        <v>172383</v>
      </c>
      <c r="J3843">
        <f>IFERROR(VLOOKUP(G3843,'LEAID Match'!$A$2:$B$526,2,FALSE),"")</f>
        <v>2905700</v>
      </c>
      <c r="K3843" s="68">
        <f t="shared" ref="K3843:K3906" si="121">COUNTIF($J$2:$J$4295,J3843)</f>
        <v>8</v>
      </c>
    </row>
    <row r="3844" spans="1:11" x14ac:dyDescent="0.2">
      <c r="A3844">
        <f t="shared" si="120"/>
        <v>2905700</v>
      </c>
      <c r="B3844">
        <v>2017</v>
      </c>
      <c r="C3844" t="s">
        <v>739</v>
      </c>
      <c r="D3844" t="s">
        <v>740</v>
      </c>
      <c r="E3844" t="s">
        <v>743</v>
      </c>
      <c r="F3844" s="34">
        <v>634</v>
      </c>
      <c r="G3844" s="34" t="s">
        <v>437</v>
      </c>
      <c r="H3844" s="36">
        <v>25045</v>
      </c>
      <c r="I3844" s="58">
        <v>171516</v>
      </c>
      <c r="J3844">
        <f>IFERROR(VLOOKUP(G3844,'LEAID Match'!$A$2:$B$526,2,FALSE),"")</f>
        <v>2905700</v>
      </c>
      <c r="K3844" s="68">
        <f t="shared" si="121"/>
        <v>8</v>
      </c>
    </row>
    <row r="3845" spans="1:11" x14ac:dyDescent="0.2">
      <c r="A3845">
        <f t="shared" si="120"/>
        <v>2905700</v>
      </c>
      <c r="B3845">
        <v>2018</v>
      </c>
      <c r="C3845" t="s">
        <v>739</v>
      </c>
      <c r="D3845" t="s">
        <v>740</v>
      </c>
      <c r="E3845" t="s">
        <v>743</v>
      </c>
      <c r="F3845" s="34">
        <v>634</v>
      </c>
      <c r="G3845" s="34" t="s">
        <v>437</v>
      </c>
      <c r="H3845" s="36">
        <v>27455</v>
      </c>
      <c r="I3845" s="58">
        <v>174022</v>
      </c>
      <c r="J3845">
        <f>IFERROR(VLOOKUP(G3845,'LEAID Match'!$A$2:$B$526,2,FALSE),"")</f>
        <v>2905700</v>
      </c>
      <c r="K3845" s="68">
        <f t="shared" si="121"/>
        <v>8</v>
      </c>
    </row>
    <row r="3846" spans="1:11" x14ac:dyDescent="0.2">
      <c r="A3846">
        <f t="shared" si="120"/>
        <v>2905700</v>
      </c>
      <c r="B3846">
        <v>2019</v>
      </c>
      <c r="C3846" t="s">
        <v>739</v>
      </c>
      <c r="D3846" t="s">
        <v>740</v>
      </c>
      <c r="E3846" t="s">
        <v>743</v>
      </c>
      <c r="F3846" s="34">
        <v>634</v>
      </c>
      <c r="G3846" s="34" t="s">
        <v>437</v>
      </c>
      <c r="H3846" s="36">
        <v>27395</v>
      </c>
      <c r="I3846" s="58">
        <v>170689</v>
      </c>
      <c r="J3846">
        <f>IFERROR(VLOOKUP(G3846,'LEAID Match'!$A$2:$B$526,2,FALSE),"")</f>
        <v>2905700</v>
      </c>
      <c r="K3846" s="68">
        <f t="shared" si="121"/>
        <v>8</v>
      </c>
    </row>
    <row r="3847" spans="1:11" x14ac:dyDescent="0.2">
      <c r="A3847">
        <f t="shared" si="120"/>
        <v>2905700</v>
      </c>
      <c r="B3847">
        <v>2020</v>
      </c>
      <c r="C3847" t="s">
        <v>739</v>
      </c>
      <c r="D3847" t="s">
        <v>740</v>
      </c>
      <c r="E3847" t="s">
        <v>743</v>
      </c>
      <c r="F3847" s="34">
        <v>634</v>
      </c>
      <c r="G3847" s="34" t="s">
        <v>437</v>
      </c>
      <c r="H3847" s="36">
        <v>31667</v>
      </c>
      <c r="I3847" s="58">
        <v>166387</v>
      </c>
      <c r="J3847">
        <f>IFERROR(VLOOKUP(G3847,'LEAID Match'!$A$2:$B$526,2,FALSE),"")</f>
        <v>2905700</v>
      </c>
      <c r="K3847" s="68">
        <f t="shared" si="121"/>
        <v>8</v>
      </c>
    </row>
    <row r="3848" spans="1:11" x14ac:dyDescent="0.2">
      <c r="A3848">
        <f t="shared" si="120"/>
        <v>2905700</v>
      </c>
      <c r="B3848">
        <v>2021</v>
      </c>
      <c r="C3848" t="s">
        <v>739</v>
      </c>
      <c r="D3848" t="s">
        <v>740</v>
      </c>
      <c r="E3848" t="s">
        <v>743</v>
      </c>
      <c r="F3848" s="34">
        <v>634</v>
      </c>
      <c r="G3848" s="34" t="s">
        <v>437</v>
      </c>
      <c r="H3848" s="36">
        <v>32530</v>
      </c>
      <c r="I3848" s="58">
        <v>160633</v>
      </c>
      <c r="J3848">
        <f>IFERROR(VLOOKUP(G3848,'LEAID Match'!$A$2:$B$526,2,FALSE),"")</f>
        <v>2905700</v>
      </c>
      <c r="K3848" s="68">
        <f t="shared" si="121"/>
        <v>8</v>
      </c>
    </row>
    <row r="3849" spans="1:11" x14ac:dyDescent="0.2">
      <c r="A3849">
        <f t="shared" si="120"/>
        <v>2905700</v>
      </c>
      <c r="B3849">
        <v>2022</v>
      </c>
      <c r="C3849" t="s">
        <v>739</v>
      </c>
      <c r="D3849" t="s">
        <v>740</v>
      </c>
      <c r="E3849" t="s">
        <v>743</v>
      </c>
      <c r="F3849" s="34">
        <v>634</v>
      </c>
      <c r="G3849" s="34" t="s">
        <v>437</v>
      </c>
      <c r="H3849" s="36">
        <v>32155</v>
      </c>
      <c r="I3849" s="58">
        <v>175643</v>
      </c>
      <c r="J3849">
        <f>IFERROR(VLOOKUP(G3849,'LEAID Match'!$A$2:$B$526,2,FALSE),"")</f>
        <v>2905700</v>
      </c>
      <c r="K3849" s="68">
        <f t="shared" si="121"/>
        <v>8</v>
      </c>
    </row>
    <row r="3850" spans="1:11" x14ac:dyDescent="0.2">
      <c r="A3850">
        <f t="shared" si="120"/>
        <v>2929910</v>
      </c>
      <c r="B3850">
        <v>2015</v>
      </c>
      <c r="C3850" t="s">
        <v>739</v>
      </c>
      <c r="D3850" t="s">
        <v>740</v>
      </c>
      <c r="E3850" t="s">
        <v>743</v>
      </c>
      <c r="F3850" s="37">
        <v>635</v>
      </c>
      <c r="G3850" s="39" t="s">
        <v>438</v>
      </c>
      <c r="H3850" s="40">
        <v>23809</v>
      </c>
      <c r="I3850" s="58">
        <v>127479</v>
      </c>
      <c r="J3850">
        <f>IFERROR(VLOOKUP(G3850,'LEAID Match'!$A$2:$B$526,2,FALSE),"")</f>
        <v>2929910</v>
      </c>
      <c r="K3850" s="68">
        <f t="shared" si="121"/>
        <v>8</v>
      </c>
    </row>
    <row r="3851" spans="1:11" x14ac:dyDescent="0.2">
      <c r="A3851">
        <f t="shared" si="120"/>
        <v>2929910</v>
      </c>
      <c r="B3851">
        <v>2016</v>
      </c>
      <c r="C3851" t="s">
        <v>739</v>
      </c>
      <c r="D3851" t="s">
        <v>740</v>
      </c>
      <c r="E3851" t="s">
        <v>743</v>
      </c>
      <c r="F3851" s="34">
        <v>635</v>
      </c>
      <c r="G3851" s="34" t="s">
        <v>438</v>
      </c>
      <c r="H3851" s="36">
        <v>22595</v>
      </c>
      <c r="I3851" s="60">
        <v>119930</v>
      </c>
      <c r="J3851">
        <f>IFERROR(VLOOKUP(G3851,'LEAID Match'!$A$2:$B$526,2,FALSE),"")</f>
        <v>2929910</v>
      </c>
      <c r="K3851" s="68">
        <f t="shared" si="121"/>
        <v>8</v>
      </c>
    </row>
    <row r="3852" spans="1:11" x14ac:dyDescent="0.2">
      <c r="A3852">
        <f t="shared" si="120"/>
        <v>2929910</v>
      </c>
      <c r="B3852">
        <v>2017</v>
      </c>
      <c r="C3852" t="s">
        <v>739</v>
      </c>
      <c r="D3852" t="s">
        <v>740</v>
      </c>
      <c r="E3852" t="s">
        <v>743</v>
      </c>
      <c r="F3852" s="34">
        <v>635</v>
      </c>
      <c r="G3852" s="34" t="s">
        <v>438</v>
      </c>
      <c r="H3852" s="36">
        <v>25535</v>
      </c>
      <c r="I3852" s="58">
        <v>129357</v>
      </c>
      <c r="J3852">
        <f>IFERROR(VLOOKUP(G3852,'LEAID Match'!$A$2:$B$526,2,FALSE),"")</f>
        <v>2929910</v>
      </c>
      <c r="K3852" s="68">
        <f t="shared" si="121"/>
        <v>8</v>
      </c>
    </row>
    <row r="3853" spans="1:11" x14ac:dyDescent="0.2">
      <c r="A3853">
        <f t="shared" si="120"/>
        <v>2929910</v>
      </c>
      <c r="B3853">
        <v>2018</v>
      </c>
      <c r="C3853" t="s">
        <v>739</v>
      </c>
      <c r="D3853" t="s">
        <v>740</v>
      </c>
      <c r="E3853" t="s">
        <v>743</v>
      </c>
      <c r="F3853" s="34">
        <v>635</v>
      </c>
      <c r="G3853" s="34" t="s">
        <v>438</v>
      </c>
      <c r="H3853" s="36">
        <v>26059</v>
      </c>
      <c r="I3853" s="58">
        <v>121884</v>
      </c>
      <c r="J3853">
        <f>IFERROR(VLOOKUP(G3853,'LEAID Match'!$A$2:$B$526,2,FALSE),"")</f>
        <v>2929910</v>
      </c>
      <c r="K3853" s="68">
        <f t="shared" si="121"/>
        <v>8</v>
      </c>
    </row>
    <row r="3854" spans="1:11" x14ac:dyDescent="0.2">
      <c r="A3854">
        <f t="shared" si="120"/>
        <v>2929910</v>
      </c>
      <c r="B3854">
        <v>2019</v>
      </c>
      <c r="C3854" t="s">
        <v>739</v>
      </c>
      <c r="D3854" t="s">
        <v>740</v>
      </c>
      <c r="E3854" t="s">
        <v>743</v>
      </c>
      <c r="F3854" s="34">
        <v>635</v>
      </c>
      <c r="G3854" s="34" t="s">
        <v>438</v>
      </c>
      <c r="H3854" s="36">
        <v>27382</v>
      </c>
      <c r="I3854" s="58">
        <v>124703</v>
      </c>
      <c r="J3854">
        <f>IFERROR(VLOOKUP(G3854,'LEAID Match'!$A$2:$B$526,2,FALSE),"")</f>
        <v>2929910</v>
      </c>
      <c r="K3854" s="68">
        <f t="shared" si="121"/>
        <v>8</v>
      </c>
    </row>
    <row r="3855" spans="1:11" x14ac:dyDescent="0.2">
      <c r="A3855">
        <f t="shared" si="120"/>
        <v>2929910</v>
      </c>
      <c r="B3855">
        <v>2020</v>
      </c>
      <c r="C3855" t="s">
        <v>739</v>
      </c>
      <c r="D3855" t="s">
        <v>740</v>
      </c>
      <c r="E3855" t="s">
        <v>743</v>
      </c>
      <c r="F3855" s="34">
        <v>635</v>
      </c>
      <c r="G3855" s="34" t="s">
        <v>438</v>
      </c>
      <c r="H3855" s="36">
        <v>26325</v>
      </c>
      <c r="I3855" s="58">
        <v>115515</v>
      </c>
      <c r="J3855">
        <f>IFERROR(VLOOKUP(G3855,'LEAID Match'!$A$2:$B$526,2,FALSE),"")</f>
        <v>2929910</v>
      </c>
      <c r="K3855" s="68">
        <f t="shared" si="121"/>
        <v>8</v>
      </c>
    </row>
    <row r="3856" spans="1:11" x14ac:dyDescent="0.2">
      <c r="A3856">
        <f t="shared" si="120"/>
        <v>2929910</v>
      </c>
      <c r="B3856">
        <v>2021</v>
      </c>
      <c r="C3856" t="s">
        <v>739</v>
      </c>
      <c r="D3856" t="s">
        <v>740</v>
      </c>
      <c r="E3856" t="s">
        <v>743</v>
      </c>
      <c r="F3856" s="34">
        <v>635</v>
      </c>
      <c r="G3856" s="34" t="s">
        <v>438</v>
      </c>
      <c r="H3856" s="36">
        <v>30129</v>
      </c>
      <c r="I3856" s="58">
        <v>109451</v>
      </c>
      <c r="J3856">
        <f>IFERROR(VLOOKUP(G3856,'LEAID Match'!$A$2:$B$526,2,FALSE),"")</f>
        <v>2929910</v>
      </c>
      <c r="K3856" s="68">
        <f t="shared" si="121"/>
        <v>8</v>
      </c>
    </row>
    <row r="3857" spans="1:11" x14ac:dyDescent="0.2">
      <c r="A3857">
        <f t="shared" si="120"/>
        <v>2929910</v>
      </c>
      <c r="B3857">
        <v>2022</v>
      </c>
      <c r="C3857" t="s">
        <v>739</v>
      </c>
      <c r="D3857" t="s">
        <v>740</v>
      </c>
      <c r="E3857" t="s">
        <v>743</v>
      </c>
      <c r="F3857" s="34">
        <v>635</v>
      </c>
      <c r="G3857" s="34" t="s">
        <v>438</v>
      </c>
      <c r="H3857" s="36">
        <v>36891</v>
      </c>
      <c r="I3857" s="58">
        <v>129356</v>
      </c>
      <c r="J3857">
        <f>IFERROR(VLOOKUP(G3857,'LEAID Match'!$A$2:$B$526,2,FALSE),"")</f>
        <v>2929910</v>
      </c>
      <c r="K3857" s="68">
        <f t="shared" si="121"/>
        <v>8</v>
      </c>
    </row>
    <row r="3858" spans="1:11" x14ac:dyDescent="0.2">
      <c r="A3858">
        <f t="shared" si="120"/>
        <v>2912240</v>
      </c>
      <c r="B3858">
        <v>2015</v>
      </c>
      <c r="C3858" t="s">
        <v>739</v>
      </c>
      <c r="D3858" t="s">
        <v>740</v>
      </c>
      <c r="E3858" t="s">
        <v>743</v>
      </c>
      <c r="F3858" s="37">
        <v>636</v>
      </c>
      <c r="G3858" s="39" t="s">
        <v>439</v>
      </c>
      <c r="H3858" s="40">
        <v>103871</v>
      </c>
      <c r="I3858" s="58">
        <v>741485</v>
      </c>
      <c r="J3858">
        <f>IFERROR(VLOOKUP(G3858,'LEAID Match'!$A$2:$B$526,2,FALSE),"")</f>
        <v>2912240</v>
      </c>
      <c r="K3858" s="68">
        <f t="shared" si="121"/>
        <v>8</v>
      </c>
    </row>
    <row r="3859" spans="1:11" x14ac:dyDescent="0.2">
      <c r="A3859">
        <f t="shared" si="120"/>
        <v>2912240</v>
      </c>
      <c r="B3859">
        <v>2016</v>
      </c>
      <c r="C3859" t="s">
        <v>739</v>
      </c>
      <c r="D3859" t="s">
        <v>740</v>
      </c>
      <c r="E3859" t="s">
        <v>743</v>
      </c>
      <c r="F3859" s="34">
        <v>636</v>
      </c>
      <c r="G3859" s="34" t="s">
        <v>439</v>
      </c>
      <c r="H3859" s="36">
        <v>107479</v>
      </c>
      <c r="I3859" s="60">
        <v>757387</v>
      </c>
      <c r="J3859">
        <f>IFERROR(VLOOKUP(G3859,'LEAID Match'!$A$2:$B$526,2,FALSE),"")</f>
        <v>2912240</v>
      </c>
      <c r="K3859" s="68">
        <f t="shared" si="121"/>
        <v>8</v>
      </c>
    </row>
    <row r="3860" spans="1:11" x14ac:dyDescent="0.2">
      <c r="A3860">
        <f t="shared" si="120"/>
        <v>2912240</v>
      </c>
      <c r="B3860">
        <v>2017</v>
      </c>
      <c r="C3860" t="s">
        <v>739</v>
      </c>
      <c r="D3860" t="s">
        <v>740</v>
      </c>
      <c r="E3860" t="s">
        <v>743</v>
      </c>
      <c r="F3860" s="34">
        <v>636</v>
      </c>
      <c r="G3860" s="34" t="s">
        <v>439</v>
      </c>
      <c r="H3860" s="36">
        <v>116299</v>
      </c>
      <c r="I3860" s="58">
        <v>796925</v>
      </c>
      <c r="J3860">
        <f>IFERROR(VLOOKUP(G3860,'LEAID Match'!$A$2:$B$526,2,FALSE),"")</f>
        <v>2912240</v>
      </c>
      <c r="K3860" s="68">
        <f t="shared" si="121"/>
        <v>8</v>
      </c>
    </row>
    <row r="3861" spans="1:11" x14ac:dyDescent="0.2">
      <c r="A3861">
        <f t="shared" si="120"/>
        <v>2912240</v>
      </c>
      <c r="B3861">
        <v>2018</v>
      </c>
      <c r="C3861" t="s">
        <v>739</v>
      </c>
      <c r="D3861" t="s">
        <v>740</v>
      </c>
      <c r="E3861" t="s">
        <v>743</v>
      </c>
      <c r="F3861" s="34">
        <v>636</v>
      </c>
      <c r="G3861" s="34" t="s">
        <v>439</v>
      </c>
      <c r="H3861" s="36">
        <v>123718</v>
      </c>
      <c r="I3861" s="58">
        <v>822050</v>
      </c>
      <c r="J3861">
        <f>IFERROR(VLOOKUP(G3861,'LEAID Match'!$A$2:$B$526,2,FALSE),"")</f>
        <v>2912240</v>
      </c>
      <c r="K3861" s="68">
        <f t="shared" si="121"/>
        <v>8</v>
      </c>
    </row>
    <row r="3862" spans="1:11" x14ac:dyDescent="0.2">
      <c r="A3862">
        <f t="shared" si="120"/>
        <v>2912240</v>
      </c>
      <c r="B3862">
        <v>2019</v>
      </c>
      <c r="C3862" t="s">
        <v>739</v>
      </c>
      <c r="D3862" t="s">
        <v>740</v>
      </c>
      <c r="E3862" t="s">
        <v>743</v>
      </c>
      <c r="F3862" s="34">
        <v>636</v>
      </c>
      <c r="G3862" s="34" t="s">
        <v>439</v>
      </c>
      <c r="H3862" s="36">
        <v>139298</v>
      </c>
      <c r="I3862" s="58">
        <v>837059</v>
      </c>
      <c r="J3862">
        <f>IFERROR(VLOOKUP(G3862,'LEAID Match'!$A$2:$B$526,2,FALSE),"")</f>
        <v>2912240</v>
      </c>
      <c r="K3862" s="68">
        <f t="shared" si="121"/>
        <v>8</v>
      </c>
    </row>
    <row r="3863" spans="1:11" x14ac:dyDescent="0.2">
      <c r="A3863">
        <f t="shared" si="120"/>
        <v>2912240</v>
      </c>
      <c r="B3863">
        <v>2020</v>
      </c>
      <c r="C3863" t="s">
        <v>739</v>
      </c>
      <c r="D3863" t="s">
        <v>740</v>
      </c>
      <c r="E3863" t="s">
        <v>743</v>
      </c>
      <c r="F3863" s="34">
        <v>636</v>
      </c>
      <c r="G3863" s="34" t="s">
        <v>439</v>
      </c>
      <c r="H3863" s="36">
        <v>140393</v>
      </c>
      <c r="I3863" s="58">
        <v>867983</v>
      </c>
      <c r="J3863">
        <f>IFERROR(VLOOKUP(G3863,'LEAID Match'!$A$2:$B$526,2,FALSE),"")</f>
        <v>2912240</v>
      </c>
      <c r="K3863" s="68">
        <f t="shared" si="121"/>
        <v>8</v>
      </c>
    </row>
    <row r="3864" spans="1:11" x14ac:dyDescent="0.2">
      <c r="A3864">
        <f t="shared" si="120"/>
        <v>2912240</v>
      </c>
      <c r="B3864">
        <v>2021</v>
      </c>
      <c r="C3864" t="s">
        <v>739</v>
      </c>
      <c r="D3864" t="s">
        <v>740</v>
      </c>
      <c r="E3864" t="s">
        <v>743</v>
      </c>
      <c r="F3864" s="34">
        <v>636</v>
      </c>
      <c r="G3864" s="34" t="s">
        <v>439</v>
      </c>
      <c r="H3864" s="36">
        <v>172393</v>
      </c>
      <c r="I3864" s="58">
        <v>983621</v>
      </c>
      <c r="J3864">
        <f>IFERROR(VLOOKUP(G3864,'LEAID Match'!$A$2:$B$526,2,FALSE),"")</f>
        <v>2912240</v>
      </c>
      <c r="K3864" s="68">
        <f t="shared" si="121"/>
        <v>8</v>
      </c>
    </row>
    <row r="3865" spans="1:11" x14ac:dyDescent="0.2">
      <c r="A3865">
        <f t="shared" si="120"/>
        <v>2912240</v>
      </c>
      <c r="B3865">
        <v>2022</v>
      </c>
      <c r="C3865" t="s">
        <v>739</v>
      </c>
      <c r="D3865" t="s">
        <v>740</v>
      </c>
      <c r="E3865" t="s">
        <v>743</v>
      </c>
      <c r="F3865" s="34">
        <v>636</v>
      </c>
      <c r="G3865" s="34" t="s">
        <v>439</v>
      </c>
      <c r="H3865" s="36">
        <v>190361</v>
      </c>
      <c r="I3865" s="58">
        <v>1049856</v>
      </c>
      <c r="J3865">
        <f>IFERROR(VLOOKUP(G3865,'LEAID Match'!$A$2:$B$526,2,FALSE),"")</f>
        <v>2912240</v>
      </c>
      <c r="K3865" s="68">
        <f t="shared" si="121"/>
        <v>8</v>
      </c>
    </row>
    <row r="3866" spans="1:11" x14ac:dyDescent="0.2">
      <c r="A3866">
        <f t="shared" si="120"/>
        <v>2905760</v>
      </c>
      <c r="B3866">
        <v>2015</v>
      </c>
      <c r="C3866" t="s">
        <v>739</v>
      </c>
      <c r="D3866" t="s">
        <v>740</v>
      </c>
      <c r="E3866" t="s">
        <v>743</v>
      </c>
      <c r="F3866" s="37">
        <v>637</v>
      </c>
      <c r="G3866" s="39" t="s">
        <v>440</v>
      </c>
      <c r="H3866" s="40">
        <v>520046</v>
      </c>
      <c r="I3866" s="58">
        <v>2859636</v>
      </c>
      <c r="J3866">
        <f>IFERROR(VLOOKUP(G3866,'LEAID Match'!$A$2:$B$526,2,FALSE),"")</f>
        <v>2905760</v>
      </c>
      <c r="K3866" s="68">
        <f t="shared" si="121"/>
        <v>8</v>
      </c>
    </row>
    <row r="3867" spans="1:11" x14ac:dyDescent="0.2">
      <c r="A3867">
        <f t="shared" si="120"/>
        <v>2905760</v>
      </c>
      <c r="B3867">
        <v>2016</v>
      </c>
      <c r="C3867" t="s">
        <v>739</v>
      </c>
      <c r="D3867" t="s">
        <v>740</v>
      </c>
      <c r="E3867" t="s">
        <v>743</v>
      </c>
      <c r="F3867" s="34">
        <v>637</v>
      </c>
      <c r="G3867" s="34" t="s">
        <v>440</v>
      </c>
      <c r="H3867" s="36">
        <v>569079</v>
      </c>
      <c r="I3867" s="60">
        <v>2939310</v>
      </c>
      <c r="J3867">
        <f>IFERROR(VLOOKUP(G3867,'LEAID Match'!$A$2:$B$526,2,FALSE),"")</f>
        <v>2905760</v>
      </c>
      <c r="K3867" s="68">
        <f t="shared" si="121"/>
        <v>8</v>
      </c>
    </row>
    <row r="3868" spans="1:11" x14ac:dyDescent="0.2">
      <c r="A3868">
        <f t="shared" si="120"/>
        <v>2905760</v>
      </c>
      <c r="B3868">
        <v>2017</v>
      </c>
      <c r="C3868" t="s">
        <v>739</v>
      </c>
      <c r="D3868" t="s">
        <v>740</v>
      </c>
      <c r="E3868" t="s">
        <v>743</v>
      </c>
      <c r="F3868" s="34">
        <v>637</v>
      </c>
      <c r="G3868" s="34" t="s">
        <v>440</v>
      </c>
      <c r="H3868" s="36">
        <v>590145</v>
      </c>
      <c r="I3868" s="58">
        <v>3019613</v>
      </c>
      <c r="J3868">
        <f>IFERROR(VLOOKUP(G3868,'LEAID Match'!$A$2:$B$526,2,FALSE),"")</f>
        <v>2905760</v>
      </c>
      <c r="K3868" s="68">
        <f t="shared" si="121"/>
        <v>8</v>
      </c>
    </row>
    <row r="3869" spans="1:11" x14ac:dyDescent="0.2">
      <c r="A3869">
        <f t="shared" si="120"/>
        <v>2905760</v>
      </c>
      <c r="B3869">
        <v>2018</v>
      </c>
      <c r="C3869" t="s">
        <v>739</v>
      </c>
      <c r="D3869" t="s">
        <v>740</v>
      </c>
      <c r="E3869" t="s">
        <v>743</v>
      </c>
      <c r="F3869" s="34">
        <v>637</v>
      </c>
      <c r="G3869" s="34" t="s">
        <v>440</v>
      </c>
      <c r="H3869" s="36">
        <v>606954</v>
      </c>
      <c r="I3869" s="58">
        <v>3084932</v>
      </c>
      <c r="J3869">
        <f>IFERROR(VLOOKUP(G3869,'LEAID Match'!$A$2:$B$526,2,FALSE),"")</f>
        <v>2905760</v>
      </c>
      <c r="K3869" s="68">
        <f t="shared" si="121"/>
        <v>8</v>
      </c>
    </row>
    <row r="3870" spans="1:11" x14ac:dyDescent="0.2">
      <c r="A3870">
        <f t="shared" si="120"/>
        <v>2905760</v>
      </c>
      <c r="B3870">
        <v>2019</v>
      </c>
      <c r="C3870" t="s">
        <v>739</v>
      </c>
      <c r="D3870" t="s">
        <v>740</v>
      </c>
      <c r="E3870" t="s">
        <v>743</v>
      </c>
      <c r="F3870" s="34">
        <v>637</v>
      </c>
      <c r="G3870" s="34" t="s">
        <v>440</v>
      </c>
      <c r="H3870" s="36">
        <v>607681</v>
      </c>
      <c r="I3870" s="58">
        <v>3144324</v>
      </c>
      <c r="J3870">
        <f>IFERROR(VLOOKUP(G3870,'LEAID Match'!$A$2:$B$526,2,FALSE),"")</f>
        <v>2905760</v>
      </c>
      <c r="K3870" s="68">
        <f t="shared" si="121"/>
        <v>8</v>
      </c>
    </row>
    <row r="3871" spans="1:11" x14ac:dyDescent="0.2">
      <c r="A3871">
        <f t="shared" si="120"/>
        <v>2905760</v>
      </c>
      <c r="B3871">
        <v>2020</v>
      </c>
      <c r="C3871" t="s">
        <v>739</v>
      </c>
      <c r="D3871" t="s">
        <v>740</v>
      </c>
      <c r="E3871" t="s">
        <v>743</v>
      </c>
      <c r="F3871" s="34">
        <v>637</v>
      </c>
      <c r="G3871" s="34" t="s">
        <v>440</v>
      </c>
      <c r="H3871" s="36">
        <v>610140</v>
      </c>
      <c r="I3871" s="58">
        <v>3224337</v>
      </c>
      <c r="J3871">
        <f>IFERROR(VLOOKUP(G3871,'LEAID Match'!$A$2:$B$526,2,FALSE),"")</f>
        <v>2905760</v>
      </c>
      <c r="K3871" s="68">
        <f t="shared" si="121"/>
        <v>8</v>
      </c>
    </row>
    <row r="3872" spans="1:11" x14ac:dyDescent="0.2">
      <c r="A3872">
        <f t="shared" si="120"/>
        <v>2905760</v>
      </c>
      <c r="B3872">
        <v>2021</v>
      </c>
      <c r="C3872" t="s">
        <v>739</v>
      </c>
      <c r="D3872" t="s">
        <v>740</v>
      </c>
      <c r="E3872" t="s">
        <v>743</v>
      </c>
      <c r="F3872" s="34">
        <v>637</v>
      </c>
      <c r="G3872" s="34" t="s">
        <v>440</v>
      </c>
      <c r="H3872" s="36">
        <v>659923</v>
      </c>
      <c r="I3872" s="58">
        <v>3348034</v>
      </c>
      <c r="J3872">
        <f>IFERROR(VLOOKUP(G3872,'LEAID Match'!$A$2:$B$526,2,FALSE),"")</f>
        <v>2905760</v>
      </c>
      <c r="K3872" s="68">
        <f t="shared" si="121"/>
        <v>8</v>
      </c>
    </row>
    <row r="3873" spans="1:11" x14ac:dyDescent="0.2">
      <c r="A3873">
        <f t="shared" si="120"/>
        <v>2905760</v>
      </c>
      <c r="B3873">
        <v>2022</v>
      </c>
      <c r="C3873" t="s">
        <v>739</v>
      </c>
      <c r="D3873" t="s">
        <v>740</v>
      </c>
      <c r="E3873" t="s">
        <v>743</v>
      </c>
      <c r="F3873" s="34">
        <v>637</v>
      </c>
      <c r="G3873" s="34" t="s">
        <v>440</v>
      </c>
      <c r="H3873" s="36">
        <v>668166</v>
      </c>
      <c r="I3873" s="58">
        <v>3356063</v>
      </c>
      <c r="J3873">
        <f>IFERROR(VLOOKUP(G3873,'LEAID Match'!$A$2:$B$526,2,FALSE),"")</f>
        <v>2905760</v>
      </c>
      <c r="K3873" s="68">
        <f t="shared" si="121"/>
        <v>8</v>
      </c>
    </row>
    <row r="3874" spans="1:11" x14ac:dyDescent="0.2">
      <c r="A3874">
        <f t="shared" si="120"/>
        <v>2914550</v>
      </c>
      <c r="B3874">
        <v>2015</v>
      </c>
      <c r="C3874" t="s">
        <v>739</v>
      </c>
      <c r="D3874" t="s">
        <v>740</v>
      </c>
      <c r="E3874" t="s">
        <v>743</v>
      </c>
      <c r="F3874" s="37">
        <v>638</v>
      </c>
      <c r="G3874" s="39" t="s">
        <v>441</v>
      </c>
      <c r="H3874" s="40">
        <v>178986</v>
      </c>
      <c r="I3874" s="58">
        <v>970537</v>
      </c>
      <c r="J3874">
        <f>IFERROR(VLOOKUP(G3874,'LEAID Match'!$A$2:$B$526,2,FALSE),"")</f>
        <v>2914550</v>
      </c>
      <c r="K3874" s="68">
        <f t="shared" si="121"/>
        <v>8</v>
      </c>
    </row>
    <row r="3875" spans="1:11" x14ac:dyDescent="0.2">
      <c r="A3875">
        <f t="shared" si="120"/>
        <v>2914550</v>
      </c>
      <c r="B3875">
        <v>2016</v>
      </c>
      <c r="C3875" t="s">
        <v>739</v>
      </c>
      <c r="D3875" t="s">
        <v>740</v>
      </c>
      <c r="E3875" t="s">
        <v>743</v>
      </c>
      <c r="F3875" s="34">
        <v>638</v>
      </c>
      <c r="G3875" s="34" t="s">
        <v>441</v>
      </c>
      <c r="H3875" s="36">
        <v>186096</v>
      </c>
      <c r="I3875" s="60">
        <v>963049</v>
      </c>
      <c r="J3875">
        <f>IFERROR(VLOOKUP(G3875,'LEAID Match'!$A$2:$B$526,2,FALSE),"")</f>
        <v>2914550</v>
      </c>
      <c r="K3875" s="68">
        <f t="shared" si="121"/>
        <v>8</v>
      </c>
    </row>
    <row r="3876" spans="1:11" x14ac:dyDescent="0.2">
      <c r="A3876">
        <f t="shared" si="120"/>
        <v>2914550</v>
      </c>
      <c r="B3876">
        <v>2017</v>
      </c>
      <c r="C3876" t="s">
        <v>739</v>
      </c>
      <c r="D3876" t="s">
        <v>740</v>
      </c>
      <c r="E3876" t="s">
        <v>743</v>
      </c>
      <c r="F3876" s="34">
        <v>638</v>
      </c>
      <c r="G3876" s="34" t="s">
        <v>441</v>
      </c>
      <c r="H3876" s="36">
        <v>195484</v>
      </c>
      <c r="I3876" s="58">
        <v>953944</v>
      </c>
      <c r="J3876">
        <f>IFERROR(VLOOKUP(G3876,'LEAID Match'!$A$2:$B$526,2,FALSE),"")</f>
        <v>2914550</v>
      </c>
      <c r="K3876" s="68">
        <f t="shared" si="121"/>
        <v>8</v>
      </c>
    </row>
    <row r="3877" spans="1:11" x14ac:dyDescent="0.2">
      <c r="A3877">
        <f t="shared" si="120"/>
        <v>2914550</v>
      </c>
      <c r="B3877">
        <v>2018</v>
      </c>
      <c r="C3877" t="s">
        <v>739</v>
      </c>
      <c r="D3877" t="s">
        <v>740</v>
      </c>
      <c r="E3877" t="s">
        <v>743</v>
      </c>
      <c r="F3877" s="34">
        <v>638</v>
      </c>
      <c r="G3877" s="34" t="s">
        <v>441</v>
      </c>
      <c r="H3877" s="36">
        <v>198998</v>
      </c>
      <c r="I3877" s="58">
        <v>969904</v>
      </c>
      <c r="J3877">
        <f>IFERROR(VLOOKUP(G3877,'LEAID Match'!$A$2:$B$526,2,FALSE),"")</f>
        <v>2914550</v>
      </c>
      <c r="K3877" s="68">
        <f t="shared" si="121"/>
        <v>8</v>
      </c>
    </row>
    <row r="3878" spans="1:11" x14ac:dyDescent="0.2">
      <c r="A3878">
        <f t="shared" si="120"/>
        <v>2914550</v>
      </c>
      <c r="B3878">
        <v>2019</v>
      </c>
      <c r="C3878" t="s">
        <v>739</v>
      </c>
      <c r="D3878" t="s">
        <v>740</v>
      </c>
      <c r="E3878" t="s">
        <v>743</v>
      </c>
      <c r="F3878" s="34">
        <v>638</v>
      </c>
      <c r="G3878" s="34" t="s">
        <v>441</v>
      </c>
      <c r="H3878" s="36">
        <v>202226</v>
      </c>
      <c r="I3878" s="58">
        <v>1001796</v>
      </c>
      <c r="J3878">
        <f>IFERROR(VLOOKUP(G3878,'LEAID Match'!$A$2:$B$526,2,FALSE),"")</f>
        <v>2914550</v>
      </c>
      <c r="K3878" s="68">
        <f t="shared" si="121"/>
        <v>8</v>
      </c>
    </row>
    <row r="3879" spans="1:11" x14ac:dyDescent="0.2">
      <c r="A3879">
        <f t="shared" si="120"/>
        <v>2914550</v>
      </c>
      <c r="B3879">
        <v>2020</v>
      </c>
      <c r="C3879" t="s">
        <v>739</v>
      </c>
      <c r="D3879" t="s">
        <v>740</v>
      </c>
      <c r="E3879" t="s">
        <v>743</v>
      </c>
      <c r="F3879" s="34">
        <v>638</v>
      </c>
      <c r="G3879" s="34" t="s">
        <v>441</v>
      </c>
      <c r="H3879" s="36">
        <v>211373</v>
      </c>
      <c r="I3879" s="58">
        <v>1033032</v>
      </c>
      <c r="J3879">
        <f>IFERROR(VLOOKUP(G3879,'LEAID Match'!$A$2:$B$526,2,FALSE),"")</f>
        <v>2914550</v>
      </c>
      <c r="K3879" s="68">
        <f t="shared" si="121"/>
        <v>8</v>
      </c>
    </row>
    <row r="3880" spans="1:11" x14ac:dyDescent="0.2">
      <c r="A3880">
        <f t="shared" si="120"/>
        <v>2914550</v>
      </c>
      <c r="B3880">
        <v>2021</v>
      </c>
      <c r="C3880" t="s">
        <v>739</v>
      </c>
      <c r="D3880" t="s">
        <v>740</v>
      </c>
      <c r="E3880" t="s">
        <v>743</v>
      </c>
      <c r="F3880" s="34">
        <v>638</v>
      </c>
      <c r="G3880" s="34" t="s">
        <v>441</v>
      </c>
      <c r="H3880" s="36">
        <v>224820</v>
      </c>
      <c r="I3880" s="58">
        <v>1057003</v>
      </c>
      <c r="J3880">
        <f>IFERROR(VLOOKUP(G3880,'LEAID Match'!$A$2:$B$526,2,FALSE),"")</f>
        <v>2914550</v>
      </c>
      <c r="K3880" s="68">
        <f t="shared" si="121"/>
        <v>8</v>
      </c>
    </row>
    <row r="3881" spans="1:11" x14ac:dyDescent="0.2">
      <c r="A3881">
        <f t="shared" si="120"/>
        <v>2914550</v>
      </c>
      <c r="B3881">
        <v>2022</v>
      </c>
      <c r="C3881" t="s">
        <v>739</v>
      </c>
      <c r="D3881" t="s">
        <v>740</v>
      </c>
      <c r="E3881" t="s">
        <v>743</v>
      </c>
      <c r="F3881" s="34">
        <v>638</v>
      </c>
      <c r="G3881" s="34" t="s">
        <v>441</v>
      </c>
      <c r="H3881" s="36">
        <v>235791</v>
      </c>
      <c r="I3881" s="58">
        <v>1136792</v>
      </c>
      <c r="J3881">
        <f>IFERROR(VLOOKUP(G3881,'LEAID Match'!$A$2:$B$526,2,FALSE),"")</f>
        <v>2914550</v>
      </c>
      <c r="K3881" s="68">
        <f t="shared" si="121"/>
        <v>8</v>
      </c>
    </row>
    <row r="3882" spans="1:11" x14ac:dyDescent="0.2">
      <c r="A3882">
        <f t="shared" si="120"/>
        <v>2916710</v>
      </c>
      <c r="B3882">
        <v>2015</v>
      </c>
      <c r="C3882" t="s">
        <v>739</v>
      </c>
      <c r="D3882" t="s">
        <v>740</v>
      </c>
      <c r="E3882" t="s">
        <v>743</v>
      </c>
      <c r="F3882" s="37">
        <v>639</v>
      </c>
      <c r="G3882" s="39" t="s">
        <v>442</v>
      </c>
      <c r="H3882" s="40">
        <v>38945</v>
      </c>
      <c r="I3882" s="58">
        <v>212266</v>
      </c>
      <c r="J3882">
        <f>IFERROR(VLOOKUP(G3882,'LEAID Match'!$A$2:$B$526,2,FALSE),"")</f>
        <v>2916710</v>
      </c>
      <c r="K3882" s="68">
        <f t="shared" si="121"/>
        <v>8</v>
      </c>
    </row>
    <row r="3883" spans="1:11" x14ac:dyDescent="0.2">
      <c r="A3883">
        <f t="shared" si="120"/>
        <v>2916710</v>
      </c>
      <c r="B3883">
        <v>2016</v>
      </c>
      <c r="C3883" t="s">
        <v>739</v>
      </c>
      <c r="D3883" t="s">
        <v>740</v>
      </c>
      <c r="E3883" t="s">
        <v>743</v>
      </c>
      <c r="F3883" s="34">
        <v>639</v>
      </c>
      <c r="G3883" s="34" t="s">
        <v>442</v>
      </c>
      <c r="H3883" s="36">
        <v>36549</v>
      </c>
      <c r="I3883" s="60">
        <v>208598</v>
      </c>
      <c r="J3883">
        <f>IFERROR(VLOOKUP(G3883,'LEAID Match'!$A$2:$B$526,2,FALSE),"")</f>
        <v>2916710</v>
      </c>
      <c r="K3883" s="68">
        <f t="shared" si="121"/>
        <v>8</v>
      </c>
    </row>
    <row r="3884" spans="1:11" x14ac:dyDescent="0.2">
      <c r="A3884">
        <f t="shared" si="120"/>
        <v>2916710</v>
      </c>
      <c r="B3884">
        <v>2017</v>
      </c>
      <c r="C3884" t="s">
        <v>739</v>
      </c>
      <c r="D3884" t="s">
        <v>740</v>
      </c>
      <c r="E3884" t="s">
        <v>743</v>
      </c>
      <c r="F3884" s="34">
        <v>639</v>
      </c>
      <c r="G3884" s="34" t="s">
        <v>442</v>
      </c>
      <c r="H3884" s="36">
        <v>36190</v>
      </c>
      <c r="I3884" s="58">
        <v>196046</v>
      </c>
      <c r="J3884">
        <f>IFERROR(VLOOKUP(G3884,'LEAID Match'!$A$2:$B$526,2,FALSE),"")</f>
        <v>2916710</v>
      </c>
      <c r="K3884" s="68">
        <f t="shared" si="121"/>
        <v>8</v>
      </c>
    </row>
    <row r="3885" spans="1:11" x14ac:dyDescent="0.2">
      <c r="A3885">
        <f t="shared" si="120"/>
        <v>2916710</v>
      </c>
      <c r="B3885">
        <v>2018</v>
      </c>
      <c r="C3885" t="s">
        <v>739</v>
      </c>
      <c r="D3885" t="s">
        <v>740</v>
      </c>
      <c r="E3885" t="s">
        <v>743</v>
      </c>
      <c r="F3885" s="34">
        <v>639</v>
      </c>
      <c r="G3885" s="34" t="s">
        <v>442</v>
      </c>
      <c r="H3885" s="36">
        <v>35073</v>
      </c>
      <c r="I3885" s="58">
        <v>206775</v>
      </c>
      <c r="J3885">
        <f>IFERROR(VLOOKUP(G3885,'LEAID Match'!$A$2:$B$526,2,FALSE),"")</f>
        <v>2916710</v>
      </c>
      <c r="K3885" s="68">
        <f t="shared" si="121"/>
        <v>8</v>
      </c>
    </row>
    <row r="3886" spans="1:11" x14ac:dyDescent="0.2">
      <c r="A3886">
        <f t="shared" si="120"/>
        <v>2916710</v>
      </c>
      <c r="B3886">
        <v>2019</v>
      </c>
      <c r="C3886" t="s">
        <v>739</v>
      </c>
      <c r="D3886" t="s">
        <v>740</v>
      </c>
      <c r="E3886" t="s">
        <v>743</v>
      </c>
      <c r="F3886" s="34">
        <v>639</v>
      </c>
      <c r="G3886" s="34" t="s">
        <v>442</v>
      </c>
      <c r="H3886" s="36">
        <v>37924</v>
      </c>
      <c r="I3886" s="58">
        <v>207802</v>
      </c>
      <c r="J3886">
        <f>IFERROR(VLOOKUP(G3886,'LEAID Match'!$A$2:$B$526,2,FALSE),"")</f>
        <v>2916710</v>
      </c>
      <c r="K3886" s="68">
        <f t="shared" si="121"/>
        <v>8</v>
      </c>
    </row>
    <row r="3887" spans="1:11" x14ac:dyDescent="0.2">
      <c r="A3887">
        <f t="shared" si="120"/>
        <v>2916710</v>
      </c>
      <c r="B3887">
        <v>2020</v>
      </c>
      <c r="C3887" t="s">
        <v>739</v>
      </c>
      <c r="D3887" t="s">
        <v>740</v>
      </c>
      <c r="E3887" t="s">
        <v>743</v>
      </c>
      <c r="F3887" s="34">
        <v>639</v>
      </c>
      <c r="G3887" s="34" t="s">
        <v>442</v>
      </c>
      <c r="H3887" s="36">
        <v>40032</v>
      </c>
      <c r="I3887" s="58">
        <v>190085</v>
      </c>
      <c r="J3887">
        <f>IFERROR(VLOOKUP(G3887,'LEAID Match'!$A$2:$B$526,2,FALSE),"")</f>
        <v>2916710</v>
      </c>
      <c r="K3887" s="68">
        <f t="shared" si="121"/>
        <v>8</v>
      </c>
    </row>
    <row r="3888" spans="1:11" x14ac:dyDescent="0.2">
      <c r="A3888">
        <f t="shared" si="120"/>
        <v>2916710</v>
      </c>
      <c r="B3888">
        <v>2021</v>
      </c>
      <c r="C3888" t="s">
        <v>739</v>
      </c>
      <c r="D3888" t="s">
        <v>740</v>
      </c>
      <c r="E3888" t="s">
        <v>743</v>
      </c>
      <c r="F3888" s="34">
        <v>639</v>
      </c>
      <c r="G3888" s="34" t="s">
        <v>442</v>
      </c>
      <c r="H3888" s="36">
        <v>43677</v>
      </c>
      <c r="I3888" s="58">
        <v>203116</v>
      </c>
      <c r="J3888">
        <f>IFERROR(VLOOKUP(G3888,'LEAID Match'!$A$2:$B$526,2,FALSE),"")</f>
        <v>2916710</v>
      </c>
      <c r="K3888" s="68">
        <f t="shared" si="121"/>
        <v>8</v>
      </c>
    </row>
    <row r="3889" spans="1:11" x14ac:dyDescent="0.2">
      <c r="A3889">
        <f t="shared" si="120"/>
        <v>2916710</v>
      </c>
      <c r="B3889">
        <v>2022</v>
      </c>
      <c r="C3889" t="s">
        <v>739</v>
      </c>
      <c r="D3889" t="s">
        <v>740</v>
      </c>
      <c r="E3889" t="s">
        <v>743</v>
      </c>
      <c r="F3889" s="34">
        <v>639</v>
      </c>
      <c r="G3889" s="34" t="s">
        <v>442</v>
      </c>
      <c r="H3889" s="36">
        <v>47490</v>
      </c>
      <c r="I3889" s="58">
        <v>219326</v>
      </c>
      <c r="J3889">
        <f>IFERROR(VLOOKUP(G3889,'LEAID Match'!$A$2:$B$526,2,FALSE),"")</f>
        <v>2916710</v>
      </c>
      <c r="K3889" s="68">
        <f t="shared" si="121"/>
        <v>8</v>
      </c>
    </row>
    <row r="3890" spans="1:11" x14ac:dyDescent="0.2">
      <c r="A3890">
        <f t="shared" si="120"/>
        <v>2920340</v>
      </c>
      <c r="B3890">
        <v>2015</v>
      </c>
      <c r="C3890" t="s">
        <v>739</v>
      </c>
      <c r="D3890" t="s">
        <v>740</v>
      </c>
      <c r="E3890" t="s">
        <v>743</v>
      </c>
      <c r="F3890" s="37">
        <v>641</v>
      </c>
      <c r="G3890" s="39" t="s">
        <v>443</v>
      </c>
      <c r="H3890" s="40">
        <v>7955</v>
      </c>
      <c r="I3890" s="58">
        <v>44342</v>
      </c>
      <c r="J3890">
        <f>IFERROR(VLOOKUP(G3890,'LEAID Match'!$A$2:$B$526,2,FALSE),"")</f>
        <v>2920340</v>
      </c>
      <c r="K3890" s="68">
        <f t="shared" si="121"/>
        <v>8</v>
      </c>
    </row>
    <row r="3891" spans="1:11" x14ac:dyDescent="0.2">
      <c r="A3891">
        <f t="shared" si="120"/>
        <v>2920340</v>
      </c>
      <c r="B3891">
        <v>2016</v>
      </c>
      <c r="C3891" t="s">
        <v>739</v>
      </c>
      <c r="D3891" t="s">
        <v>740</v>
      </c>
      <c r="E3891" t="s">
        <v>743</v>
      </c>
      <c r="F3891" s="34">
        <v>641</v>
      </c>
      <c r="G3891" s="34" t="s">
        <v>443</v>
      </c>
      <c r="H3891" s="36">
        <v>8569</v>
      </c>
      <c r="I3891" s="60">
        <v>36840</v>
      </c>
      <c r="J3891">
        <f>IFERROR(VLOOKUP(G3891,'LEAID Match'!$A$2:$B$526,2,FALSE),"")</f>
        <v>2920340</v>
      </c>
      <c r="K3891" s="68">
        <f t="shared" si="121"/>
        <v>8</v>
      </c>
    </row>
    <row r="3892" spans="1:11" x14ac:dyDescent="0.2">
      <c r="A3892">
        <f t="shared" si="120"/>
        <v>2920340</v>
      </c>
      <c r="B3892">
        <v>2017</v>
      </c>
      <c r="C3892" t="s">
        <v>739</v>
      </c>
      <c r="D3892" t="s">
        <v>740</v>
      </c>
      <c r="E3892" t="s">
        <v>743</v>
      </c>
      <c r="F3892" s="34">
        <v>641</v>
      </c>
      <c r="G3892" s="34" t="s">
        <v>443</v>
      </c>
      <c r="H3892" s="36">
        <v>9407</v>
      </c>
      <c r="I3892" s="58">
        <v>41973</v>
      </c>
      <c r="J3892">
        <f>IFERROR(VLOOKUP(G3892,'LEAID Match'!$A$2:$B$526,2,FALSE),"")</f>
        <v>2920340</v>
      </c>
      <c r="K3892" s="68">
        <f t="shared" si="121"/>
        <v>8</v>
      </c>
    </row>
    <row r="3893" spans="1:11" x14ac:dyDescent="0.2">
      <c r="A3893">
        <f t="shared" si="120"/>
        <v>2920340</v>
      </c>
      <c r="B3893">
        <v>2018</v>
      </c>
      <c r="C3893" t="s">
        <v>739</v>
      </c>
      <c r="D3893" t="s">
        <v>740</v>
      </c>
      <c r="E3893" t="s">
        <v>743</v>
      </c>
      <c r="F3893" s="34">
        <v>641</v>
      </c>
      <c r="G3893" s="34" t="s">
        <v>443</v>
      </c>
      <c r="H3893" s="36">
        <v>8778</v>
      </c>
      <c r="I3893" s="58">
        <v>44755</v>
      </c>
      <c r="J3893">
        <f>IFERROR(VLOOKUP(G3893,'LEAID Match'!$A$2:$B$526,2,FALSE),"")</f>
        <v>2920340</v>
      </c>
      <c r="K3893" s="68">
        <f t="shared" si="121"/>
        <v>8</v>
      </c>
    </row>
    <row r="3894" spans="1:11" x14ac:dyDescent="0.2">
      <c r="A3894">
        <f t="shared" si="120"/>
        <v>2920340</v>
      </c>
      <c r="B3894">
        <v>2019</v>
      </c>
      <c r="C3894" t="s">
        <v>739</v>
      </c>
      <c r="D3894" t="s">
        <v>740</v>
      </c>
      <c r="E3894" t="s">
        <v>743</v>
      </c>
      <c r="F3894" s="34">
        <v>641</v>
      </c>
      <c r="G3894" s="34" t="s">
        <v>443</v>
      </c>
      <c r="H3894" s="36">
        <v>7434</v>
      </c>
      <c r="I3894" s="58">
        <v>44704</v>
      </c>
      <c r="J3894">
        <f>IFERROR(VLOOKUP(G3894,'LEAID Match'!$A$2:$B$526,2,FALSE),"")</f>
        <v>2920340</v>
      </c>
      <c r="K3894" s="68">
        <f t="shared" si="121"/>
        <v>8</v>
      </c>
    </row>
    <row r="3895" spans="1:11" x14ac:dyDescent="0.2">
      <c r="A3895">
        <f t="shared" si="120"/>
        <v>2920340</v>
      </c>
      <c r="B3895">
        <v>2020</v>
      </c>
      <c r="C3895" t="s">
        <v>739</v>
      </c>
      <c r="D3895" t="s">
        <v>740</v>
      </c>
      <c r="E3895" t="s">
        <v>743</v>
      </c>
      <c r="F3895" s="34">
        <v>641</v>
      </c>
      <c r="G3895" s="34" t="s">
        <v>443</v>
      </c>
      <c r="H3895" s="36">
        <v>7598</v>
      </c>
      <c r="I3895" s="58">
        <v>45280</v>
      </c>
      <c r="J3895">
        <f>IFERROR(VLOOKUP(G3895,'LEAID Match'!$A$2:$B$526,2,FALSE),"")</f>
        <v>2920340</v>
      </c>
      <c r="K3895" s="68">
        <f t="shared" si="121"/>
        <v>8</v>
      </c>
    </row>
    <row r="3896" spans="1:11" x14ac:dyDescent="0.2">
      <c r="A3896">
        <f t="shared" si="120"/>
        <v>2920340</v>
      </c>
      <c r="B3896">
        <v>2021</v>
      </c>
      <c r="C3896" t="s">
        <v>739</v>
      </c>
      <c r="D3896" t="s">
        <v>740</v>
      </c>
      <c r="E3896" t="s">
        <v>743</v>
      </c>
      <c r="F3896" s="34">
        <v>641</v>
      </c>
      <c r="G3896" s="34" t="s">
        <v>443</v>
      </c>
      <c r="H3896" s="36">
        <v>8648</v>
      </c>
      <c r="I3896" s="58">
        <v>45286</v>
      </c>
      <c r="J3896">
        <f>IFERROR(VLOOKUP(G3896,'LEAID Match'!$A$2:$B$526,2,FALSE),"")</f>
        <v>2920340</v>
      </c>
      <c r="K3896" s="68">
        <f t="shared" si="121"/>
        <v>8</v>
      </c>
    </row>
    <row r="3897" spans="1:11" x14ac:dyDescent="0.2">
      <c r="A3897">
        <f t="shared" si="120"/>
        <v>2920340</v>
      </c>
      <c r="B3897">
        <v>2022</v>
      </c>
      <c r="C3897" t="s">
        <v>739</v>
      </c>
      <c r="D3897" t="s">
        <v>740</v>
      </c>
      <c r="E3897" t="s">
        <v>743</v>
      </c>
      <c r="F3897" s="34">
        <v>641</v>
      </c>
      <c r="G3897" s="34" t="s">
        <v>443</v>
      </c>
      <c r="H3897" s="36">
        <v>9286</v>
      </c>
      <c r="I3897" s="58">
        <v>50713</v>
      </c>
      <c r="J3897">
        <f>IFERROR(VLOOKUP(G3897,'LEAID Match'!$A$2:$B$526,2,FALSE),"")</f>
        <v>2920340</v>
      </c>
      <c r="K3897" s="68">
        <f t="shared" si="121"/>
        <v>8</v>
      </c>
    </row>
    <row r="3898" spans="1:11" x14ac:dyDescent="0.2">
      <c r="A3898">
        <f t="shared" si="120"/>
        <v>2914840</v>
      </c>
      <c r="B3898">
        <v>2015</v>
      </c>
      <c r="C3898" t="s">
        <v>739</v>
      </c>
      <c r="D3898" t="s">
        <v>740</v>
      </c>
      <c r="E3898" t="s">
        <v>743</v>
      </c>
      <c r="F3898" s="37">
        <v>643</v>
      </c>
      <c r="G3898" s="39" t="s">
        <v>444</v>
      </c>
      <c r="H3898" s="40">
        <v>111492</v>
      </c>
      <c r="I3898" s="58">
        <v>737567</v>
      </c>
      <c r="J3898">
        <f>IFERROR(VLOOKUP(G3898,'LEAID Match'!$A$2:$B$526,2,FALSE),"")</f>
        <v>2914840</v>
      </c>
      <c r="K3898" s="68">
        <f t="shared" si="121"/>
        <v>8</v>
      </c>
    </row>
    <row r="3899" spans="1:11" x14ac:dyDescent="0.2">
      <c r="A3899">
        <f t="shared" si="120"/>
        <v>2914840</v>
      </c>
      <c r="B3899">
        <v>2016</v>
      </c>
      <c r="C3899" t="s">
        <v>739</v>
      </c>
      <c r="D3899" t="s">
        <v>740</v>
      </c>
      <c r="E3899" t="s">
        <v>743</v>
      </c>
      <c r="F3899" s="34">
        <v>643</v>
      </c>
      <c r="G3899" s="34" t="s">
        <v>444</v>
      </c>
      <c r="H3899" s="36">
        <v>107525</v>
      </c>
      <c r="I3899" s="60">
        <v>764802</v>
      </c>
      <c r="J3899">
        <f>IFERROR(VLOOKUP(G3899,'LEAID Match'!$A$2:$B$526,2,FALSE),"")</f>
        <v>2914840</v>
      </c>
      <c r="K3899" s="68">
        <f t="shared" si="121"/>
        <v>8</v>
      </c>
    </row>
    <row r="3900" spans="1:11" x14ac:dyDescent="0.2">
      <c r="A3900">
        <f t="shared" si="120"/>
        <v>2914840</v>
      </c>
      <c r="B3900">
        <v>2017</v>
      </c>
      <c r="C3900" t="s">
        <v>739</v>
      </c>
      <c r="D3900" t="s">
        <v>740</v>
      </c>
      <c r="E3900" t="s">
        <v>743</v>
      </c>
      <c r="F3900" s="34">
        <v>643</v>
      </c>
      <c r="G3900" s="34" t="s">
        <v>444</v>
      </c>
      <c r="H3900" s="36">
        <v>110865</v>
      </c>
      <c r="I3900" s="58">
        <v>761768</v>
      </c>
      <c r="J3900">
        <f>IFERROR(VLOOKUP(G3900,'LEAID Match'!$A$2:$B$526,2,FALSE),"")</f>
        <v>2914840</v>
      </c>
      <c r="K3900" s="68">
        <f t="shared" si="121"/>
        <v>8</v>
      </c>
    </row>
    <row r="3901" spans="1:11" x14ac:dyDescent="0.2">
      <c r="A3901">
        <f t="shared" si="120"/>
        <v>2914840</v>
      </c>
      <c r="B3901">
        <v>2018</v>
      </c>
      <c r="C3901" t="s">
        <v>739</v>
      </c>
      <c r="D3901" t="s">
        <v>740</v>
      </c>
      <c r="E3901" t="s">
        <v>743</v>
      </c>
      <c r="F3901" s="34">
        <v>643</v>
      </c>
      <c r="G3901" s="34" t="s">
        <v>444</v>
      </c>
      <c r="H3901" s="36">
        <v>107775</v>
      </c>
      <c r="I3901" s="58">
        <v>751136</v>
      </c>
      <c r="J3901">
        <f>IFERROR(VLOOKUP(G3901,'LEAID Match'!$A$2:$B$526,2,FALSE),"")</f>
        <v>2914840</v>
      </c>
      <c r="K3901" s="68">
        <f t="shared" si="121"/>
        <v>8</v>
      </c>
    </row>
    <row r="3902" spans="1:11" x14ac:dyDescent="0.2">
      <c r="A3902">
        <f t="shared" si="120"/>
        <v>2914840</v>
      </c>
      <c r="B3902">
        <v>2019</v>
      </c>
      <c r="C3902" t="s">
        <v>739</v>
      </c>
      <c r="D3902" t="s">
        <v>740</v>
      </c>
      <c r="E3902" t="s">
        <v>743</v>
      </c>
      <c r="F3902" s="34">
        <v>643</v>
      </c>
      <c r="G3902" s="34" t="s">
        <v>444</v>
      </c>
      <c r="H3902" s="36">
        <v>127123</v>
      </c>
      <c r="I3902" s="58">
        <v>718840</v>
      </c>
      <c r="J3902">
        <f>IFERROR(VLOOKUP(G3902,'LEAID Match'!$A$2:$B$526,2,FALSE),"")</f>
        <v>2914840</v>
      </c>
      <c r="K3902" s="68">
        <f t="shared" si="121"/>
        <v>8</v>
      </c>
    </row>
    <row r="3903" spans="1:11" x14ac:dyDescent="0.2">
      <c r="A3903">
        <f t="shared" si="120"/>
        <v>2914840</v>
      </c>
      <c r="B3903">
        <v>2020</v>
      </c>
      <c r="C3903" t="s">
        <v>739</v>
      </c>
      <c r="D3903" t="s">
        <v>740</v>
      </c>
      <c r="E3903" t="s">
        <v>743</v>
      </c>
      <c r="F3903" s="34">
        <v>643</v>
      </c>
      <c r="G3903" s="34" t="s">
        <v>444</v>
      </c>
      <c r="H3903" s="36">
        <v>136525</v>
      </c>
      <c r="I3903" s="58">
        <v>712175</v>
      </c>
      <c r="J3903">
        <f>IFERROR(VLOOKUP(G3903,'LEAID Match'!$A$2:$B$526,2,FALSE),"")</f>
        <v>2914840</v>
      </c>
      <c r="K3903" s="68">
        <f t="shared" si="121"/>
        <v>8</v>
      </c>
    </row>
    <row r="3904" spans="1:11" x14ac:dyDescent="0.2">
      <c r="A3904">
        <f t="shared" si="120"/>
        <v>2914840</v>
      </c>
      <c r="B3904">
        <v>2021</v>
      </c>
      <c r="C3904" t="s">
        <v>739</v>
      </c>
      <c r="D3904" t="s">
        <v>740</v>
      </c>
      <c r="E3904" t="s">
        <v>743</v>
      </c>
      <c r="F3904" s="34">
        <v>643</v>
      </c>
      <c r="G3904" s="34" t="s">
        <v>444</v>
      </c>
      <c r="H3904" s="36">
        <v>152805</v>
      </c>
      <c r="I3904" s="58">
        <v>693694</v>
      </c>
      <c r="J3904">
        <f>IFERROR(VLOOKUP(G3904,'LEAID Match'!$A$2:$B$526,2,FALSE),"")</f>
        <v>2914840</v>
      </c>
      <c r="K3904" s="68">
        <f t="shared" si="121"/>
        <v>8</v>
      </c>
    </row>
    <row r="3905" spans="1:11" x14ac:dyDescent="0.2">
      <c r="A3905">
        <f t="shared" si="120"/>
        <v>2914840</v>
      </c>
      <c r="B3905">
        <v>2022</v>
      </c>
      <c r="C3905" t="s">
        <v>739</v>
      </c>
      <c r="D3905" t="s">
        <v>740</v>
      </c>
      <c r="E3905" t="s">
        <v>743</v>
      </c>
      <c r="F3905" s="34">
        <v>643</v>
      </c>
      <c r="G3905" s="34" t="s">
        <v>444</v>
      </c>
      <c r="H3905" s="36">
        <v>190539</v>
      </c>
      <c r="I3905" s="58">
        <v>768822</v>
      </c>
      <c r="J3905">
        <f>IFERROR(VLOOKUP(G3905,'LEAID Match'!$A$2:$B$526,2,FALSE),"")</f>
        <v>2914840</v>
      </c>
      <c r="K3905" s="68">
        <f t="shared" si="121"/>
        <v>8</v>
      </c>
    </row>
    <row r="3906" spans="1:11" x14ac:dyDescent="0.2">
      <c r="A3906">
        <f t="shared" si="120"/>
        <v>2929810</v>
      </c>
      <c r="B3906">
        <v>2015</v>
      </c>
      <c r="C3906" t="s">
        <v>739</v>
      </c>
      <c r="D3906" t="s">
        <v>740</v>
      </c>
      <c r="E3906" t="s">
        <v>743</v>
      </c>
      <c r="F3906" s="37">
        <v>644</v>
      </c>
      <c r="G3906" s="39" t="s">
        <v>445</v>
      </c>
      <c r="H3906" s="40">
        <v>28973</v>
      </c>
      <c r="I3906" s="58">
        <v>254786</v>
      </c>
      <c r="J3906">
        <f>IFERROR(VLOOKUP(G3906,'LEAID Match'!$A$2:$B$526,2,FALSE),"")</f>
        <v>2929810</v>
      </c>
      <c r="K3906" s="68">
        <f t="shared" si="121"/>
        <v>8</v>
      </c>
    </row>
    <row r="3907" spans="1:11" x14ac:dyDescent="0.2">
      <c r="A3907">
        <f t="shared" ref="A3907:A3970" si="122">J3907</f>
        <v>2929810</v>
      </c>
      <c r="B3907">
        <v>2016</v>
      </c>
      <c r="C3907" t="s">
        <v>739</v>
      </c>
      <c r="D3907" t="s">
        <v>740</v>
      </c>
      <c r="E3907" t="s">
        <v>743</v>
      </c>
      <c r="F3907" s="34">
        <v>644</v>
      </c>
      <c r="G3907" s="34" t="s">
        <v>445</v>
      </c>
      <c r="H3907" s="36">
        <v>23525</v>
      </c>
      <c r="I3907" s="60">
        <v>257558</v>
      </c>
      <c r="J3907">
        <f>IFERROR(VLOOKUP(G3907,'LEAID Match'!$A$2:$B$526,2,FALSE),"")</f>
        <v>2929810</v>
      </c>
      <c r="K3907" s="68">
        <f t="shared" ref="K3907:K3970" si="123">COUNTIF($J$2:$J$4295,J3907)</f>
        <v>8</v>
      </c>
    </row>
    <row r="3908" spans="1:11" x14ac:dyDescent="0.2">
      <c r="A3908">
        <f t="shared" si="122"/>
        <v>2929810</v>
      </c>
      <c r="B3908">
        <v>2017</v>
      </c>
      <c r="C3908" t="s">
        <v>739</v>
      </c>
      <c r="D3908" t="s">
        <v>740</v>
      </c>
      <c r="E3908" t="s">
        <v>743</v>
      </c>
      <c r="F3908" s="34">
        <v>644</v>
      </c>
      <c r="G3908" s="34" t="s">
        <v>445</v>
      </c>
      <c r="H3908" s="36">
        <v>29122</v>
      </c>
      <c r="I3908" s="58">
        <v>255834</v>
      </c>
      <c r="J3908">
        <f>IFERROR(VLOOKUP(G3908,'LEAID Match'!$A$2:$B$526,2,FALSE),"")</f>
        <v>2929810</v>
      </c>
      <c r="K3908" s="68">
        <f t="shared" si="123"/>
        <v>8</v>
      </c>
    </row>
    <row r="3909" spans="1:11" x14ac:dyDescent="0.2">
      <c r="A3909">
        <f t="shared" si="122"/>
        <v>2929810</v>
      </c>
      <c r="B3909">
        <v>2018</v>
      </c>
      <c r="C3909" t="s">
        <v>739</v>
      </c>
      <c r="D3909" t="s">
        <v>740</v>
      </c>
      <c r="E3909" t="s">
        <v>743</v>
      </c>
      <c r="F3909" s="34">
        <v>644</v>
      </c>
      <c r="G3909" s="34" t="s">
        <v>445</v>
      </c>
      <c r="H3909" s="36">
        <v>29532</v>
      </c>
      <c r="I3909" s="58">
        <v>272076</v>
      </c>
      <c r="J3909">
        <f>IFERROR(VLOOKUP(G3909,'LEAID Match'!$A$2:$B$526,2,FALSE),"")</f>
        <v>2929810</v>
      </c>
      <c r="K3909" s="68">
        <f t="shared" si="123"/>
        <v>8</v>
      </c>
    </row>
    <row r="3910" spans="1:11" x14ac:dyDescent="0.2">
      <c r="A3910">
        <f t="shared" si="122"/>
        <v>2929810</v>
      </c>
      <c r="B3910">
        <v>2019</v>
      </c>
      <c r="C3910" t="s">
        <v>739</v>
      </c>
      <c r="D3910" t="s">
        <v>740</v>
      </c>
      <c r="E3910" t="s">
        <v>743</v>
      </c>
      <c r="F3910" s="34">
        <v>644</v>
      </c>
      <c r="G3910" s="34" t="s">
        <v>445</v>
      </c>
      <c r="H3910" s="36">
        <v>31531</v>
      </c>
      <c r="I3910" s="58">
        <v>274703</v>
      </c>
      <c r="J3910">
        <f>IFERROR(VLOOKUP(G3910,'LEAID Match'!$A$2:$B$526,2,FALSE),"")</f>
        <v>2929810</v>
      </c>
      <c r="K3910" s="68">
        <f t="shared" si="123"/>
        <v>8</v>
      </c>
    </row>
    <row r="3911" spans="1:11" x14ac:dyDescent="0.2">
      <c r="A3911">
        <f t="shared" si="122"/>
        <v>2929810</v>
      </c>
      <c r="B3911">
        <v>2020</v>
      </c>
      <c r="C3911" t="s">
        <v>739</v>
      </c>
      <c r="D3911" t="s">
        <v>740</v>
      </c>
      <c r="E3911" t="s">
        <v>743</v>
      </c>
      <c r="F3911" s="34">
        <v>644</v>
      </c>
      <c r="G3911" s="34" t="s">
        <v>445</v>
      </c>
      <c r="H3911" s="36">
        <v>31316</v>
      </c>
      <c r="I3911" s="58">
        <v>272380</v>
      </c>
      <c r="J3911">
        <f>IFERROR(VLOOKUP(G3911,'LEAID Match'!$A$2:$B$526,2,FALSE),"")</f>
        <v>2929810</v>
      </c>
      <c r="K3911" s="68">
        <f t="shared" si="123"/>
        <v>8</v>
      </c>
    </row>
    <row r="3912" spans="1:11" x14ac:dyDescent="0.2">
      <c r="A3912">
        <f t="shared" si="122"/>
        <v>2929810</v>
      </c>
      <c r="B3912">
        <v>2021</v>
      </c>
      <c r="C3912" t="s">
        <v>739</v>
      </c>
      <c r="D3912" t="s">
        <v>740</v>
      </c>
      <c r="E3912" t="s">
        <v>743</v>
      </c>
      <c r="F3912" s="34">
        <v>644</v>
      </c>
      <c r="G3912" s="34" t="s">
        <v>445</v>
      </c>
      <c r="H3912" s="36">
        <v>39625</v>
      </c>
      <c r="I3912" s="58">
        <v>275978</v>
      </c>
      <c r="J3912">
        <f>IFERROR(VLOOKUP(G3912,'LEAID Match'!$A$2:$B$526,2,FALSE),"")</f>
        <v>2929810</v>
      </c>
      <c r="K3912" s="68">
        <f t="shared" si="123"/>
        <v>8</v>
      </c>
    </row>
    <row r="3913" spans="1:11" x14ac:dyDescent="0.2">
      <c r="A3913">
        <f t="shared" si="122"/>
        <v>2929810</v>
      </c>
      <c r="B3913">
        <v>2022</v>
      </c>
      <c r="C3913" t="s">
        <v>739</v>
      </c>
      <c r="D3913" t="s">
        <v>740</v>
      </c>
      <c r="E3913" t="s">
        <v>743</v>
      </c>
      <c r="F3913" s="34">
        <v>644</v>
      </c>
      <c r="G3913" s="34" t="s">
        <v>445</v>
      </c>
      <c r="H3913" s="36">
        <v>50912</v>
      </c>
      <c r="I3913" s="58">
        <v>293835</v>
      </c>
      <c r="J3913">
        <f>IFERROR(VLOOKUP(G3913,'LEAID Match'!$A$2:$B$526,2,FALSE),"")</f>
        <v>2929810</v>
      </c>
      <c r="K3913" s="68">
        <f t="shared" si="123"/>
        <v>8</v>
      </c>
    </row>
    <row r="3914" spans="1:11" x14ac:dyDescent="0.2">
      <c r="A3914">
        <f t="shared" si="122"/>
        <v>2906430</v>
      </c>
      <c r="B3914">
        <v>2015</v>
      </c>
      <c r="C3914" t="s">
        <v>739</v>
      </c>
      <c r="D3914" t="s">
        <v>740</v>
      </c>
      <c r="E3914" t="s">
        <v>743</v>
      </c>
      <c r="F3914" s="37">
        <v>645</v>
      </c>
      <c r="G3914" s="39" t="s">
        <v>446</v>
      </c>
      <c r="H3914" s="40">
        <v>72265</v>
      </c>
      <c r="I3914" s="58">
        <v>455938</v>
      </c>
      <c r="J3914">
        <f>IFERROR(VLOOKUP(G3914,'LEAID Match'!$A$2:$B$526,2,FALSE),"")</f>
        <v>2906430</v>
      </c>
      <c r="K3914" s="68">
        <f t="shared" si="123"/>
        <v>8</v>
      </c>
    </row>
    <row r="3915" spans="1:11" x14ac:dyDescent="0.2">
      <c r="A3915">
        <f t="shared" si="122"/>
        <v>2906430</v>
      </c>
      <c r="B3915">
        <v>2016</v>
      </c>
      <c r="C3915" t="s">
        <v>739</v>
      </c>
      <c r="D3915" t="s">
        <v>740</v>
      </c>
      <c r="E3915" t="s">
        <v>743</v>
      </c>
      <c r="F3915" s="34">
        <v>645</v>
      </c>
      <c r="G3915" s="34" t="s">
        <v>446</v>
      </c>
      <c r="H3915" s="36">
        <v>76758</v>
      </c>
      <c r="I3915" s="60">
        <v>475029</v>
      </c>
      <c r="J3915">
        <f>IFERROR(VLOOKUP(G3915,'LEAID Match'!$A$2:$B$526,2,FALSE),"")</f>
        <v>2906430</v>
      </c>
      <c r="K3915" s="68">
        <f t="shared" si="123"/>
        <v>8</v>
      </c>
    </row>
    <row r="3916" spans="1:11" x14ac:dyDescent="0.2">
      <c r="A3916">
        <f t="shared" si="122"/>
        <v>2906430</v>
      </c>
      <c r="B3916">
        <v>2017</v>
      </c>
      <c r="C3916" t="s">
        <v>739</v>
      </c>
      <c r="D3916" t="s">
        <v>740</v>
      </c>
      <c r="E3916" t="s">
        <v>743</v>
      </c>
      <c r="F3916" s="34">
        <v>645</v>
      </c>
      <c r="G3916" s="34" t="s">
        <v>446</v>
      </c>
      <c r="H3916" s="36">
        <v>79970</v>
      </c>
      <c r="I3916" s="58">
        <v>489995</v>
      </c>
      <c r="J3916">
        <f>IFERROR(VLOOKUP(G3916,'LEAID Match'!$A$2:$B$526,2,FALSE),"")</f>
        <v>2906430</v>
      </c>
      <c r="K3916" s="68">
        <f t="shared" si="123"/>
        <v>8</v>
      </c>
    </row>
    <row r="3917" spans="1:11" x14ac:dyDescent="0.2">
      <c r="A3917">
        <f t="shared" si="122"/>
        <v>2906430</v>
      </c>
      <c r="B3917">
        <v>2018</v>
      </c>
      <c r="C3917" t="s">
        <v>739</v>
      </c>
      <c r="D3917" t="s">
        <v>740</v>
      </c>
      <c r="E3917" t="s">
        <v>743</v>
      </c>
      <c r="F3917" s="34">
        <v>645</v>
      </c>
      <c r="G3917" s="34" t="s">
        <v>446</v>
      </c>
      <c r="H3917" s="36">
        <v>80116</v>
      </c>
      <c r="I3917" s="58">
        <v>496854</v>
      </c>
      <c r="J3917">
        <f>IFERROR(VLOOKUP(G3917,'LEAID Match'!$A$2:$B$526,2,FALSE),"")</f>
        <v>2906430</v>
      </c>
      <c r="K3917" s="68">
        <f t="shared" si="123"/>
        <v>8</v>
      </c>
    </row>
    <row r="3918" spans="1:11" x14ac:dyDescent="0.2">
      <c r="A3918">
        <f t="shared" si="122"/>
        <v>2906430</v>
      </c>
      <c r="B3918">
        <v>2019</v>
      </c>
      <c r="C3918" t="s">
        <v>739</v>
      </c>
      <c r="D3918" t="s">
        <v>740</v>
      </c>
      <c r="E3918" t="s">
        <v>743</v>
      </c>
      <c r="F3918" s="34">
        <v>645</v>
      </c>
      <c r="G3918" s="34" t="s">
        <v>446</v>
      </c>
      <c r="H3918" s="36">
        <v>81560</v>
      </c>
      <c r="I3918" s="58">
        <v>499575</v>
      </c>
      <c r="J3918">
        <f>IFERROR(VLOOKUP(G3918,'LEAID Match'!$A$2:$B$526,2,FALSE),"")</f>
        <v>2906430</v>
      </c>
      <c r="K3918" s="68">
        <f t="shared" si="123"/>
        <v>8</v>
      </c>
    </row>
    <row r="3919" spans="1:11" x14ac:dyDescent="0.2">
      <c r="A3919">
        <f t="shared" si="122"/>
        <v>2906430</v>
      </c>
      <c r="B3919">
        <v>2020</v>
      </c>
      <c r="C3919" t="s">
        <v>739</v>
      </c>
      <c r="D3919" t="s">
        <v>740</v>
      </c>
      <c r="E3919" t="s">
        <v>743</v>
      </c>
      <c r="F3919" s="34">
        <v>645</v>
      </c>
      <c r="G3919" s="34" t="s">
        <v>446</v>
      </c>
      <c r="H3919" s="36">
        <v>96041</v>
      </c>
      <c r="I3919" s="58">
        <v>524170</v>
      </c>
      <c r="J3919">
        <f>IFERROR(VLOOKUP(G3919,'LEAID Match'!$A$2:$B$526,2,FALSE),"")</f>
        <v>2906430</v>
      </c>
      <c r="K3919" s="68">
        <f t="shared" si="123"/>
        <v>8</v>
      </c>
    </row>
    <row r="3920" spans="1:11" x14ac:dyDescent="0.2">
      <c r="A3920">
        <f t="shared" si="122"/>
        <v>2906430</v>
      </c>
      <c r="B3920">
        <v>2021</v>
      </c>
      <c r="C3920" t="s">
        <v>739</v>
      </c>
      <c r="D3920" t="s">
        <v>740</v>
      </c>
      <c r="E3920" t="s">
        <v>743</v>
      </c>
      <c r="F3920" s="34">
        <v>645</v>
      </c>
      <c r="G3920" s="34" t="s">
        <v>446</v>
      </c>
      <c r="H3920" s="36">
        <v>101744</v>
      </c>
      <c r="I3920" s="58">
        <v>584343</v>
      </c>
      <c r="J3920">
        <f>IFERROR(VLOOKUP(G3920,'LEAID Match'!$A$2:$B$526,2,FALSE),"")</f>
        <v>2906430</v>
      </c>
      <c r="K3920" s="68">
        <f t="shared" si="123"/>
        <v>8</v>
      </c>
    </row>
    <row r="3921" spans="1:11" x14ac:dyDescent="0.2">
      <c r="A3921">
        <f t="shared" si="122"/>
        <v>2906430</v>
      </c>
      <c r="B3921">
        <v>2022</v>
      </c>
      <c r="C3921" t="s">
        <v>739</v>
      </c>
      <c r="D3921" t="s">
        <v>740</v>
      </c>
      <c r="E3921" t="s">
        <v>743</v>
      </c>
      <c r="F3921" s="34">
        <v>645</v>
      </c>
      <c r="G3921" s="34" t="s">
        <v>446</v>
      </c>
      <c r="H3921" s="36">
        <v>102273</v>
      </c>
      <c r="I3921" s="58">
        <v>640966</v>
      </c>
      <c r="J3921">
        <f>IFERROR(VLOOKUP(G3921,'LEAID Match'!$A$2:$B$526,2,FALSE),"")</f>
        <v>2906430</v>
      </c>
      <c r="K3921" s="68">
        <f t="shared" si="123"/>
        <v>8</v>
      </c>
    </row>
    <row r="3922" spans="1:11" x14ac:dyDescent="0.2">
      <c r="A3922">
        <f t="shared" si="122"/>
        <v>2925210</v>
      </c>
      <c r="B3922">
        <v>2015</v>
      </c>
      <c r="C3922" t="s">
        <v>739</v>
      </c>
      <c r="D3922" t="s">
        <v>740</v>
      </c>
      <c r="E3922" t="s">
        <v>743</v>
      </c>
      <c r="F3922" s="37">
        <v>646</v>
      </c>
      <c r="G3922" s="39" t="s">
        <v>447</v>
      </c>
      <c r="H3922" s="40">
        <v>51354</v>
      </c>
      <c r="I3922" s="58">
        <v>336222</v>
      </c>
      <c r="J3922">
        <f>IFERROR(VLOOKUP(G3922,'LEAID Match'!$A$2:$B$526,2,FALSE),"")</f>
        <v>2925210</v>
      </c>
      <c r="K3922" s="68">
        <f t="shared" si="123"/>
        <v>8</v>
      </c>
    </row>
    <row r="3923" spans="1:11" x14ac:dyDescent="0.2">
      <c r="A3923">
        <f t="shared" si="122"/>
        <v>2925210</v>
      </c>
      <c r="B3923">
        <v>2016</v>
      </c>
      <c r="C3923" t="s">
        <v>739</v>
      </c>
      <c r="D3923" t="s">
        <v>740</v>
      </c>
      <c r="E3923" t="s">
        <v>743</v>
      </c>
      <c r="F3923" s="34">
        <v>646</v>
      </c>
      <c r="G3923" s="34" t="s">
        <v>447</v>
      </c>
      <c r="H3923" s="36">
        <v>51648</v>
      </c>
      <c r="I3923" s="60">
        <v>329614</v>
      </c>
      <c r="J3923">
        <f>IFERROR(VLOOKUP(G3923,'LEAID Match'!$A$2:$B$526,2,FALSE),"")</f>
        <v>2925210</v>
      </c>
      <c r="K3923" s="68">
        <f t="shared" si="123"/>
        <v>8</v>
      </c>
    </row>
    <row r="3924" spans="1:11" x14ac:dyDescent="0.2">
      <c r="A3924">
        <f t="shared" si="122"/>
        <v>2925210</v>
      </c>
      <c r="B3924">
        <v>2017</v>
      </c>
      <c r="C3924" t="s">
        <v>739</v>
      </c>
      <c r="D3924" t="s">
        <v>740</v>
      </c>
      <c r="E3924" t="s">
        <v>743</v>
      </c>
      <c r="F3924" s="34">
        <v>646</v>
      </c>
      <c r="G3924" s="34" t="s">
        <v>447</v>
      </c>
      <c r="H3924" s="36">
        <v>46690</v>
      </c>
      <c r="I3924" s="58">
        <v>329966</v>
      </c>
      <c r="J3924">
        <f>IFERROR(VLOOKUP(G3924,'LEAID Match'!$A$2:$B$526,2,FALSE),"")</f>
        <v>2925210</v>
      </c>
      <c r="K3924" s="68">
        <f t="shared" si="123"/>
        <v>8</v>
      </c>
    </row>
    <row r="3925" spans="1:11" x14ac:dyDescent="0.2">
      <c r="A3925">
        <f t="shared" si="122"/>
        <v>2925210</v>
      </c>
      <c r="B3925">
        <v>2018</v>
      </c>
      <c r="C3925" t="s">
        <v>739</v>
      </c>
      <c r="D3925" t="s">
        <v>740</v>
      </c>
      <c r="E3925" t="s">
        <v>743</v>
      </c>
      <c r="F3925" s="34">
        <v>646</v>
      </c>
      <c r="G3925" s="34" t="s">
        <v>447</v>
      </c>
      <c r="H3925" s="36">
        <v>51426</v>
      </c>
      <c r="I3925" s="58">
        <v>326883</v>
      </c>
      <c r="J3925">
        <f>IFERROR(VLOOKUP(G3925,'LEAID Match'!$A$2:$B$526,2,FALSE),"")</f>
        <v>2925210</v>
      </c>
      <c r="K3925" s="68">
        <f t="shared" si="123"/>
        <v>8</v>
      </c>
    </row>
    <row r="3926" spans="1:11" x14ac:dyDescent="0.2">
      <c r="A3926">
        <f t="shared" si="122"/>
        <v>2925210</v>
      </c>
      <c r="B3926">
        <v>2019</v>
      </c>
      <c r="C3926" t="s">
        <v>739</v>
      </c>
      <c r="D3926" t="s">
        <v>740</v>
      </c>
      <c r="E3926" t="s">
        <v>743</v>
      </c>
      <c r="F3926" s="34">
        <v>646</v>
      </c>
      <c r="G3926" s="34" t="s">
        <v>447</v>
      </c>
      <c r="H3926" s="36">
        <v>60140</v>
      </c>
      <c r="I3926" s="58">
        <v>311130</v>
      </c>
      <c r="J3926">
        <f>IFERROR(VLOOKUP(G3926,'LEAID Match'!$A$2:$B$526,2,FALSE),"")</f>
        <v>2925210</v>
      </c>
      <c r="K3926" s="68">
        <f t="shared" si="123"/>
        <v>8</v>
      </c>
    </row>
    <row r="3927" spans="1:11" x14ac:dyDescent="0.2">
      <c r="A3927">
        <f t="shared" si="122"/>
        <v>2925210</v>
      </c>
      <c r="B3927">
        <v>2020</v>
      </c>
      <c r="C3927" t="s">
        <v>739</v>
      </c>
      <c r="D3927" t="s">
        <v>740</v>
      </c>
      <c r="E3927" t="s">
        <v>743</v>
      </c>
      <c r="F3927" s="34">
        <v>646</v>
      </c>
      <c r="G3927" s="34" t="s">
        <v>447</v>
      </c>
      <c r="H3927" s="36">
        <v>69479</v>
      </c>
      <c r="I3927" s="58">
        <v>293060</v>
      </c>
      <c r="J3927">
        <f>IFERROR(VLOOKUP(G3927,'LEAID Match'!$A$2:$B$526,2,FALSE),"")</f>
        <v>2925210</v>
      </c>
      <c r="K3927" s="68">
        <f t="shared" si="123"/>
        <v>8</v>
      </c>
    </row>
    <row r="3928" spans="1:11" x14ac:dyDescent="0.2">
      <c r="A3928">
        <f t="shared" si="122"/>
        <v>2925210</v>
      </c>
      <c r="B3928">
        <v>2021</v>
      </c>
      <c r="C3928" t="s">
        <v>739</v>
      </c>
      <c r="D3928" t="s">
        <v>740</v>
      </c>
      <c r="E3928" t="s">
        <v>743</v>
      </c>
      <c r="F3928" s="34">
        <v>646</v>
      </c>
      <c r="G3928" s="34" t="s">
        <v>447</v>
      </c>
      <c r="H3928" s="36">
        <v>74657</v>
      </c>
      <c r="I3928" s="58">
        <v>327377</v>
      </c>
      <c r="J3928">
        <f>IFERROR(VLOOKUP(G3928,'LEAID Match'!$A$2:$B$526,2,FALSE),"")</f>
        <v>2925210</v>
      </c>
      <c r="K3928" s="68">
        <f t="shared" si="123"/>
        <v>8</v>
      </c>
    </row>
    <row r="3929" spans="1:11" x14ac:dyDescent="0.2">
      <c r="A3929">
        <f t="shared" si="122"/>
        <v>2925210</v>
      </c>
      <c r="B3929">
        <v>2022</v>
      </c>
      <c r="C3929" t="s">
        <v>739</v>
      </c>
      <c r="D3929" t="s">
        <v>740</v>
      </c>
      <c r="E3929" t="s">
        <v>743</v>
      </c>
      <c r="F3929" s="34">
        <v>646</v>
      </c>
      <c r="G3929" s="34" t="s">
        <v>447</v>
      </c>
      <c r="H3929" s="36">
        <v>87118</v>
      </c>
      <c r="I3929" s="58">
        <v>324151</v>
      </c>
      <c r="J3929">
        <f>IFERROR(VLOOKUP(G3929,'LEAID Match'!$A$2:$B$526,2,FALSE),"")</f>
        <v>2925210</v>
      </c>
      <c r="K3929" s="68">
        <f t="shared" si="123"/>
        <v>8</v>
      </c>
    </row>
    <row r="3930" spans="1:11" x14ac:dyDescent="0.2">
      <c r="A3930">
        <f t="shared" si="122"/>
        <v>2929730</v>
      </c>
      <c r="B3930">
        <v>2015</v>
      </c>
      <c r="C3930" t="s">
        <v>739</v>
      </c>
      <c r="D3930" t="s">
        <v>740</v>
      </c>
      <c r="E3930" t="s">
        <v>743</v>
      </c>
      <c r="F3930" s="37">
        <v>647</v>
      </c>
      <c r="G3930" s="39" t="s">
        <v>448</v>
      </c>
      <c r="H3930" s="40">
        <v>9225</v>
      </c>
      <c r="I3930" s="58">
        <v>59896</v>
      </c>
      <c r="J3930">
        <f>IFERROR(VLOOKUP(G3930,'LEAID Match'!$A$2:$B$526,2,FALSE),"")</f>
        <v>2929730</v>
      </c>
      <c r="K3930" s="68">
        <f t="shared" si="123"/>
        <v>8</v>
      </c>
    </row>
    <row r="3931" spans="1:11" x14ac:dyDescent="0.2">
      <c r="A3931">
        <f t="shared" si="122"/>
        <v>2929730</v>
      </c>
      <c r="B3931">
        <v>2016</v>
      </c>
      <c r="C3931" t="s">
        <v>739</v>
      </c>
      <c r="D3931" t="s">
        <v>740</v>
      </c>
      <c r="E3931" t="s">
        <v>743</v>
      </c>
      <c r="F3931" s="34">
        <v>647</v>
      </c>
      <c r="G3931" s="34" t="s">
        <v>448</v>
      </c>
      <c r="H3931" s="36">
        <v>11664</v>
      </c>
      <c r="I3931" s="60">
        <v>67323</v>
      </c>
      <c r="J3931">
        <f>IFERROR(VLOOKUP(G3931,'LEAID Match'!$A$2:$B$526,2,FALSE),"")</f>
        <v>2929730</v>
      </c>
      <c r="K3931" s="68">
        <f t="shared" si="123"/>
        <v>8</v>
      </c>
    </row>
    <row r="3932" spans="1:11" x14ac:dyDescent="0.2">
      <c r="A3932">
        <f t="shared" si="122"/>
        <v>2929730</v>
      </c>
      <c r="B3932">
        <v>2017</v>
      </c>
      <c r="C3932" t="s">
        <v>739</v>
      </c>
      <c r="D3932" t="s">
        <v>740</v>
      </c>
      <c r="E3932" t="s">
        <v>743</v>
      </c>
      <c r="F3932" s="34">
        <v>647</v>
      </c>
      <c r="G3932" s="34" t="s">
        <v>448</v>
      </c>
      <c r="H3932" s="36">
        <v>10928</v>
      </c>
      <c r="I3932" s="58">
        <v>75166</v>
      </c>
      <c r="J3932">
        <f>IFERROR(VLOOKUP(G3932,'LEAID Match'!$A$2:$B$526,2,FALSE),"")</f>
        <v>2929730</v>
      </c>
      <c r="K3932" s="68">
        <f t="shared" si="123"/>
        <v>8</v>
      </c>
    </row>
    <row r="3933" spans="1:11" x14ac:dyDescent="0.2">
      <c r="A3933">
        <f t="shared" si="122"/>
        <v>2929730</v>
      </c>
      <c r="B3933">
        <v>2018</v>
      </c>
      <c r="C3933" t="s">
        <v>739</v>
      </c>
      <c r="D3933" t="s">
        <v>740</v>
      </c>
      <c r="E3933" t="s">
        <v>743</v>
      </c>
      <c r="F3933" s="34">
        <v>647</v>
      </c>
      <c r="G3933" s="34" t="s">
        <v>448</v>
      </c>
      <c r="H3933" s="36">
        <v>11071</v>
      </c>
      <c r="I3933" s="58">
        <v>81141</v>
      </c>
      <c r="J3933">
        <f>IFERROR(VLOOKUP(G3933,'LEAID Match'!$A$2:$B$526,2,FALSE),"")</f>
        <v>2929730</v>
      </c>
      <c r="K3933" s="68">
        <f t="shared" si="123"/>
        <v>8</v>
      </c>
    </row>
    <row r="3934" spans="1:11" x14ac:dyDescent="0.2">
      <c r="A3934">
        <f t="shared" si="122"/>
        <v>2929730</v>
      </c>
      <c r="B3934">
        <v>2019</v>
      </c>
      <c r="C3934" t="s">
        <v>739</v>
      </c>
      <c r="D3934" t="s">
        <v>740</v>
      </c>
      <c r="E3934" t="s">
        <v>743</v>
      </c>
      <c r="F3934" s="34">
        <v>647</v>
      </c>
      <c r="G3934" s="34" t="s">
        <v>448</v>
      </c>
      <c r="H3934" s="36">
        <v>12291</v>
      </c>
      <c r="I3934" s="58">
        <v>83374</v>
      </c>
      <c r="J3934">
        <f>IFERROR(VLOOKUP(G3934,'LEAID Match'!$A$2:$B$526,2,FALSE),"")</f>
        <v>2929730</v>
      </c>
      <c r="K3934" s="68">
        <f t="shared" si="123"/>
        <v>8</v>
      </c>
    </row>
    <row r="3935" spans="1:11" x14ac:dyDescent="0.2">
      <c r="A3935">
        <f t="shared" si="122"/>
        <v>2929730</v>
      </c>
      <c r="B3935">
        <v>2020</v>
      </c>
      <c r="C3935" t="s">
        <v>739</v>
      </c>
      <c r="D3935" t="s">
        <v>740</v>
      </c>
      <c r="E3935" t="s">
        <v>743</v>
      </c>
      <c r="F3935" s="34">
        <v>647</v>
      </c>
      <c r="G3935" s="34" t="s">
        <v>448</v>
      </c>
      <c r="H3935" s="36">
        <v>11107</v>
      </c>
      <c r="I3935" s="58">
        <v>86826</v>
      </c>
      <c r="J3935">
        <f>IFERROR(VLOOKUP(G3935,'LEAID Match'!$A$2:$B$526,2,FALSE),"")</f>
        <v>2929730</v>
      </c>
      <c r="K3935" s="68">
        <f t="shared" si="123"/>
        <v>8</v>
      </c>
    </row>
    <row r="3936" spans="1:11" x14ac:dyDescent="0.2">
      <c r="A3936">
        <f t="shared" si="122"/>
        <v>2929730</v>
      </c>
      <c r="B3936">
        <v>2021</v>
      </c>
      <c r="C3936" t="s">
        <v>739</v>
      </c>
      <c r="D3936" t="s">
        <v>740</v>
      </c>
      <c r="E3936" t="s">
        <v>743</v>
      </c>
      <c r="F3936" s="34">
        <v>647</v>
      </c>
      <c r="G3936" s="34" t="s">
        <v>448</v>
      </c>
      <c r="H3936" s="36">
        <v>16969</v>
      </c>
      <c r="I3936" s="58">
        <v>99048</v>
      </c>
      <c r="J3936">
        <f>IFERROR(VLOOKUP(G3936,'LEAID Match'!$A$2:$B$526,2,FALSE),"")</f>
        <v>2929730</v>
      </c>
      <c r="K3936" s="68">
        <f t="shared" si="123"/>
        <v>8</v>
      </c>
    </row>
    <row r="3937" spans="1:11" x14ac:dyDescent="0.2">
      <c r="A3937">
        <f t="shared" si="122"/>
        <v>2929730</v>
      </c>
      <c r="B3937">
        <v>2022</v>
      </c>
      <c r="C3937" t="s">
        <v>739</v>
      </c>
      <c r="D3937" t="s">
        <v>740</v>
      </c>
      <c r="E3937" t="s">
        <v>743</v>
      </c>
      <c r="F3937" s="34">
        <v>647</v>
      </c>
      <c r="G3937" s="34" t="s">
        <v>448</v>
      </c>
      <c r="H3937" s="36">
        <v>28385</v>
      </c>
      <c r="I3937" s="58">
        <v>77877</v>
      </c>
      <c r="J3937">
        <f>IFERROR(VLOOKUP(G3937,'LEAID Match'!$A$2:$B$526,2,FALSE),"")</f>
        <v>2929730</v>
      </c>
      <c r="K3937" s="68">
        <f t="shared" si="123"/>
        <v>8</v>
      </c>
    </row>
    <row r="3938" spans="1:11" x14ac:dyDescent="0.2">
      <c r="A3938">
        <f t="shared" si="122"/>
        <v>2926040</v>
      </c>
      <c r="B3938">
        <v>2015</v>
      </c>
      <c r="C3938" t="s">
        <v>739</v>
      </c>
      <c r="D3938" t="s">
        <v>740</v>
      </c>
      <c r="E3938" t="s">
        <v>743</v>
      </c>
      <c r="F3938" s="37">
        <v>648</v>
      </c>
      <c r="G3938" s="39" t="s">
        <v>449</v>
      </c>
      <c r="H3938" s="40">
        <v>28391</v>
      </c>
      <c r="I3938" s="58">
        <v>93717</v>
      </c>
      <c r="J3938">
        <f>IFERROR(VLOOKUP(G3938,'LEAID Match'!$A$2:$B$526,2,FALSE),"")</f>
        <v>2926040</v>
      </c>
      <c r="K3938" s="68">
        <f t="shared" si="123"/>
        <v>8</v>
      </c>
    </row>
    <row r="3939" spans="1:11" x14ac:dyDescent="0.2">
      <c r="A3939">
        <f t="shared" si="122"/>
        <v>2926040</v>
      </c>
      <c r="B3939">
        <v>2016</v>
      </c>
      <c r="C3939" t="s">
        <v>739</v>
      </c>
      <c r="D3939" t="s">
        <v>740</v>
      </c>
      <c r="E3939" t="s">
        <v>743</v>
      </c>
      <c r="F3939" s="34">
        <v>648</v>
      </c>
      <c r="G3939" s="34" t="s">
        <v>449</v>
      </c>
      <c r="H3939" s="36">
        <v>29970</v>
      </c>
      <c r="I3939" s="60">
        <v>98273</v>
      </c>
      <c r="J3939">
        <f>IFERROR(VLOOKUP(G3939,'LEAID Match'!$A$2:$B$526,2,FALSE),"")</f>
        <v>2926040</v>
      </c>
      <c r="K3939" s="68">
        <f t="shared" si="123"/>
        <v>8</v>
      </c>
    </row>
    <row r="3940" spans="1:11" x14ac:dyDescent="0.2">
      <c r="A3940">
        <f t="shared" si="122"/>
        <v>2926040</v>
      </c>
      <c r="B3940">
        <v>2017</v>
      </c>
      <c r="C3940" t="s">
        <v>739</v>
      </c>
      <c r="D3940" t="s">
        <v>740</v>
      </c>
      <c r="E3940" t="s">
        <v>743</v>
      </c>
      <c r="F3940" s="34">
        <v>648</v>
      </c>
      <c r="G3940" s="34" t="s">
        <v>449</v>
      </c>
      <c r="H3940" s="36">
        <v>27580</v>
      </c>
      <c r="I3940" s="58">
        <v>109191</v>
      </c>
      <c r="J3940">
        <f>IFERROR(VLOOKUP(G3940,'LEAID Match'!$A$2:$B$526,2,FALSE),"")</f>
        <v>2926040</v>
      </c>
      <c r="K3940" s="68">
        <f t="shared" si="123"/>
        <v>8</v>
      </c>
    </row>
    <row r="3941" spans="1:11" x14ac:dyDescent="0.2">
      <c r="A3941">
        <f t="shared" si="122"/>
        <v>2926040</v>
      </c>
      <c r="B3941">
        <v>2018</v>
      </c>
      <c r="C3941" t="s">
        <v>739</v>
      </c>
      <c r="D3941" t="s">
        <v>740</v>
      </c>
      <c r="E3941" t="s">
        <v>743</v>
      </c>
      <c r="F3941" s="34">
        <v>648</v>
      </c>
      <c r="G3941" s="34" t="s">
        <v>449</v>
      </c>
      <c r="H3941" s="36">
        <v>25204</v>
      </c>
      <c r="I3941" s="58">
        <v>110309</v>
      </c>
      <c r="J3941">
        <f>IFERROR(VLOOKUP(G3941,'LEAID Match'!$A$2:$B$526,2,FALSE),"")</f>
        <v>2926040</v>
      </c>
      <c r="K3941" s="68">
        <f t="shared" si="123"/>
        <v>8</v>
      </c>
    </row>
    <row r="3942" spans="1:11" x14ac:dyDescent="0.2">
      <c r="A3942">
        <f t="shared" si="122"/>
        <v>2926040</v>
      </c>
      <c r="B3942">
        <v>2019</v>
      </c>
      <c r="C3942" t="s">
        <v>739</v>
      </c>
      <c r="D3942" t="s">
        <v>740</v>
      </c>
      <c r="E3942" t="s">
        <v>743</v>
      </c>
      <c r="F3942" s="34">
        <v>648</v>
      </c>
      <c r="G3942" s="34" t="s">
        <v>449</v>
      </c>
      <c r="H3942" s="36">
        <v>26636</v>
      </c>
      <c r="I3942" s="58">
        <v>105674</v>
      </c>
      <c r="J3942">
        <f>IFERROR(VLOOKUP(G3942,'LEAID Match'!$A$2:$B$526,2,FALSE),"")</f>
        <v>2926040</v>
      </c>
      <c r="K3942" s="68">
        <f t="shared" si="123"/>
        <v>8</v>
      </c>
    </row>
    <row r="3943" spans="1:11" x14ac:dyDescent="0.2">
      <c r="A3943">
        <f t="shared" si="122"/>
        <v>2926040</v>
      </c>
      <c r="B3943">
        <v>2020</v>
      </c>
      <c r="C3943" t="s">
        <v>739</v>
      </c>
      <c r="D3943" t="s">
        <v>740</v>
      </c>
      <c r="E3943" t="s">
        <v>743</v>
      </c>
      <c r="F3943" s="34">
        <v>648</v>
      </c>
      <c r="G3943" s="34" t="s">
        <v>449</v>
      </c>
      <c r="H3943" s="36">
        <v>22783</v>
      </c>
      <c r="I3943" s="58">
        <v>102149</v>
      </c>
      <c r="J3943">
        <f>IFERROR(VLOOKUP(G3943,'LEAID Match'!$A$2:$B$526,2,FALSE),"")</f>
        <v>2926040</v>
      </c>
      <c r="K3943" s="68">
        <f t="shared" si="123"/>
        <v>8</v>
      </c>
    </row>
    <row r="3944" spans="1:11" x14ac:dyDescent="0.2">
      <c r="A3944">
        <f t="shared" si="122"/>
        <v>2926040</v>
      </c>
      <c r="B3944">
        <v>2021</v>
      </c>
      <c r="C3944" t="s">
        <v>739</v>
      </c>
      <c r="D3944" t="s">
        <v>740</v>
      </c>
      <c r="E3944" t="s">
        <v>743</v>
      </c>
      <c r="F3944" s="34">
        <v>648</v>
      </c>
      <c r="G3944" s="34" t="s">
        <v>449</v>
      </c>
      <c r="H3944" s="36">
        <v>26930</v>
      </c>
      <c r="I3944" s="58">
        <v>115556</v>
      </c>
      <c r="J3944">
        <f>IFERROR(VLOOKUP(G3944,'LEAID Match'!$A$2:$B$526,2,FALSE),"")</f>
        <v>2926040</v>
      </c>
      <c r="K3944" s="68">
        <f t="shared" si="123"/>
        <v>8</v>
      </c>
    </row>
    <row r="3945" spans="1:11" x14ac:dyDescent="0.2">
      <c r="A3945">
        <f t="shared" si="122"/>
        <v>2926040</v>
      </c>
      <c r="B3945">
        <v>2022</v>
      </c>
      <c r="C3945" t="s">
        <v>739</v>
      </c>
      <c r="D3945" t="s">
        <v>740</v>
      </c>
      <c r="E3945" t="s">
        <v>743</v>
      </c>
      <c r="F3945" s="34">
        <v>648</v>
      </c>
      <c r="G3945" s="34" t="s">
        <v>449</v>
      </c>
      <c r="H3945" s="36">
        <v>27426</v>
      </c>
      <c r="I3945" s="58">
        <v>117565</v>
      </c>
      <c r="J3945">
        <f>IFERROR(VLOOKUP(G3945,'LEAID Match'!$A$2:$B$526,2,FALSE),"")</f>
        <v>2926040</v>
      </c>
      <c r="K3945" s="68">
        <f t="shared" si="123"/>
        <v>8</v>
      </c>
    </row>
    <row r="3946" spans="1:11" x14ac:dyDescent="0.2">
      <c r="A3946">
        <f t="shared" si="122"/>
        <v>2918600</v>
      </c>
      <c r="B3946">
        <v>2015</v>
      </c>
      <c r="C3946" t="s">
        <v>739</v>
      </c>
      <c r="D3946" t="s">
        <v>740</v>
      </c>
      <c r="E3946" t="s">
        <v>743</v>
      </c>
      <c r="F3946" s="37">
        <v>649</v>
      </c>
      <c r="G3946" s="39" t="s">
        <v>450</v>
      </c>
      <c r="H3946" s="40">
        <v>67056</v>
      </c>
      <c r="I3946" s="58">
        <v>456835</v>
      </c>
      <c r="J3946">
        <f>IFERROR(VLOOKUP(G3946,'LEAID Match'!$A$2:$B$526,2,FALSE),"")</f>
        <v>2918600</v>
      </c>
      <c r="K3946" s="68">
        <f t="shared" si="123"/>
        <v>8</v>
      </c>
    </row>
    <row r="3947" spans="1:11" x14ac:dyDescent="0.2">
      <c r="A3947">
        <f t="shared" si="122"/>
        <v>2918600</v>
      </c>
      <c r="B3947">
        <v>2016</v>
      </c>
      <c r="C3947" t="s">
        <v>739</v>
      </c>
      <c r="D3947" t="s">
        <v>740</v>
      </c>
      <c r="E3947" t="s">
        <v>743</v>
      </c>
      <c r="F3947" s="34">
        <v>649</v>
      </c>
      <c r="G3947" s="34" t="s">
        <v>450</v>
      </c>
      <c r="H3947" s="36">
        <v>75882</v>
      </c>
      <c r="I3947" s="60">
        <v>459195</v>
      </c>
      <c r="J3947">
        <f>IFERROR(VLOOKUP(G3947,'LEAID Match'!$A$2:$B$526,2,FALSE),"")</f>
        <v>2918600</v>
      </c>
      <c r="K3947" s="68">
        <f t="shared" si="123"/>
        <v>8</v>
      </c>
    </row>
    <row r="3948" spans="1:11" x14ac:dyDescent="0.2">
      <c r="A3948">
        <f t="shared" si="122"/>
        <v>2918600</v>
      </c>
      <c r="B3948">
        <v>2017</v>
      </c>
      <c r="C3948" t="s">
        <v>739</v>
      </c>
      <c r="D3948" t="s">
        <v>740</v>
      </c>
      <c r="E3948" t="s">
        <v>743</v>
      </c>
      <c r="F3948" s="34">
        <v>649</v>
      </c>
      <c r="G3948" s="34" t="s">
        <v>450</v>
      </c>
      <c r="H3948" s="36">
        <v>82569</v>
      </c>
      <c r="I3948" s="58">
        <v>477529</v>
      </c>
      <c r="J3948">
        <f>IFERROR(VLOOKUP(G3948,'LEAID Match'!$A$2:$B$526,2,FALSE),"")</f>
        <v>2918600</v>
      </c>
      <c r="K3948" s="68">
        <f t="shared" si="123"/>
        <v>8</v>
      </c>
    </row>
    <row r="3949" spans="1:11" x14ac:dyDescent="0.2">
      <c r="A3949">
        <f t="shared" si="122"/>
        <v>2918600</v>
      </c>
      <c r="B3949">
        <v>2018</v>
      </c>
      <c r="C3949" t="s">
        <v>739</v>
      </c>
      <c r="D3949" t="s">
        <v>740</v>
      </c>
      <c r="E3949" t="s">
        <v>743</v>
      </c>
      <c r="F3949" s="34">
        <v>649</v>
      </c>
      <c r="G3949" s="34" t="s">
        <v>450</v>
      </c>
      <c r="H3949" s="36">
        <v>86041</v>
      </c>
      <c r="I3949" s="58">
        <v>492123</v>
      </c>
      <c r="J3949">
        <f>IFERROR(VLOOKUP(G3949,'LEAID Match'!$A$2:$B$526,2,FALSE),"")</f>
        <v>2918600</v>
      </c>
      <c r="K3949" s="68">
        <f t="shared" si="123"/>
        <v>8</v>
      </c>
    </row>
    <row r="3950" spans="1:11" x14ac:dyDescent="0.2">
      <c r="A3950">
        <f t="shared" si="122"/>
        <v>2918600</v>
      </c>
      <c r="B3950">
        <v>2019</v>
      </c>
      <c r="C3950" t="s">
        <v>739</v>
      </c>
      <c r="D3950" t="s">
        <v>740</v>
      </c>
      <c r="E3950" t="s">
        <v>743</v>
      </c>
      <c r="F3950" s="34">
        <v>649</v>
      </c>
      <c r="G3950" s="34" t="s">
        <v>450</v>
      </c>
      <c r="H3950" s="36">
        <v>85914</v>
      </c>
      <c r="I3950" s="58">
        <v>480434</v>
      </c>
      <c r="J3950">
        <f>IFERROR(VLOOKUP(G3950,'LEAID Match'!$A$2:$B$526,2,FALSE),"")</f>
        <v>2918600</v>
      </c>
      <c r="K3950" s="68">
        <f t="shared" si="123"/>
        <v>8</v>
      </c>
    </row>
    <row r="3951" spans="1:11" x14ac:dyDescent="0.2">
      <c r="A3951">
        <f t="shared" si="122"/>
        <v>2918600</v>
      </c>
      <c r="B3951">
        <v>2020</v>
      </c>
      <c r="C3951" t="s">
        <v>739</v>
      </c>
      <c r="D3951" t="s">
        <v>740</v>
      </c>
      <c r="E3951" t="s">
        <v>743</v>
      </c>
      <c r="F3951" s="34">
        <v>649</v>
      </c>
      <c r="G3951" s="34" t="s">
        <v>450</v>
      </c>
      <c r="H3951" s="36">
        <v>87289</v>
      </c>
      <c r="I3951" s="58">
        <v>484449</v>
      </c>
      <c r="J3951">
        <f>IFERROR(VLOOKUP(G3951,'LEAID Match'!$A$2:$B$526,2,FALSE),"")</f>
        <v>2918600</v>
      </c>
      <c r="K3951" s="68">
        <f t="shared" si="123"/>
        <v>8</v>
      </c>
    </row>
    <row r="3952" spans="1:11" x14ac:dyDescent="0.2">
      <c r="A3952">
        <f t="shared" si="122"/>
        <v>2918600</v>
      </c>
      <c r="B3952">
        <v>2021</v>
      </c>
      <c r="C3952" t="s">
        <v>739</v>
      </c>
      <c r="D3952" t="s">
        <v>740</v>
      </c>
      <c r="E3952" t="s">
        <v>743</v>
      </c>
      <c r="F3952" s="34">
        <v>649</v>
      </c>
      <c r="G3952" s="34" t="s">
        <v>450</v>
      </c>
      <c r="H3952" s="36">
        <v>89318</v>
      </c>
      <c r="I3952" s="58">
        <v>495952</v>
      </c>
      <c r="J3952">
        <f>IFERROR(VLOOKUP(G3952,'LEAID Match'!$A$2:$B$526,2,FALSE),"")</f>
        <v>2918600</v>
      </c>
      <c r="K3952" s="68">
        <f t="shared" si="123"/>
        <v>8</v>
      </c>
    </row>
    <row r="3953" spans="1:11" x14ac:dyDescent="0.2">
      <c r="A3953">
        <f t="shared" si="122"/>
        <v>2918600</v>
      </c>
      <c r="B3953">
        <v>2022</v>
      </c>
      <c r="C3953" t="s">
        <v>739</v>
      </c>
      <c r="D3953" t="s">
        <v>740</v>
      </c>
      <c r="E3953" t="s">
        <v>743</v>
      </c>
      <c r="F3953" s="34">
        <v>649</v>
      </c>
      <c r="G3953" s="34" t="s">
        <v>450</v>
      </c>
      <c r="H3953" s="36">
        <v>101211</v>
      </c>
      <c r="I3953" s="58">
        <v>526609</v>
      </c>
      <c r="J3953">
        <f>IFERROR(VLOOKUP(G3953,'LEAID Match'!$A$2:$B$526,2,FALSE),"")</f>
        <v>2918600</v>
      </c>
      <c r="K3953" s="68">
        <f t="shared" si="123"/>
        <v>8</v>
      </c>
    </row>
    <row r="3954" spans="1:11" x14ac:dyDescent="0.2">
      <c r="A3954">
        <f t="shared" si="122"/>
        <v>2927600</v>
      </c>
      <c r="B3954">
        <v>2015</v>
      </c>
      <c r="C3954" t="s">
        <v>739</v>
      </c>
      <c r="D3954" t="s">
        <v>740</v>
      </c>
      <c r="E3954" t="s">
        <v>743</v>
      </c>
      <c r="F3954" s="37">
        <v>653</v>
      </c>
      <c r="G3954" s="39" t="s">
        <v>451</v>
      </c>
      <c r="H3954" s="40">
        <v>19220</v>
      </c>
      <c r="I3954" s="58">
        <v>144397</v>
      </c>
      <c r="J3954">
        <f>IFERROR(VLOOKUP(G3954,'LEAID Match'!$A$2:$B$526,2,FALSE),"")</f>
        <v>2927600</v>
      </c>
      <c r="K3954" s="68">
        <f t="shared" si="123"/>
        <v>8</v>
      </c>
    </row>
    <row r="3955" spans="1:11" x14ac:dyDescent="0.2">
      <c r="A3955">
        <f t="shared" si="122"/>
        <v>2927600</v>
      </c>
      <c r="B3955">
        <v>2016</v>
      </c>
      <c r="C3955" t="s">
        <v>739</v>
      </c>
      <c r="D3955" t="s">
        <v>740</v>
      </c>
      <c r="E3955" t="s">
        <v>743</v>
      </c>
      <c r="F3955" s="34">
        <v>653</v>
      </c>
      <c r="G3955" s="34" t="s">
        <v>451</v>
      </c>
      <c r="H3955" s="36">
        <v>21481</v>
      </c>
      <c r="I3955" s="60">
        <v>146424</v>
      </c>
      <c r="J3955">
        <f>IFERROR(VLOOKUP(G3955,'LEAID Match'!$A$2:$B$526,2,FALSE),"")</f>
        <v>2927600</v>
      </c>
      <c r="K3955" s="68">
        <f t="shared" si="123"/>
        <v>8</v>
      </c>
    </row>
    <row r="3956" spans="1:11" x14ac:dyDescent="0.2">
      <c r="A3956">
        <f t="shared" si="122"/>
        <v>2927600</v>
      </c>
      <c r="B3956">
        <v>2017</v>
      </c>
      <c r="C3956" t="s">
        <v>739</v>
      </c>
      <c r="D3956" t="s">
        <v>740</v>
      </c>
      <c r="E3956" t="s">
        <v>743</v>
      </c>
      <c r="F3956" s="34">
        <v>653</v>
      </c>
      <c r="G3956" s="34" t="s">
        <v>451</v>
      </c>
      <c r="H3956" s="36">
        <v>21011</v>
      </c>
      <c r="I3956" s="58">
        <v>150820</v>
      </c>
      <c r="J3956">
        <f>IFERROR(VLOOKUP(G3956,'LEAID Match'!$A$2:$B$526,2,FALSE),"")</f>
        <v>2927600</v>
      </c>
      <c r="K3956" s="68">
        <f t="shared" si="123"/>
        <v>8</v>
      </c>
    </row>
    <row r="3957" spans="1:11" x14ac:dyDescent="0.2">
      <c r="A3957">
        <f t="shared" si="122"/>
        <v>2927600</v>
      </c>
      <c r="B3957">
        <v>2018</v>
      </c>
      <c r="C3957" t="s">
        <v>739</v>
      </c>
      <c r="D3957" t="s">
        <v>740</v>
      </c>
      <c r="E3957" t="s">
        <v>743</v>
      </c>
      <c r="F3957" s="34">
        <v>653</v>
      </c>
      <c r="G3957" s="34" t="s">
        <v>451</v>
      </c>
      <c r="H3957" s="36">
        <v>23793</v>
      </c>
      <c r="I3957" s="58">
        <v>140943</v>
      </c>
      <c r="J3957">
        <f>IFERROR(VLOOKUP(G3957,'LEAID Match'!$A$2:$B$526,2,FALSE),"")</f>
        <v>2927600</v>
      </c>
      <c r="K3957" s="68">
        <f t="shared" si="123"/>
        <v>8</v>
      </c>
    </row>
    <row r="3958" spans="1:11" x14ac:dyDescent="0.2">
      <c r="A3958">
        <f t="shared" si="122"/>
        <v>2927600</v>
      </c>
      <c r="B3958">
        <v>2019</v>
      </c>
      <c r="C3958" t="s">
        <v>739</v>
      </c>
      <c r="D3958" t="s">
        <v>740</v>
      </c>
      <c r="E3958" t="s">
        <v>743</v>
      </c>
      <c r="F3958" s="34">
        <v>653</v>
      </c>
      <c r="G3958" s="34" t="s">
        <v>451</v>
      </c>
      <c r="H3958" s="36">
        <v>25515</v>
      </c>
      <c r="I3958" s="58">
        <v>143534</v>
      </c>
      <c r="J3958">
        <f>IFERROR(VLOOKUP(G3958,'LEAID Match'!$A$2:$B$526,2,FALSE),"")</f>
        <v>2927600</v>
      </c>
      <c r="K3958" s="68">
        <f t="shared" si="123"/>
        <v>8</v>
      </c>
    </row>
    <row r="3959" spans="1:11" x14ac:dyDescent="0.2">
      <c r="A3959">
        <f t="shared" si="122"/>
        <v>2927600</v>
      </c>
      <c r="B3959">
        <v>2020</v>
      </c>
      <c r="C3959" t="s">
        <v>739</v>
      </c>
      <c r="D3959" t="s">
        <v>740</v>
      </c>
      <c r="E3959" t="s">
        <v>743</v>
      </c>
      <c r="F3959" s="34">
        <v>653</v>
      </c>
      <c r="G3959" s="34" t="s">
        <v>451</v>
      </c>
      <c r="H3959" s="36">
        <v>25556</v>
      </c>
      <c r="I3959" s="58">
        <v>147610</v>
      </c>
      <c r="J3959">
        <f>IFERROR(VLOOKUP(G3959,'LEAID Match'!$A$2:$B$526,2,FALSE),"")</f>
        <v>2927600</v>
      </c>
      <c r="K3959" s="68">
        <f t="shared" si="123"/>
        <v>8</v>
      </c>
    </row>
    <row r="3960" spans="1:11" x14ac:dyDescent="0.2">
      <c r="A3960">
        <f t="shared" si="122"/>
        <v>2927600</v>
      </c>
      <c r="B3960">
        <v>2021</v>
      </c>
      <c r="C3960" t="s">
        <v>739</v>
      </c>
      <c r="D3960" t="s">
        <v>740</v>
      </c>
      <c r="E3960" t="s">
        <v>743</v>
      </c>
      <c r="F3960" s="34">
        <v>653</v>
      </c>
      <c r="G3960" s="34" t="s">
        <v>451</v>
      </c>
      <c r="H3960" s="36">
        <v>25973</v>
      </c>
      <c r="I3960" s="58">
        <v>149691</v>
      </c>
      <c r="J3960">
        <f>IFERROR(VLOOKUP(G3960,'LEAID Match'!$A$2:$B$526,2,FALSE),"")</f>
        <v>2927600</v>
      </c>
      <c r="K3960" s="68">
        <f t="shared" si="123"/>
        <v>8</v>
      </c>
    </row>
    <row r="3961" spans="1:11" x14ac:dyDescent="0.2">
      <c r="A3961">
        <f t="shared" si="122"/>
        <v>2927600</v>
      </c>
      <c r="B3961">
        <v>2022</v>
      </c>
      <c r="C3961" t="s">
        <v>739</v>
      </c>
      <c r="D3961" t="s">
        <v>740</v>
      </c>
      <c r="E3961" t="s">
        <v>743</v>
      </c>
      <c r="F3961" s="34">
        <v>653</v>
      </c>
      <c r="G3961" s="34" t="s">
        <v>451</v>
      </c>
      <c r="H3961" s="36">
        <v>29551</v>
      </c>
      <c r="I3961" s="58">
        <v>165520</v>
      </c>
      <c r="J3961">
        <f>IFERROR(VLOOKUP(G3961,'LEAID Match'!$A$2:$B$526,2,FALSE),"")</f>
        <v>2927600</v>
      </c>
      <c r="K3961" s="68">
        <f t="shared" si="123"/>
        <v>8</v>
      </c>
    </row>
    <row r="3962" spans="1:11" x14ac:dyDescent="0.2">
      <c r="A3962">
        <f t="shared" si="122"/>
        <v>2921840</v>
      </c>
      <c r="B3962">
        <v>2015</v>
      </c>
      <c r="C3962" t="s">
        <v>739</v>
      </c>
      <c r="D3962" t="s">
        <v>740</v>
      </c>
      <c r="E3962" t="s">
        <v>743</v>
      </c>
      <c r="F3962" s="37">
        <v>656</v>
      </c>
      <c r="G3962" s="39" t="s">
        <v>452</v>
      </c>
      <c r="H3962" s="40">
        <v>229326</v>
      </c>
      <c r="I3962" s="58">
        <v>1776856</v>
      </c>
      <c r="J3962">
        <f>IFERROR(VLOOKUP(G3962,'LEAID Match'!$A$2:$B$526,2,FALSE),"")</f>
        <v>2921840</v>
      </c>
      <c r="K3962" s="68">
        <f t="shared" si="123"/>
        <v>8</v>
      </c>
    </row>
    <row r="3963" spans="1:11" x14ac:dyDescent="0.2">
      <c r="A3963">
        <f t="shared" si="122"/>
        <v>2921840</v>
      </c>
      <c r="B3963">
        <v>2016</v>
      </c>
      <c r="C3963" t="s">
        <v>739</v>
      </c>
      <c r="D3963" t="s">
        <v>740</v>
      </c>
      <c r="E3963" t="s">
        <v>743</v>
      </c>
      <c r="F3963" s="34">
        <v>656</v>
      </c>
      <c r="G3963" s="34" t="s">
        <v>452</v>
      </c>
      <c r="H3963" s="36">
        <v>230331</v>
      </c>
      <c r="I3963" s="60">
        <v>1793727</v>
      </c>
      <c r="J3963">
        <f>IFERROR(VLOOKUP(G3963,'LEAID Match'!$A$2:$B$526,2,FALSE),"")</f>
        <v>2921840</v>
      </c>
      <c r="K3963" s="68">
        <f t="shared" si="123"/>
        <v>8</v>
      </c>
    </row>
    <row r="3964" spans="1:11" x14ac:dyDescent="0.2">
      <c r="A3964">
        <f t="shared" si="122"/>
        <v>2921840</v>
      </c>
      <c r="B3964">
        <v>2017</v>
      </c>
      <c r="C3964" t="s">
        <v>739</v>
      </c>
      <c r="D3964" t="s">
        <v>740</v>
      </c>
      <c r="E3964" t="s">
        <v>743</v>
      </c>
      <c r="F3964" s="34">
        <v>656</v>
      </c>
      <c r="G3964" s="34" t="s">
        <v>452</v>
      </c>
      <c r="H3964" s="36">
        <v>232401</v>
      </c>
      <c r="I3964" s="58">
        <v>1811660</v>
      </c>
      <c r="J3964">
        <f>IFERROR(VLOOKUP(G3964,'LEAID Match'!$A$2:$B$526,2,FALSE),"")</f>
        <v>2921840</v>
      </c>
      <c r="K3964" s="68">
        <f t="shared" si="123"/>
        <v>8</v>
      </c>
    </row>
    <row r="3965" spans="1:11" x14ac:dyDescent="0.2">
      <c r="A3965">
        <f t="shared" si="122"/>
        <v>2921840</v>
      </c>
      <c r="B3965">
        <v>2018</v>
      </c>
      <c r="C3965" t="s">
        <v>739</v>
      </c>
      <c r="D3965" t="s">
        <v>740</v>
      </c>
      <c r="E3965" t="s">
        <v>743</v>
      </c>
      <c r="F3965" s="34">
        <v>656</v>
      </c>
      <c r="G3965" s="34" t="s">
        <v>452</v>
      </c>
      <c r="H3965" s="36">
        <v>234155</v>
      </c>
      <c r="I3965" s="58">
        <v>1843018</v>
      </c>
      <c r="J3965">
        <f>IFERROR(VLOOKUP(G3965,'LEAID Match'!$A$2:$B$526,2,FALSE),"")</f>
        <v>2921840</v>
      </c>
      <c r="K3965" s="68">
        <f t="shared" si="123"/>
        <v>8</v>
      </c>
    </row>
    <row r="3966" spans="1:11" x14ac:dyDescent="0.2">
      <c r="A3966">
        <f t="shared" si="122"/>
        <v>2921840</v>
      </c>
      <c r="B3966">
        <v>2019</v>
      </c>
      <c r="C3966" t="s">
        <v>739</v>
      </c>
      <c r="D3966" t="s">
        <v>740</v>
      </c>
      <c r="E3966" t="s">
        <v>743</v>
      </c>
      <c r="F3966" s="34">
        <v>656</v>
      </c>
      <c r="G3966" s="34" t="s">
        <v>452</v>
      </c>
      <c r="H3966" s="36">
        <v>234839</v>
      </c>
      <c r="I3966" s="58">
        <v>1805036</v>
      </c>
      <c r="J3966">
        <f>IFERROR(VLOOKUP(G3966,'LEAID Match'!$A$2:$B$526,2,FALSE),"")</f>
        <v>2921840</v>
      </c>
      <c r="K3966" s="68">
        <f t="shared" si="123"/>
        <v>8</v>
      </c>
    </row>
    <row r="3967" spans="1:11" x14ac:dyDescent="0.2">
      <c r="A3967">
        <f t="shared" si="122"/>
        <v>2921840</v>
      </c>
      <c r="B3967">
        <v>2020</v>
      </c>
      <c r="C3967" t="s">
        <v>739</v>
      </c>
      <c r="D3967" t="s">
        <v>740</v>
      </c>
      <c r="E3967" t="s">
        <v>743</v>
      </c>
      <c r="F3967" s="34">
        <v>656</v>
      </c>
      <c r="G3967" s="34" t="s">
        <v>452</v>
      </c>
      <c r="H3967" s="36">
        <v>243535</v>
      </c>
      <c r="I3967" s="58">
        <v>1801496</v>
      </c>
      <c r="J3967">
        <f>IFERROR(VLOOKUP(G3967,'LEAID Match'!$A$2:$B$526,2,FALSE),"")</f>
        <v>2921840</v>
      </c>
      <c r="K3967" s="68">
        <f t="shared" si="123"/>
        <v>8</v>
      </c>
    </row>
    <row r="3968" spans="1:11" x14ac:dyDescent="0.2">
      <c r="A3968">
        <f t="shared" si="122"/>
        <v>2921840</v>
      </c>
      <c r="B3968">
        <v>2021</v>
      </c>
      <c r="C3968" t="s">
        <v>739</v>
      </c>
      <c r="D3968" t="s">
        <v>740</v>
      </c>
      <c r="E3968" t="s">
        <v>743</v>
      </c>
      <c r="F3968" s="34">
        <v>656</v>
      </c>
      <c r="G3968" s="34" t="s">
        <v>452</v>
      </c>
      <c r="H3968" s="36">
        <v>238815</v>
      </c>
      <c r="I3968" s="58">
        <v>1842652</v>
      </c>
      <c r="J3968">
        <f>IFERROR(VLOOKUP(G3968,'LEAID Match'!$A$2:$B$526,2,FALSE),"")</f>
        <v>2921840</v>
      </c>
      <c r="K3968" s="68">
        <f t="shared" si="123"/>
        <v>8</v>
      </c>
    </row>
    <row r="3969" spans="1:11" x14ac:dyDescent="0.2">
      <c r="A3969">
        <f t="shared" si="122"/>
        <v>2921840</v>
      </c>
      <c r="B3969">
        <v>2022</v>
      </c>
      <c r="C3969" t="s">
        <v>739</v>
      </c>
      <c r="D3969" t="s">
        <v>740</v>
      </c>
      <c r="E3969" t="s">
        <v>743</v>
      </c>
      <c r="F3969" s="34">
        <v>656</v>
      </c>
      <c r="G3969" s="34" t="s">
        <v>452</v>
      </c>
      <c r="H3969" s="36">
        <v>246453</v>
      </c>
      <c r="I3969" s="58">
        <v>1839373</v>
      </c>
      <c r="J3969">
        <f>IFERROR(VLOOKUP(G3969,'LEAID Match'!$A$2:$B$526,2,FALSE),"")</f>
        <v>2921840</v>
      </c>
      <c r="K3969" s="68">
        <f t="shared" si="123"/>
        <v>8</v>
      </c>
    </row>
    <row r="3970" spans="1:11" x14ac:dyDescent="0.2">
      <c r="A3970">
        <f t="shared" si="122"/>
        <v>2905910</v>
      </c>
      <c r="B3970">
        <v>2015</v>
      </c>
      <c r="C3970" t="s">
        <v>739</v>
      </c>
      <c r="D3970" t="s">
        <v>740</v>
      </c>
      <c r="E3970" t="s">
        <v>743</v>
      </c>
      <c r="F3970" s="37">
        <v>657</v>
      </c>
      <c r="G3970" s="39" t="s">
        <v>453</v>
      </c>
      <c r="H3970" s="40">
        <v>15834</v>
      </c>
      <c r="I3970" s="58">
        <v>121881</v>
      </c>
      <c r="J3970">
        <f>IFERROR(VLOOKUP(G3970,'LEAID Match'!$A$2:$B$526,2,FALSE),"")</f>
        <v>2905910</v>
      </c>
      <c r="K3970" s="68">
        <f t="shared" si="123"/>
        <v>8</v>
      </c>
    </row>
    <row r="3971" spans="1:11" x14ac:dyDescent="0.2">
      <c r="A3971">
        <f t="shared" ref="A3971:A4034" si="124">J3971</f>
        <v>2905910</v>
      </c>
      <c r="B3971">
        <v>2016</v>
      </c>
      <c r="C3971" t="s">
        <v>739</v>
      </c>
      <c r="D3971" t="s">
        <v>740</v>
      </c>
      <c r="E3971" t="s">
        <v>743</v>
      </c>
      <c r="F3971" s="34">
        <v>657</v>
      </c>
      <c r="G3971" s="34" t="s">
        <v>453</v>
      </c>
      <c r="H3971" s="36">
        <v>15554</v>
      </c>
      <c r="I3971" s="60">
        <v>116295</v>
      </c>
      <c r="J3971">
        <f>IFERROR(VLOOKUP(G3971,'LEAID Match'!$A$2:$B$526,2,FALSE),"")</f>
        <v>2905910</v>
      </c>
      <c r="K3971" s="68">
        <f t="shared" ref="K3971:K4034" si="125">COUNTIF($J$2:$J$4295,J3971)</f>
        <v>8</v>
      </c>
    </row>
    <row r="3972" spans="1:11" x14ac:dyDescent="0.2">
      <c r="A3972">
        <f t="shared" si="124"/>
        <v>2905910</v>
      </c>
      <c r="B3972">
        <v>2017</v>
      </c>
      <c r="C3972" t="s">
        <v>739</v>
      </c>
      <c r="D3972" t="s">
        <v>740</v>
      </c>
      <c r="E3972" t="s">
        <v>743</v>
      </c>
      <c r="F3972" s="34">
        <v>657</v>
      </c>
      <c r="G3972" s="34" t="s">
        <v>453</v>
      </c>
      <c r="H3972" s="36">
        <v>17282</v>
      </c>
      <c r="I3972" s="58">
        <v>126190</v>
      </c>
      <c r="J3972">
        <f>IFERROR(VLOOKUP(G3972,'LEAID Match'!$A$2:$B$526,2,FALSE),"")</f>
        <v>2905910</v>
      </c>
      <c r="K3972" s="68">
        <f t="shared" si="125"/>
        <v>8</v>
      </c>
    </row>
    <row r="3973" spans="1:11" x14ac:dyDescent="0.2">
      <c r="A3973">
        <f t="shared" si="124"/>
        <v>2905910</v>
      </c>
      <c r="B3973">
        <v>2018</v>
      </c>
      <c r="C3973" t="s">
        <v>739</v>
      </c>
      <c r="D3973" t="s">
        <v>740</v>
      </c>
      <c r="E3973" t="s">
        <v>743</v>
      </c>
      <c r="F3973" s="34">
        <v>657</v>
      </c>
      <c r="G3973" s="34" t="s">
        <v>453</v>
      </c>
      <c r="H3973" s="36">
        <v>16379</v>
      </c>
      <c r="I3973" s="58">
        <v>129441</v>
      </c>
      <c r="J3973">
        <f>IFERROR(VLOOKUP(G3973,'LEAID Match'!$A$2:$B$526,2,FALSE),"")</f>
        <v>2905910</v>
      </c>
      <c r="K3973" s="68">
        <f t="shared" si="125"/>
        <v>8</v>
      </c>
    </row>
    <row r="3974" spans="1:11" x14ac:dyDescent="0.2">
      <c r="A3974">
        <f t="shared" si="124"/>
        <v>2905910</v>
      </c>
      <c r="B3974">
        <v>2019</v>
      </c>
      <c r="C3974" t="s">
        <v>739</v>
      </c>
      <c r="D3974" t="s">
        <v>740</v>
      </c>
      <c r="E3974" t="s">
        <v>743</v>
      </c>
      <c r="F3974" s="34">
        <v>657</v>
      </c>
      <c r="G3974" s="34" t="s">
        <v>453</v>
      </c>
      <c r="H3974" s="36">
        <v>16046</v>
      </c>
      <c r="I3974" s="58">
        <v>121198</v>
      </c>
      <c r="J3974">
        <f>IFERROR(VLOOKUP(G3974,'LEAID Match'!$A$2:$B$526,2,FALSE),"")</f>
        <v>2905910</v>
      </c>
      <c r="K3974" s="68">
        <f t="shared" si="125"/>
        <v>8</v>
      </c>
    </row>
    <row r="3975" spans="1:11" x14ac:dyDescent="0.2">
      <c r="A3975">
        <f t="shared" si="124"/>
        <v>2905910</v>
      </c>
      <c r="B3975">
        <v>2020</v>
      </c>
      <c r="C3975" t="s">
        <v>739</v>
      </c>
      <c r="D3975" t="s">
        <v>740</v>
      </c>
      <c r="E3975" t="s">
        <v>743</v>
      </c>
      <c r="F3975" s="34">
        <v>657</v>
      </c>
      <c r="G3975" s="34" t="s">
        <v>453</v>
      </c>
      <c r="H3975" s="36">
        <v>15436</v>
      </c>
      <c r="I3975" s="58">
        <v>117428</v>
      </c>
      <c r="J3975">
        <f>IFERROR(VLOOKUP(G3975,'LEAID Match'!$A$2:$B$526,2,FALSE),"")</f>
        <v>2905910</v>
      </c>
      <c r="K3975" s="68">
        <f t="shared" si="125"/>
        <v>8</v>
      </c>
    </row>
    <row r="3976" spans="1:11" x14ac:dyDescent="0.2">
      <c r="A3976">
        <f t="shared" si="124"/>
        <v>2905910</v>
      </c>
      <c r="B3976">
        <v>2021</v>
      </c>
      <c r="C3976" t="s">
        <v>739</v>
      </c>
      <c r="D3976" t="s">
        <v>740</v>
      </c>
      <c r="E3976" t="s">
        <v>743</v>
      </c>
      <c r="F3976" s="34">
        <v>657</v>
      </c>
      <c r="G3976" s="34" t="s">
        <v>453</v>
      </c>
      <c r="H3976" s="36">
        <v>12027</v>
      </c>
      <c r="I3976" s="58">
        <v>120877</v>
      </c>
      <c r="J3976">
        <f>IFERROR(VLOOKUP(G3976,'LEAID Match'!$A$2:$B$526,2,FALSE),"")</f>
        <v>2905910</v>
      </c>
      <c r="K3976" s="68">
        <f t="shared" si="125"/>
        <v>8</v>
      </c>
    </row>
    <row r="3977" spans="1:11" x14ac:dyDescent="0.2">
      <c r="A3977">
        <f t="shared" si="124"/>
        <v>2905910</v>
      </c>
      <c r="B3977">
        <v>2022</v>
      </c>
      <c r="C3977" t="s">
        <v>739</v>
      </c>
      <c r="D3977" t="s">
        <v>740</v>
      </c>
      <c r="E3977" t="s">
        <v>743</v>
      </c>
      <c r="F3977" s="34">
        <v>657</v>
      </c>
      <c r="G3977" s="34" t="s">
        <v>453</v>
      </c>
      <c r="H3977" s="36">
        <v>20898</v>
      </c>
      <c r="I3977" s="58">
        <v>111220</v>
      </c>
      <c r="J3977">
        <f>IFERROR(VLOOKUP(G3977,'LEAID Match'!$A$2:$B$526,2,FALSE),"")</f>
        <v>2905910</v>
      </c>
      <c r="K3977" s="68">
        <f t="shared" si="125"/>
        <v>8</v>
      </c>
    </row>
    <row r="3978" spans="1:11" x14ac:dyDescent="0.2">
      <c r="A3978">
        <f t="shared" si="124"/>
        <v>2928170</v>
      </c>
      <c r="B3978">
        <v>2015</v>
      </c>
      <c r="C3978" t="s">
        <v>739</v>
      </c>
      <c r="D3978" t="s">
        <v>740</v>
      </c>
      <c r="E3978" t="s">
        <v>743</v>
      </c>
      <c r="F3978" s="37">
        <v>658</v>
      </c>
      <c r="G3978" s="39" t="s">
        <v>454</v>
      </c>
      <c r="H3978" s="40">
        <v>12310</v>
      </c>
      <c r="I3978" s="58">
        <v>146355</v>
      </c>
      <c r="J3978">
        <f>IFERROR(VLOOKUP(G3978,'LEAID Match'!$A$2:$B$526,2,FALSE),"")</f>
        <v>2928170</v>
      </c>
      <c r="K3978" s="68">
        <f t="shared" si="125"/>
        <v>8</v>
      </c>
    </row>
    <row r="3979" spans="1:11" x14ac:dyDescent="0.2">
      <c r="A3979">
        <f t="shared" si="124"/>
        <v>2928170</v>
      </c>
      <c r="B3979">
        <v>2016</v>
      </c>
      <c r="C3979" t="s">
        <v>739</v>
      </c>
      <c r="D3979" t="s">
        <v>740</v>
      </c>
      <c r="E3979" t="s">
        <v>743</v>
      </c>
      <c r="F3979" s="34">
        <v>658</v>
      </c>
      <c r="G3979" s="34" t="s">
        <v>454</v>
      </c>
      <c r="H3979" s="36">
        <v>14405</v>
      </c>
      <c r="I3979" s="60">
        <v>142768</v>
      </c>
      <c r="J3979">
        <f>IFERROR(VLOOKUP(G3979,'LEAID Match'!$A$2:$B$526,2,FALSE),"")</f>
        <v>2928170</v>
      </c>
      <c r="K3979" s="68">
        <f t="shared" si="125"/>
        <v>8</v>
      </c>
    </row>
    <row r="3980" spans="1:11" x14ac:dyDescent="0.2">
      <c r="A3980">
        <f t="shared" si="124"/>
        <v>2928170</v>
      </c>
      <c r="B3980">
        <v>2017</v>
      </c>
      <c r="C3980" t="s">
        <v>739</v>
      </c>
      <c r="D3980" t="s">
        <v>740</v>
      </c>
      <c r="E3980" t="s">
        <v>743</v>
      </c>
      <c r="F3980" s="34">
        <v>658</v>
      </c>
      <c r="G3980" s="34" t="s">
        <v>454</v>
      </c>
      <c r="H3980" s="36">
        <v>14110</v>
      </c>
      <c r="I3980" s="58">
        <v>146390</v>
      </c>
      <c r="J3980">
        <f>IFERROR(VLOOKUP(G3980,'LEAID Match'!$A$2:$B$526,2,FALSE),"")</f>
        <v>2928170</v>
      </c>
      <c r="K3980" s="68">
        <f t="shared" si="125"/>
        <v>8</v>
      </c>
    </row>
    <row r="3981" spans="1:11" x14ac:dyDescent="0.2">
      <c r="A3981">
        <f t="shared" si="124"/>
        <v>2928170</v>
      </c>
      <c r="B3981">
        <v>2018</v>
      </c>
      <c r="C3981" t="s">
        <v>739</v>
      </c>
      <c r="D3981" t="s">
        <v>740</v>
      </c>
      <c r="E3981" t="s">
        <v>743</v>
      </c>
      <c r="F3981" s="34">
        <v>658</v>
      </c>
      <c r="G3981" s="34" t="s">
        <v>454</v>
      </c>
      <c r="H3981" s="36">
        <v>13541</v>
      </c>
      <c r="I3981" s="58">
        <v>146195</v>
      </c>
      <c r="J3981">
        <f>IFERROR(VLOOKUP(G3981,'LEAID Match'!$A$2:$B$526,2,FALSE),"")</f>
        <v>2928170</v>
      </c>
      <c r="K3981" s="68">
        <f t="shared" si="125"/>
        <v>8</v>
      </c>
    </row>
    <row r="3982" spans="1:11" x14ac:dyDescent="0.2">
      <c r="A3982">
        <f t="shared" si="124"/>
        <v>2928170</v>
      </c>
      <c r="B3982">
        <v>2019</v>
      </c>
      <c r="C3982" t="s">
        <v>739</v>
      </c>
      <c r="D3982" t="s">
        <v>740</v>
      </c>
      <c r="E3982" t="s">
        <v>743</v>
      </c>
      <c r="F3982" s="34">
        <v>658</v>
      </c>
      <c r="G3982" s="34" t="s">
        <v>454</v>
      </c>
      <c r="H3982" s="36">
        <v>12243</v>
      </c>
      <c r="I3982" s="58">
        <v>147644</v>
      </c>
      <c r="J3982">
        <f>IFERROR(VLOOKUP(G3982,'LEAID Match'!$A$2:$B$526,2,FALSE),"")</f>
        <v>2928170</v>
      </c>
      <c r="K3982" s="68">
        <f t="shared" si="125"/>
        <v>8</v>
      </c>
    </row>
    <row r="3983" spans="1:11" x14ac:dyDescent="0.2">
      <c r="A3983">
        <f t="shared" si="124"/>
        <v>2928170</v>
      </c>
      <c r="B3983">
        <v>2020</v>
      </c>
      <c r="C3983" t="s">
        <v>739</v>
      </c>
      <c r="D3983" t="s">
        <v>740</v>
      </c>
      <c r="E3983" t="s">
        <v>743</v>
      </c>
      <c r="F3983" s="34">
        <v>658</v>
      </c>
      <c r="G3983" s="34" t="s">
        <v>454</v>
      </c>
      <c r="H3983" s="36">
        <v>13881</v>
      </c>
      <c r="I3983" s="58">
        <v>158395</v>
      </c>
      <c r="J3983">
        <f>IFERROR(VLOOKUP(G3983,'LEAID Match'!$A$2:$B$526,2,FALSE),"")</f>
        <v>2928170</v>
      </c>
      <c r="K3983" s="68">
        <f t="shared" si="125"/>
        <v>8</v>
      </c>
    </row>
    <row r="3984" spans="1:11" x14ac:dyDescent="0.2">
      <c r="A3984">
        <f t="shared" si="124"/>
        <v>2928170</v>
      </c>
      <c r="B3984">
        <v>2021</v>
      </c>
      <c r="C3984" t="s">
        <v>739</v>
      </c>
      <c r="D3984" t="s">
        <v>740</v>
      </c>
      <c r="E3984" t="s">
        <v>743</v>
      </c>
      <c r="F3984" s="34">
        <v>658</v>
      </c>
      <c r="G3984" s="34" t="s">
        <v>454</v>
      </c>
      <c r="H3984" s="36">
        <v>14050</v>
      </c>
      <c r="I3984" s="58">
        <v>158535</v>
      </c>
      <c r="J3984">
        <f>IFERROR(VLOOKUP(G3984,'LEAID Match'!$A$2:$B$526,2,FALSE),"")</f>
        <v>2928170</v>
      </c>
      <c r="K3984" s="68">
        <f t="shared" si="125"/>
        <v>8</v>
      </c>
    </row>
    <row r="3985" spans="1:11" x14ac:dyDescent="0.2">
      <c r="A3985">
        <f t="shared" si="124"/>
        <v>2928170</v>
      </c>
      <c r="B3985">
        <v>2022</v>
      </c>
      <c r="C3985" t="s">
        <v>739</v>
      </c>
      <c r="D3985" t="s">
        <v>740</v>
      </c>
      <c r="E3985" t="s">
        <v>743</v>
      </c>
      <c r="F3985" s="34">
        <v>658</v>
      </c>
      <c r="G3985" s="34" t="s">
        <v>454</v>
      </c>
      <c r="H3985" s="36">
        <v>13689</v>
      </c>
      <c r="I3985" s="58">
        <v>165223</v>
      </c>
      <c r="J3985">
        <f>IFERROR(VLOOKUP(G3985,'LEAID Match'!$A$2:$B$526,2,FALSE),"")</f>
        <v>2928170</v>
      </c>
      <c r="K3985" s="68">
        <f t="shared" si="125"/>
        <v>8</v>
      </c>
    </row>
    <row r="3986" spans="1:11" x14ac:dyDescent="0.2">
      <c r="A3986">
        <f t="shared" si="124"/>
        <v>2932310</v>
      </c>
      <c r="B3986">
        <v>2015</v>
      </c>
      <c r="C3986" t="s">
        <v>739</v>
      </c>
      <c r="D3986" t="s">
        <v>740</v>
      </c>
      <c r="E3986" t="s">
        <v>743</v>
      </c>
      <c r="F3986" s="37">
        <v>659</v>
      </c>
      <c r="G3986" s="39" t="s">
        <v>455</v>
      </c>
      <c r="H3986" s="40">
        <v>157618</v>
      </c>
      <c r="I3986" s="58">
        <v>1043577</v>
      </c>
      <c r="J3986">
        <f>IFERROR(VLOOKUP(G3986,'LEAID Match'!$A$2:$B$526,2,FALSE),"")</f>
        <v>2932310</v>
      </c>
      <c r="K3986" s="68">
        <f t="shared" si="125"/>
        <v>8</v>
      </c>
    </row>
    <row r="3987" spans="1:11" x14ac:dyDescent="0.2">
      <c r="A3987">
        <f t="shared" si="124"/>
        <v>2932310</v>
      </c>
      <c r="B3987">
        <v>2016</v>
      </c>
      <c r="C3987" t="s">
        <v>739</v>
      </c>
      <c r="D3987" t="s">
        <v>740</v>
      </c>
      <c r="E3987" t="s">
        <v>743</v>
      </c>
      <c r="F3987" s="34">
        <v>659</v>
      </c>
      <c r="G3987" s="34" t="s">
        <v>455</v>
      </c>
      <c r="H3987" s="36">
        <v>169770</v>
      </c>
      <c r="I3987" s="60">
        <v>1065900</v>
      </c>
      <c r="J3987">
        <f>IFERROR(VLOOKUP(G3987,'LEAID Match'!$A$2:$B$526,2,FALSE),"")</f>
        <v>2932310</v>
      </c>
      <c r="K3987" s="68">
        <f t="shared" si="125"/>
        <v>8</v>
      </c>
    </row>
    <row r="3988" spans="1:11" x14ac:dyDescent="0.2">
      <c r="A3988">
        <f t="shared" si="124"/>
        <v>2932310</v>
      </c>
      <c r="B3988">
        <v>2017</v>
      </c>
      <c r="C3988" t="s">
        <v>739</v>
      </c>
      <c r="D3988" t="s">
        <v>740</v>
      </c>
      <c r="E3988" t="s">
        <v>743</v>
      </c>
      <c r="F3988" s="34">
        <v>659</v>
      </c>
      <c r="G3988" s="34" t="s">
        <v>455</v>
      </c>
      <c r="H3988" s="36">
        <v>173337</v>
      </c>
      <c r="I3988" s="58">
        <v>1110976</v>
      </c>
      <c r="J3988">
        <f>IFERROR(VLOOKUP(G3988,'LEAID Match'!$A$2:$B$526,2,FALSE),"")</f>
        <v>2932310</v>
      </c>
      <c r="K3988" s="68">
        <f t="shared" si="125"/>
        <v>8</v>
      </c>
    </row>
    <row r="3989" spans="1:11" x14ac:dyDescent="0.2">
      <c r="A3989">
        <f t="shared" si="124"/>
        <v>2932310</v>
      </c>
      <c r="B3989">
        <v>2018</v>
      </c>
      <c r="C3989" t="s">
        <v>739</v>
      </c>
      <c r="D3989" t="s">
        <v>740</v>
      </c>
      <c r="E3989" t="s">
        <v>743</v>
      </c>
      <c r="F3989" s="34">
        <v>659</v>
      </c>
      <c r="G3989" s="34" t="s">
        <v>455</v>
      </c>
      <c r="H3989" s="36">
        <v>197164</v>
      </c>
      <c r="I3989" s="58">
        <v>1169848</v>
      </c>
      <c r="J3989">
        <f>IFERROR(VLOOKUP(G3989,'LEAID Match'!$A$2:$B$526,2,FALSE),"")</f>
        <v>2932310</v>
      </c>
      <c r="K3989" s="68">
        <f t="shared" si="125"/>
        <v>8</v>
      </c>
    </row>
    <row r="3990" spans="1:11" x14ac:dyDescent="0.2">
      <c r="A3990">
        <f t="shared" si="124"/>
        <v>2932310</v>
      </c>
      <c r="B3990">
        <v>2019</v>
      </c>
      <c r="C3990" t="s">
        <v>739</v>
      </c>
      <c r="D3990" t="s">
        <v>740</v>
      </c>
      <c r="E3990" t="s">
        <v>743</v>
      </c>
      <c r="F3990" s="34">
        <v>659</v>
      </c>
      <c r="G3990" s="34" t="s">
        <v>455</v>
      </c>
      <c r="H3990" s="36">
        <v>199591</v>
      </c>
      <c r="I3990" s="58">
        <v>1257909</v>
      </c>
      <c r="J3990">
        <f>IFERROR(VLOOKUP(G3990,'LEAID Match'!$A$2:$B$526,2,FALSE),"")</f>
        <v>2932310</v>
      </c>
      <c r="K3990" s="68">
        <f t="shared" si="125"/>
        <v>8</v>
      </c>
    </row>
    <row r="3991" spans="1:11" x14ac:dyDescent="0.2">
      <c r="A3991">
        <f t="shared" si="124"/>
        <v>2932310</v>
      </c>
      <c r="B3991">
        <v>2020</v>
      </c>
      <c r="C3991" t="s">
        <v>739</v>
      </c>
      <c r="D3991" t="s">
        <v>740</v>
      </c>
      <c r="E3991" t="s">
        <v>743</v>
      </c>
      <c r="F3991" s="34">
        <v>659</v>
      </c>
      <c r="G3991" s="34" t="s">
        <v>455</v>
      </c>
      <c r="H3991" s="36">
        <v>201658</v>
      </c>
      <c r="I3991" s="58">
        <v>1334709</v>
      </c>
      <c r="J3991">
        <f>IFERROR(VLOOKUP(G3991,'LEAID Match'!$A$2:$B$526,2,FALSE),"")</f>
        <v>2932310</v>
      </c>
      <c r="K3991" s="68">
        <f t="shared" si="125"/>
        <v>8</v>
      </c>
    </row>
    <row r="3992" spans="1:11" x14ac:dyDescent="0.2">
      <c r="A3992">
        <f t="shared" si="124"/>
        <v>2932310</v>
      </c>
      <c r="B3992">
        <v>2021</v>
      </c>
      <c r="C3992" t="s">
        <v>739</v>
      </c>
      <c r="D3992" t="s">
        <v>740</v>
      </c>
      <c r="E3992" t="s">
        <v>743</v>
      </c>
      <c r="F3992" s="34">
        <v>659</v>
      </c>
      <c r="G3992" s="34" t="s">
        <v>455</v>
      </c>
      <c r="H3992" s="36">
        <v>206808</v>
      </c>
      <c r="I3992" s="58">
        <v>1378641</v>
      </c>
      <c r="J3992">
        <f>IFERROR(VLOOKUP(G3992,'LEAID Match'!$A$2:$B$526,2,FALSE),"")</f>
        <v>2932310</v>
      </c>
      <c r="K3992" s="68">
        <f t="shared" si="125"/>
        <v>8</v>
      </c>
    </row>
    <row r="3993" spans="1:11" x14ac:dyDescent="0.2">
      <c r="A3993">
        <f t="shared" si="124"/>
        <v>2932310</v>
      </c>
      <c r="B3993">
        <v>2022</v>
      </c>
      <c r="C3993" t="s">
        <v>739</v>
      </c>
      <c r="D3993" t="s">
        <v>740</v>
      </c>
      <c r="E3993" t="s">
        <v>743</v>
      </c>
      <c r="F3993" s="34">
        <v>659</v>
      </c>
      <c r="G3993" s="34" t="s">
        <v>455</v>
      </c>
      <c r="H3993" s="36">
        <v>215657</v>
      </c>
      <c r="I3993" s="58">
        <v>1401250</v>
      </c>
      <c r="J3993">
        <f>IFERROR(VLOOKUP(G3993,'LEAID Match'!$A$2:$B$526,2,FALSE),"")</f>
        <v>2932310</v>
      </c>
      <c r="K3993" s="68">
        <f t="shared" si="125"/>
        <v>8</v>
      </c>
    </row>
    <row r="3994" spans="1:11" x14ac:dyDescent="0.2">
      <c r="A3994">
        <f t="shared" si="124"/>
        <v>2931050</v>
      </c>
      <c r="B3994">
        <v>2015</v>
      </c>
      <c r="C3994" t="s">
        <v>739</v>
      </c>
      <c r="D3994" t="s">
        <v>740</v>
      </c>
      <c r="E3994" t="s">
        <v>743</v>
      </c>
      <c r="F3994" s="37">
        <v>660</v>
      </c>
      <c r="G3994" s="39" t="s">
        <v>456</v>
      </c>
      <c r="H3994" s="40">
        <v>360295</v>
      </c>
      <c r="I3994" s="58">
        <v>2105699</v>
      </c>
      <c r="J3994">
        <f>IFERROR(VLOOKUP(G3994,'LEAID Match'!$A$2:$B$526,2,FALSE),"")</f>
        <v>2931050</v>
      </c>
      <c r="K3994" s="68">
        <f t="shared" si="125"/>
        <v>8</v>
      </c>
    </row>
    <row r="3995" spans="1:11" x14ac:dyDescent="0.2">
      <c r="A3995">
        <f t="shared" si="124"/>
        <v>2931050</v>
      </c>
      <c r="B3995">
        <v>2016</v>
      </c>
      <c r="C3995" t="s">
        <v>739</v>
      </c>
      <c r="D3995" t="s">
        <v>740</v>
      </c>
      <c r="E3995" t="s">
        <v>743</v>
      </c>
      <c r="F3995" s="34">
        <v>660</v>
      </c>
      <c r="G3995" s="34" t="s">
        <v>456</v>
      </c>
      <c r="H3995" s="36">
        <v>372235</v>
      </c>
      <c r="I3995" s="60">
        <v>2196391</v>
      </c>
      <c r="J3995">
        <f>IFERROR(VLOOKUP(G3995,'LEAID Match'!$A$2:$B$526,2,FALSE),"")</f>
        <v>2931050</v>
      </c>
      <c r="K3995" s="68">
        <f t="shared" si="125"/>
        <v>8</v>
      </c>
    </row>
    <row r="3996" spans="1:11" x14ac:dyDescent="0.2">
      <c r="A3996">
        <f t="shared" si="124"/>
        <v>2931050</v>
      </c>
      <c r="B3996">
        <v>2017</v>
      </c>
      <c r="C3996" t="s">
        <v>739</v>
      </c>
      <c r="D3996" t="s">
        <v>740</v>
      </c>
      <c r="E3996" t="s">
        <v>743</v>
      </c>
      <c r="F3996" s="34">
        <v>660</v>
      </c>
      <c r="G3996" s="34" t="s">
        <v>456</v>
      </c>
      <c r="H3996" s="36">
        <v>397677</v>
      </c>
      <c r="I3996" s="58">
        <v>2234293</v>
      </c>
      <c r="J3996">
        <f>IFERROR(VLOOKUP(G3996,'LEAID Match'!$A$2:$B$526,2,FALSE),"")</f>
        <v>2931050</v>
      </c>
      <c r="K3996" s="68">
        <f t="shared" si="125"/>
        <v>8</v>
      </c>
    </row>
    <row r="3997" spans="1:11" x14ac:dyDescent="0.2">
      <c r="A3997">
        <f t="shared" si="124"/>
        <v>2931050</v>
      </c>
      <c r="B3997">
        <v>2018</v>
      </c>
      <c r="C3997" t="s">
        <v>739</v>
      </c>
      <c r="D3997" t="s">
        <v>740</v>
      </c>
      <c r="E3997" t="s">
        <v>743</v>
      </c>
      <c r="F3997" s="34">
        <v>660</v>
      </c>
      <c r="G3997" s="34" t="s">
        <v>456</v>
      </c>
      <c r="H3997" s="36">
        <v>407186</v>
      </c>
      <c r="I3997" s="58">
        <v>2299432</v>
      </c>
      <c r="J3997">
        <f>IFERROR(VLOOKUP(G3997,'LEAID Match'!$A$2:$B$526,2,FALSE),"")</f>
        <v>2931050</v>
      </c>
      <c r="K3997" s="68">
        <f t="shared" si="125"/>
        <v>8</v>
      </c>
    </row>
    <row r="3998" spans="1:11" x14ac:dyDescent="0.2">
      <c r="A3998">
        <f t="shared" si="124"/>
        <v>2931050</v>
      </c>
      <c r="B3998">
        <v>2019</v>
      </c>
      <c r="C3998" t="s">
        <v>739</v>
      </c>
      <c r="D3998" t="s">
        <v>740</v>
      </c>
      <c r="E3998" t="s">
        <v>743</v>
      </c>
      <c r="F3998" s="34">
        <v>660</v>
      </c>
      <c r="G3998" s="34" t="s">
        <v>456</v>
      </c>
      <c r="H3998" s="36">
        <v>440732</v>
      </c>
      <c r="I3998" s="58">
        <v>2377231</v>
      </c>
      <c r="J3998">
        <f>IFERROR(VLOOKUP(G3998,'LEAID Match'!$A$2:$B$526,2,FALSE),"")</f>
        <v>2931050</v>
      </c>
      <c r="K3998" s="68">
        <f t="shared" si="125"/>
        <v>8</v>
      </c>
    </row>
    <row r="3999" spans="1:11" x14ac:dyDescent="0.2">
      <c r="A3999">
        <f t="shared" si="124"/>
        <v>2931050</v>
      </c>
      <c r="B3999">
        <v>2020</v>
      </c>
      <c r="C3999" t="s">
        <v>739</v>
      </c>
      <c r="D3999" t="s">
        <v>740</v>
      </c>
      <c r="E3999" t="s">
        <v>743</v>
      </c>
      <c r="F3999" s="34">
        <v>660</v>
      </c>
      <c r="G3999" s="34" t="s">
        <v>456</v>
      </c>
      <c r="H3999" s="36">
        <v>451460</v>
      </c>
      <c r="I3999" s="58">
        <v>2371313</v>
      </c>
      <c r="J3999">
        <f>IFERROR(VLOOKUP(G3999,'LEAID Match'!$A$2:$B$526,2,FALSE),"")</f>
        <v>2931050</v>
      </c>
      <c r="K3999" s="68">
        <f t="shared" si="125"/>
        <v>8</v>
      </c>
    </row>
    <row r="4000" spans="1:11" x14ac:dyDescent="0.2">
      <c r="A4000">
        <f t="shared" si="124"/>
        <v>2931050</v>
      </c>
      <c r="B4000">
        <v>2021</v>
      </c>
      <c r="C4000" t="s">
        <v>739</v>
      </c>
      <c r="D4000" t="s">
        <v>740</v>
      </c>
      <c r="E4000" t="s">
        <v>743</v>
      </c>
      <c r="F4000" s="34">
        <v>660</v>
      </c>
      <c r="G4000" s="34" t="s">
        <v>456</v>
      </c>
      <c r="H4000" s="36">
        <v>422385</v>
      </c>
      <c r="I4000" s="58">
        <v>2301422</v>
      </c>
      <c r="J4000">
        <f>IFERROR(VLOOKUP(G4000,'LEAID Match'!$A$2:$B$526,2,FALSE),"")</f>
        <v>2931050</v>
      </c>
      <c r="K4000" s="68">
        <f t="shared" si="125"/>
        <v>8</v>
      </c>
    </row>
    <row r="4001" spans="1:11" x14ac:dyDescent="0.2">
      <c r="A4001">
        <f t="shared" si="124"/>
        <v>2931050</v>
      </c>
      <c r="B4001">
        <v>2022</v>
      </c>
      <c r="C4001" t="s">
        <v>739</v>
      </c>
      <c r="D4001" t="s">
        <v>740</v>
      </c>
      <c r="E4001" t="s">
        <v>743</v>
      </c>
      <c r="F4001" s="34">
        <v>660</v>
      </c>
      <c r="G4001" s="34" t="s">
        <v>456</v>
      </c>
      <c r="H4001" s="36">
        <v>445938</v>
      </c>
      <c r="I4001" s="58">
        <v>2323975</v>
      </c>
      <c r="J4001">
        <f>IFERROR(VLOOKUP(G4001,'LEAID Match'!$A$2:$B$526,2,FALSE),"")</f>
        <v>2931050</v>
      </c>
      <c r="K4001" s="68">
        <f t="shared" si="125"/>
        <v>8</v>
      </c>
    </row>
    <row r="4002" spans="1:11" x14ac:dyDescent="0.2">
      <c r="A4002">
        <f t="shared" si="124"/>
        <v>2925500</v>
      </c>
      <c r="B4002">
        <v>2015</v>
      </c>
      <c r="C4002" t="s">
        <v>739</v>
      </c>
      <c r="D4002" t="s">
        <v>740</v>
      </c>
      <c r="E4002" t="s">
        <v>743</v>
      </c>
      <c r="F4002" s="37">
        <v>661</v>
      </c>
      <c r="G4002" s="39" t="s">
        <v>457</v>
      </c>
      <c r="H4002" s="40">
        <v>199678</v>
      </c>
      <c r="I4002" s="58">
        <v>1522418</v>
      </c>
      <c r="J4002">
        <f>IFERROR(VLOOKUP(G4002,'LEAID Match'!$A$2:$B$526,2,FALSE),"")</f>
        <v>2925500</v>
      </c>
      <c r="K4002" s="68">
        <f t="shared" si="125"/>
        <v>8</v>
      </c>
    </row>
    <row r="4003" spans="1:11" x14ac:dyDescent="0.2">
      <c r="A4003">
        <f t="shared" si="124"/>
        <v>2925500</v>
      </c>
      <c r="B4003">
        <v>2016</v>
      </c>
      <c r="C4003" t="s">
        <v>739</v>
      </c>
      <c r="D4003" t="s">
        <v>740</v>
      </c>
      <c r="E4003" t="s">
        <v>743</v>
      </c>
      <c r="F4003" s="34">
        <v>661</v>
      </c>
      <c r="G4003" s="34" t="s">
        <v>457</v>
      </c>
      <c r="H4003" s="36">
        <v>194760</v>
      </c>
      <c r="I4003" s="60">
        <v>1586548</v>
      </c>
      <c r="J4003">
        <f>IFERROR(VLOOKUP(G4003,'LEAID Match'!$A$2:$B$526,2,FALSE),"")</f>
        <v>2925500</v>
      </c>
      <c r="K4003" s="68">
        <f t="shared" si="125"/>
        <v>8</v>
      </c>
    </row>
    <row r="4004" spans="1:11" x14ac:dyDescent="0.2">
      <c r="A4004">
        <f t="shared" si="124"/>
        <v>2925500</v>
      </c>
      <c r="B4004">
        <v>2017</v>
      </c>
      <c r="C4004" t="s">
        <v>739</v>
      </c>
      <c r="D4004" t="s">
        <v>740</v>
      </c>
      <c r="E4004" t="s">
        <v>743</v>
      </c>
      <c r="F4004" s="34">
        <v>661</v>
      </c>
      <c r="G4004" s="34" t="s">
        <v>457</v>
      </c>
      <c r="H4004" s="36">
        <v>209247</v>
      </c>
      <c r="I4004" s="58">
        <v>1571192</v>
      </c>
      <c r="J4004">
        <f>IFERROR(VLOOKUP(G4004,'LEAID Match'!$A$2:$B$526,2,FALSE),"")</f>
        <v>2925500</v>
      </c>
      <c r="K4004" s="68">
        <f t="shared" si="125"/>
        <v>8</v>
      </c>
    </row>
    <row r="4005" spans="1:11" x14ac:dyDescent="0.2">
      <c r="A4005">
        <f t="shared" si="124"/>
        <v>2925500</v>
      </c>
      <c r="B4005">
        <v>2018</v>
      </c>
      <c r="C4005" t="s">
        <v>739</v>
      </c>
      <c r="D4005" t="s">
        <v>740</v>
      </c>
      <c r="E4005" t="s">
        <v>743</v>
      </c>
      <c r="F4005" s="34">
        <v>661</v>
      </c>
      <c r="G4005" s="34" t="s">
        <v>457</v>
      </c>
      <c r="H4005" s="36">
        <v>219062</v>
      </c>
      <c r="I4005" s="58">
        <v>1614686</v>
      </c>
      <c r="J4005">
        <f>IFERROR(VLOOKUP(G4005,'LEAID Match'!$A$2:$B$526,2,FALSE),"")</f>
        <v>2925500</v>
      </c>
      <c r="K4005" s="68">
        <f t="shared" si="125"/>
        <v>8</v>
      </c>
    </row>
    <row r="4006" spans="1:11" x14ac:dyDescent="0.2">
      <c r="A4006">
        <f t="shared" si="124"/>
        <v>2925500</v>
      </c>
      <c r="B4006">
        <v>2019</v>
      </c>
      <c r="C4006" t="s">
        <v>739</v>
      </c>
      <c r="D4006" t="s">
        <v>740</v>
      </c>
      <c r="E4006" t="s">
        <v>743</v>
      </c>
      <c r="F4006" s="34">
        <v>661</v>
      </c>
      <c r="G4006" s="34" t="s">
        <v>457</v>
      </c>
      <c r="H4006" s="36">
        <v>225106</v>
      </c>
      <c r="I4006" s="58">
        <v>1663293</v>
      </c>
      <c r="J4006">
        <f>IFERROR(VLOOKUP(G4006,'LEAID Match'!$A$2:$B$526,2,FALSE),"")</f>
        <v>2925500</v>
      </c>
      <c r="K4006" s="68">
        <f t="shared" si="125"/>
        <v>8</v>
      </c>
    </row>
    <row r="4007" spans="1:11" x14ac:dyDescent="0.2">
      <c r="A4007">
        <f t="shared" si="124"/>
        <v>2925500</v>
      </c>
      <c r="B4007">
        <v>2020</v>
      </c>
      <c r="C4007" t="s">
        <v>739</v>
      </c>
      <c r="D4007" t="s">
        <v>740</v>
      </c>
      <c r="E4007" t="s">
        <v>743</v>
      </c>
      <c r="F4007" s="34">
        <v>661</v>
      </c>
      <c r="G4007" s="34" t="s">
        <v>457</v>
      </c>
      <c r="H4007" s="36">
        <v>231876</v>
      </c>
      <c r="I4007" s="58">
        <v>1645892</v>
      </c>
      <c r="J4007">
        <f>IFERROR(VLOOKUP(G4007,'LEAID Match'!$A$2:$B$526,2,FALSE),"")</f>
        <v>2925500</v>
      </c>
      <c r="K4007" s="68">
        <f t="shared" si="125"/>
        <v>8</v>
      </c>
    </row>
    <row r="4008" spans="1:11" x14ac:dyDescent="0.2">
      <c r="A4008">
        <f t="shared" si="124"/>
        <v>2925500</v>
      </c>
      <c r="B4008">
        <v>2021</v>
      </c>
      <c r="C4008" t="s">
        <v>739</v>
      </c>
      <c r="D4008" t="s">
        <v>740</v>
      </c>
      <c r="E4008" t="s">
        <v>743</v>
      </c>
      <c r="F4008" s="34">
        <v>661</v>
      </c>
      <c r="G4008" s="34" t="s">
        <v>457</v>
      </c>
      <c r="H4008" s="36">
        <v>232640</v>
      </c>
      <c r="I4008" s="58">
        <v>1557291</v>
      </c>
      <c r="J4008">
        <f>IFERROR(VLOOKUP(G4008,'LEAID Match'!$A$2:$B$526,2,FALSE),"")</f>
        <v>2925500</v>
      </c>
      <c r="K4008" s="68">
        <f t="shared" si="125"/>
        <v>8</v>
      </c>
    </row>
    <row r="4009" spans="1:11" x14ac:dyDescent="0.2">
      <c r="A4009">
        <f t="shared" si="124"/>
        <v>2925500</v>
      </c>
      <c r="B4009">
        <v>2022</v>
      </c>
      <c r="C4009" t="s">
        <v>739</v>
      </c>
      <c r="D4009" t="s">
        <v>740</v>
      </c>
      <c r="E4009" t="s">
        <v>743</v>
      </c>
      <c r="F4009" s="34">
        <v>661</v>
      </c>
      <c r="G4009" s="34" t="s">
        <v>457</v>
      </c>
      <c r="H4009" s="36">
        <v>249777</v>
      </c>
      <c r="I4009" s="58">
        <v>1566346</v>
      </c>
      <c r="J4009">
        <f>IFERROR(VLOOKUP(G4009,'LEAID Match'!$A$2:$B$526,2,FALSE),"")</f>
        <v>2925500</v>
      </c>
      <c r="K4009" s="68">
        <f t="shared" si="125"/>
        <v>8</v>
      </c>
    </row>
    <row r="4010" spans="1:11" x14ac:dyDescent="0.2">
      <c r="A4010">
        <f t="shared" si="124"/>
        <v>2930720</v>
      </c>
      <c r="B4010">
        <v>2015</v>
      </c>
      <c r="C4010" t="s">
        <v>739</v>
      </c>
      <c r="D4010" t="s">
        <v>740</v>
      </c>
      <c r="E4010" t="s">
        <v>743</v>
      </c>
      <c r="F4010" s="37">
        <v>662</v>
      </c>
      <c r="G4010" s="39" t="s">
        <v>458</v>
      </c>
      <c r="H4010" s="40">
        <v>33449</v>
      </c>
      <c r="I4010" s="58">
        <v>270212</v>
      </c>
      <c r="J4010">
        <f>IFERROR(VLOOKUP(G4010,'LEAID Match'!$A$2:$B$526,2,FALSE),"")</f>
        <v>2930720</v>
      </c>
      <c r="K4010" s="68">
        <f t="shared" si="125"/>
        <v>8</v>
      </c>
    </row>
    <row r="4011" spans="1:11" x14ac:dyDescent="0.2">
      <c r="A4011">
        <f t="shared" si="124"/>
        <v>2930720</v>
      </c>
      <c r="B4011">
        <v>2016</v>
      </c>
      <c r="C4011" t="s">
        <v>739</v>
      </c>
      <c r="D4011" t="s">
        <v>740</v>
      </c>
      <c r="E4011" t="s">
        <v>743</v>
      </c>
      <c r="F4011" s="34">
        <v>662</v>
      </c>
      <c r="G4011" s="34" t="s">
        <v>458</v>
      </c>
      <c r="H4011" s="36">
        <v>37564</v>
      </c>
      <c r="I4011" s="60">
        <v>282210</v>
      </c>
      <c r="J4011">
        <f>IFERROR(VLOOKUP(G4011,'LEAID Match'!$A$2:$B$526,2,FALSE),"")</f>
        <v>2930720</v>
      </c>
      <c r="K4011" s="68">
        <f t="shared" si="125"/>
        <v>8</v>
      </c>
    </row>
    <row r="4012" spans="1:11" x14ac:dyDescent="0.2">
      <c r="A4012">
        <f t="shared" si="124"/>
        <v>2930720</v>
      </c>
      <c r="B4012">
        <v>2017</v>
      </c>
      <c r="C4012" t="s">
        <v>739</v>
      </c>
      <c r="D4012" t="s">
        <v>740</v>
      </c>
      <c r="E4012" t="s">
        <v>743</v>
      </c>
      <c r="F4012" s="34">
        <v>662</v>
      </c>
      <c r="G4012" s="34" t="s">
        <v>458</v>
      </c>
      <c r="H4012" s="36">
        <v>38915</v>
      </c>
      <c r="I4012" s="58">
        <v>277371</v>
      </c>
      <c r="J4012">
        <f>IFERROR(VLOOKUP(G4012,'LEAID Match'!$A$2:$B$526,2,FALSE),"")</f>
        <v>2930720</v>
      </c>
      <c r="K4012" s="68">
        <f t="shared" si="125"/>
        <v>8</v>
      </c>
    </row>
    <row r="4013" spans="1:11" x14ac:dyDescent="0.2">
      <c r="A4013">
        <f t="shared" si="124"/>
        <v>2930720</v>
      </c>
      <c r="B4013">
        <v>2018</v>
      </c>
      <c r="C4013" t="s">
        <v>739</v>
      </c>
      <c r="D4013" t="s">
        <v>740</v>
      </c>
      <c r="E4013" t="s">
        <v>743</v>
      </c>
      <c r="F4013" s="34">
        <v>662</v>
      </c>
      <c r="G4013" s="34" t="s">
        <v>458</v>
      </c>
      <c r="H4013" s="36">
        <v>42144</v>
      </c>
      <c r="I4013" s="58">
        <v>266624</v>
      </c>
      <c r="J4013">
        <f>IFERROR(VLOOKUP(G4013,'LEAID Match'!$A$2:$B$526,2,FALSE),"")</f>
        <v>2930720</v>
      </c>
      <c r="K4013" s="68">
        <f t="shared" si="125"/>
        <v>8</v>
      </c>
    </row>
    <row r="4014" spans="1:11" x14ac:dyDescent="0.2">
      <c r="A4014">
        <f t="shared" si="124"/>
        <v>2930720</v>
      </c>
      <c r="B4014">
        <v>2019</v>
      </c>
      <c r="C4014" t="s">
        <v>739</v>
      </c>
      <c r="D4014" t="s">
        <v>740</v>
      </c>
      <c r="E4014" t="s">
        <v>743</v>
      </c>
      <c r="F4014" s="34">
        <v>662</v>
      </c>
      <c r="G4014" s="34" t="s">
        <v>458</v>
      </c>
      <c r="H4014" s="36">
        <v>46902</v>
      </c>
      <c r="I4014" s="58">
        <v>280903</v>
      </c>
      <c r="J4014">
        <f>IFERROR(VLOOKUP(G4014,'LEAID Match'!$A$2:$B$526,2,FALSE),"")</f>
        <v>2930720</v>
      </c>
      <c r="K4014" s="68">
        <f t="shared" si="125"/>
        <v>8</v>
      </c>
    </row>
    <row r="4015" spans="1:11" x14ac:dyDescent="0.2">
      <c r="A4015">
        <f t="shared" si="124"/>
        <v>2930720</v>
      </c>
      <c r="B4015">
        <v>2020</v>
      </c>
      <c r="C4015" t="s">
        <v>739</v>
      </c>
      <c r="D4015" t="s">
        <v>740</v>
      </c>
      <c r="E4015" t="s">
        <v>743</v>
      </c>
      <c r="F4015" s="34">
        <v>662</v>
      </c>
      <c r="G4015" s="34" t="s">
        <v>458</v>
      </c>
      <c r="H4015" s="36">
        <v>49534</v>
      </c>
      <c r="I4015" s="58">
        <v>290743</v>
      </c>
      <c r="J4015">
        <f>IFERROR(VLOOKUP(G4015,'LEAID Match'!$A$2:$B$526,2,FALSE),"")</f>
        <v>2930720</v>
      </c>
      <c r="K4015" s="68">
        <f t="shared" si="125"/>
        <v>8</v>
      </c>
    </row>
    <row r="4016" spans="1:11" x14ac:dyDescent="0.2">
      <c r="A4016">
        <f t="shared" si="124"/>
        <v>2930720</v>
      </c>
      <c r="B4016">
        <v>2021</v>
      </c>
      <c r="C4016" t="s">
        <v>739</v>
      </c>
      <c r="D4016" t="s">
        <v>740</v>
      </c>
      <c r="E4016" t="s">
        <v>743</v>
      </c>
      <c r="F4016" s="34">
        <v>662</v>
      </c>
      <c r="G4016" s="34" t="s">
        <v>458</v>
      </c>
      <c r="H4016" s="36">
        <v>52553</v>
      </c>
      <c r="I4016" s="58">
        <v>307302</v>
      </c>
      <c r="J4016">
        <f>IFERROR(VLOOKUP(G4016,'LEAID Match'!$A$2:$B$526,2,FALSE),"")</f>
        <v>2930720</v>
      </c>
      <c r="K4016" s="68">
        <f t="shared" si="125"/>
        <v>8</v>
      </c>
    </row>
    <row r="4017" spans="1:11" x14ac:dyDescent="0.2">
      <c r="A4017">
        <f t="shared" si="124"/>
        <v>2930720</v>
      </c>
      <c r="B4017">
        <v>2022</v>
      </c>
      <c r="C4017" t="s">
        <v>739</v>
      </c>
      <c r="D4017" t="s">
        <v>740</v>
      </c>
      <c r="E4017" t="s">
        <v>743</v>
      </c>
      <c r="F4017" s="34">
        <v>662</v>
      </c>
      <c r="G4017" s="34" t="s">
        <v>458</v>
      </c>
      <c r="H4017" s="36">
        <v>48490</v>
      </c>
      <c r="I4017" s="58">
        <v>326982</v>
      </c>
      <c r="J4017">
        <f>IFERROR(VLOOKUP(G4017,'LEAID Match'!$A$2:$B$526,2,FALSE),"")</f>
        <v>2930720</v>
      </c>
      <c r="K4017" s="68">
        <f t="shared" si="125"/>
        <v>8</v>
      </c>
    </row>
    <row r="4018" spans="1:11" x14ac:dyDescent="0.2">
      <c r="A4018">
        <f t="shared" si="124"/>
        <v>2931230</v>
      </c>
      <c r="B4018">
        <v>2015</v>
      </c>
      <c r="C4018" t="s">
        <v>739</v>
      </c>
      <c r="D4018" t="s">
        <v>740</v>
      </c>
      <c r="E4018" t="s">
        <v>743</v>
      </c>
      <c r="F4018" s="37">
        <v>663</v>
      </c>
      <c r="G4018" s="39" t="s">
        <v>459</v>
      </c>
      <c r="H4018" s="40">
        <v>16402</v>
      </c>
      <c r="I4018" s="58">
        <v>112332</v>
      </c>
      <c r="J4018">
        <f>IFERROR(VLOOKUP(G4018,'LEAID Match'!$A$2:$B$526,2,FALSE),"")</f>
        <v>2931230</v>
      </c>
      <c r="K4018" s="68">
        <f t="shared" si="125"/>
        <v>8</v>
      </c>
    </row>
    <row r="4019" spans="1:11" x14ac:dyDescent="0.2">
      <c r="A4019">
        <f t="shared" si="124"/>
        <v>2931230</v>
      </c>
      <c r="B4019">
        <v>2016</v>
      </c>
      <c r="C4019" t="s">
        <v>739</v>
      </c>
      <c r="D4019" t="s">
        <v>740</v>
      </c>
      <c r="E4019" t="s">
        <v>743</v>
      </c>
      <c r="F4019" s="34">
        <v>663</v>
      </c>
      <c r="G4019" s="34" t="s">
        <v>459</v>
      </c>
      <c r="H4019" s="36">
        <v>21908</v>
      </c>
      <c r="I4019" s="60">
        <v>115562</v>
      </c>
      <c r="J4019">
        <f>IFERROR(VLOOKUP(G4019,'LEAID Match'!$A$2:$B$526,2,FALSE),"")</f>
        <v>2931230</v>
      </c>
      <c r="K4019" s="68">
        <f t="shared" si="125"/>
        <v>8</v>
      </c>
    </row>
    <row r="4020" spans="1:11" x14ac:dyDescent="0.2">
      <c r="A4020">
        <f t="shared" si="124"/>
        <v>2931230</v>
      </c>
      <c r="B4020">
        <v>2017</v>
      </c>
      <c r="C4020" t="s">
        <v>739</v>
      </c>
      <c r="D4020" t="s">
        <v>740</v>
      </c>
      <c r="E4020" t="s">
        <v>743</v>
      </c>
      <c r="F4020" s="34">
        <v>663</v>
      </c>
      <c r="G4020" s="34" t="s">
        <v>459</v>
      </c>
      <c r="H4020" s="36">
        <v>23629</v>
      </c>
      <c r="I4020" s="58">
        <v>129055</v>
      </c>
      <c r="J4020">
        <f>IFERROR(VLOOKUP(G4020,'LEAID Match'!$A$2:$B$526,2,FALSE),"")</f>
        <v>2931230</v>
      </c>
      <c r="K4020" s="68">
        <f t="shared" si="125"/>
        <v>8</v>
      </c>
    </row>
    <row r="4021" spans="1:11" x14ac:dyDescent="0.2">
      <c r="A4021">
        <f t="shared" si="124"/>
        <v>2931230</v>
      </c>
      <c r="B4021">
        <v>2018</v>
      </c>
      <c r="C4021" t="s">
        <v>739</v>
      </c>
      <c r="D4021" t="s">
        <v>740</v>
      </c>
      <c r="E4021" t="s">
        <v>743</v>
      </c>
      <c r="F4021" s="34">
        <v>663</v>
      </c>
      <c r="G4021" s="34" t="s">
        <v>459</v>
      </c>
      <c r="H4021" s="36">
        <v>29803</v>
      </c>
      <c r="I4021" s="58">
        <v>130996</v>
      </c>
      <c r="J4021">
        <f>IFERROR(VLOOKUP(G4021,'LEAID Match'!$A$2:$B$526,2,FALSE),"")</f>
        <v>2931230</v>
      </c>
      <c r="K4021" s="68">
        <f t="shared" si="125"/>
        <v>8</v>
      </c>
    </row>
    <row r="4022" spans="1:11" x14ac:dyDescent="0.2">
      <c r="A4022">
        <f t="shared" si="124"/>
        <v>2931230</v>
      </c>
      <c r="B4022">
        <v>2019</v>
      </c>
      <c r="C4022" t="s">
        <v>739</v>
      </c>
      <c r="D4022" t="s">
        <v>740</v>
      </c>
      <c r="E4022" t="s">
        <v>743</v>
      </c>
      <c r="F4022" s="34">
        <v>663</v>
      </c>
      <c r="G4022" s="34" t="s">
        <v>459</v>
      </c>
      <c r="H4022" s="36">
        <v>38700</v>
      </c>
      <c r="I4022" s="58">
        <v>135225</v>
      </c>
      <c r="J4022">
        <f>IFERROR(VLOOKUP(G4022,'LEAID Match'!$A$2:$B$526,2,FALSE),"")</f>
        <v>2931230</v>
      </c>
      <c r="K4022" s="68">
        <f t="shared" si="125"/>
        <v>8</v>
      </c>
    </row>
    <row r="4023" spans="1:11" x14ac:dyDescent="0.2">
      <c r="A4023">
        <f t="shared" si="124"/>
        <v>2931230</v>
      </c>
      <c r="B4023">
        <v>2020</v>
      </c>
      <c r="C4023" t="s">
        <v>739</v>
      </c>
      <c r="D4023" t="s">
        <v>740</v>
      </c>
      <c r="E4023" t="s">
        <v>743</v>
      </c>
      <c r="F4023" s="34">
        <v>663</v>
      </c>
      <c r="G4023" s="34" t="s">
        <v>459</v>
      </c>
      <c r="H4023" s="36">
        <v>42484</v>
      </c>
      <c r="I4023" s="58">
        <v>131884</v>
      </c>
      <c r="J4023">
        <f>IFERROR(VLOOKUP(G4023,'LEAID Match'!$A$2:$B$526,2,FALSE),"")</f>
        <v>2931230</v>
      </c>
      <c r="K4023" s="68">
        <f t="shared" si="125"/>
        <v>8</v>
      </c>
    </row>
    <row r="4024" spans="1:11" x14ac:dyDescent="0.2">
      <c r="A4024">
        <f t="shared" si="124"/>
        <v>2931230</v>
      </c>
      <c r="B4024">
        <v>2021</v>
      </c>
      <c r="C4024" t="s">
        <v>739</v>
      </c>
      <c r="D4024" t="s">
        <v>740</v>
      </c>
      <c r="E4024" t="s">
        <v>743</v>
      </c>
      <c r="F4024" s="34">
        <v>663</v>
      </c>
      <c r="G4024" s="34" t="s">
        <v>459</v>
      </c>
      <c r="H4024" s="36">
        <v>40673</v>
      </c>
      <c r="I4024" s="58">
        <v>128273</v>
      </c>
      <c r="J4024">
        <f>IFERROR(VLOOKUP(G4024,'LEAID Match'!$A$2:$B$526,2,FALSE),"")</f>
        <v>2931230</v>
      </c>
      <c r="K4024" s="68">
        <f t="shared" si="125"/>
        <v>8</v>
      </c>
    </row>
    <row r="4025" spans="1:11" x14ac:dyDescent="0.2">
      <c r="A4025">
        <f t="shared" si="124"/>
        <v>2931230</v>
      </c>
      <c r="B4025">
        <v>2022</v>
      </c>
      <c r="C4025" t="s">
        <v>739</v>
      </c>
      <c r="D4025" t="s">
        <v>740</v>
      </c>
      <c r="E4025" t="s">
        <v>743</v>
      </c>
      <c r="F4025" s="34">
        <v>663</v>
      </c>
      <c r="G4025" s="34" t="s">
        <v>459</v>
      </c>
      <c r="H4025" s="36">
        <v>46944</v>
      </c>
      <c r="I4025" s="58">
        <v>134503</v>
      </c>
      <c r="J4025">
        <f>IFERROR(VLOOKUP(G4025,'LEAID Match'!$A$2:$B$526,2,FALSE),"")</f>
        <v>2931230</v>
      </c>
      <c r="K4025" s="68">
        <f t="shared" si="125"/>
        <v>8</v>
      </c>
    </row>
    <row r="4026" spans="1:11" x14ac:dyDescent="0.2">
      <c r="A4026">
        <f t="shared" si="124"/>
        <v>2931140</v>
      </c>
      <c r="B4026">
        <v>2015</v>
      </c>
      <c r="C4026" t="s">
        <v>739</v>
      </c>
      <c r="D4026" t="s">
        <v>740</v>
      </c>
      <c r="E4026" t="s">
        <v>743</v>
      </c>
      <c r="F4026" s="37">
        <v>666</v>
      </c>
      <c r="G4026" s="39" t="s">
        <v>460</v>
      </c>
      <c r="H4026" s="40">
        <v>101019</v>
      </c>
      <c r="I4026" s="58">
        <v>572380</v>
      </c>
      <c r="J4026">
        <f>IFERROR(VLOOKUP(G4026,'LEAID Match'!$A$2:$B$526,2,FALSE),"")</f>
        <v>2931140</v>
      </c>
      <c r="K4026" s="68">
        <f t="shared" si="125"/>
        <v>8</v>
      </c>
    </row>
    <row r="4027" spans="1:11" x14ac:dyDescent="0.2">
      <c r="A4027">
        <f t="shared" si="124"/>
        <v>2931140</v>
      </c>
      <c r="B4027">
        <v>2016</v>
      </c>
      <c r="C4027" t="s">
        <v>739</v>
      </c>
      <c r="D4027" t="s">
        <v>740</v>
      </c>
      <c r="E4027" t="s">
        <v>743</v>
      </c>
      <c r="F4027" s="34">
        <v>666</v>
      </c>
      <c r="G4027" s="34" t="s">
        <v>460</v>
      </c>
      <c r="H4027" s="36">
        <v>97975</v>
      </c>
      <c r="I4027" s="60">
        <v>536128</v>
      </c>
      <c r="J4027">
        <f>IFERROR(VLOOKUP(G4027,'LEAID Match'!$A$2:$B$526,2,FALSE),"")</f>
        <v>2931140</v>
      </c>
      <c r="K4027" s="68">
        <f t="shared" si="125"/>
        <v>8</v>
      </c>
    </row>
    <row r="4028" spans="1:11" x14ac:dyDescent="0.2">
      <c r="A4028">
        <f t="shared" si="124"/>
        <v>2931140</v>
      </c>
      <c r="B4028">
        <v>2017</v>
      </c>
      <c r="C4028" t="s">
        <v>739</v>
      </c>
      <c r="D4028" t="s">
        <v>740</v>
      </c>
      <c r="E4028" t="s">
        <v>743</v>
      </c>
      <c r="F4028" s="34">
        <v>666</v>
      </c>
      <c r="G4028" s="34" t="s">
        <v>460</v>
      </c>
      <c r="H4028" s="36">
        <v>94412</v>
      </c>
      <c r="I4028" s="58">
        <v>550102</v>
      </c>
      <c r="J4028">
        <f>IFERROR(VLOOKUP(G4028,'LEAID Match'!$A$2:$B$526,2,FALSE),"")</f>
        <v>2931140</v>
      </c>
      <c r="K4028" s="68">
        <f t="shared" si="125"/>
        <v>8</v>
      </c>
    </row>
    <row r="4029" spans="1:11" x14ac:dyDescent="0.2">
      <c r="A4029">
        <f t="shared" si="124"/>
        <v>2931140</v>
      </c>
      <c r="B4029">
        <v>2018</v>
      </c>
      <c r="C4029" t="s">
        <v>739</v>
      </c>
      <c r="D4029" t="s">
        <v>740</v>
      </c>
      <c r="E4029" t="s">
        <v>743</v>
      </c>
      <c r="F4029" s="34">
        <v>666</v>
      </c>
      <c r="G4029" s="34" t="s">
        <v>460</v>
      </c>
      <c r="H4029" s="36">
        <v>95042</v>
      </c>
      <c r="I4029" s="58">
        <v>575160</v>
      </c>
      <c r="J4029">
        <f>IFERROR(VLOOKUP(G4029,'LEAID Match'!$A$2:$B$526,2,FALSE),"")</f>
        <v>2931140</v>
      </c>
      <c r="K4029" s="68">
        <f t="shared" si="125"/>
        <v>8</v>
      </c>
    </row>
    <row r="4030" spans="1:11" x14ac:dyDescent="0.2">
      <c r="A4030">
        <f t="shared" si="124"/>
        <v>2931140</v>
      </c>
      <c r="B4030">
        <v>2019</v>
      </c>
      <c r="C4030" t="s">
        <v>739</v>
      </c>
      <c r="D4030" t="s">
        <v>740</v>
      </c>
      <c r="E4030" t="s">
        <v>743</v>
      </c>
      <c r="F4030" s="34">
        <v>666</v>
      </c>
      <c r="G4030" s="34" t="s">
        <v>460</v>
      </c>
      <c r="H4030" s="36">
        <v>101338</v>
      </c>
      <c r="I4030" s="58">
        <v>575681</v>
      </c>
      <c r="J4030">
        <f>IFERROR(VLOOKUP(G4030,'LEAID Match'!$A$2:$B$526,2,FALSE),"")</f>
        <v>2931140</v>
      </c>
      <c r="K4030" s="68">
        <f t="shared" si="125"/>
        <v>8</v>
      </c>
    </row>
    <row r="4031" spans="1:11" x14ac:dyDescent="0.2">
      <c r="A4031">
        <f t="shared" si="124"/>
        <v>2931140</v>
      </c>
      <c r="B4031">
        <v>2020</v>
      </c>
      <c r="C4031" t="s">
        <v>739</v>
      </c>
      <c r="D4031" t="s">
        <v>740</v>
      </c>
      <c r="E4031" t="s">
        <v>743</v>
      </c>
      <c r="F4031" s="34">
        <v>666</v>
      </c>
      <c r="G4031" s="34" t="s">
        <v>460</v>
      </c>
      <c r="H4031" s="36">
        <v>104512</v>
      </c>
      <c r="I4031" s="58">
        <v>605004</v>
      </c>
      <c r="J4031">
        <f>IFERROR(VLOOKUP(G4031,'LEAID Match'!$A$2:$B$526,2,FALSE),"")</f>
        <v>2931140</v>
      </c>
      <c r="K4031" s="68">
        <f t="shared" si="125"/>
        <v>8</v>
      </c>
    </row>
    <row r="4032" spans="1:11" x14ac:dyDescent="0.2">
      <c r="A4032">
        <f t="shared" si="124"/>
        <v>2931140</v>
      </c>
      <c r="B4032">
        <v>2021</v>
      </c>
      <c r="C4032" t="s">
        <v>739</v>
      </c>
      <c r="D4032" t="s">
        <v>740</v>
      </c>
      <c r="E4032" t="s">
        <v>743</v>
      </c>
      <c r="F4032" s="34">
        <v>666</v>
      </c>
      <c r="G4032" s="34" t="s">
        <v>460</v>
      </c>
      <c r="H4032" s="36">
        <v>113805</v>
      </c>
      <c r="I4032" s="58">
        <v>651246</v>
      </c>
      <c r="J4032">
        <f>IFERROR(VLOOKUP(G4032,'LEAID Match'!$A$2:$B$526,2,FALSE),"")</f>
        <v>2931140</v>
      </c>
      <c r="K4032" s="68">
        <f t="shared" si="125"/>
        <v>8</v>
      </c>
    </row>
    <row r="4033" spans="1:11" x14ac:dyDescent="0.2">
      <c r="A4033">
        <f t="shared" si="124"/>
        <v>2931140</v>
      </c>
      <c r="B4033">
        <v>2022</v>
      </c>
      <c r="C4033" t="s">
        <v>739</v>
      </c>
      <c r="D4033" t="s">
        <v>740</v>
      </c>
      <c r="E4033" t="s">
        <v>743</v>
      </c>
      <c r="F4033" s="34">
        <v>666</v>
      </c>
      <c r="G4033" s="34" t="s">
        <v>460</v>
      </c>
      <c r="H4033" s="36">
        <v>124833</v>
      </c>
      <c r="I4033" s="58">
        <v>664840</v>
      </c>
      <c r="J4033">
        <f>IFERROR(VLOOKUP(G4033,'LEAID Match'!$A$2:$B$526,2,FALSE),"")</f>
        <v>2931140</v>
      </c>
      <c r="K4033" s="68">
        <f t="shared" si="125"/>
        <v>8</v>
      </c>
    </row>
    <row r="4034" spans="1:11" x14ac:dyDescent="0.2">
      <c r="A4034">
        <f t="shared" si="124"/>
        <v>2909750</v>
      </c>
      <c r="B4034">
        <v>2015</v>
      </c>
      <c r="C4034" t="s">
        <v>739</v>
      </c>
      <c r="D4034" t="s">
        <v>740</v>
      </c>
      <c r="E4034" t="s">
        <v>743</v>
      </c>
      <c r="F4034" s="37">
        <v>667</v>
      </c>
      <c r="G4034" s="39" t="s">
        <v>461</v>
      </c>
      <c r="H4034" s="40">
        <v>115160</v>
      </c>
      <c r="I4034" s="58">
        <v>633349</v>
      </c>
      <c r="J4034">
        <f>IFERROR(VLOOKUP(G4034,'LEAID Match'!$A$2:$B$526,2,FALSE),"")</f>
        <v>2909750</v>
      </c>
      <c r="K4034" s="68">
        <f t="shared" si="125"/>
        <v>8</v>
      </c>
    </row>
    <row r="4035" spans="1:11" x14ac:dyDescent="0.2">
      <c r="A4035">
        <f t="shared" ref="A4035:A4098" si="126">J4035</f>
        <v>2909750</v>
      </c>
      <c r="B4035">
        <v>2016</v>
      </c>
      <c r="C4035" t="s">
        <v>739</v>
      </c>
      <c r="D4035" t="s">
        <v>740</v>
      </c>
      <c r="E4035" t="s">
        <v>743</v>
      </c>
      <c r="F4035" s="34">
        <v>667</v>
      </c>
      <c r="G4035" s="34" t="s">
        <v>461</v>
      </c>
      <c r="H4035" s="36">
        <v>111493</v>
      </c>
      <c r="I4035" s="60">
        <v>623630</v>
      </c>
      <c r="J4035">
        <f>IFERROR(VLOOKUP(G4035,'LEAID Match'!$A$2:$B$526,2,FALSE),"")</f>
        <v>2909750</v>
      </c>
      <c r="K4035" s="68">
        <f t="shared" ref="K4035:K4098" si="127">COUNTIF($J$2:$J$4295,J4035)</f>
        <v>8</v>
      </c>
    </row>
    <row r="4036" spans="1:11" x14ac:dyDescent="0.2">
      <c r="A4036">
        <f t="shared" si="126"/>
        <v>2909750</v>
      </c>
      <c r="B4036">
        <v>2017</v>
      </c>
      <c r="C4036" t="s">
        <v>739</v>
      </c>
      <c r="D4036" t="s">
        <v>740</v>
      </c>
      <c r="E4036" t="s">
        <v>743</v>
      </c>
      <c r="F4036" s="34">
        <v>667</v>
      </c>
      <c r="G4036" s="34" t="s">
        <v>461</v>
      </c>
      <c r="H4036" s="36">
        <v>108463</v>
      </c>
      <c r="I4036" s="58">
        <v>593882</v>
      </c>
      <c r="J4036">
        <f>IFERROR(VLOOKUP(G4036,'LEAID Match'!$A$2:$B$526,2,FALSE),"")</f>
        <v>2909750</v>
      </c>
      <c r="K4036" s="68">
        <f t="shared" si="127"/>
        <v>8</v>
      </c>
    </row>
    <row r="4037" spans="1:11" x14ac:dyDescent="0.2">
      <c r="A4037">
        <f t="shared" si="126"/>
        <v>2909750</v>
      </c>
      <c r="B4037">
        <v>2018</v>
      </c>
      <c r="C4037" t="s">
        <v>739</v>
      </c>
      <c r="D4037" t="s">
        <v>740</v>
      </c>
      <c r="E4037" t="s">
        <v>743</v>
      </c>
      <c r="F4037" s="34">
        <v>667</v>
      </c>
      <c r="G4037" s="34" t="s">
        <v>461</v>
      </c>
      <c r="H4037" s="36">
        <v>113578</v>
      </c>
      <c r="I4037" s="58">
        <v>589843</v>
      </c>
      <c r="J4037">
        <f>IFERROR(VLOOKUP(G4037,'LEAID Match'!$A$2:$B$526,2,FALSE),"")</f>
        <v>2909750</v>
      </c>
      <c r="K4037" s="68">
        <f t="shared" si="127"/>
        <v>8</v>
      </c>
    </row>
    <row r="4038" spans="1:11" x14ac:dyDescent="0.2">
      <c r="A4038">
        <f t="shared" si="126"/>
        <v>2909750</v>
      </c>
      <c r="B4038">
        <v>2019</v>
      </c>
      <c r="C4038" t="s">
        <v>739</v>
      </c>
      <c r="D4038" t="s">
        <v>740</v>
      </c>
      <c r="E4038" t="s">
        <v>743</v>
      </c>
      <c r="F4038" s="34">
        <v>667</v>
      </c>
      <c r="G4038" s="34" t="s">
        <v>461</v>
      </c>
      <c r="H4038" s="36">
        <v>118433</v>
      </c>
      <c r="I4038" s="58">
        <v>604251</v>
      </c>
      <c r="J4038">
        <f>IFERROR(VLOOKUP(G4038,'LEAID Match'!$A$2:$B$526,2,FALSE),"")</f>
        <v>2909750</v>
      </c>
      <c r="K4038" s="68">
        <f t="shared" si="127"/>
        <v>8</v>
      </c>
    </row>
    <row r="4039" spans="1:11" x14ac:dyDescent="0.2">
      <c r="A4039">
        <f t="shared" si="126"/>
        <v>2909750</v>
      </c>
      <c r="B4039">
        <v>2020</v>
      </c>
      <c r="C4039" t="s">
        <v>739</v>
      </c>
      <c r="D4039" t="s">
        <v>740</v>
      </c>
      <c r="E4039" t="s">
        <v>743</v>
      </c>
      <c r="F4039" s="34">
        <v>667</v>
      </c>
      <c r="G4039" s="34" t="s">
        <v>461</v>
      </c>
      <c r="H4039" s="36">
        <v>119837</v>
      </c>
      <c r="I4039" s="58">
        <v>606458</v>
      </c>
      <c r="J4039">
        <f>IFERROR(VLOOKUP(G4039,'LEAID Match'!$A$2:$B$526,2,FALSE),"")</f>
        <v>2909750</v>
      </c>
      <c r="K4039" s="68">
        <f t="shared" si="127"/>
        <v>8</v>
      </c>
    </row>
    <row r="4040" spans="1:11" x14ac:dyDescent="0.2">
      <c r="A4040">
        <f t="shared" si="126"/>
        <v>2909750</v>
      </c>
      <c r="B4040">
        <v>2021</v>
      </c>
      <c r="C4040" t="s">
        <v>739</v>
      </c>
      <c r="D4040" t="s">
        <v>740</v>
      </c>
      <c r="E4040" t="s">
        <v>743</v>
      </c>
      <c r="F4040" s="34">
        <v>667</v>
      </c>
      <c r="G4040" s="34" t="s">
        <v>461</v>
      </c>
      <c r="H4040" s="36">
        <v>118941</v>
      </c>
      <c r="I4040" s="58">
        <v>636424</v>
      </c>
      <c r="J4040">
        <f>IFERROR(VLOOKUP(G4040,'LEAID Match'!$A$2:$B$526,2,FALSE),"")</f>
        <v>2909750</v>
      </c>
      <c r="K4040" s="68">
        <f t="shared" si="127"/>
        <v>8</v>
      </c>
    </row>
    <row r="4041" spans="1:11" x14ac:dyDescent="0.2">
      <c r="A4041">
        <f t="shared" si="126"/>
        <v>2909750</v>
      </c>
      <c r="B4041">
        <v>2022</v>
      </c>
      <c r="C4041" t="s">
        <v>739</v>
      </c>
      <c r="D4041" t="s">
        <v>740</v>
      </c>
      <c r="E4041" t="s">
        <v>743</v>
      </c>
      <c r="F4041" s="34">
        <v>667</v>
      </c>
      <c r="G4041" s="34" t="s">
        <v>461</v>
      </c>
      <c r="H4041" s="36">
        <v>117983</v>
      </c>
      <c r="I4041" s="58">
        <v>640803</v>
      </c>
      <c r="J4041">
        <f>IFERROR(VLOOKUP(G4041,'LEAID Match'!$A$2:$B$526,2,FALSE),"")</f>
        <v>2909750</v>
      </c>
      <c r="K4041" s="68">
        <f t="shared" si="127"/>
        <v>8</v>
      </c>
    </row>
    <row r="4042" spans="1:11" x14ac:dyDescent="0.2">
      <c r="A4042">
        <f t="shared" si="126"/>
        <v>2913380</v>
      </c>
      <c r="B4042">
        <v>2015</v>
      </c>
      <c r="C4042" t="s">
        <v>739</v>
      </c>
      <c r="D4042" t="s">
        <v>740</v>
      </c>
      <c r="E4042" t="s">
        <v>743</v>
      </c>
      <c r="F4042" s="37">
        <v>668</v>
      </c>
      <c r="G4042" s="39" t="s">
        <v>462</v>
      </c>
      <c r="H4042" s="40">
        <v>63921</v>
      </c>
      <c r="I4042" s="58">
        <v>454946</v>
      </c>
      <c r="J4042">
        <f>IFERROR(VLOOKUP(G4042,'LEAID Match'!$A$2:$B$526,2,FALSE),"")</f>
        <v>2913380</v>
      </c>
      <c r="K4042" s="68">
        <f t="shared" si="127"/>
        <v>8</v>
      </c>
    </row>
    <row r="4043" spans="1:11" x14ac:dyDescent="0.2">
      <c r="A4043">
        <f t="shared" si="126"/>
        <v>2913380</v>
      </c>
      <c r="B4043">
        <v>2016</v>
      </c>
      <c r="C4043" t="s">
        <v>739</v>
      </c>
      <c r="D4043" t="s">
        <v>740</v>
      </c>
      <c r="E4043" t="s">
        <v>743</v>
      </c>
      <c r="F4043" s="34">
        <v>668</v>
      </c>
      <c r="G4043" s="34" t="s">
        <v>462</v>
      </c>
      <c r="H4043" s="36">
        <v>64585</v>
      </c>
      <c r="I4043" s="60">
        <v>481538</v>
      </c>
      <c r="J4043">
        <f>IFERROR(VLOOKUP(G4043,'LEAID Match'!$A$2:$B$526,2,FALSE),"")</f>
        <v>2913380</v>
      </c>
      <c r="K4043" s="68">
        <f t="shared" si="127"/>
        <v>8</v>
      </c>
    </row>
    <row r="4044" spans="1:11" x14ac:dyDescent="0.2">
      <c r="A4044">
        <f t="shared" si="126"/>
        <v>2913380</v>
      </c>
      <c r="B4044">
        <v>2017</v>
      </c>
      <c r="C4044" t="s">
        <v>739</v>
      </c>
      <c r="D4044" t="s">
        <v>740</v>
      </c>
      <c r="E4044" t="s">
        <v>743</v>
      </c>
      <c r="F4044" s="34">
        <v>668</v>
      </c>
      <c r="G4044" s="34" t="s">
        <v>462</v>
      </c>
      <c r="H4044" s="36">
        <v>72123</v>
      </c>
      <c r="I4044" s="58">
        <v>477859</v>
      </c>
      <c r="J4044">
        <f>IFERROR(VLOOKUP(G4044,'LEAID Match'!$A$2:$B$526,2,FALSE),"")</f>
        <v>2913380</v>
      </c>
      <c r="K4044" s="68">
        <f t="shared" si="127"/>
        <v>8</v>
      </c>
    </row>
    <row r="4045" spans="1:11" x14ac:dyDescent="0.2">
      <c r="A4045">
        <f t="shared" si="126"/>
        <v>2913380</v>
      </c>
      <c r="B4045">
        <v>2018</v>
      </c>
      <c r="C4045" t="s">
        <v>739</v>
      </c>
      <c r="D4045" t="s">
        <v>740</v>
      </c>
      <c r="E4045" t="s">
        <v>743</v>
      </c>
      <c r="F4045" s="34">
        <v>668</v>
      </c>
      <c r="G4045" s="34" t="s">
        <v>462</v>
      </c>
      <c r="H4045" s="36">
        <v>78390</v>
      </c>
      <c r="I4045" s="58">
        <v>483771</v>
      </c>
      <c r="J4045">
        <f>IFERROR(VLOOKUP(G4045,'LEAID Match'!$A$2:$B$526,2,FALSE),"")</f>
        <v>2913380</v>
      </c>
      <c r="K4045" s="68">
        <f t="shared" si="127"/>
        <v>8</v>
      </c>
    </row>
    <row r="4046" spans="1:11" x14ac:dyDescent="0.2">
      <c r="A4046">
        <f t="shared" si="126"/>
        <v>2913380</v>
      </c>
      <c r="B4046">
        <v>2019</v>
      </c>
      <c r="C4046" t="s">
        <v>739</v>
      </c>
      <c r="D4046" t="s">
        <v>740</v>
      </c>
      <c r="E4046" t="s">
        <v>743</v>
      </c>
      <c r="F4046" s="34">
        <v>668</v>
      </c>
      <c r="G4046" s="34" t="s">
        <v>462</v>
      </c>
      <c r="H4046" s="36">
        <v>77637</v>
      </c>
      <c r="I4046" s="58">
        <v>506443</v>
      </c>
      <c r="J4046">
        <f>IFERROR(VLOOKUP(G4046,'LEAID Match'!$A$2:$B$526,2,FALSE),"")</f>
        <v>2913380</v>
      </c>
      <c r="K4046" s="68">
        <f t="shared" si="127"/>
        <v>8</v>
      </c>
    </row>
    <row r="4047" spans="1:11" x14ac:dyDescent="0.2">
      <c r="A4047">
        <f t="shared" si="126"/>
        <v>2913380</v>
      </c>
      <c r="B4047">
        <v>2020</v>
      </c>
      <c r="C4047" t="s">
        <v>739</v>
      </c>
      <c r="D4047" t="s">
        <v>740</v>
      </c>
      <c r="E4047" t="s">
        <v>743</v>
      </c>
      <c r="F4047" s="34">
        <v>668</v>
      </c>
      <c r="G4047" s="34" t="s">
        <v>462</v>
      </c>
      <c r="H4047" s="36">
        <v>78160</v>
      </c>
      <c r="I4047" s="58">
        <v>481844</v>
      </c>
      <c r="J4047">
        <f>IFERROR(VLOOKUP(G4047,'LEAID Match'!$A$2:$B$526,2,FALSE),"")</f>
        <v>2913380</v>
      </c>
      <c r="K4047" s="68">
        <f t="shared" si="127"/>
        <v>8</v>
      </c>
    </row>
    <row r="4048" spans="1:11" x14ac:dyDescent="0.2">
      <c r="A4048">
        <f t="shared" si="126"/>
        <v>2913380</v>
      </c>
      <c r="B4048">
        <v>2021</v>
      </c>
      <c r="C4048" t="s">
        <v>739</v>
      </c>
      <c r="D4048" t="s">
        <v>740</v>
      </c>
      <c r="E4048" t="s">
        <v>743</v>
      </c>
      <c r="F4048" s="34">
        <v>668</v>
      </c>
      <c r="G4048" s="34" t="s">
        <v>462</v>
      </c>
      <c r="H4048" s="36">
        <v>82798</v>
      </c>
      <c r="I4048" s="58">
        <v>488620</v>
      </c>
      <c r="J4048">
        <f>IFERROR(VLOOKUP(G4048,'LEAID Match'!$A$2:$B$526,2,FALSE),"")</f>
        <v>2913380</v>
      </c>
      <c r="K4048" s="68">
        <f t="shared" si="127"/>
        <v>8</v>
      </c>
    </row>
    <row r="4049" spans="1:11" x14ac:dyDescent="0.2">
      <c r="A4049">
        <f t="shared" si="126"/>
        <v>2913380</v>
      </c>
      <c r="B4049">
        <v>2022</v>
      </c>
      <c r="C4049" t="s">
        <v>739</v>
      </c>
      <c r="D4049" t="s">
        <v>740</v>
      </c>
      <c r="E4049" t="s">
        <v>743</v>
      </c>
      <c r="F4049" s="34">
        <v>668</v>
      </c>
      <c r="G4049" s="34" t="s">
        <v>462</v>
      </c>
      <c r="H4049" s="36">
        <v>87822</v>
      </c>
      <c r="I4049" s="58">
        <v>484673</v>
      </c>
      <c r="J4049">
        <f>IFERROR(VLOOKUP(G4049,'LEAID Match'!$A$2:$B$526,2,FALSE),"")</f>
        <v>2913380</v>
      </c>
      <c r="K4049" s="68">
        <f t="shared" si="127"/>
        <v>8</v>
      </c>
    </row>
    <row r="4050" spans="1:11" x14ac:dyDescent="0.2">
      <c r="A4050">
        <f t="shared" si="126"/>
        <v>2920430</v>
      </c>
      <c r="B4050">
        <v>2015</v>
      </c>
      <c r="C4050" t="s">
        <v>739</v>
      </c>
      <c r="D4050" t="s">
        <v>740</v>
      </c>
      <c r="E4050" t="s">
        <v>743</v>
      </c>
      <c r="F4050" s="37">
        <v>673</v>
      </c>
      <c r="G4050" s="39" t="s">
        <v>463</v>
      </c>
      <c r="H4050" s="40">
        <v>170767</v>
      </c>
      <c r="I4050" s="58">
        <v>1700863</v>
      </c>
      <c r="J4050">
        <f>IFERROR(VLOOKUP(G4050,'LEAID Match'!$A$2:$B$526,2,FALSE),"")</f>
        <v>2920430</v>
      </c>
      <c r="K4050" s="68">
        <f t="shared" si="127"/>
        <v>8</v>
      </c>
    </row>
    <row r="4051" spans="1:11" x14ac:dyDescent="0.2">
      <c r="A4051">
        <f t="shared" si="126"/>
        <v>2920430</v>
      </c>
      <c r="B4051">
        <v>2016</v>
      </c>
      <c r="C4051" t="s">
        <v>739</v>
      </c>
      <c r="D4051" t="s">
        <v>740</v>
      </c>
      <c r="E4051" t="s">
        <v>743</v>
      </c>
      <c r="F4051" s="34">
        <v>673</v>
      </c>
      <c r="G4051" s="34" t="s">
        <v>463</v>
      </c>
      <c r="H4051" s="36">
        <v>173863</v>
      </c>
      <c r="I4051" s="60">
        <v>1823887</v>
      </c>
      <c r="J4051">
        <f>IFERROR(VLOOKUP(G4051,'LEAID Match'!$A$2:$B$526,2,FALSE),"")</f>
        <v>2920430</v>
      </c>
      <c r="K4051" s="68">
        <f t="shared" si="127"/>
        <v>8</v>
      </c>
    </row>
    <row r="4052" spans="1:11" x14ac:dyDescent="0.2">
      <c r="A4052">
        <f t="shared" si="126"/>
        <v>2920430</v>
      </c>
      <c r="B4052">
        <v>2017</v>
      </c>
      <c r="C4052" t="s">
        <v>739</v>
      </c>
      <c r="D4052" t="s">
        <v>740</v>
      </c>
      <c r="E4052" t="s">
        <v>743</v>
      </c>
      <c r="F4052" s="34">
        <v>673</v>
      </c>
      <c r="G4052" s="34" t="s">
        <v>463</v>
      </c>
      <c r="H4052" s="36">
        <v>182634</v>
      </c>
      <c r="I4052" s="58">
        <v>1867123</v>
      </c>
      <c r="J4052">
        <f>IFERROR(VLOOKUP(G4052,'LEAID Match'!$A$2:$B$526,2,FALSE),"")</f>
        <v>2920430</v>
      </c>
      <c r="K4052" s="68">
        <f t="shared" si="127"/>
        <v>8</v>
      </c>
    </row>
    <row r="4053" spans="1:11" x14ac:dyDescent="0.2">
      <c r="A4053">
        <f t="shared" si="126"/>
        <v>2920430</v>
      </c>
      <c r="B4053">
        <v>2018</v>
      </c>
      <c r="C4053" t="s">
        <v>739</v>
      </c>
      <c r="D4053" t="s">
        <v>740</v>
      </c>
      <c r="E4053" t="s">
        <v>743</v>
      </c>
      <c r="F4053" s="34">
        <v>673</v>
      </c>
      <c r="G4053" s="34" t="s">
        <v>463</v>
      </c>
      <c r="H4053" s="36">
        <v>200044</v>
      </c>
      <c r="I4053" s="58">
        <v>1921666</v>
      </c>
      <c r="J4053">
        <f>IFERROR(VLOOKUP(G4053,'LEAID Match'!$A$2:$B$526,2,FALSE),"")</f>
        <v>2920430</v>
      </c>
      <c r="K4053" s="68">
        <f t="shared" si="127"/>
        <v>8</v>
      </c>
    </row>
    <row r="4054" spans="1:11" x14ac:dyDescent="0.2">
      <c r="A4054">
        <f t="shared" si="126"/>
        <v>2920430</v>
      </c>
      <c r="B4054">
        <v>2019</v>
      </c>
      <c r="C4054" t="s">
        <v>739</v>
      </c>
      <c r="D4054" t="s">
        <v>740</v>
      </c>
      <c r="E4054" t="s">
        <v>743</v>
      </c>
      <c r="F4054" s="34">
        <v>673</v>
      </c>
      <c r="G4054" s="34" t="s">
        <v>463</v>
      </c>
      <c r="H4054" s="36">
        <v>219192</v>
      </c>
      <c r="I4054" s="58">
        <v>2049960</v>
      </c>
      <c r="J4054">
        <f>IFERROR(VLOOKUP(G4054,'LEAID Match'!$A$2:$B$526,2,FALSE),"")</f>
        <v>2920430</v>
      </c>
      <c r="K4054" s="68">
        <f t="shared" si="127"/>
        <v>8</v>
      </c>
    </row>
    <row r="4055" spans="1:11" x14ac:dyDescent="0.2">
      <c r="A4055">
        <f t="shared" si="126"/>
        <v>2920430</v>
      </c>
      <c r="B4055">
        <v>2020</v>
      </c>
      <c r="C4055" t="s">
        <v>739</v>
      </c>
      <c r="D4055" t="s">
        <v>740</v>
      </c>
      <c r="E4055" t="s">
        <v>743</v>
      </c>
      <c r="F4055" s="34">
        <v>673</v>
      </c>
      <c r="G4055" s="34" t="s">
        <v>463</v>
      </c>
      <c r="H4055" s="36">
        <v>231437</v>
      </c>
      <c r="I4055" s="58">
        <v>2120196</v>
      </c>
      <c r="J4055">
        <f>IFERROR(VLOOKUP(G4055,'LEAID Match'!$A$2:$B$526,2,FALSE),"")</f>
        <v>2920430</v>
      </c>
      <c r="K4055" s="68">
        <f t="shared" si="127"/>
        <v>8</v>
      </c>
    </row>
    <row r="4056" spans="1:11" x14ac:dyDescent="0.2">
      <c r="A4056">
        <f t="shared" si="126"/>
        <v>2920430</v>
      </c>
      <c r="B4056">
        <v>2021</v>
      </c>
      <c r="C4056" t="s">
        <v>739</v>
      </c>
      <c r="D4056" t="s">
        <v>740</v>
      </c>
      <c r="E4056" t="s">
        <v>743</v>
      </c>
      <c r="F4056" s="34">
        <v>673</v>
      </c>
      <c r="G4056" s="34" t="s">
        <v>463</v>
      </c>
      <c r="H4056" s="36">
        <v>245580</v>
      </c>
      <c r="I4056" s="58">
        <v>2248349</v>
      </c>
      <c r="J4056">
        <f>IFERROR(VLOOKUP(G4056,'LEAID Match'!$A$2:$B$526,2,FALSE),"")</f>
        <v>2920430</v>
      </c>
      <c r="K4056" s="68">
        <f t="shared" si="127"/>
        <v>8</v>
      </c>
    </row>
    <row r="4057" spans="1:11" x14ac:dyDescent="0.2">
      <c r="A4057">
        <f t="shared" si="126"/>
        <v>2920430</v>
      </c>
      <c r="B4057">
        <v>2022</v>
      </c>
      <c r="C4057" t="s">
        <v>739</v>
      </c>
      <c r="D4057" t="s">
        <v>740</v>
      </c>
      <c r="E4057" t="s">
        <v>743</v>
      </c>
      <c r="F4057" s="34">
        <v>673</v>
      </c>
      <c r="G4057" s="34" t="s">
        <v>463</v>
      </c>
      <c r="H4057" s="36">
        <v>307595</v>
      </c>
      <c r="I4057" s="58">
        <v>2276480</v>
      </c>
      <c r="J4057">
        <f>IFERROR(VLOOKUP(G4057,'LEAID Match'!$A$2:$B$526,2,FALSE),"")</f>
        <v>2920430</v>
      </c>
      <c r="K4057" s="68">
        <f t="shared" si="127"/>
        <v>8</v>
      </c>
    </row>
    <row r="4058" spans="1:11" x14ac:dyDescent="0.2">
      <c r="A4058">
        <f t="shared" si="126"/>
        <v>2927930</v>
      </c>
      <c r="B4058">
        <v>2015</v>
      </c>
      <c r="C4058" t="s">
        <v>739</v>
      </c>
      <c r="D4058" t="s">
        <v>740</v>
      </c>
      <c r="E4058" t="s">
        <v>743</v>
      </c>
      <c r="F4058" s="37">
        <v>674</v>
      </c>
      <c r="G4058" s="39" t="s">
        <v>464</v>
      </c>
      <c r="H4058" s="40">
        <v>72809</v>
      </c>
      <c r="I4058" s="58">
        <v>547141</v>
      </c>
      <c r="J4058">
        <f>IFERROR(VLOOKUP(G4058,'LEAID Match'!$A$2:$B$526,2,FALSE),"")</f>
        <v>2927930</v>
      </c>
      <c r="K4058" s="68">
        <f t="shared" si="127"/>
        <v>8</v>
      </c>
    </row>
    <row r="4059" spans="1:11" x14ac:dyDescent="0.2">
      <c r="A4059">
        <f t="shared" si="126"/>
        <v>2927930</v>
      </c>
      <c r="B4059">
        <v>2016</v>
      </c>
      <c r="C4059" t="s">
        <v>739</v>
      </c>
      <c r="D4059" t="s">
        <v>740</v>
      </c>
      <c r="E4059" t="s">
        <v>743</v>
      </c>
      <c r="F4059" s="34">
        <v>674</v>
      </c>
      <c r="G4059" s="34" t="s">
        <v>464</v>
      </c>
      <c r="H4059" s="36">
        <v>63995</v>
      </c>
      <c r="I4059" s="60">
        <v>538215</v>
      </c>
      <c r="J4059">
        <f>IFERROR(VLOOKUP(G4059,'LEAID Match'!$A$2:$B$526,2,FALSE),"")</f>
        <v>2927930</v>
      </c>
      <c r="K4059" s="68">
        <f t="shared" si="127"/>
        <v>8</v>
      </c>
    </row>
    <row r="4060" spans="1:11" x14ac:dyDescent="0.2">
      <c r="A4060">
        <f t="shared" si="126"/>
        <v>2927930</v>
      </c>
      <c r="B4060">
        <v>2017</v>
      </c>
      <c r="C4060" t="s">
        <v>739</v>
      </c>
      <c r="D4060" t="s">
        <v>740</v>
      </c>
      <c r="E4060" t="s">
        <v>743</v>
      </c>
      <c r="F4060" s="34">
        <v>674</v>
      </c>
      <c r="G4060" s="34" t="s">
        <v>464</v>
      </c>
      <c r="H4060" s="36">
        <v>65220</v>
      </c>
      <c r="I4060" s="58">
        <v>506023</v>
      </c>
      <c r="J4060">
        <f>IFERROR(VLOOKUP(G4060,'LEAID Match'!$A$2:$B$526,2,FALSE),"")</f>
        <v>2927930</v>
      </c>
      <c r="K4060" s="68">
        <f t="shared" si="127"/>
        <v>8</v>
      </c>
    </row>
    <row r="4061" spans="1:11" x14ac:dyDescent="0.2">
      <c r="A4061">
        <f t="shared" si="126"/>
        <v>2927930</v>
      </c>
      <c r="B4061">
        <v>2018</v>
      </c>
      <c r="C4061" t="s">
        <v>739</v>
      </c>
      <c r="D4061" t="s">
        <v>740</v>
      </c>
      <c r="E4061" t="s">
        <v>743</v>
      </c>
      <c r="F4061" s="34">
        <v>674</v>
      </c>
      <c r="G4061" s="34" t="s">
        <v>464</v>
      </c>
      <c r="H4061" s="36">
        <v>65866</v>
      </c>
      <c r="I4061" s="58">
        <v>501512</v>
      </c>
      <c r="J4061">
        <f>IFERROR(VLOOKUP(G4061,'LEAID Match'!$A$2:$B$526,2,FALSE),"")</f>
        <v>2927930</v>
      </c>
      <c r="K4061" s="68">
        <f t="shared" si="127"/>
        <v>8</v>
      </c>
    </row>
    <row r="4062" spans="1:11" x14ac:dyDescent="0.2">
      <c r="A4062">
        <f t="shared" si="126"/>
        <v>2927930</v>
      </c>
      <c r="B4062">
        <v>2019</v>
      </c>
      <c r="C4062" t="s">
        <v>739</v>
      </c>
      <c r="D4062" t="s">
        <v>740</v>
      </c>
      <c r="E4062" t="s">
        <v>743</v>
      </c>
      <c r="F4062" s="34">
        <v>674</v>
      </c>
      <c r="G4062" s="34" t="s">
        <v>464</v>
      </c>
      <c r="H4062" s="36">
        <v>68343</v>
      </c>
      <c r="I4062" s="58">
        <v>539319</v>
      </c>
      <c r="J4062">
        <f>IFERROR(VLOOKUP(G4062,'LEAID Match'!$A$2:$B$526,2,FALSE),"")</f>
        <v>2927930</v>
      </c>
      <c r="K4062" s="68">
        <f t="shared" si="127"/>
        <v>8</v>
      </c>
    </row>
    <row r="4063" spans="1:11" x14ac:dyDescent="0.2">
      <c r="A4063">
        <f t="shared" si="126"/>
        <v>2927930</v>
      </c>
      <c r="B4063">
        <v>2020</v>
      </c>
      <c r="C4063" t="s">
        <v>739</v>
      </c>
      <c r="D4063" t="s">
        <v>740</v>
      </c>
      <c r="E4063" t="s">
        <v>743</v>
      </c>
      <c r="F4063" s="34">
        <v>674</v>
      </c>
      <c r="G4063" s="34" t="s">
        <v>464</v>
      </c>
      <c r="H4063" s="36">
        <v>75156</v>
      </c>
      <c r="I4063" s="58">
        <v>521301</v>
      </c>
      <c r="J4063">
        <f>IFERROR(VLOOKUP(G4063,'LEAID Match'!$A$2:$B$526,2,FALSE),"")</f>
        <v>2927930</v>
      </c>
      <c r="K4063" s="68">
        <f t="shared" si="127"/>
        <v>8</v>
      </c>
    </row>
    <row r="4064" spans="1:11" x14ac:dyDescent="0.2">
      <c r="A4064">
        <f t="shared" si="126"/>
        <v>2927930</v>
      </c>
      <c r="B4064">
        <v>2021</v>
      </c>
      <c r="C4064" t="s">
        <v>739</v>
      </c>
      <c r="D4064" t="s">
        <v>740</v>
      </c>
      <c r="E4064" t="s">
        <v>743</v>
      </c>
      <c r="F4064" s="34">
        <v>674</v>
      </c>
      <c r="G4064" s="34" t="s">
        <v>464</v>
      </c>
      <c r="H4064" s="36">
        <v>82728</v>
      </c>
      <c r="I4064" s="58">
        <v>530911</v>
      </c>
      <c r="J4064">
        <f>IFERROR(VLOOKUP(G4064,'LEAID Match'!$A$2:$B$526,2,FALSE),"")</f>
        <v>2927930</v>
      </c>
      <c r="K4064" s="68">
        <f t="shared" si="127"/>
        <v>8</v>
      </c>
    </row>
    <row r="4065" spans="1:11" x14ac:dyDescent="0.2">
      <c r="A4065">
        <f t="shared" si="126"/>
        <v>2927930</v>
      </c>
      <c r="B4065">
        <v>2022</v>
      </c>
      <c r="C4065" t="s">
        <v>739</v>
      </c>
      <c r="D4065" t="s">
        <v>740</v>
      </c>
      <c r="E4065" t="s">
        <v>743</v>
      </c>
      <c r="F4065" s="34">
        <v>674</v>
      </c>
      <c r="G4065" s="34" t="s">
        <v>464</v>
      </c>
      <c r="H4065" s="36">
        <v>90575</v>
      </c>
      <c r="I4065" s="58">
        <v>586678</v>
      </c>
      <c r="J4065">
        <f>IFERROR(VLOOKUP(G4065,'LEAID Match'!$A$2:$B$526,2,FALSE),"")</f>
        <v>2927930</v>
      </c>
      <c r="K4065" s="68">
        <f t="shared" si="127"/>
        <v>8</v>
      </c>
    </row>
    <row r="4066" spans="1:11" x14ac:dyDescent="0.2">
      <c r="A4066">
        <f t="shared" si="126"/>
        <v>2912180</v>
      </c>
      <c r="B4066">
        <v>2015</v>
      </c>
      <c r="C4066" t="s">
        <v>739</v>
      </c>
      <c r="D4066" t="s">
        <v>740</v>
      </c>
      <c r="E4066" t="s">
        <v>743</v>
      </c>
      <c r="F4066" s="37">
        <v>675</v>
      </c>
      <c r="G4066" s="39" t="s">
        <v>465</v>
      </c>
      <c r="H4066" s="40">
        <v>66134</v>
      </c>
      <c r="I4066" s="58">
        <v>394958</v>
      </c>
      <c r="J4066">
        <f>IFERROR(VLOOKUP(G4066,'LEAID Match'!$A$2:$B$526,2,FALSE),"")</f>
        <v>2912180</v>
      </c>
      <c r="K4066" s="68">
        <f t="shared" si="127"/>
        <v>8</v>
      </c>
    </row>
    <row r="4067" spans="1:11" x14ac:dyDescent="0.2">
      <c r="A4067">
        <f t="shared" si="126"/>
        <v>2912180</v>
      </c>
      <c r="B4067">
        <v>2016</v>
      </c>
      <c r="C4067" t="s">
        <v>739</v>
      </c>
      <c r="D4067" t="s">
        <v>740</v>
      </c>
      <c r="E4067" t="s">
        <v>743</v>
      </c>
      <c r="F4067" s="34">
        <v>675</v>
      </c>
      <c r="G4067" s="34" t="s">
        <v>465</v>
      </c>
      <c r="H4067" s="36">
        <v>63253</v>
      </c>
      <c r="I4067" s="60">
        <v>390164</v>
      </c>
      <c r="J4067">
        <f>IFERROR(VLOOKUP(G4067,'LEAID Match'!$A$2:$B$526,2,FALSE),"")</f>
        <v>2912180</v>
      </c>
      <c r="K4067" s="68">
        <f t="shared" si="127"/>
        <v>8</v>
      </c>
    </row>
    <row r="4068" spans="1:11" x14ac:dyDescent="0.2">
      <c r="A4068">
        <f t="shared" si="126"/>
        <v>2912180</v>
      </c>
      <c r="B4068">
        <v>2017</v>
      </c>
      <c r="C4068" t="s">
        <v>739</v>
      </c>
      <c r="D4068" t="s">
        <v>740</v>
      </c>
      <c r="E4068" t="s">
        <v>743</v>
      </c>
      <c r="F4068" s="34">
        <v>675</v>
      </c>
      <c r="G4068" s="34" t="s">
        <v>465</v>
      </c>
      <c r="H4068" s="36">
        <v>64788</v>
      </c>
      <c r="I4068" s="58">
        <v>382417</v>
      </c>
      <c r="J4068">
        <f>IFERROR(VLOOKUP(G4068,'LEAID Match'!$A$2:$B$526,2,FALSE),"")</f>
        <v>2912180</v>
      </c>
      <c r="K4068" s="68">
        <f t="shared" si="127"/>
        <v>8</v>
      </c>
    </row>
    <row r="4069" spans="1:11" x14ac:dyDescent="0.2">
      <c r="A4069">
        <f t="shared" si="126"/>
        <v>2912180</v>
      </c>
      <c r="B4069">
        <v>2018</v>
      </c>
      <c r="C4069" t="s">
        <v>739</v>
      </c>
      <c r="D4069" t="s">
        <v>740</v>
      </c>
      <c r="E4069" t="s">
        <v>743</v>
      </c>
      <c r="F4069" s="34">
        <v>675</v>
      </c>
      <c r="G4069" s="34" t="s">
        <v>465</v>
      </c>
      <c r="H4069" s="36">
        <v>68711</v>
      </c>
      <c r="I4069" s="58">
        <v>358922</v>
      </c>
      <c r="J4069">
        <f>IFERROR(VLOOKUP(G4069,'LEAID Match'!$A$2:$B$526,2,FALSE),"")</f>
        <v>2912180</v>
      </c>
      <c r="K4069" s="68">
        <f t="shared" si="127"/>
        <v>8</v>
      </c>
    </row>
    <row r="4070" spans="1:11" x14ac:dyDescent="0.2">
      <c r="A4070">
        <f t="shared" si="126"/>
        <v>2912180</v>
      </c>
      <c r="B4070">
        <v>2019</v>
      </c>
      <c r="C4070" t="s">
        <v>739</v>
      </c>
      <c r="D4070" t="s">
        <v>740</v>
      </c>
      <c r="E4070" t="s">
        <v>743</v>
      </c>
      <c r="F4070" s="34">
        <v>675</v>
      </c>
      <c r="G4070" s="34" t="s">
        <v>465</v>
      </c>
      <c r="H4070" s="36">
        <v>68338</v>
      </c>
      <c r="I4070" s="58">
        <v>349961</v>
      </c>
      <c r="J4070">
        <f>IFERROR(VLOOKUP(G4070,'LEAID Match'!$A$2:$B$526,2,FALSE),"")</f>
        <v>2912180</v>
      </c>
      <c r="K4070" s="68">
        <f t="shared" si="127"/>
        <v>8</v>
      </c>
    </row>
    <row r="4071" spans="1:11" x14ac:dyDescent="0.2">
      <c r="A4071">
        <f t="shared" si="126"/>
        <v>2912180</v>
      </c>
      <c r="B4071">
        <v>2020</v>
      </c>
      <c r="C4071" t="s">
        <v>739</v>
      </c>
      <c r="D4071" t="s">
        <v>740</v>
      </c>
      <c r="E4071" t="s">
        <v>743</v>
      </c>
      <c r="F4071" s="34">
        <v>675</v>
      </c>
      <c r="G4071" s="34" t="s">
        <v>465</v>
      </c>
      <c r="H4071" s="36">
        <v>73990</v>
      </c>
      <c r="I4071" s="58">
        <v>373535</v>
      </c>
      <c r="J4071">
        <f>IFERROR(VLOOKUP(G4071,'LEAID Match'!$A$2:$B$526,2,FALSE),"")</f>
        <v>2912180</v>
      </c>
      <c r="K4071" s="68">
        <f t="shared" si="127"/>
        <v>8</v>
      </c>
    </row>
    <row r="4072" spans="1:11" x14ac:dyDescent="0.2">
      <c r="A4072">
        <f t="shared" si="126"/>
        <v>2912180</v>
      </c>
      <c r="B4072">
        <v>2021</v>
      </c>
      <c r="C4072" t="s">
        <v>739</v>
      </c>
      <c r="D4072" t="s">
        <v>740</v>
      </c>
      <c r="E4072" t="s">
        <v>743</v>
      </c>
      <c r="F4072" s="34">
        <v>675</v>
      </c>
      <c r="G4072" s="34" t="s">
        <v>465</v>
      </c>
      <c r="H4072" s="36">
        <v>84433</v>
      </c>
      <c r="I4072" s="58">
        <v>445182</v>
      </c>
      <c r="J4072">
        <f>IFERROR(VLOOKUP(G4072,'LEAID Match'!$A$2:$B$526,2,FALSE),"")</f>
        <v>2912180</v>
      </c>
      <c r="K4072" s="68">
        <f t="shared" si="127"/>
        <v>8</v>
      </c>
    </row>
    <row r="4073" spans="1:11" x14ac:dyDescent="0.2">
      <c r="A4073">
        <f t="shared" si="126"/>
        <v>2912180</v>
      </c>
      <c r="B4073">
        <v>2022</v>
      </c>
      <c r="C4073" t="s">
        <v>739</v>
      </c>
      <c r="D4073" t="s">
        <v>740</v>
      </c>
      <c r="E4073" t="s">
        <v>743</v>
      </c>
      <c r="F4073" s="34">
        <v>675</v>
      </c>
      <c r="G4073" s="34" t="s">
        <v>465</v>
      </c>
      <c r="H4073" s="36">
        <v>89547</v>
      </c>
      <c r="I4073" s="58">
        <v>525817</v>
      </c>
      <c r="J4073">
        <f>IFERROR(VLOOKUP(G4073,'LEAID Match'!$A$2:$B$526,2,FALSE),"")</f>
        <v>2912180</v>
      </c>
      <c r="K4073" s="68">
        <f t="shared" si="127"/>
        <v>8</v>
      </c>
    </row>
    <row r="4074" spans="1:11" x14ac:dyDescent="0.2">
      <c r="A4074">
        <f t="shared" si="126"/>
        <v>2922500</v>
      </c>
      <c r="B4074">
        <v>2015</v>
      </c>
      <c r="C4074" t="s">
        <v>739</v>
      </c>
      <c r="D4074" t="s">
        <v>740</v>
      </c>
      <c r="E4074" t="s">
        <v>743</v>
      </c>
      <c r="F4074" s="37">
        <v>676</v>
      </c>
      <c r="G4074" s="39" t="s">
        <v>466</v>
      </c>
      <c r="H4074" s="40">
        <v>23137</v>
      </c>
      <c r="I4074" s="58">
        <v>164403</v>
      </c>
      <c r="J4074">
        <f>IFERROR(VLOOKUP(G4074,'LEAID Match'!$A$2:$B$526,2,FALSE),"")</f>
        <v>2922500</v>
      </c>
      <c r="K4074" s="68">
        <f t="shared" si="127"/>
        <v>8</v>
      </c>
    </row>
    <row r="4075" spans="1:11" x14ac:dyDescent="0.2">
      <c r="A4075">
        <f t="shared" si="126"/>
        <v>2922500</v>
      </c>
      <c r="B4075">
        <v>2016</v>
      </c>
      <c r="C4075" t="s">
        <v>739</v>
      </c>
      <c r="D4075" t="s">
        <v>740</v>
      </c>
      <c r="E4075" t="s">
        <v>743</v>
      </c>
      <c r="F4075" s="34">
        <v>676</v>
      </c>
      <c r="G4075" s="34" t="s">
        <v>466</v>
      </c>
      <c r="H4075" s="36">
        <v>26172</v>
      </c>
      <c r="I4075" s="60">
        <v>178092</v>
      </c>
      <c r="J4075">
        <f>IFERROR(VLOOKUP(G4075,'LEAID Match'!$A$2:$B$526,2,FALSE),"")</f>
        <v>2922500</v>
      </c>
      <c r="K4075" s="68">
        <f t="shared" si="127"/>
        <v>8</v>
      </c>
    </row>
    <row r="4076" spans="1:11" x14ac:dyDescent="0.2">
      <c r="A4076">
        <f t="shared" si="126"/>
        <v>2922500</v>
      </c>
      <c r="B4076">
        <v>2017</v>
      </c>
      <c r="C4076" t="s">
        <v>739</v>
      </c>
      <c r="D4076" t="s">
        <v>740</v>
      </c>
      <c r="E4076" t="s">
        <v>743</v>
      </c>
      <c r="F4076" s="34">
        <v>676</v>
      </c>
      <c r="G4076" s="34" t="s">
        <v>466</v>
      </c>
      <c r="H4076" s="36">
        <v>25351</v>
      </c>
      <c r="I4076" s="58">
        <v>195647</v>
      </c>
      <c r="J4076">
        <f>IFERROR(VLOOKUP(G4076,'LEAID Match'!$A$2:$B$526,2,FALSE),"")</f>
        <v>2922500</v>
      </c>
      <c r="K4076" s="68">
        <f t="shared" si="127"/>
        <v>8</v>
      </c>
    </row>
    <row r="4077" spans="1:11" x14ac:dyDescent="0.2">
      <c r="A4077">
        <f t="shared" si="126"/>
        <v>2922500</v>
      </c>
      <c r="B4077">
        <v>2018</v>
      </c>
      <c r="C4077" t="s">
        <v>739</v>
      </c>
      <c r="D4077" t="s">
        <v>740</v>
      </c>
      <c r="E4077" t="s">
        <v>743</v>
      </c>
      <c r="F4077" s="34">
        <v>676</v>
      </c>
      <c r="G4077" s="34" t="s">
        <v>466</v>
      </c>
      <c r="H4077" s="36">
        <v>25357</v>
      </c>
      <c r="I4077" s="58">
        <v>200102</v>
      </c>
      <c r="J4077">
        <f>IFERROR(VLOOKUP(G4077,'LEAID Match'!$A$2:$B$526,2,FALSE),"")</f>
        <v>2922500</v>
      </c>
      <c r="K4077" s="68">
        <f t="shared" si="127"/>
        <v>8</v>
      </c>
    </row>
    <row r="4078" spans="1:11" x14ac:dyDescent="0.2">
      <c r="A4078">
        <f t="shared" si="126"/>
        <v>2922500</v>
      </c>
      <c r="B4078">
        <v>2019</v>
      </c>
      <c r="C4078" t="s">
        <v>739</v>
      </c>
      <c r="D4078" t="s">
        <v>740</v>
      </c>
      <c r="E4078" t="s">
        <v>743</v>
      </c>
      <c r="F4078" s="34">
        <v>676</v>
      </c>
      <c r="G4078" s="34" t="s">
        <v>466</v>
      </c>
      <c r="H4078" s="36">
        <v>30365</v>
      </c>
      <c r="I4078" s="58">
        <v>206960</v>
      </c>
      <c r="J4078">
        <f>IFERROR(VLOOKUP(G4078,'LEAID Match'!$A$2:$B$526,2,FALSE),"")</f>
        <v>2922500</v>
      </c>
      <c r="K4078" s="68">
        <f t="shared" si="127"/>
        <v>8</v>
      </c>
    </row>
    <row r="4079" spans="1:11" x14ac:dyDescent="0.2">
      <c r="A4079">
        <f t="shared" si="126"/>
        <v>2922500</v>
      </c>
      <c r="B4079">
        <v>2020</v>
      </c>
      <c r="C4079" t="s">
        <v>739</v>
      </c>
      <c r="D4079" t="s">
        <v>740</v>
      </c>
      <c r="E4079" t="s">
        <v>743</v>
      </c>
      <c r="F4079" s="34">
        <v>676</v>
      </c>
      <c r="G4079" s="34" t="s">
        <v>466</v>
      </c>
      <c r="H4079" s="36">
        <v>32362</v>
      </c>
      <c r="I4079" s="58">
        <v>217172</v>
      </c>
      <c r="J4079">
        <f>IFERROR(VLOOKUP(G4079,'LEAID Match'!$A$2:$B$526,2,FALSE),"")</f>
        <v>2922500</v>
      </c>
      <c r="K4079" s="68">
        <f t="shared" si="127"/>
        <v>8</v>
      </c>
    </row>
    <row r="4080" spans="1:11" x14ac:dyDescent="0.2">
      <c r="A4080">
        <f t="shared" si="126"/>
        <v>2922500</v>
      </c>
      <c r="B4080">
        <v>2021</v>
      </c>
      <c r="C4080" t="s">
        <v>739</v>
      </c>
      <c r="D4080" t="s">
        <v>740</v>
      </c>
      <c r="E4080" t="s">
        <v>743</v>
      </c>
      <c r="F4080" s="34">
        <v>676</v>
      </c>
      <c r="G4080" s="34" t="s">
        <v>466</v>
      </c>
      <c r="H4080" s="36">
        <v>25100</v>
      </c>
      <c r="I4080" s="58">
        <v>227008</v>
      </c>
      <c r="J4080">
        <f>IFERROR(VLOOKUP(G4080,'LEAID Match'!$A$2:$B$526,2,FALSE),"")</f>
        <v>2922500</v>
      </c>
      <c r="K4080" s="68">
        <f t="shared" si="127"/>
        <v>8</v>
      </c>
    </row>
    <row r="4081" spans="1:11" x14ac:dyDescent="0.2">
      <c r="A4081">
        <f t="shared" si="126"/>
        <v>2922500</v>
      </c>
      <c r="B4081">
        <v>2022</v>
      </c>
      <c r="C4081" t="s">
        <v>739</v>
      </c>
      <c r="D4081" t="s">
        <v>740</v>
      </c>
      <c r="E4081" t="s">
        <v>743</v>
      </c>
      <c r="F4081" s="34">
        <v>676</v>
      </c>
      <c r="G4081" s="34" t="s">
        <v>466</v>
      </c>
      <c r="H4081" s="36">
        <v>30160</v>
      </c>
      <c r="I4081" s="58">
        <v>233468</v>
      </c>
      <c r="J4081">
        <f>IFERROR(VLOOKUP(G4081,'LEAID Match'!$A$2:$B$526,2,FALSE),"")</f>
        <v>2922500</v>
      </c>
      <c r="K4081" s="68">
        <f t="shared" si="127"/>
        <v>8</v>
      </c>
    </row>
    <row r="4082" spans="1:11" x14ac:dyDescent="0.2">
      <c r="A4082">
        <f t="shared" si="126"/>
        <v>2932300</v>
      </c>
      <c r="B4082">
        <v>2015</v>
      </c>
      <c r="C4082" t="s">
        <v>739</v>
      </c>
      <c r="D4082" t="s">
        <v>740</v>
      </c>
      <c r="E4082" t="s">
        <v>743</v>
      </c>
      <c r="F4082" s="37">
        <v>677</v>
      </c>
      <c r="G4082" s="39" t="s">
        <v>467</v>
      </c>
      <c r="H4082" s="40">
        <v>26830</v>
      </c>
      <c r="I4082" s="58">
        <v>228144</v>
      </c>
      <c r="J4082">
        <f>IFERROR(VLOOKUP(G4082,'LEAID Match'!$A$2:$B$526,2,FALSE),"")</f>
        <v>2932300</v>
      </c>
      <c r="K4082" s="68">
        <f t="shared" si="127"/>
        <v>8</v>
      </c>
    </row>
    <row r="4083" spans="1:11" x14ac:dyDescent="0.2">
      <c r="A4083">
        <f t="shared" si="126"/>
        <v>2932300</v>
      </c>
      <c r="B4083">
        <v>2016</v>
      </c>
      <c r="C4083" t="s">
        <v>739</v>
      </c>
      <c r="D4083" t="s">
        <v>740</v>
      </c>
      <c r="E4083" t="s">
        <v>743</v>
      </c>
      <c r="F4083" s="34">
        <v>677</v>
      </c>
      <c r="G4083" s="34" t="s">
        <v>467</v>
      </c>
      <c r="H4083" s="36">
        <v>30373</v>
      </c>
      <c r="I4083" s="60">
        <v>240508</v>
      </c>
      <c r="J4083">
        <f>IFERROR(VLOOKUP(G4083,'LEAID Match'!$A$2:$B$526,2,FALSE),"")</f>
        <v>2932300</v>
      </c>
      <c r="K4083" s="68">
        <f t="shared" si="127"/>
        <v>8</v>
      </c>
    </row>
    <row r="4084" spans="1:11" x14ac:dyDescent="0.2">
      <c r="A4084">
        <f t="shared" si="126"/>
        <v>2932300</v>
      </c>
      <c r="B4084">
        <v>2017</v>
      </c>
      <c r="C4084" t="s">
        <v>739</v>
      </c>
      <c r="D4084" t="s">
        <v>740</v>
      </c>
      <c r="E4084" t="s">
        <v>743</v>
      </c>
      <c r="F4084" s="34">
        <v>677</v>
      </c>
      <c r="G4084" s="34" t="s">
        <v>467</v>
      </c>
      <c r="H4084" s="36">
        <v>31131</v>
      </c>
      <c r="I4084" s="58">
        <v>229167</v>
      </c>
      <c r="J4084">
        <f>IFERROR(VLOOKUP(G4084,'LEAID Match'!$A$2:$B$526,2,FALSE),"")</f>
        <v>2932300</v>
      </c>
      <c r="K4084" s="68">
        <f t="shared" si="127"/>
        <v>8</v>
      </c>
    </row>
    <row r="4085" spans="1:11" x14ac:dyDescent="0.2">
      <c r="A4085">
        <f t="shared" si="126"/>
        <v>2932300</v>
      </c>
      <c r="B4085">
        <v>2018</v>
      </c>
      <c r="C4085" t="s">
        <v>739</v>
      </c>
      <c r="D4085" t="s">
        <v>740</v>
      </c>
      <c r="E4085" t="s">
        <v>743</v>
      </c>
      <c r="F4085" s="34">
        <v>677</v>
      </c>
      <c r="G4085" s="34" t="s">
        <v>467</v>
      </c>
      <c r="H4085" s="36">
        <v>29508</v>
      </c>
      <c r="I4085" s="58">
        <v>227653</v>
      </c>
      <c r="J4085">
        <f>IFERROR(VLOOKUP(G4085,'LEAID Match'!$A$2:$B$526,2,FALSE),"")</f>
        <v>2932300</v>
      </c>
      <c r="K4085" s="68">
        <f t="shared" si="127"/>
        <v>8</v>
      </c>
    </row>
    <row r="4086" spans="1:11" x14ac:dyDescent="0.2">
      <c r="A4086">
        <f t="shared" si="126"/>
        <v>2932300</v>
      </c>
      <c r="B4086">
        <v>2019</v>
      </c>
      <c r="C4086" t="s">
        <v>739</v>
      </c>
      <c r="D4086" t="s">
        <v>740</v>
      </c>
      <c r="E4086" t="s">
        <v>743</v>
      </c>
      <c r="F4086" s="34">
        <v>677</v>
      </c>
      <c r="G4086" s="34" t="s">
        <v>467</v>
      </c>
      <c r="H4086" s="36">
        <v>32141</v>
      </c>
      <c r="I4086" s="58">
        <v>224846</v>
      </c>
      <c r="J4086">
        <f>IFERROR(VLOOKUP(G4086,'LEAID Match'!$A$2:$B$526,2,FALSE),"")</f>
        <v>2932300</v>
      </c>
      <c r="K4086" s="68">
        <f t="shared" si="127"/>
        <v>8</v>
      </c>
    </row>
    <row r="4087" spans="1:11" x14ac:dyDescent="0.2">
      <c r="A4087">
        <f t="shared" si="126"/>
        <v>2932300</v>
      </c>
      <c r="B4087">
        <v>2020</v>
      </c>
      <c r="C4087" t="s">
        <v>739</v>
      </c>
      <c r="D4087" t="s">
        <v>740</v>
      </c>
      <c r="E4087" t="s">
        <v>743</v>
      </c>
      <c r="F4087" s="34">
        <v>677</v>
      </c>
      <c r="G4087" s="34" t="s">
        <v>467</v>
      </c>
      <c r="H4087" s="36">
        <v>36364</v>
      </c>
      <c r="I4087" s="58">
        <v>222957</v>
      </c>
      <c r="J4087">
        <f>IFERROR(VLOOKUP(G4087,'LEAID Match'!$A$2:$B$526,2,FALSE),"")</f>
        <v>2932300</v>
      </c>
      <c r="K4087" s="68">
        <f t="shared" si="127"/>
        <v>8</v>
      </c>
    </row>
    <row r="4088" spans="1:11" x14ac:dyDescent="0.2">
      <c r="A4088">
        <f t="shared" si="126"/>
        <v>2932300</v>
      </c>
      <c r="B4088">
        <v>2021</v>
      </c>
      <c r="C4088" t="s">
        <v>739</v>
      </c>
      <c r="D4088" t="s">
        <v>740</v>
      </c>
      <c r="E4088" t="s">
        <v>743</v>
      </c>
      <c r="F4088" s="34">
        <v>677</v>
      </c>
      <c r="G4088" s="34" t="s">
        <v>467</v>
      </c>
      <c r="H4088" s="36">
        <v>39871</v>
      </c>
      <c r="I4088" s="58">
        <v>221666</v>
      </c>
      <c r="J4088">
        <f>IFERROR(VLOOKUP(G4088,'LEAID Match'!$A$2:$B$526,2,FALSE),"")</f>
        <v>2932300</v>
      </c>
      <c r="K4088" s="68">
        <f t="shared" si="127"/>
        <v>8</v>
      </c>
    </row>
    <row r="4089" spans="1:11" x14ac:dyDescent="0.2">
      <c r="A4089">
        <f t="shared" si="126"/>
        <v>2932300</v>
      </c>
      <c r="B4089">
        <v>2022</v>
      </c>
      <c r="C4089" t="s">
        <v>739</v>
      </c>
      <c r="D4089" t="s">
        <v>740</v>
      </c>
      <c r="E4089" t="s">
        <v>743</v>
      </c>
      <c r="F4089" s="34">
        <v>677</v>
      </c>
      <c r="G4089" s="34" t="s">
        <v>467</v>
      </c>
      <c r="H4089" s="36">
        <v>41660</v>
      </c>
      <c r="I4089" s="58">
        <v>224043</v>
      </c>
      <c r="J4089">
        <f>IFERROR(VLOOKUP(G4089,'LEAID Match'!$A$2:$B$526,2,FALSE),"")</f>
        <v>2932300</v>
      </c>
      <c r="K4089" s="68">
        <f t="shared" si="127"/>
        <v>8</v>
      </c>
    </row>
    <row r="4090" spans="1:11" x14ac:dyDescent="0.2">
      <c r="A4090">
        <f t="shared" si="126"/>
        <v>2922950</v>
      </c>
      <c r="B4090">
        <v>2015</v>
      </c>
      <c r="C4090" t="s">
        <v>739</v>
      </c>
      <c r="D4090" t="s">
        <v>740</v>
      </c>
      <c r="E4090" t="s">
        <v>743</v>
      </c>
      <c r="F4090" s="37">
        <v>680</v>
      </c>
      <c r="G4090" s="39" t="s">
        <v>468</v>
      </c>
      <c r="H4090" s="40">
        <v>42607</v>
      </c>
      <c r="I4090" s="58">
        <v>287885</v>
      </c>
      <c r="J4090">
        <f>IFERROR(VLOOKUP(G4090,'LEAID Match'!$A$2:$B$526,2,FALSE),"")</f>
        <v>2922950</v>
      </c>
      <c r="K4090" s="68">
        <f t="shared" si="127"/>
        <v>8</v>
      </c>
    </row>
    <row r="4091" spans="1:11" x14ac:dyDescent="0.2">
      <c r="A4091">
        <f t="shared" si="126"/>
        <v>2922950</v>
      </c>
      <c r="B4091">
        <v>2016</v>
      </c>
      <c r="C4091" t="s">
        <v>739</v>
      </c>
      <c r="D4091" t="s">
        <v>740</v>
      </c>
      <c r="E4091" t="s">
        <v>743</v>
      </c>
      <c r="F4091" s="34">
        <v>680</v>
      </c>
      <c r="G4091" s="34" t="s">
        <v>468</v>
      </c>
      <c r="H4091" s="36">
        <v>40879</v>
      </c>
      <c r="I4091" s="60">
        <v>281514</v>
      </c>
      <c r="J4091">
        <f>IFERROR(VLOOKUP(G4091,'LEAID Match'!$A$2:$B$526,2,FALSE),"")</f>
        <v>2922950</v>
      </c>
      <c r="K4091" s="68">
        <f t="shared" si="127"/>
        <v>8</v>
      </c>
    </row>
    <row r="4092" spans="1:11" x14ac:dyDescent="0.2">
      <c r="A4092">
        <f t="shared" si="126"/>
        <v>2922950</v>
      </c>
      <c r="B4092">
        <v>2017</v>
      </c>
      <c r="C4092" t="s">
        <v>739</v>
      </c>
      <c r="D4092" t="s">
        <v>740</v>
      </c>
      <c r="E4092" t="s">
        <v>743</v>
      </c>
      <c r="F4092" s="34">
        <v>680</v>
      </c>
      <c r="G4092" s="34" t="s">
        <v>468</v>
      </c>
      <c r="H4092" s="36">
        <v>38498</v>
      </c>
      <c r="I4092" s="58">
        <v>272396</v>
      </c>
      <c r="J4092">
        <f>IFERROR(VLOOKUP(G4092,'LEAID Match'!$A$2:$B$526,2,FALSE),"")</f>
        <v>2922950</v>
      </c>
      <c r="K4092" s="68">
        <f t="shared" si="127"/>
        <v>8</v>
      </c>
    </row>
    <row r="4093" spans="1:11" x14ac:dyDescent="0.2">
      <c r="A4093">
        <f t="shared" si="126"/>
        <v>2922950</v>
      </c>
      <c r="B4093">
        <v>2018</v>
      </c>
      <c r="C4093" t="s">
        <v>739</v>
      </c>
      <c r="D4093" t="s">
        <v>740</v>
      </c>
      <c r="E4093" t="s">
        <v>743</v>
      </c>
      <c r="F4093" s="34">
        <v>680</v>
      </c>
      <c r="G4093" s="34" t="s">
        <v>468</v>
      </c>
      <c r="H4093" s="36">
        <v>38801</v>
      </c>
      <c r="I4093" s="58">
        <v>288258</v>
      </c>
      <c r="J4093">
        <f>IFERROR(VLOOKUP(G4093,'LEAID Match'!$A$2:$B$526,2,FALSE),"")</f>
        <v>2922950</v>
      </c>
      <c r="K4093" s="68">
        <f t="shared" si="127"/>
        <v>8</v>
      </c>
    </row>
    <row r="4094" spans="1:11" x14ac:dyDescent="0.2">
      <c r="A4094">
        <f t="shared" si="126"/>
        <v>2922950</v>
      </c>
      <c r="B4094">
        <v>2019</v>
      </c>
      <c r="C4094" t="s">
        <v>739</v>
      </c>
      <c r="D4094" t="s">
        <v>740</v>
      </c>
      <c r="E4094" t="s">
        <v>743</v>
      </c>
      <c r="F4094" s="34">
        <v>680</v>
      </c>
      <c r="G4094" s="34" t="s">
        <v>468</v>
      </c>
      <c r="H4094" s="36">
        <v>38422</v>
      </c>
      <c r="I4094" s="58">
        <v>290529</v>
      </c>
      <c r="J4094">
        <f>IFERROR(VLOOKUP(G4094,'LEAID Match'!$A$2:$B$526,2,FALSE),"")</f>
        <v>2922950</v>
      </c>
      <c r="K4094" s="68">
        <f t="shared" si="127"/>
        <v>8</v>
      </c>
    </row>
    <row r="4095" spans="1:11" x14ac:dyDescent="0.2">
      <c r="A4095">
        <f t="shared" si="126"/>
        <v>2922950</v>
      </c>
      <c r="B4095">
        <v>2020</v>
      </c>
      <c r="C4095" t="s">
        <v>739</v>
      </c>
      <c r="D4095" t="s">
        <v>740</v>
      </c>
      <c r="E4095" t="s">
        <v>743</v>
      </c>
      <c r="F4095" s="34">
        <v>680</v>
      </c>
      <c r="G4095" s="34" t="s">
        <v>468</v>
      </c>
      <c r="H4095" s="36">
        <v>38963</v>
      </c>
      <c r="I4095" s="58">
        <v>300390</v>
      </c>
      <c r="J4095">
        <f>IFERROR(VLOOKUP(G4095,'LEAID Match'!$A$2:$B$526,2,FALSE),"")</f>
        <v>2922950</v>
      </c>
      <c r="K4095" s="68">
        <f t="shared" si="127"/>
        <v>8</v>
      </c>
    </row>
    <row r="4096" spans="1:11" x14ac:dyDescent="0.2">
      <c r="A4096">
        <f t="shared" si="126"/>
        <v>2922950</v>
      </c>
      <c r="B4096">
        <v>2021</v>
      </c>
      <c r="C4096" t="s">
        <v>739</v>
      </c>
      <c r="D4096" t="s">
        <v>740</v>
      </c>
      <c r="E4096" t="s">
        <v>743</v>
      </c>
      <c r="F4096" s="34">
        <v>680</v>
      </c>
      <c r="G4096" s="34" t="s">
        <v>468</v>
      </c>
      <c r="H4096" s="36">
        <v>37420</v>
      </c>
      <c r="I4096" s="58">
        <v>297904</v>
      </c>
      <c r="J4096">
        <f>IFERROR(VLOOKUP(G4096,'LEAID Match'!$A$2:$B$526,2,FALSE),"")</f>
        <v>2922950</v>
      </c>
      <c r="K4096" s="68">
        <f t="shared" si="127"/>
        <v>8</v>
      </c>
    </row>
    <row r="4097" spans="1:11" x14ac:dyDescent="0.2">
      <c r="A4097">
        <f t="shared" si="126"/>
        <v>2922950</v>
      </c>
      <c r="B4097">
        <v>2022</v>
      </c>
      <c r="C4097" t="s">
        <v>739</v>
      </c>
      <c r="D4097" t="s">
        <v>740</v>
      </c>
      <c r="E4097" t="s">
        <v>743</v>
      </c>
      <c r="F4097" s="34">
        <v>680</v>
      </c>
      <c r="G4097" s="34" t="s">
        <v>468</v>
      </c>
      <c r="H4097" s="36">
        <v>41141</v>
      </c>
      <c r="I4097" s="58">
        <v>305166</v>
      </c>
      <c r="J4097">
        <f>IFERROR(VLOOKUP(G4097,'LEAID Match'!$A$2:$B$526,2,FALSE),"")</f>
        <v>2922950</v>
      </c>
      <c r="K4097" s="68">
        <f t="shared" si="127"/>
        <v>8</v>
      </c>
    </row>
    <row r="4098" spans="1:11" x14ac:dyDescent="0.2">
      <c r="A4098">
        <f t="shared" si="126"/>
        <v>2913770</v>
      </c>
      <c r="B4098">
        <v>2015</v>
      </c>
      <c r="C4098" t="s">
        <v>739</v>
      </c>
      <c r="D4098" t="s">
        <v>740</v>
      </c>
      <c r="E4098" t="s">
        <v>743</v>
      </c>
      <c r="F4098" s="37">
        <v>681</v>
      </c>
      <c r="G4098" s="39" t="s">
        <v>469</v>
      </c>
      <c r="H4098" s="40">
        <v>50642</v>
      </c>
      <c r="I4098" s="58">
        <v>450671</v>
      </c>
      <c r="J4098">
        <f>IFERROR(VLOOKUP(G4098,'LEAID Match'!$A$2:$B$526,2,FALSE),"")</f>
        <v>2913770</v>
      </c>
      <c r="K4098" s="68">
        <f t="shared" si="127"/>
        <v>8</v>
      </c>
    </row>
    <row r="4099" spans="1:11" x14ac:dyDescent="0.2">
      <c r="A4099">
        <f t="shared" ref="A4099:A4162" si="128">J4099</f>
        <v>2913770</v>
      </c>
      <c r="B4099">
        <v>2016</v>
      </c>
      <c r="C4099" t="s">
        <v>739</v>
      </c>
      <c r="D4099" t="s">
        <v>740</v>
      </c>
      <c r="E4099" t="s">
        <v>743</v>
      </c>
      <c r="F4099" s="34">
        <v>681</v>
      </c>
      <c r="G4099" s="34" t="s">
        <v>469</v>
      </c>
      <c r="H4099" s="36">
        <v>60475</v>
      </c>
      <c r="I4099" s="60">
        <v>467315</v>
      </c>
      <c r="J4099">
        <f>IFERROR(VLOOKUP(G4099,'LEAID Match'!$A$2:$B$526,2,FALSE),"")</f>
        <v>2913770</v>
      </c>
      <c r="K4099" s="68">
        <f t="shared" ref="K4099:K4162" si="129">COUNTIF($J$2:$J$4295,J4099)</f>
        <v>8</v>
      </c>
    </row>
    <row r="4100" spans="1:11" x14ac:dyDescent="0.2">
      <c r="A4100">
        <f t="shared" si="128"/>
        <v>2913770</v>
      </c>
      <c r="B4100">
        <v>2017</v>
      </c>
      <c r="C4100" t="s">
        <v>739</v>
      </c>
      <c r="D4100" t="s">
        <v>740</v>
      </c>
      <c r="E4100" t="s">
        <v>743</v>
      </c>
      <c r="F4100" s="34">
        <v>681</v>
      </c>
      <c r="G4100" s="34" t="s">
        <v>469</v>
      </c>
      <c r="H4100" s="36">
        <v>57152</v>
      </c>
      <c r="I4100" s="58">
        <v>474342</v>
      </c>
      <c r="J4100">
        <f>IFERROR(VLOOKUP(G4100,'LEAID Match'!$A$2:$B$526,2,FALSE),"")</f>
        <v>2913770</v>
      </c>
      <c r="K4100" s="68">
        <f t="shared" si="129"/>
        <v>8</v>
      </c>
    </row>
    <row r="4101" spans="1:11" x14ac:dyDescent="0.2">
      <c r="A4101">
        <f t="shared" si="128"/>
        <v>2913770</v>
      </c>
      <c r="B4101">
        <v>2018</v>
      </c>
      <c r="C4101" t="s">
        <v>739</v>
      </c>
      <c r="D4101" t="s">
        <v>740</v>
      </c>
      <c r="E4101" t="s">
        <v>743</v>
      </c>
      <c r="F4101" s="34">
        <v>681</v>
      </c>
      <c r="G4101" s="34" t="s">
        <v>469</v>
      </c>
      <c r="H4101" s="36">
        <v>61116</v>
      </c>
      <c r="I4101" s="58">
        <v>488373</v>
      </c>
      <c r="J4101">
        <f>IFERROR(VLOOKUP(G4101,'LEAID Match'!$A$2:$B$526,2,FALSE),"")</f>
        <v>2913770</v>
      </c>
      <c r="K4101" s="68">
        <f t="shared" si="129"/>
        <v>8</v>
      </c>
    </row>
    <row r="4102" spans="1:11" x14ac:dyDescent="0.2">
      <c r="A4102">
        <f t="shared" si="128"/>
        <v>2913770</v>
      </c>
      <c r="B4102">
        <v>2019</v>
      </c>
      <c r="C4102" t="s">
        <v>739</v>
      </c>
      <c r="D4102" t="s">
        <v>740</v>
      </c>
      <c r="E4102" t="s">
        <v>743</v>
      </c>
      <c r="F4102" s="34">
        <v>681</v>
      </c>
      <c r="G4102" s="34" t="s">
        <v>469</v>
      </c>
      <c r="H4102" s="36">
        <v>63017</v>
      </c>
      <c r="I4102" s="58">
        <v>498946</v>
      </c>
      <c r="J4102">
        <f>IFERROR(VLOOKUP(G4102,'LEAID Match'!$A$2:$B$526,2,FALSE),"")</f>
        <v>2913770</v>
      </c>
      <c r="K4102" s="68">
        <f t="shared" si="129"/>
        <v>8</v>
      </c>
    </row>
    <row r="4103" spans="1:11" x14ac:dyDescent="0.2">
      <c r="A4103">
        <f t="shared" si="128"/>
        <v>2913770</v>
      </c>
      <c r="B4103">
        <v>2020</v>
      </c>
      <c r="C4103" t="s">
        <v>739</v>
      </c>
      <c r="D4103" t="s">
        <v>740</v>
      </c>
      <c r="E4103" t="s">
        <v>743</v>
      </c>
      <c r="F4103" s="34">
        <v>681</v>
      </c>
      <c r="G4103" s="34" t="s">
        <v>469</v>
      </c>
      <c r="H4103" s="36">
        <v>65553</v>
      </c>
      <c r="I4103" s="58">
        <v>503423</v>
      </c>
      <c r="J4103">
        <f>IFERROR(VLOOKUP(G4103,'LEAID Match'!$A$2:$B$526,2,FALSE),"")</f>
        <v>2913770</v>
      </c>
      <c r="K4103" s="68">
        <f t="shared" si="129"/>
        <v>8</v>
      </c>
    </row>
    <row r="4104" spans="1:11" x14ac:dyDescent="0.2">
      <c r="A4104">
        <f t="shared" si="128"/>
        <v>2913770</v>
      </c>
      <c r="B4104">
        <v>2021</v>
      </c>
      <c r="C4104" t="s">
        <v>739</v>
      </c>
      <c r="D4104" t="s">
        <v>740</v>
      </c>
      <c r="E4104" t="s">
        <v>743</v>
      </c>
      <c r="F4104" s="34">
        <v>681</v>
      </c>
      <c r="G4104" s="34" t="s">
        <v>469</v>
      </c>
      <c r="H4104" s="36">
        <v>63007</v>
      </c>
      <c r="I4104" s="58">
        <v>525613</v>
      </c>
      <c r="J4104">
        <f>IFERROR(VLOOKUP(G4104,'LEAID Match'!$A$2:$B$526,2,FALSE),"")</f>
        <v>2913770</v>
      </c>
      <c r="K4104" s="68">
        <f t="shared" si="129"/>
        <v>8</v>
      </c>
    </row>
    <row r="4105" spans="1:11" x14ac:dyDescent="0.2">
      <c r="A4105">
        <f t="shared" si="128"/>
        <v>2913770</v>
      </c>
      <c r="B4105">
        <v>2022</v>
      </c>
      <c r="C4105" t="s">
        <v>739</v>
      </c>
      <c r="D4105" t="s">
        <v>740</v>
      </c>
      <c r="E4105" t="s">
        <v>743</v>
      </c>
      <c r="F4105" s="34">
        <v>681</v>
      </c>
      <c r="G4105" s="34" t="s">
        <v>469</v>
      </c>
      <c r="H4105" s="36">
        <v>80599</v>
      </c>
      <c r="I4105" s="58">
        <v>542088</v>
      </c>
      <c r="J4105">
        <f>IFERROR(VLOOKUP(G4105,'LEAID Match'!$A$2:$B$526,2,FALSE),"")</f>
        <v>2913770</v>
      </c>
      <c r="K4105" s="68">
        <f t="shared" si="129"/>
        <v>8</v>
      </c>
    </row>
    <row r="4106" spans="1:11" x14ac:dyDescent="0.2">
      <c r="A4106">
        <f t="shared" si="128"/>
        <v>2921510</v>
      </c>
      <c r="B4106">
        <v>2015</v>
      </c>
      <c r="C4106" t="s">
        <v>739</v>
      </c>
      <c r="D4106" t="s">
        <v>740</v>
      </c>
      <c r="E4106" t="s">
        <v>743</v>
      </c>
      <c r="F4106" s="37">
        <v>682</v>
      </c>
      <c r="G4106" s="39" t="s">
        <v>470</v>
      </c>
      <c r="H4106" s="40">
        <v>118063</v>
      </c>
      <c r="I4106" s="58">
        <v>871362</v>
      </c>
      <c r="J4106">
        <f>IFERROR(VLOOKUP(G4106,'LEAID Match'!$A$2:$B$526,2,FALSE),"")</f>
        <v>2921510</v>
      </c>
      <c r="K4106" s="68">
        <f t="shared" si="129"/>
        <v>8</v>
      </c>
    </row>
    <row r="4107" spans="1:11" x14ac:dyDescent="0.2">
      <c r="A4107">
        <f t="shared" si="128"/>
        <v>2921510</v>
      </c>
      <c r="B4107">
        <v>2016</v>
      </c>
      <c r="C4107" t="s">
        <v>739</v>
      </c>
      <c r="D4107" t="s">
        <v>740</v>
      </c>
      <c r="E4107" t="s">
        <v>743</v>
      </c>
      <c r="F4107" s="34">
        <v>682</v>
      </c>
      <c r="G4107" s="34" t="s">
        <v>470</v>
      </c>
      <c r="H4107" s="36">
        <v>119752</v>
      </c>
      <c r="I4107" s="60">
        <v>892535</v>
      </c>
      <c r="J4107">
        <f>IFERROR(VLOOKUP(G4107,'LEAID Match'!$A$2:$B$526,2,FALSE),"")</f>
        <v>2921510</v>
      </c>
      <c r="K4107" s="68">
        <f t="shared" si="129"/>
        <v>8</v>
      </c>
    </row>
    <row r="4108" spans="1:11" x14ac:dyDescent="0.2">
      <c r="A4108">
        <f t="shared" si="128"/>
        <v>2921510</v>
      </c>
      <c r="B4108">
        <v>2017</v>
      </c>
      <c r="C4108" t="s">
        <v>739</v>
      </c>
      <c r="D4108" t="s">
        <v>740</v>
      </c>
      <c r="E4108" t="s">
        <v>743</v>
      </c>
      <c r="F4108" s="34">
        <v>682</v>
      </c>
      <c r="G4108" s="34" t="s">
        <v>470</v>
      </c>
      <c r="H4108" s="36">
        <v>124991</v>
      </c>
      <c r="I4108" s="58">
        <v>884736</v>
      </c>
      <c r="J4108">
        <f>IFERROR(VLOOKUP(G4108,'LEAID Match'!$A$2:$B$526,2,FALSE),"")</f>
        <v>2921510</v>
      </c>
      <c r="K4108" s="68">
        <f t="shared" si="129"/>
        <v>8</v>
      </c>
    </row>
    <row r="4109" spans="1:11" x14ac:dyDescent="0.2">
      <c r="A4109">
        <f t="shared" si="128"/>
        <v>2921510</v>
      </c>
      <c r="B4109">
        <v>2018</v>
      </c>
      <c r="C4109" t="s">
        <v>739</v>
      </c>
      <c r="D4109" t="s">
        <v>740</v>
      </c>
      <c r="E4109" t="s">
        <v>743</v>
      </c>
      <c r="F4109" s="34">
        <v>682</v>
      </c>
      <c r="G4109" s="34" t="s">
        <v>470</v>
      </c>
      <c r="H4109" s="36">
        <v>126022</v>
      </c>
      <c r="I4109" s="58">
        <v>901328</v>
      </c>
      <c r="J4109">
        <f>IFERROR(VLOOKUP(G4109,'LEAID Match'!$A$2:$B$526,2,FALSE),"")</f>
        <v>2921510</v>
      </c>
      <c r="K4109" s="68">
        <f t="shared" si="129"/>
        <v>8</v>
      </c>
    </row>
    <row r="4110" spans="1:11" x14ac:dyDescent="0.2">
      <c r="A4110">
        <f t="shared" si="128"/>
        <v>2921510</v>
      </c>
      <c r="B4110">
        <v>2019</v>
      </c>
      <c r="C4110" t="s">
        <v>739</v>
      </c>
      <c r="D4110" t="s">
        <v>740</v>
      </c>
      <c r="E4110" t="s">
        <v>743</v>
      </c>
      <c r="F4110" s="34">
        <v>682</v>
      </c>
      <c r="G4110" s="34" t="s">
        <v>470</v>
      </c>
      <c r="H4110" s="36">
        <v>132491</v>
      </c>
      <c r="I4110" s="58">
        <v>950662</v>
      </c>
      <c r="J4110">
        <f>IFERROR(VLOOKUP(G4110,'LEAID Match'!$A$2:$B$526,2,FALSE),"")</f>
        <v>2921510</v>
      </c>
      <c r="K4110" s="68">
        <f t="shared" si="129"/>
        <v>8</v>
      </c>
    </row>
    <row r="4111" spans="1:11" x14ac:dyDescent="0.2">
      <c r="A4111">
        <f t="shared" si="128"/>
        <v>2921510</v>
      </c>
      <c r="B4111">
        <v>2020</v>
      </c>
      <c r="C4111" t="s">
        <v>739</v>
      </c>
      <c r="D4111" t="s">
        <v>740</v>
      </c>
      <c r="E4111" t="s">
        <v>743</v>
      </c>
      <c r="F4111" s="34">
        <v>682</v>
      </c>
      <c r="G4111" s="34" t="s">
        <v>470</v>
      </c>
      <c r="H4111" s="36">
        <v>144832</v>
      </c>
      <c r="I4111" s="58">
        <v>940537</v>
      </c>
      <c r="J4111">
        <f>IFERROR(VLOOKUP(G4111,'LEAID Match'!$A$2:$B$526,2,FALSE),"")</f>
        <v>2921510</v>
      </c>
      <c r="K4111" s="68">
        <f t="shared" si="129"/>
        <v>8</v>
      </c>
    </row>
    <row r="4112" spans="1:11" x14ac:dyDescent="0.2">
      <c r="A4112">
        <f t="shared" si="128"/>
        <v>2921510</v>
      </c>
      <c r="B4112">
        <v>2021</v>
      </c>
      <c r="C4112" t="s">
        <v>739</v>
      </c>
      <c r="D4112" t="s">
        <v>740</v>
      </c>
      <c r="E4112" t="s">
        <v>743</v>
      </c>
      <c r="F4112" s="34">
        <v>682</v>
      </c>
      <c r="G4112" s="34" t="s">
        <v>470</v>
      </c>
      <c r="H4112" s="36">
        <v>161873</v>
      </c>
      <c r="I4112" s="58">
        <v>990082</v>
      </c>
      <c r="J4112">
        <f>IFERROR(VLOOKUP(G4112,'LEAID Match'!$A$2:$B$526,2,FALSE),"")</f>
        <v>2921510</v>
      </c>
      <c r="K4112" s="68">
        <f t="shared" si="129"/>
        <v>8</v>
      </c>
    </row>
    <row r="4113" spans="1:11" x14ac:dyDescent="0.2">
      <c r="A4113">
        <f t="shared" si="128"/>
        <v>2921510</v>
      </c>
      <c r="B4113">
        <v>2022</v>
      </c>
      <c r="C4113" t="s">
        <v>739</v>
      </c>
      <c r="D4113" t="s">
        <v>740</v>
      </c>
      <c r="E4113" t="s">
        <v>743</v>
      </c>
      <c r="F4113" s="34">
        <v>682</v>
      </c>
      <c r="G4113" s="34" t="s">
        <v>470</v>
      </c>
      <c r="H4113" s="36">
        <v>173759</v>
      </c>
      <c r="I4113" s="58">
        <v>1003338</v>
      </c>
      <c r="J4113">
        <f>IFERROR(VLOOKUP(G4113,'LEAID Match'!$A$2:$B$526,2,FALSE),"")</f>
        <v>2921510</v>
      </c>
      <c r="K4113" s="68">
        <f t="shared" si="129"/>
        <v>8</v>
      </c>
    </row>
    <row r="4114" spans="1:11" x14ac:dyDescent="0.2">
      <c r="A4114">
        <f t="shared" si="128"/>
        <v>2919980</v>
      </c>
      <c r="B4114">
        <v>2015</v>
      </c>
      <c r="C4114" t="s">
        <v>739</v>
      </c>
      <c r="D4114" t="s">
        <v>740</v>
      </c>
      <c r="E4114" t="s">
        <v>743</v>
      </c>
      <c r="F4114" s="37">
        <v>683</v>
      </c>
      <c r="G4114" s="39" t="s">
        <v>471</v>
      </c>
      <c r="H4114" s="40">
        <v>47489</v>
      </c>
      <c r="I4114" s="58">
        <v>438896</v>
      </c>
      <c r="J4114">
        <f>IFERROR(VLOOKUP(G4114,'LEAID Match'!$A$2:$B$526,2,FALSE),"")</f>
        <v>2919980</v>
      </c>
      <c r="K4114" s="68">
        <f t="shared" si="129"/>
        <v>8</v>
      </c>
    </row>
    <row r="4115" spans="1:11" x14ac:dyDescent="0.2">
      <c r="A4115">
        <f t="shared" si="128"/>
        <v>2919980</v>
      </c>
      <c r="B4115">
        <v>2016</v>
      </c>
      <c r="C4115" t="s">
        <v>739</v>
      </c>
      <c r="D4115" t="s">
        <v>740</v>
      </c>
      <c r="E4115" t="s">
        <v>743</v>
      </c>
      <c r="F4115" s="34">
        <v>683</v>
      </c>
      <c r="G4115" s="34" t="s">
        <v>471</v>
      </c>
      <c r="H4115" s="36">
        <v>49784</v>
      </c>
      <c r="I4115" s="60">
        <v>442723</v>
      </c>
      <c r="J4115">
        <f>IFERROR(VLOOKUP(G4115,'LEAID Match'!$A$2:$B$526,2,FALSE),"")</f>
        <v>2919980</v>
      </c>
      <c r="K4115" s="68">
        <f t="shared" si="129"/>
        <v>8</v>
      </c>
    </row>
    <row r="4116" spans="1:11" x14ac:dyDescent="0.2">
      <c r="A4116">
        <f t="shared" si="128"/>
        <v>2919980</v>
      </c>
      <c r="B4116">
        <v>2017</v>
      </c>
      <c r="C4116" t="s">
        <v>739</v>
      </c>
      <c r="D4116" t="s">
        <v>740</v>
      </c>
      <c r="E4116" t="s">
        <v>743</v>
      </c>
      <c r="F4116" s="34">
        <v>683</v>
      </c>
      <c r="G4116" s="34" t="s">
        <v>471</v>
      </c>
      <c r="H4116" s="36">
        <v>53207</v>
      </c>
      <c r="I4116" s="58">
        <v>447614</v>
      </c>
      <c r="J4116">
        <f>IFERROR(VLOOKUP(G4116,'LEAID Match'!$A$2:$B$526,2,FALSE),"")</f>
        <v>2919980</v>
      </c>
      <c r="K4116" s="68">
        <f t="shared" si="129"/>
        <v>8</v>
      </c>
    </row>
    <row r="4117" spans="1:11" x14ac:dyDescent="0.2">
      <c r="A4117">
        <f t="shared" si="128"/>
        <v>2919980</v>
      </c>
      <c r="B4117">
        <v>2018</v>
      </c>
      <c r="C4117" t="s">
        <v>739</v>
      </c>
      <c r="D4117" t="s">
        <v>740</v>
      </c>
      <c r="E4117" t="s">
        <v>743</v>
      </c>
      <c r="F4117" s="34">
        <v>683</v>
      </c>
      <c r="G4117" s="34" t="s">
        <v>471</v>
      </c>
      <c r="H4117" s="36">
        <v>58603</v>
      </c>
      <c r="I4117" s="58">
        <v>480771</v>
      </c>
      <c r="J4117">
        <f>IFERROR(VLOOKUP(G4117,'LEAID Match'!$A$2:$B$526,2,FALSE),"")</f>
        <v>2919980</v>
      </c>
      <c r="K4117" s="68">
        <f t="shared" si="129"/>
        <v>8</v>
      </c>
    </row>
    <row r="4118" spans="1:11" x14ac:dyDescent="0.2">
      <c r="A4118">
        <f t="shared" si="128"/>
        <v>2919980</v>
      </c>
      <c r="B4118">
        <v>2019</v>
      </c>
      <c r="C4118" t="s">
        <v>739</v>
      </c>
      <c r="D4118" t="s">
        <v>740</v>
      </c>
      <c r="E4118" t="s">
        <v>743</v>
      </c>
      <c r="F4118" s="34">
        <v>683</v>
      </c>
      <c r="G4118" s="34" t="s">
        <v>471</v>
      </c>
      <c r="H4118" s="36">
        <v>59984</v>
      </c>
      <c r="I4118" s="58">
        <v>493439</v>
      </c>
      <c r="J4118">
        <f>IFERROR(VLOOKUP(G4118,'LEAID Match'!$A$2:$B$526,2,FALSE),"")</f>
        <v>2919980</v>
      </c>
      <c r="K4118" s="68">
        <f t="shared" si="129"/>
        <v>8</v>
      </c>
    </row>
    <row r="4119" spans="1:11" x14ac:dyDescent="0.2">
      <c r="A4119">
        <f t="shared" si="128"/>
        <v>2919980</v>
      </c>
      <c r="B4119">
        <v>2020</v>
      </c>
      <c r="C4119" t="s">
        <v>739</v>
      </c>
      <c r="D4119" t="s">
        <v>740</v>
      </c>
      <c r="E4119" t="s">
        <v>743</v>
      </c>
      <c r="F4119" s="34">
        <v>683</v>
      </c>
      <c r="G4119" s="34" t="s">
        <v>471</v>
      </c>
      <c r="H4119" s="36">
        <v>59318</v>
      </c>
      <c r="I4119" s="58">
        <v>479409</v>
      </c>
      <c r="J4119">
        <f>IFERROR(VLOOKUP(G4119,'LEAID Match'!$A$2:$B$526,2,FALSE),"")</f>
        <v>2919980</v>
      </c>
      <c r="K4119" s="68">
        <f t="shared" si="129"/>
        <v>8</v>
      </c>
    </row>
    <row r="4120" spans="1:11" x14ac:dyDescent="0.2">
      <c r="A4120">
        <f t="shared" si="128"/>
        <v>2919980</v>
      </c>
      <c r="B4120">
        <v>2021</v>
      </c>
      <c r="C4120" t="s">
        <v>739</v>
      </c>
      <c r="D4120" t="s">
        <v>740</v>
      </c>
      <c r="E4120" t="s">
        <v>743</v>
      </c>
      <c r="F4120" s="34">
        <v>683</v>
      </c>
      <c r="G4120" s="34" t="s">
        <v>471</v>
      </c>
      <c r="H4120" s="36">
        <v>63432</v>
      </c>
      <c r="I4120" s="58">
        <v>487610</v>
      </c>
      <c r="J4120">
        <f>IFERROR(VLOOKUP(G4120,'LEAID Match'!$A$2:$B$526,2,FALSE),"")</f>
        <v>2919980</v>
      </c>
      <c r="K4120" s="68">
        <f t="shared" si="129"/>
        <v>8</v>
      </c>
    </row>
    <row r="4121" spans="1:11" x14ac:dyDescent="0.2">
      <c r="A4121">
        <f t="shared" si="128"/>
        <v>2919980</v>
      </c>
      <c r="B4121">
        <v>2022</v>
      </c>
      <c r="C4121" t="s">
        <v>739</v>
      </c>
      <c r="D4121" t="s">
        <v>740</v>
      </c>
      <c r="E4121" t="s">
        <v>743</v>
      </c>
      <c r="F4121" s="34">
        <v>683</v>
      </c>
      <c r="G4121" s="34" t="s">
        <v>471</v>
      </c>
      <c r="H4121" s="36">
        <v>74996</v>
      </c>
      <c r="I4121" s="58">
        <v>525636</v>
      </c>
      <c r="J4121">
        <f>IFERROR(VLOOKUP(G4121,'LEAID Match'!$A$2:$B$526,2,FALSE),"")</f>
        <v>2919980</v>
      </c>
      <c r="K4121" s="68">
        <f t="shared" si="129"/>
        <v>8</v>
      </c>
    </row>
    <row r="4122" spans="1:11" x14ac:dyDescent="0.2">
      <c r="A4122">
        <f t="shared" si="128"/>
        <v>2919950</v>
      </c>
      <c r="B4122">
        <v>2015</v>
      </c>
      <c r="C4122" t="s">
        <v>739</v>
      </c>
      <c r="D4122" t="s">
        <v>740</v>
      </c>
      <c r="E4122" t="s">
        <v>743</v>
      </c>
      <c r="F4122" s="37">
        <v>684</v>
      </c>
      <c r="G4122" s="39" t="s">
        <v>472</v>
      </c>
      <c r="H4122" s="40">
        <v>6312</v>
      </c>
      <c r="I4122" s="58">
        <v>44494</v>
      </c>
      <c r="J4122">
        <f>IFERROR(VLOOKUP(G4122,'LEAID Match'!$A$2:$B$526,2,FALSE),"")</f>
        <v>2919950</v>
      </c>
      <c r="K4122" s="68">
        <f t="shared" si="129"/>
        <v>8</v>
      </c>
    </row>
    <row r="4123" spans="1:11" x14ac:dyDescent="0.2">
      <c r="A4123">
        <f t="shared" si="128"/>
        <v>2919950</v>
      </c>
      <c r="B4123">
        <v>2016</v>
      </c>
      <c r="C4123" t="s">
        <v>739</v>
      </c>
      <c r="D4123" t="s">
        <v>740</v>
      </c>
      <c r="E4123" t="s">
        <v>743</v>
      </c>
      <c r="F4123" s="34">
        <v>684</v>
      </c>
      <c r="G4123" s="34" t="s">
        <v>472</v>
      </c>
      <c r="H4123" s="36">
        <v>5017</v>
      </c>
      <c r="I4123" s="60">
        <v>54503</v>
      </c>
      <c r="J4123">
        <f>IFERROR(VLOOKUP(G4123,'LEAID Match'!$A$2:$B$526,2,FALSE),"")</f>
        <v>2919950</v>
      </c>
      <c r="K4123" s="68">
        <f t="shared" si="129"/>
        <v>8</v>
      </c>
    </row>
    <row r="4124" spans="1:11" x14ac:dyDescent="0.2">
      <c r="A4124">
        <f t="shared" si="128"/>
        <v>2919950</v>
      </c>
      <c r="B4124">
        <v>2017</v>
      </c>
      <c r="C4124" t="s">
        <v>739</v>
      </c>
      <c r="D4124" t="s">
        <v>740</v>
      </c>
      <c r="E4124" t="s">
        <v>743</v>
      </c>
      <c r="F4124" s="34">
        <v>684</v>
      </c>
      <c r="G4124" s="34" t="s">
        <v>472</v>
      </c>
      <c r="H4124" s="36">
        <v>6537</v>
      </c>
      <c r="I4124" s="58">
        <v>50572</v>
      </c>
      <c r="J4124">
        <f>IFERROR(VLOOKUP(G4124,'LEAID Match'!$A$2:$B$526,2,FALSE),"")</f>
        <v>2919950</v>
      </c>
      <c r="K4124" s="68">
        <f t="shared" si="129"/>
        <v>8</v>
      </c>
    </row>
    <row r="4125" spans="1:11" x14ac:dyDescent="0.2">
      <c r="A4125">
        <f t="shared" si="128"/>
        <v>2919950</v>
      </c>
      <c r="B4125">
        <v>2018</v>
      </c>
      <c r="C4125" t="s">
        <v>739</v>
      </c>
      <c r="D4125" t="s">
        <v>740</v>
      </c>
      <c r="E4125" t="s">
        <v>743</v>
      </c>
      <c r="F4125" s="34">
        <v>684</v>
      </c>
      <c r="G4125" s="34" t="s">
        <v>472</v>
      </c>
      <c r="H4125" s="36">
        <v>7562</v>
      </c>
      <c r="I4125" s="58">
        <v>55820</v>
      </c>
      <c r="J4125">
        <f>IFERROR(VLOOKUP(G4125,'LEAID Match'!$A$2:$B$526,2,FALSE),"")</f>
        <v>2919950</v>
      </c>
      <c r="K4125" s="68">
        <f t="shared" si="129"/>
        <v>8</v>
      </c>
    </row>
    <row r="4126" spans="1:11" x14ac:dyDescent="0.2">
      <c r="A4126">
        <f t="shared" si="128"/>
        <v>2919950</v>
      </c>
      <c r="B4126">
        <v>2019</v>
      </c>
      <c r="C4126" t="s">
        <v>739</v>
      </c>
      <c r="D4126" t="s">
        <v>740</v>
      </c>
      <c r="E4126" t="s">
        <v>743</v>
      </c>
      <c r="F4126" s="34">
        <v>684</v>
      </c>
      <c r="G4126" s="34" t="s">
        <v>472</v>
      </c>
      <c r="H4126" s="36">
        <v>7360</v>
      </c>
      <c r="I4126" s="58">
        <v>57795</v>
      </c>
      <c r="J4126">
        <f>IFERROR(VLOOKUP(G4126,'LEAID Match'!$A$2:$B$526,2,FALSE),"")</f>
        <v>2919950</v>
      </c>
      <c r="K4126" s="68">
        <f t="shared" si="129"/>
        <v>8</v>
      </c>
    </row>
    <row r="4127" spans="1:11" x14ac:dyDescent="0.2">
      <c r="A4127">
        <f t="shared" si="128"/>
        <v>2919950</v>
      </c>
      <c r="B4127">
        <v>2020</v>
      </c>
      <c r="C4127" t="s">
        <v>739</v>
      </c>
      <c r="D4127" t="s">
        <v>740</v>
      </c>
      <c r="E4127" t="s">
        <v>743</v>
      </c>
      <c r="F4127" s="34">
        <v>684</v>
      </c>
      <c r="G4127" s="34" t="s">
        <v>472</v>
      </c>
      <c r="H4127" s="36">
        <v>8002</v>
      </c>
      <c r="I4127" s="58">
        <v>53871</v>
      </c>
      <c r="J4127">
        <f>IFERROR(VLOOKUP(G4127,'LEAID Match'!$A$2:$B$526,2,FALSE),"")</f>
        <v>2919950</v>
      </c>
      <c r="K4127" s="68">
        <f t="shared" si="129"/>
        <v>8</v>
      </c>
    </row>
    <row r="4128" spans="1:11" x14ac:dyDescent="0.2">
      <c r="A4128">
        <f t="shared" si="128"/>
        <v>2919950</v>
      </c>
      <c r="B4128">
        <v>2021</v>
      </c>
      <c r="C4128" t="s">
        <v>739</v>
      </c>
      <c r="D4128" t="s">
        <v>740</v>
      </c>
      <c r="E4128" t="s">
        <v>743</v>
      </c>
      <c r="F4128" s="34">
        <v>684</v>
      </c>
      <c r="G4128" s="34" t="s">
        <v>472</v>
      </c>
      <c r="H4128" s="36">
        <v>12834</v>
      </c>
      <c r="I4128" s="58">
        <v>53341</v>
      </c>
      <c r="J4128">
        <f>IFERROR(VLOOKUP(G4128,'LEAID Match'!$A$2:$B$526,2,FALSE),"")</f>
        <v>2919950</v>
      </c>
      <c r="K4128" s="68">
        <f t="shared" si="129"/>
        <v>8</v>
      </c>
    </row>
    <row r="4129" spans="1:11" x14ac:dyDescent="0.2">
      <c r="A4129">
        <f t="shared" si="128"/>
        <v>2919950</v>
      </c>
      <c r="B4129">
        <v>2022</v>
      </c>
      <c r="C4129" t="s">
        <v>739</v>
      </c>
      <c r="D4129" t="s">
        <v>740</v>
      </c>
      <c r="E4129" t="s">
        <v>743</v>
      </c>
      <c r="F4129" s="34">
        <v>684</v>
      </c>
      <c r="G4129" s="34" t="s">
        <v>472</v>
      </c>
      <c r="H4129" s="36">
        <v>13915</v>
      </c>
      <c r="I4129" s="58">
        <v>58905</v>
      </c>
      <c r="J4129">
        <f>IFERROR(VLOOKUP(G4129,'LEAID Match'!$A$2:$B$526,2,FALSE),"")</f>
        <v>2919950</v>
      </c>
      <c r="K4129" s="68">
        <f t="shared" si="129"/>
        <v>8</v>
      </c>
    </row>
    <row r="4130" spans="1:11" x14ac:dyDescent="0.2">
      <c r="A4130">
        <f t="shared" si="128"/>
        <v>2900003</v>
      </c>
      <c r="B4130">
        <v>2015</v>
      </c>
      <c r="C4130" t="s">
        <v>739</v>
      </c>
      <c r="D4130" t="s">
        <v>740</v>
      </c>
      <c r="E4130" t="s">
        <v>743</v>
      </c>
      <c r="F4130" s="37">
        <v>699</v>
      </c>
      <c r="G4130" s="39" t="s">
        <v>473</v>
      </c>
      <c r="H4130" s="40">
        <v>34194</v>
      </c>
      <c r="I4130" s="58">
        <v>490528</v>
      </c>
      <c r="J4130">
        <f>IFERROR(VLOOKUP(G4130,'LEAID Match'!$A$2:$B$526,2,FALSE),"")</f>
        <v>2900003</v>
      </c>
      <c r="K4130" s="68">
        <f t="shared" si="129"/>
        <v>8</v>
      </c>
    </row>
    <row r="4131" spans="1:11" x14ac:dyDescent="0.2">
      <c r="A4131">
        <f t="shared" si="128"/>
        <v>2900003</v>
      </c>
      <c r="B4131">
        <v>2016</v>
      </c>
      <c r="C4131" t="s">
        <v>739</v>
      </c>
      <c r="D4131" t="s">
        <v>740</v>
      </c>
      <c r="E4131" t="s">
        <v>743</v>
      </c>
      <c r="F4131" s="34">
        <v>699</v>
      </c>
      <c r="G4131" s="34" t="s">
        <v>473</v>
      </c>
      <c r="H4131" s="36">
        <v>35362</v>
      </c>
      <c r="I4131" s="60">
        <v>497850</v>
      </c>
      <c r="J4131">
        <f>IFERROR(VLOOKUP(G4131,'LEAID Match'!$A$2:$B$526,2,FALSE),"")</f>
        <v>2900003</v>
      </c>
      <c r="K4131" s="68">
        <f t="shared" si="129"/>
        <v>8</v>
      </c>
    </row>
    <row r="4132" spans="1:11" x14ac:dyDescent="0.2">
      <c r="A4132">
        <f t="shared" si="128"/>
        <v>2900003</v>
      </c>
      <c r="B4132">
        <v>2017</v>
      </c>
      <c r="C4132" t="s">
        <v>739</v>
      </c>
      <c r="D4132" t="s">
        <v>740</v>
      </c>
      <c r="E4132" t="s">
        <v>743</v>
      </c>
      <c r="F4132" s="34">
        <v>699</v>
      </c>
      <c r="G4132" s="34" t="s">
        <v>473</v>
      </c>
      <c r="H4132" s="36">
        <v>30912</v>
      </c>
      <c r="I4132" s="58">
        <v>506557</v>
      </c>
      <c r="J4132">
        <f>IFERROR(VLOOKUP(G4132,'LEAID Match'!$A$2:$B$526,2,FALSE),"")</f>
        <v>2900003</v>
      </c>
      <c r="K4132" s="68">
        <f t="shared" si="129"/>
        <v>8</v>
      </c>
    </row>
    <row r="4133" spans="1:11" x14ac:dyDescent="0.2">
      <c r="A4133">
        <f t="shared" si="128"/>
        <v>2900003</v>
      </c>
      <c r="B4133">
        <v>2018</v>
      </c>
      <c r="C4133" t="s">
        <v>739</v>
      </c>
      <c r="D4133" t="s">
        <v>740</v>
      </c>
      <c r="E4133" t="s">
        <v>743</v>
      </c>
      <c r="F4133" s="34">
        <v>699</v>
      </c>
      <c r="G4133" s="34" t="s">
        <v>473</v>
      </c>
      <c r="H4133" s="36">
        <v>34076</v>
      </c>
      <c r="I4133" s="58">
        <v>514363</v>
      </c>
      <c r="J4133">
        <f>IFERROR(VLOOKUP(G4133,'LEAID Match'!$A$2:$B$526,2,FALSE),"")</f>
        <v>2900003</v>
      </c>
      <c r="K4133" s="68">
        <f t="shared" si="129"/>
        <v>8</v>
      </c>
    </row>
    <row r="4134" spans="1:11" x14ac:dyDescent="0.2">
      <c r="A4134">
        <f t="shared" si="128"/>
        <v>2900003</v>
      </c>
      <c r="B4134">
        <v>2019</v>
      </c>
      <c r="C4134" t="s">
        <v>739</v>
      </c>
      <c r="D4134" t="s">
        <v>740</v>
      </c>
      <c r="E4134" t="s">
        <v>743</v>
      </c>
      <c r="F4134" s="34">
        <v>699</v>
      </c>
      <c r="G4134" s="34" t="s">
        <v>473</v>
      </c>
      <c r="H4134" s="36">
        <v>39311</v>
      </c>
      <c r="I4134" s="58">
        <v>533366</v>
      </c>
      <c r="J4134">
        <f>IFERROR(VLOOKUP(G4134,'LEAID Match'!$A$2:$B$526,2,FALSE),"")</f>
        <v>2900003</v>
      </c>
      <c r="K4134" s="68">
        <f t="shared" si="129"/>
        <v>8</v>
      </c>
    </row>
    <row r="4135" spans="1:11" x14ac:dyDescent="0.2">
      <c r="A4135">
        <f t="shared" si="128"/>
        <v>2900003</v>
      </c>
      <c r="B4135">
        <v>2020</v>
      </c>
      <c r="C4135" t="s">
        <v>739</v>
      </c>
      <c r="D4135" t="s">
        <v>740</v>
      </c>
      <c r="E4135" t="s">
        <v>743</v>
      </c>
      <c r="F4135" s="34">
        <v>699</v>
      </c>
      <c r="G4135" s="34" t="s">
        <v>473</v>
      </c>
      <c r="H4135" s="36">
        <v>41362</v>
      </c>
      <c r="I4135" s="58">
        <v>518888</v>
      </c>
      <c r="J4135">
        <f>IFERROR(VLOOKUP(G4135,'LEAID Match'!$A$2:$B$526,2,FALSE),"")</f>
        <v>2900003</v>
      </c>
      <c r="K4135" s="68">
        <f t="shared" si="129"/>
        <v>8</v>
      </c>
    </row>
    <row r="4136" spans="1:11" x14ac:dyDescent="0.2">
      <c r="A4136">
        <f t="shared" si="128"/>
        <v>2900003</v>
      </c>
      <c r="B4136">
        <v>2021</v>
      </c>
      <c r="C4136" t="s">
        <v>739</v>
      </c>
      <c r="D4136" t="s">
        <v>740</v>
      </c>
      <c r="E4136" t="s">
        <v>743</v>
      </c>
      <c r="F4136" s="34">
        <v>699</v>
      </c>
      <c r="G4136" s="34" t="s">
        <v>473</v>
      </c>
      <c r="H4136" s="36">
        <v>47635</v>
      </c>
      <c r="I4136" s="58">
        <v>543433</v>
      </c>
      <c r="J4136">
        <f>IFERROR(VLOOKUP(G4136,'LEAID Match'!$A$2:$B$526,2,FALSE),"")</f>
        <v>2900003</v>
      </c>
      <c r="K4136" s="68">
        <f t="shared" si="129"/>
        <v>8</v>
      </c>
    </row>
    <row r="4137" spans="1:11" x14ac:dyDescent="0.2">
      <c r="A4137">
        <f t="shared" si="128"/>
        <v>2900003</v>
      </c>
      <c r="B4137">
        <v>2022</v>
      </c>
      <c r="C4137" t="s">
        <v>739</v>
      </c>
      <c r="D4137" t="s">
        <v>740</v>
      </c>
      <c r="E4137" t="s">
        <v>743</v>
      </c>
      <c r="F4137" s="34">
        <v>699</v>
      </c>
      <c r="G4137" s="34" t="s">
        <v>473</v>
      </c>
      <c r="H4137" s="36">
        <v>52113</v>
      </c>
      <c r="I4137" s="58">
        <v>562164</v>
      </c>
      <c r="J4137">
        <f>IFERROR(VLOOKUP(G4137,'LEAID Match'!$A$2:$B$526,2,FALSE),"")</f>
        <v>2900003</v>
      </c>
      <c r="K4137" s="68">
        <f t="shared" si="129"/>
        <v>8</v>
      </c>
    </row>
    <row r="4138" spans="1:11" x14ac:dyDescent="0.2">
      <c r="A4138" t="str">
        <f t="shared" si="128"/>
        <v/>
      </c>
      <c r="B4138">
        <v>2015</v>
      </c>
      <c r="C4138" t="s">
        <v>739</v>
      </c>
      <c r="D4138" t="s">
        <v>740</v>
      </c>
      <c r="E4138" t="s">
        <v>743</v>
      </c>
      <c r="F4138" s="41">
        <v>701</v>
      </c>
      <c r="G4138" s="42" t="s">
        <v>525</v>
      </c>
      <c r="H4138" s="46"/>
      <c r="I4138" s="58">
        <v>158691</v>
      </c>
      <c r="J4138" t="str">
        <f>IFERROR(VLOOKUP(G4138,'LEAID Match'!$A$2:$B$526,2,FALSE),"")</f>
        <v/>
      </c>
      <c r="K4138" s="68">
        <f t="shared" si="129"/>
        <v>216</v>
      </c>
    </row>
    <row r="4139" spans="1:11" x14ac:dyDescent="0.2">
      <c r="A4139" t="str">
        <f t="shared" si="128"/>
        <v/>
      </c>
      <c r="B4139">
        <v>2016</v>
      </c>
      <c r="C4139" t="s">
        <v>739</v>
      </c>
      <c r="D4139" t="s">
        <v>740</v>
      </c>
      <c r="E4139" t="s">
        <v>743</v>
      </c>
      <c r="F4139" s="34">
        <v>701</v>
      </c>
      <c r="G4139" s="34" t="s">
        <v>670</v>
      </c>
      <c r="H4139" s="34"/>
      <c r="I4139" s="60">
        <v>170600</v>
      </c>
      <c r="J4139" t="str">
        <f>IFERROR(VLOOKUP(G4139,'LEAID Match'!$A$2:$B$526,2,FALSE),"")</f>
        <v/>
      </c>
      <c r="K4139" s="68">
        <f t="shared" si="129"/>
        <v>216</v>
      </c>
    </row>
    <row r="4140" spans="1:11" x14ac:dyDescent="0.2">
      <c r="A4140" t="str">
        <f t="shared" si="128"/>
        <v/>
      </c>
      <c r="B4140">
        <v>2017</v>
      </c>
      <c r="C4140" t="s">
        <v>739</v>
      </c>
      <c r="D4140" t="s">
        <v>740</v>
      </c>
      <c r="E4140" t="s">
        <v>743</v>
      </c>
      <c r="F4140" s="34">
        <v>701</v>
      </c>
      <c r="G4140" s="34" t="s">
        <v>670</v>
      </c>
      <c r="H4140" s="34"/>
      <c r="I4140" s="58">
        <v>164004</v>
      </c>
      <c r="J4140" t="str">
        <f>IFERROR(VLOOKUP(G4140,'LEAID Match'!$A$2:$B$526,2,FALSE),"")</f>
        <v/>
      </c>
      <c r="K4140" s="68">
        <f t="shared" si="129"/>
        <v>216</v>
      </c>
    </row>
    <row r="4141" spans="1:11" x14ac:dyDescent="0.2">
      <c r="A4141" t="str">
        <f t="shared" si="128"/>
        <v/>
      </c>
      <c r="B4141">
        <v>2018</v>
      </c>
      <c r="C4141" t="s">
        <v>739</v>
      </c>
      <c r="D4141" t="s">
        <v>740</v>
      </c>
      <c r="E4141" t="s">
        <v>743</v>
      </c>
      <c r="F4141" s="34">
        <v>701</v>
      </c>
      <c r="G4141" s="34" t="s">
        <v>670</v>
      </c>
      <c r="H4141" s="34"/>
      <c r="I4141" s="58">
        <v>177615</v>
      </c>
      <c r="J4141" t="str">
        <f>IFERROR(VLOOKUP(G4141,'LEAID Match'!$A$2:$B$526,2,FALSE),"")</f>
        <v/>
      </c>
      <c r="K4141" s="68">
        <f t="shared" si="129"/>
        <v>216</v>
      </c>
    </row>
    <row r="4142" spans="1:11" x14ac:dyDescent="0.2">
      <c r="A4142" t="str">
        <f t="shared" si="128"/>
        <v/>
      </c>
      <c r="B4142">
        <v>2019</v>
      </c>
      <c r="C4142" t="s">
        <v>739</v>
      </c>
      <c r="D4142" t="s">
        <v>740</v>
      </c>
      <c r="E4142" t="s">
        <v>743</v>
      </c>
      <c r="F4142" s="34">
        <v>701</v>
      </c>
      <c r="G4142" s="34" t="s">
        <v>670</v>
      </c>
      <c r="H4142" s="34"/>
      <c r="I4142" s="58">
        <v>171984</v>
      </c>
      <c r="J4142" t="str">
        <f>IFERROR(VLOOKUP(G4142,'LEAID Match'!$A$2:$B$526,2,FALSE),"")</f>
        <v/>
      </c>
      <c r="K4142" s="68">
        <f t="shared" si="129"/>
        <v>216</v>
      </c>
    </row>
    <row r="4143" spans="1:11" x14ac:dyDescent="0.2">
      <c r="A4143" t="str">
        <f t="shared" si="128"/>
        <v/>
      </c>
      <c r="B4143">
        <v>2020</v>
      </c>
      <c r="C4143" t="s">
        <v>739</v>
      </c>
      <c r="D4143" t="s">
        <v>740</v>
      </c>
      <c r="E4143" t="s">
        <v>743</v>
      </c>
      <c r="F4143" s="34">
        <v>701</v>
      </c>
      <c r="G4143" s="34" t="s">
        <v>670</v>
      </c>
      <c r="H4143" s="34"/>
      <c r="I4143" s="58">
        <v>178051</v>
      </c>
      <c r="J4143" t="str">
        <f>IFERROR(VLOOKUP(G4143,'LEAID Match'!$A$2:$B$526,2,FALSE),"")</f>
        <v/>
      </c>
      <c r="K4143" s="68">
        <f t="shared" si="129"/>
        <v>216</v>
      </c>
    </row>
    <row r="4144" spans="1:11" x14ac:dyDescent="0.2">
      <c r="A4144" t="str">
        <f t="shared" si="128"/>
        <v/>
      </c>
      <c r="B4144">
        <v>2021</v>
      </c>
      <c r="C4144" t="s">
        <v>739</v>
      </c>
      <c r="D4144" t="s">
        <v>740</v>
      </c>
      <c r="E4144" t="s">
        <v>743</v>
      </c>
      <c r="F4144" s="34">
        <v>701</v>
      </c>
      <c r="G4144" s="34" t="s">
        <v>670</v>
      </c>
      <c r="H4144" s="34"/>
      <c r="I4144" s="58">
        <v>183332</v>
      </c>
      <c r="J4144" t="str">
        <f>IFERROR(VLOOKUP(G4144,'LEAID Match'!$A$2:$B$526,2,FALSE),"")</f>
        <v/>
      </c>
      <c r="K4144" s="68">
        <f t="shared" si="129"/>
        <v>216</v>
      </c>
    </row>
    <row r="4145" spans="1:11" x14ac:dyDescent="0.2">
      <c r="A4145" t="str">
        <f t="shared" si="128"/>
        <v/>
      </c>
      <c r="B4145">
        <v>2022</v>
      </c>
      <c r="C4145" t="s">
        <v>739</v>
      </c>
      <c r="D4145" t="s">
        <v>740</v>
      </c>
      <c r="E4145" t="s">
        <v>743</v>
      </c>
      <c r="F4145" s="34">
        <v>701</v>
      </c>
      <c r="G4145" s="34" t="s">
        <v>670</v>
      </c>
      <c r="H4145" s="34"/>
      <c r="I4145" s="58">
        <v>185633</v>
      </c>
      <c r="J4145" t="str">
        <f>IFERROR(VLOOKUP(G4145,'LEAID Match'!$A$2:$B$526,2,FALSE),"")</f>
        <v/>
      </c>
      <c r="K4145" s="68">
        <f t="shared" si="129"/>
        <v>216</v>
      </c>
    </row>
    <row r="4146" spans="1:11" x14ac:dyDescent="0.2">
      <c r="A4146" t="str">
        <f t="shared" si="128"/>
        <v/>
      </c>
      <c r="B4146">
        <v>2015</v>
      </c>
      <c r="C4146" t="s">
        <v>739</v>
      </c>
      <c r="D4146" t="s">
        <v>740</v>
      </c>
      <c r="E4146" t="s">
        <v>743</v>
      </c>
      <c r="F4146" s="41">
        <v>702</v>
      </c>
      <c r="G4146" s="43" t="s">
        <v>526</v>
      </c>
      <c r="H4146" s="46"/>
      <c r="I4146" s="58">
        <v>120853</v>
      </c>
      <c r="J4146" t="str">
        <f>IFERROR(VLOOKUP(G4146,'LEAID Match'!$A$2:$B$526,2,FALSE),"")</f>
        <v/>
      </c>
      <c r="K4146" s="68">
        <f t="shared" si="129"/>
        <v>216</v>
      </c>
    </row>
    <row r="4147" spans="1:11" x14ac:dyDescent="0.2">
      <c r="A4147" t="str">
        <f t="shared" si="128"/>
        <v/>
      </c>
      <c r="B4147">
        <v>2016</v>
      </c>
      <c r="C4147" t="s">
        <v>739</v>
      </c>
      <c r="D4147" t="s">
        <v>740</v>
      </c>
      <c r="E4147" t="s">
        <v>743</v>
      </c>
      <c r="F4147" s="34">
        <v>702</v>
      </c>
      <c r="G4147" s="34" t="s">
        <v>671</v>
      </c>
      <c r="H4147" s="34"/>
      <c r="I4147" s="60">
        <v>125328</v>
      </c>
      <c r="J4147" t="str">
        <f>IFERROR(VLOOKUP(G4147,'LEAID Match'!$A$2:$B$526,2,FALSE),"")</f>
        <v/>
      </c>
      <c r="K4147" s="68">
        <f t="shared" si="129"/>
        <v>216</v>
      </c>
    </row>
    <row r="4148" spans="1:11" x14ac:dyDescent="0.2">
      <c r="A4148" t="str">
        <f t="shared" si="128"/>
        <v/>
      </c>
      <c r="B4148">
        <v>2017</v>
      </c>
      <c r="C4148" t="s">
        <v>739</v>
      </c>
      <c r="D4148" t="s">
        <v>740</v>
      </c>
      <c r="E4148" t="s">
        <v>743</v>
      </c>
      <c r="F4148" s="34">
        <v>702</v>
      </c>
      <c r="G4148" s="34" t="s">
        <v>671</v>
      </c>
      <c r="H4148" s="34"/>
      <c r="I4148" s="58">
        <v>138521</v>
      </c>
      <c r="J4148" t="str">
        <f>IFERROR(VLOOKUP(G4148,'LEAID Match'!$A$2:$B$526,2,FALSE),"")</f>
        <v/>
      </c>
      <c r="K4148" s="68">
        <f t="shared" si="129"/>
        <v>216</v>
      </c>
    </row>
    <row r="4149" spans="1:11" x14ac:dyDescent="0.2">
      <c r="A4149" t="str">
        <f t="shared" si="128"/>
        <v/>
      </c>
      <c r="B4149">
        <v>2018</v>
      </c>
      <c r="C4149" t="s">
        <v>739</v>
      </c>
      <c r="D4149" t="s">
        <v>740</v>
      </c>
      <c r="E4149" t="s">
        <v>743</v>
      </c>
      <c r="F4149" s="34">
        <v>702</v>
      </c>
      <c r="G4149" s="34" t="s">
        <v>671</v>
      </c>
      <c r="H4149" s="34"/>
      <c r="I4149" s="58">
        <v>142664</v>
      </c>
      <c r="J4149" t="str">
        <f>IFERROR(VLOOKUP(G4149,'LEAID Match'!$A$2:$B$526,2,FALSE),"")</f>
        <v/>
      </c>
      <c r="K4149" s="68">
        <f t="shared" si="129"/>
        <v>216</v>
      </c>
    </row>
    <row r="4150" spans="1:11" x14ac:dyDescent="0.2">
      <c r="A4150" t="str">
        <f t="shared" si="128"/>
        <v/>
      </c>
      <c r="B4150">
        <v>2019</v>
      </c>
      <c r="C4150" t="s">
        <v>739</v>
      </c>
      <c r="D4150" t="s">
        <v>740</v>
      </c>
      <c r="E4150" t="s">
        <v>743</v>
      </c>
      <c r="F4150" s="34">
        <v>702</v>
      </c>
      <c r="G4150" s="34" t="s">
        <v>671</v>
      </c>
      <c r="H4150" s="34"/>
      <c r="I4150" s="58">
        <v>145880</v>
      </c>
      <c r="J4150" t="str">
        <f>IFERROR(VLOOKUP(G4150,'LEAID Match'!$A$2:$B$526,2,FALSE),"")</f>
        <v/>
      </c>
      <c r="K4150" s="68">
        <f t="shared" si="129"/>
        <v>216</v>
      </c>
    </row>
    <row r="4151" spans="1:11" x14ac:dyDescent="0.2">
      <c r="A4151" t="str">
        <f t="shared" si="128"/>
        <v/>
      </c>
      <c r="B4151">
        <v>2020</v>
      </c>
      <c r="C4151" t="s">
        <v>739</v>
      </c>
      <c r="D4151" t="s">
        <v>740</v>
      </c>
      <c r="E4151" t="s">
        <v>743</v>
      </c>
      <c r="F4151" s="34">
        <v>702</v>
      </c>
      <c r="G4151" s="34" t="s">
        <v>671</v>
      </c>
      <c r="H4151" s="34"/>
      <c r="I4151" s="58">
        <v>149720</v>
      </c>
      <c r="J4151" t="str">
        <f>IFERROR(VLOOKUP(G4151,'LEAID Match'!$A$2:$B$526,2,FALSE),"")</f>
        <v/>
      </c>
      <c r="K4151" s="68">
        <f t="shared" si="129"/>
        <v>216</v>
      </c>
    </row>
    <row r="4152" spans="1:11" x14ac:dyDescent="0.2">
      <c r="A4152" t="str">
        <f t="shared" si="128"/>
        <v/>
      </c>
      <c r="B4152">
        <v>2021</v>
      </c>
      <c r="C4152" t="s">
        <v>739</v>
      </c>
      <c r="D4152" t="s">
        <v>740</v>
      </c>
      <c r="E4152" t="s">
        <v>743</v>
      </c>
      <c r="F4152" s="34">
        <v>702</v>
      </c>
      <c r="G4152" s="34" t="s">
        <v>671</v>
      </c>
      <c r="H4152" s="34"/>
      <c r="I4152" s="58">
        <v>153285</v>
      </c>
      <c r="J4152" t="str">
        <f>IFERROR(VLOOKUP(G4152,'LEAID Match'!$A$2:$B$526,2,FALSE),"")</f>
        <v/>
      </c>
      <c r="K4152" s="68">
        <f t="shared" si="129"/>
        <v>216</v>
      </c>
    </row>
    <row r="4153" spans="1:11" x14ac:dyDescent="0.2">
      <c r="A4153" t="str">
        <f t="shared" si="128"/>
        <v/>
      </c>
      <c r="B4153">
        <v>2022</v>
      </c>
      <c r="C4153" t="s">
        <v>739</v>
      </c>
      <c r="D4153" t="s">
        <v>740</v>
      </c>
      <c r="E4153" t="s">
        <v>743</v>
      </c>
      <c r="F4153" s="34">
        <v>702</v>
      </c>
      <c r="G4153" s="34" t="s">
        <v>671</v>
      </c>
      <c r="H4153" s="34"/>
      <c r="I4153" s="58">
        <v>151259</v>
      </c>
      <c r="J4153" t="str">
        <f>IFERROR(VLOOKUP(G4153,'LEAID Match'!$A$2:$B$526,2,FALSE),"")</f>
        <v/>
      </c>
      <c r="K4153" s="68">
        <f t="shared" si="129"/>
        <v>216</v>
      </c>
    </row>
    <row r="4154" spans="1:11" x14ac:dyDescent="0.2">
      <c r="A4154" t="str">
        <f t="shared" si="128"/>
        <v/>
      </c>
      <c r="B4154">
        <v>2015</v>
      </c>
      <c r="C4154" t="s">
        <v>739</v>
      </c>
      <c r="D4154" t="s">
        <v>740</v>
      </c>
      <c r="E4154" t="s">
        <v>743</v>
      </c>
      <c r="F4154" s="41">
        <v>704</v>
      </c>
      <c r="G4154" s="43" t="s">
        <v>527</v>
      </c>
      <c r="H4154" s="46"/>
      <c r="I4154" s="58">
        <v>116774</v>
      </c>
      <c r="J4154" t="str">
        <f>IFERROR(VLOOKUP(G4154,'LEAID Match'!$A$2:$B$526,2,FALSE),"")</f>
        <v/>
      </c>
      <c r="K4154" s="68">
        <f t="shared" si="129"/>
        <v>216</v>
      </c>
    </row>
    <row r="4155" spans="1:11" x14ac:dyDescent="0.2">
      <c r="A4155" t="str">
        <f t="shared" si="128"/>
        <v/>
      </c>
      <c r="B4155">
        <v>2016</v>
      </c>
      <c r="C4155" t="s">
        <v>739</v>
      </c>
      <c r="D4155" t="s">
        <v>740</v>
      </c>
      <c r="E4155" t="s">
        <v>743</v>
      </c>
      <c r="F4155" s="34">
        <v>704</v>
      </c>
      <c r="G4155" s="34" t="s">
        <v>672</v>
      </c>
      <c r="H4155" s="34"/>
      <c r="I4155" s="60">
        <v>98711</v>
      </c>
      <c r="J4155" t="str">
        <f>IFERROR(VLOOKUP(G4155,'LEAID Match'!$A$2:$B$526,2,FALSE),"")</f>
        <v/>
      </c>
      <c r="K4155" s="68">
        <f t="shared" si="129"/>
        <v>216</v>
      </c>
    </row>
    <row r="4156" spans="1:11" x14ac:dyDescent="0.2">
      <c r="A4156" t="str">
        <f t="shared" si="128"/>
        <v/>
      </c>
      <c r="B4156">
        <v>2017</v>
      </c>
      <c r="C4156" t="s">
        <v>739</v>
      </c>
      <c r="D4156" t="s">
        <v>740</v>
      </c>
      <c r="E4156" t="s">
        <v>743</v>
      </c>
      <c r="F4156" s="34">
        <v>704</v>
      </c>
      <c r="G4156" s="34" t="s">
        <v>672</v>
      </c>
      <c r="H4156" s="34"/>
      <c r="I4156" s="58">
        <v>97785</v>
      </c>
      <c r="J4156" t="str">
        <f>IFERROR(VLOOKUP(G4156,'LEAID Match'!$A$2:$B$526,2,FALSE),"")</f>
        <v/>
      </c>
      <c r="K4156" s="68">
        <f t="shared" si="129"/>
        <v>216</v>
      </c>
    </row>
    <row r="4157" spans="1:11" x14ac:dyDescent="0.2">
      <c r="A4157" t="str">
        <f t="shared" si="128"/>
        <v/>
      </c>
      <c r="B4157">
        <v>2018</v>
      </c>
      <c r="C4157" t="s">
        <v>739</v>
      </c>
      <c r="D4157" t="s">
        <v>740</v>
      </c>
      <c r="E4157" t="s">
        <v>743</v>
      </c>
      <c r="F4157" s="34">
        <v>704</v>
      </c>
      <c r="G4157" s="34" t="s">
        <v>672</v>
      </c>
      <c r="H4157" s="34"/>
      <c r="I4157" s="58">
        <v>71911</v>
      </c>
      <c r="J4157" t="str">
        <f>IFERROR(VLOOKUP(G4157,'LEAID Match'!$A$2:$B$526,2,FALSE),"")</f>
        <v/>
      </c>
      <c r="K4157" s="68">
        <f t="shared" si="129"/>
        <v>216</v>
      </c>
    </row>
    <row r="4158" spans="1:11" x14ac:dyDescent="0.2">
      <c r="A4158" t="str">
        <f t="shared" si="128"/>
        <v/>
      </c>
      <c r="B4158">
        <v>2019</v>
      </c>
      <c r="C4158" t="s">
        <v>739</v>
      </c>
      <c r="D4158" t="s">
        <v>740</v>
      </c>
      <c r="E4158" t="s">
        <v>743</v>
      </c>
      <c r="F4158" s="34">
        <v>704</v>
      </c>
      <c r="G4158" s="34" t="s">
        <v>672</v>
      </c>
      <c r="H4158" s="34"/>
      <c r="I4158" s="58">
        <v>56833</v>
      </c>
      <c r="J4158" t="str">
        <f>IFERROR(VLOOKUP(G4158,'LEAID Match'!$A$2:$B$526,2,FALSE),"")</f>
        <v/>
      </c>
      <c r="K4158" s="68">
        <f t="shared" si="129"/>
        <v>216</v>
      </c>
    </row>
    <row r="4159" spans="1:11" x14ac:dyDescent="0.2">
      <c r="A4159" t="str">
        <f t="shared" si="128"/>
        <v/>
      </c>
      <c r="B4159">
        <v>2020</v>
      </c>
      <c r="C4159" t="s">
        <v>739</v>
      </c>
      <c r="D4159" t="s">
        <v>740</v>
      </c>
      <c r="E4159" t="s">
        <v>743</v>
      </c>
      <c r="F4159" s="34">
        <v>704</v>
      </c>
      <c r="G4159" s="34" t="s">
        <v>672</v>
      </c>
      <c r="H4159" s="34"/>
      <c r="I4159" s="58">
        <v>58436</v>
      </c>
      <c r="J4159" t="str">
        <f>IFERROR(VLOOKUP(G4159,'LEAID Match'!$A$2:$B$526,2,FALSE),"")</f>
        <v/>
      </c>
      <c r="K4159" s="68">
        <f t="shared" si="129"/>
        <v>216</v>
      </c>
    </row>
    <row r="4160" spans="1:11" x14ac:dyDescent="0.2">
      <c r="A4160" t="str">
        <f t="shared" si="128"/>
        <v/>
      </c>
      <c r="B4160">
        <v>2021</v>
      </c>
      <c r="C4160" t="s">
        <v>739</v>
      </c>
      <c r="D4160" t="s">
        <v>740</v>
      </c>
      <c r="E4160" t="s">
        <v>743</v>
      </c>
      <c r="F4160" s="34">
        <v>704</v>
      </c>
      <c r="G4160" s="34" t="s">
        <v>672</v>
      </c>
      <c r="H4160" s="34"/>
      <c r="I4160" s="58">
        <v>60141</v>
      </c>
      <c r="J4160" t="str">
        <f>IFERROR(VLOOKUP(G4160,'LEAID Match'!$A$2:$B$526,2,FALSE),"")</f>
        <v/>
      </c>
      <c r="K4160" s="68">
        <f t="shared" si="129"/>
        <v>216</v>
      </c>
    </row>
    <row r="4161" spans="1:11" x14ac:dyDescent="0.2">
      <c r="A4161" t="str">
        <f t="shared" si="128"/>
        <v/>
      </c>
      <c r="B4161">
        <v>2022</v>
      </c>
      <c r="C4161" t="s">
        <v>739</v>
      </c>
      <c r="D4161" t="s">
        <v>740</v>
      </c>
      <c r="E4161" t="s">
        <v>743</v>
      </c>
      <c r="F4161" s="34">
        <v>704</v>
      </c>
      <c r="G4161" s="34" t="s">
        <v>672</v>
      </c>
      <c r="H4161" s="34"/>
      <c r="I4161" s="58">
        <v>55240</v>
      </c>
      <c r="J4161" t="str">
        <f>IFERROR(VLOOKUP(G4161,'LEAID Match'!$A$2:$B$526,2,FALSE),"")</f>
        <v/>
      </c>
      <c r="K4161" s="68">
        <f t="shared" si="129"/>
        <v>216</v>
      </c>
    </row>
    <row r="4162" spans="1:11" x14ac:dyDescent="0.2">
      <c r="A4162">
        <f t="shared" si="128"/>
        <v>2900009</v>
      </c>
      <c r="B4162">
        <v>2015</v>
      </c>
      <c r="C4162" t="s">
        <v>739</v>
      </c>
      <c r="D4162" t="s">
        <v>740</v>
      </c>
      <c r="E4162" t="s">
        <v>743</v>
      </c>
      <c r="F4162" s="41">
        <v>708</v>
      </c>
      <c r="G4162" s="34" t="s">
        <v>673</v>
      </c>
      <c r="H4162" s="46"/>
      <c r="I4162" s="58">
        <v>10434</v>
      </c>
      <c r="J4162">
        <f>IFERROR(VLOOKUP(G4162,'LEAID Match'!$A$2:$B$526,2,FALSE),"")</f>
        <v>2900009</v>
      </c>
      <c r="K4162" s="68">
        <f t="shared" si="129"/>
        <v>6</v>
      </c>
    </row>
    <row r="4163" spans="1:11" x14ac:dyDescent="0.2">
      <c r="A4163">
        <f t="shared" ref="A4163:A4226" si="130">J4163</f>
        <v>2900009</v>
      </c>
      <c r="B4163">
        <v>2016</v>
      </c>
      <c r="C4163" t="s">
        <v>739</v>
      </c>
      <c r="D4163" t="s">
        <v>740</v>
      </c>
      <c r="E4163" t="s">
        <v>743</v>
      </c>
      <c r="F4163" s="34">
        <v>708</v>
      </c>
      <c r="G4163" s="34" t="s">
        <v>673</v>
      </c>
      <c r="H4163" s="34"/>
      <c r="I4163" s="60">
        <v>10289</v>
      </c>
      <c r="J4163">
        <f>IFERROR(VLOOKUP(G4163,'LEAID Match'!$A$2:$B$526,2,FALSE),"")</f>
        <v>2900009</v>
      </c>
      <c r="K4163" s="68">
        <f t="shared" ref="K4163:K4226" si="131">COUNTIF($J$2:$J$4295,J4163)</f>
        <v>6</v>
      </c>
    </row>
    <row r="4164" spans="1:11" x14ac:dyDescent="0.2">
      <c r="A4164">
        <f t="shared" si="130"/>
        <v>2900009</v>
      </c>
      <c r="B4164">
        <v>2017</v>
      </c>
      <c r="C4164" t="s">
        <v>739</v>
      </c>
      <c r="D4164" t="s">
        <v>740</v>
      </c>
      <c r="E4164" t="s">
        <v>743</v>
      </c>
      <c r="F4164" s="34">
        <v>708</v>
      </c>
      <c r="G4164" s="34" t="s">
        <v>673</v>
      </c>
      <c r="H4164" s="34"/>
      <c r="I4164" s="58">
        <v>7809</v>
      </c>
      <c r="J4164">
        <f>IFERROR(VLOOKUP(G4164,'LEAID Match'!$A$2:$B$526,2,FALSE),"")</f>
        <v>2900009</v>
      </c>
      <c r="K4164" s="68">
        <f t="shared" si="131"/>
        <v>6</v>
      </c>
    </row>
    <row r="4165" spans="1:11" x14ac:dyDescent="0.2">
      <c r="A4165">
        <f t="shared" si="130"/>
        <v>2900009</v>
      </c>
      <c r="B4165">
        <v>2018</v>
      </c>
      <c r="C4165" t="s">
        <v>739</v>
      </c>
      <c r="D4165" t="s">
        <v>740</v>
      </c>
      <c r="E4165" t="s">
        <v>743</v>
      </c>
      <c r="F4165" s="34">
        <v>708</v>
      </c>
      <c r="G4165" s="34" t="s">
        <v>673</v>
      </c>
      <c r="H4165" s="34"/>
      <c r="J4165">
        <f>IFERROR(VLOOKUP(G4165,'LEAID Match'!$A$2:$B$526,2,FALSE),"")</f>
        <v>2900009</v>
      </c>
      <c r="K4165" s="68">
        <f t="shared" si="131"/>
        <v>6</v>
      </c>
    </row>
    <row r="4166" spans="1:11" x14ac:dyDescent="0.2">
      <c r="A4166">
        <f t="shared" si="130"/>
        <v>2900009</v>
      </c>
      <c r="B4166">
        <v>2019</v>
      </c>
      <c r="C4166" t="s">
        <v>739</v>
      </c>
      <c r="D4166" t="s">
        <v>740</v>
      </c>
      <c r="E4166" t="s">
        <v>743</v>
      </c>
      <c r="F4166" s="34">
        <v>708</v>
      </c>
      <c r="G4166" s="34" t="s">
        <v>673</v>
      </c>
      <c r="H4166" s="34"/>
      <c r="J4166">
        <f>IFERROR(VLOOKUP(G4166,'LEAID Match'!$A$2:$B$526,2,FALSE),"")</f>
        <v>2900009</v>
      </c>
      <c r="K4166" s="68">
        <f t="shared" si="131"/>
        <v>6</v>
      </c>
    </row>
    <row r="4167" spans="1:11" x14ac:dyDescent="0.2">
      <c r="A4167">
        <f t="shared" si="130"/>
        <v>2900009</v>
      </c>
      <c r="B4167">
        <v>2020</v>
      </c>
      <c r="C4167" t="s">
        <v>739</v>
      </c>
      <c r="D4167" t="s">
        <v>740</v>
      </c>
      <c r="E4167" t="s">
        <v>743</v>
      </c>
      <c r="F4167" s="34">
        <v>708</v>
      </c>
      <c r="G4167" s="34" t="s">
        <v>673</v>
      </c>
      <c r="H4167" s="34"/>
      <c r="J4167">
        <f>IFERROR(VLOOKUP(G4167,'LEAID Match'!$A$2:$B$526,2,FALSE),"")</f>
        <v>2900009</v>
      </c>
      <c r="K4167" s="68">
        <f t="shared" si="131"/>
        <v>6</v>
      </c>
    </row>
    <row r="4168" spans="1:11" x14ac:dyDescent="0.2">
      <c r="A4168">
        <f t="shared" si="130"/>
        <v>0</v>
      </c>
      <c r="B4168">
        <v>2015</v>
      </c>
      <c r="C4168" t="s">
        <v>739</v>
      </c>
      <c r="D4168" t="s">
        <v>740</v>
      </c>
      <c r="E4168" t="s">
        <v>743</v>
      </c>
      <c r="F4168" s="41">
        <v>711</v>
      </c>
      <c r="G4168" s="42" t="s">
        <v>529</v>
      </c>
      <c r="H4168" s="54">
        <v>211523</v>
      </c>
      <c r="I4168" s="58">
        <v>183052</v>
      </c>
      <c r="J4168">
        <f>IFERROR(VLOOKUP(G4168,'LEAID Match'!$A$2:$B$526,2,FALSE),"")</f>
        <v>0</v>
      </c>
      <c r="K4168" s="68">
        <f t="shared" si="131"/>
        <v>16</v>
      </c>
    </row>
    <row r="4169" spans="1:11" x14ac:dyDescent="0.2">
      <c r="A4169">
        <f t="shared" si="130"/>
        <v>0</v>
      </c>
      <c r="B4169">
        <v>2016</v>
      </c>
      <c r="C4169" t="s">
        <v>739</v>
      </c>
      <c r="D4169" t="s">
        <v>740</v>
      </c>
      <c r="E4169" t="s">
        <v>743</v>
      </c>
      <c r="F4169" s="34">
        <v>711</v>
      </c>
      <c r="G4169" s="34" t="s">
        <v>674</v>
      </c>
      <c r="H4169" s="36">
        <v>201973</v>
      </c>
      <c r="I4169" s="60">
        <v>233559</v>
      </c>
      <c r="J4169">
        <f>IFERROR(VLOOKUP(G4169,'LEAID Match'!$A$2:$B$526,2,FALSE),"")</f>
        <v>0</v>
      </c>
      <c r="K4169" s="68">
        <f t="shared" si="131"/>
        <v>16</v>
      </c>
    </row>
    <row r="4170" spans="1:11" x14ac:dyDescent="0.2">
      <c r="A4170">
        <f t="shared" si="130"/>
        <v>0</v>
      </c>
      <c r="B4170">
        <v>2017</v>
      </c>
      <c r="C4170" t="s">
        <v>739</v>
      </c>
      <c r="D4170" t="s">
        <v>740</v>
      </c>
      <c r="E4170" t="s">
        <v>743</v>
      </c>
      <c r="F4170" s="34">
        <v>711</v>
      </c>
      <c r="G4170" s="34" t="s">
        <v>674</v>
      </c>
      <c r="H4170" s="36">
        <v>145734</v>
      </c>
      <c r="I4170" s="58">
        <v>215135</v>
      </c>
      <c r="J4170">
        <f>IFERROR(VLOOKUP(G4170,'LEAID Match'!$A$2:$B$526,2,FALSE),"")</f>
        <v>0</v>
      </c>
      <c r="K4170" s="68">
        <f t="shared" si="131"/>
        <v>16</v>
      </c>
    </row>
    <row r="4171" spans="1:11" x14ac:dyDescent="0.2">
      <c r="A4171">
        <f t="shared" si="130"/>
        <v>0</v>
      </c>
      <c r="B4171">
        <v>2018</v>
      </c>
      <c r="C4171" t="s">
        <v>739</v>
      </c>
      <c r="D4171" t="s">
        <v>740</v>
      </c>
      <c r="E4171" t="s">
        <v>743</v>
      </c>
      <c r="F4171" s="34">
        <v>711</v>
      </c>
      <c r="G4171" s="34" t="s">
        <v>674</v>
      </c>
      <c r="H4171" s="36">
        <v>132440</v>
      </c>
      <c r="I4171" s="58">
        <v>228736</v>
      </c>
      <c r="J4171">
        <f>IFERROR(VLOOKUP(G4171,'LEAID Match'!$A$2:$B$526,2,FALSE),"")</f>
        <v>0</v>
      </c>
      <c r="K4171" s="68">
        <f t="shared" si="131"/>
        <v>16</v>
      </c>
    </row>
    <row r="4172" spans="1:11" x14ac:dyDescent="0.2">
      <c r="A4172">
        <f t="shared" si="130"/>
        <v>0</v>
      </c>
      <c r="B4172">
        <v>2019</v>
      </c>
      <c r="C4172" t="s">
        <v>739</v>
      </c>
      <c r="D4172" t="s">
        <v>740</v>
      </c>
      <c r="E4172" t="s">
        <v>743</v>
      </c>
      <c r="F4172" s="34">
        <v>711</v>
      </c>
      <c r="G4172" s="34" t="s">
        <v>674</v>
      </c>
      <c r="H4172" s="36">
        <v>120559</v>
      </c>
      <c r="I4172" s="58">
        <v>205557</v>
      </c>
      <c r="J4172">
        <f>IFERROR(VLOOKUP(G4172,'LEAID Match'!$A$2:$B$526,2,FALSE),"")</f>
        <v>0</v>
      </c>
      <c r="K4172" s="68">
        <f t="shared" si="131"/>
        <v>16</v>
      </c>
    </row>
    <row r="4173" spans="1:11" x14ac:dyDescent="0.2">
      <c r="A4173">
        <f t="shared" si="130"/>
        <v>0</v>
      </c>
      <c r="B4173">
        <v>2020</v>
      </c>
      <c r="C4173" t="s">
        <v>739</v>
      </c>
      <c r="D4173" t="s">
        <v>740</v>
      </c>
      <c r="E4173" t="s">
        <v>743</v>
      </c>
      <c r="F4173" s="34">
        <v>711</v>
      </c>
      <c r="G4173" s="34" t="s">
        <v>674</v>
      </c>
      <c r="H4173" s="36">
        <v>113568</v>
      </c>
      <c r="I4173" s="58">
        <v>202520</v>
      </c>
      <c r="J4173">
        <f>IFERROR(VLOOKUP(G4173,'LEAID Match'!$A$2:$B$526,2,FALSE),"")</f>
        <v>0</v>
      </c>
      <c r="K4173" s="68">
        <f t="shared" si="131"/>
        <v>16</v>
      </c>
    </row>
    <row r="4174" spans="1:11" x14ac:dyDescent="0.2">
      <c r="A4174">
        <f t="shared" si="130"/>
        <v>0</v>
      </c>
      <c r="B4174">
        <v>2021</v>
      </c>
      <c r="C4174" t="s">
        <v>739</v>
      </c>
      <c r="D4174" t="s">
        <v>740</v>
      </c>
      <c r="E4174" t="s">
        <v>743</v>
      </c>
      <c r="F4174" s="34">
        <v>711</v>
      </c>
      <c r="G4174" s="34" t="s">
        <v>674</v>
      </c>
      <c r="H4174" s="36">
        <v>107234</v>
      </c>
      <c r="I4174" s="58">
        <v>210036</v>
      </c>
      <c r="J4174">
        <f>IFERROR(VLOOKUP(G4174,'LEAID Match'!$A$2:$B$526,2,FALSE),"")</f>
        <v>0</v>
      </c>
      <c r="K4174" s="68">
        <f t="shared" si="131"/>
        <v>16</v>
      </c>
    </row>
    <row r="4175" spans="1:11" x14ac:dyDescent="0.2">
      <c r="A4175">
        <f t="shared" si="130"/>
        <v>0</v>
      </c>
      <c r="B4175">
        <v>2022</v>
      </c>
      <c r="C4175" t="s">
        <v>739</v>
      </c>
      <c r="D4175" t="s">
        <v>740</v>
      </c>
      <c r="E4175" t="s">
        <v>743</v>
      </c>
      <c r="F4175" s="34">
        <v>711</v>
      </c>
      <c r="G4175" s="34" t="s">
        <v>674</v>
      </c>
      <c r="H4175" s="36">
        <v>100594</v>
      </c>
      <c r="I4175" s="58">
        <v>195911</v>
      </c>
      <c r="J4175">
        <f>IFERROR(VLOOKUP(G4175,'LEAID Match'!$A$2:$B$526,2,FALSE),"")</f>
        <v>0</v>
      </c>
      <c r="K4175" s="68">
        <f t="shared" si="131"/>
        <v>16</v>
      </c>
    </row>
    <row r="4176" spans="1:11" x14ac:dyDescent="0.2">
      <c r="A4176" t="str">
        <f t="shared" si="130"/>
        <v/>
      </c>
      <c r="B4176">
        <v>2015</v>
      </c>
      <c r="C4176" t="s">
        <v>739</v>
      </c>
      <c r="D4176" t="s">
        <v>740</v>
      </c>
      <c r="E4176" t="s">
        <v>743</v>
      </c>
      <c r="F4176" s="41">
        <v>714</v>
      </c>
      <c r="G4176" s="42" t="s">
        <v>530</v>
      </c>
      <c r="H4176" s="54">
        <v>30894</v>
      </c>
      <c r="J4176" t="str">
        <f>IFERROR(VLOOKUP(G4176,'LEAID Match'!$A$2:$B$526,2,FALSE),"")</f>
        <v/>
      </c>
      <c r="K4176" s="68">
        <f t="shared" si="131"/>
        <v>216</v>
      </c>
    </row>
    <row r="4177" spans="1:11" x14ac:dyDescent="0.2">
      <c r="A4177" t="str">
        <f t="shared" si="130"/>
        <v/>
      </c>
      <c r="B4177">
        <v>2016</v>
      </c>
      <c r="C4177" t="s">
        <v>739</v>
      </c>
      <c r="D4177" t="s">
        <v>740</v>
      </c>
      <c r="E4177" t="s">
        <v>743</v>
      </c>
      <c r="F4177" s="34">
        <v>714</v>
      </c>
      <c r="G4177" s="34" t="s">
        <v>675</v>
      </c>
      <c r="H4177" s="36">
        <v>36966</v>
      </c>
      <c r="I4177" s="60"/>
      <c r="J4177" t="str">
        <f>IFERROR(VLOOKUP(G4177,'LEAID Match'!$A$2:$B$526,2,FALSE),"")</f>
        <v/>
      </c>
      <c r="K4177" s="68">
        <f t="shared" si="131"/>
        <v>216</v>
      </c>
    </row>
    <row r="4178" spans="1:11" x14ac:dyDescent="0.2">
      <c r="A4178" t="str">
        <f t="shared" si="130"/>
        <v/>
      </c>
      <c r="B4178">
        <v>2017</v>
      </c>
      <c r="C4178" t="s">
        <v>739</v>
      </c>
      <c r="D4178" t="s">
        <v>740</v>
      </c>
      <c r="E4178" t="s">
        <v>743</v>
      </c>
      <c r="F4178" s="34">
        <v>714</v>
      </c>
      <c r="G4178" s="34" t="s">
        <v>675</v>
      </c>
      <c r="H4178" s="36">
        <v>32831</v>
      </c>
      <c r="J4178" t="str">
        <f>IFERROR(VLOOKUP(G4178,'LEAID Match'!$A$2:$B$526,2,FALSE),"")</f>
        <v/>
      </c>
      <c r="K4178" s="68">
        <f t="shared" si="131"/>
        <v>216</v>
      </c>
    </row>
    <row r="4179" spans="1:11" x14ac:dyDescent="0.2">
      <c r="A4179" t="str">
        <f t="shared" si="130"/>
        <v/>
      </c>
      <c r="B4179">
        <v>2018</v>
      </c>
      <c r="C4179" t="s">
        <v>739</v>
      </c>
      <c r="D4179" t="s">
        <v>740</v>
      </c>
      <c r="E4179" t="s">
        <v>743</v>
      </c>
      <c r="F4179" s="34">
        <v>714</v>
      </c>
      <c r="G4179" s="34" t="s">
        <v>675</v>
      </c>
      <c r="H4179" s="36">
        <v>28330</v>
      </c>
      <c r="J4179" t="str">
        <f>IFERROR(VLOOKUP(G4179,'LEAID Match'!$A$2:$B$526,2,FALSE),"")</f>
        <v/>
      </c>
      <c r="K4179" s="68">
        <f t="shared" si="131"/>
        <v>216</v>
      </c>
    </row>
    <row r="4180" spans="1:11" x14ac:dyDescent="0.2">
      <c r="A4180" t="str">
        <f t="shared" si="130"/>
        <v/>
      </c>
      <c r="B4180">
        <v>2019</v>
      </c>
      <c r="C4180" t="s">
        <v>739</v>
      </c>
      <c r="D4180" t="s">
        <v>740</v>
      </c>
      <c r="E4180" t="s">
        <v>743</v>
      </c>
      <c r="F4180" s="34">
        <v>714</v>
      </c>
      <c r="G4180" s="34" t="s">
        <v>675</v>
      </c>
      <c r="H4180" s="36">
        <v>25867</v>
      </c>
      <c r="J4180" t="str">
        <f>IFERROR(VLOOKUP(G4180,'LEAID Match'!$A$2:$B$526,2,FALSE),"")</f>
        <v/>
      </c>
      <c r="K4180" s="68">
        <f t="shared" si="131"/>
        <v>216</v>
      </c>
    </row>
    <row r="4181" spans="1:11" x14ac:dyDescent="0.2">
      <c r="A4181" t="str">
        <f t="shared" si="130"/>
        <v/>
      </c>
      <c r="B4181">
        <v>2020</v>
      </c>
      <c r="C4181" t="s">
        <v>739</v>
      </c>
      <c r="D4181" t="s">
        <v>740</v>
      </c>
      <c r="E4181" t="s">
        <v>743</v>
      </c>
      <c r="F4181" s="34">
        <v>714</v>
      </c>
      <c r="G4181" s="34" t="s">
        <v>675</v>
      </c>
      <c r="H4181" s="36">
        <v>26468</v>
      </c>
      <c r="J4181" t="str">
        <f>IFERROR(VLOOKUP(G4181,'LEAID Match'!$A$2:$B$526,2,FALSE),"")</f>
        <v/>
      </c>
      <c r="K4181" s="68">
        <f t="shared" si="131"/>
        <v>216</v>
      </c>
    </row>
    <row r="4182" spans="1:11" x14ac:dyDescent="0.2">
      <c r="A4182" t="str">
        <f t="shared" si="130"/>
        <v/>
      </c>
      <c r="B4182">
        <v>2021</v>
      </c>
      <c r="C4182" t="s">
        <v>739</v>
      </c>
      <c r="D4182" t="s">
        <v>740</v>
      </c>
      <c r="E4182" t="s">
        <v>743</v>
      </c>
      <c r="F4182" s="34">
        <v>714</v>
      </c>
      <c r="G4182" s="34" t="s">
        <v>675</v>
      </c>
      <c r="H4182" s="36">
        <v>29018</v>
      </c>
      <c r="J4182" t="str">
        <f>IFERROR(VLOOKUP(G4182,'LEAID Match'!$A$2:$B$526,2,FALSE),"")</f>
        <v/>
      </c>
      <c r="K4182" s="68">
        <f t="shared" si="131"/>
        <v>216</v>
      </c>
    </row>
    <row r="4183" spans="1:11" x14ac:dyDescent="0.2">
      <c r="A4183" t="str">
        <f t="shared" si="130"/>
        <v/>
      </c>
      <c r="B4183">
        <v>2022</v>
      </c>
      <c r="C4183" t="s">
        <v>739</v>
      </c>
      <c r="D4183" t="s">
        <v>740</v>
      </c>
      <c r="E4183" t="s">
        <v>743</v>
      </c>
      <c r="F4183" s="34">
        <v>714</v>
      </c>
      <c r="G4183" s="34" t="s">
        <v>675</v>
      </c>
      <c r="H4183" s="36">
        <v>32052</v>
      </c>
      <c r="J4183" t="str">
        <f>IFERROR(VLOOKUP(G4183,'LEAID Match'!$A$2:$B$526,2,FALSE),"")</f>
        <v/>
      </c>
      <c r="K4183" s="68">
        <f t="shared" si="131"/>
        <v>216</v>
      </c>
    </row>
    <row r="4184" spans="1:11" x14ac:dyDescent="0.2">
      <c r="A4184">
        <f t="shared" si="130"/>
        <v>2923780</v>
      </c>
      <c r="B4184">
        <v>2015</v>
      </c>
      <c r="C4184" t="s">
        <v>739</v>
      </c>
      <c r="D4184" t="s">
        <v>740</v>
      </c>
      <c r="E4184" t="s">
        <v>743</v>
      </c>
      <c r="F4184" s="41">
        <v>750</v>
      </c>
      <c r="G4184" s="43" t="s">
        <v>531</v>
      </c>
      <c r="H4184" s="55">
        <v>77528</v>
      </c>
      <c r="I4184" s="58">
        <v>374684</v>
      </c>
      <c r="J4184">
        <f>IFERROR(VLOOKUP(G4184,'LEAID Match'!$A$2:$B$526,2,FALSE),"")</f>
        <v>2923780</v>
      </c>
      <c r="K4184" s="68">
        <f t="shared" si="131"/>
        <v>8</v>
      </c>
    </row>
    <row r="4185" spans="1:11" x14ac:dyDescent="0.2">
      <c r="A4185">
        <f t="shared" si="130"/>
        <v>2923780</v>
      </c>
      <c r="B4185">
        <v>2016</v>
      </c>
      <c r="C4185" t="s">
        <v>739</v>
      </c>
      <c r="D4185" t="s">
        <v>740</v>
      </c>
      <c r="E4185" t="s">
        <v>743</v>
      </c>
      <c r="F4185" s="34">
        <v>750</v>
      </c>
      <c r="G4185" s="34" t="s">
        <v>676</v>
      </c>
      <c r="H4185" s="36">
        <v>74705</v>
      </c>
      <c r="I4185" s="60">
        <v>372476</v>
      </c>
      <c r="J4185">
        <f>IFERROR(VLOOKUP(G4185,'LEAID Match'!$A$2:$B$526,2,FALSE),"")</f>
        <v>2923780</v>
      </c>
      <c r="K4185" s="68">
        <f t="shared" si="131"/>
        <v>8</v>
      </c>
    </row>
    <row r="4186" spans="1:11" x14ac:dyDescent="0.2">
      <c r="A4186">
        <f t="shared" si="130"/>
        <v>2923780</v>
      </c>
      <c r="B4186">
        <v>2017</v>
      </c>
      <c r="C4186" t="s">
        <v>739</v>
      </c>
      <c r="D4186" t="s">
        <v>740</v>
      </c>
      <c r="E4186" t="s">
        <v>743</v>
      </c>
      <c r="F4186" s="34">
        <v>750</v>
      </c>
      <c r="G4186" s="34" t="s">
        <v>676</v>
      </c>
      <c r="H4186" s="36">
        <v>72750</v>
      </c>
      <c r="I4186" s="58">
        <v>355442</v>
      </c>
      <c r="J4186">
        <f>IFERROR(VLOOKUP(G4186,'LEAID Match'!$A$2:$B$526,2,FALSE),"")</f>
        <v>2923780</v>
      </c>
      <c r="K4186" s="68">
        <f t="shared" si="131"/>
        <v>8</v>
      </c>
    </row>
    <row r="4187" spans="1:11" x14ac:dyDescent="0.2">
      <c r="A4187">
        <f t="shared" si="130"/>
        <v>2923780</v>
      </c>
      <c r="B4187">
        <v>2018</v>
      </c>
      <c r="C4187" t="s">
        <v>739</v>
      </c>
      <c r="D4187" t="s">
        <v>740</v>
      </c>
      <c r="E4187" t="s">
        <v>743</v>
      </c>
      <c r="F4187" s="34">
        <v>750</v>
      </c>
      <c r="G4187" s="34" t="s">
        <v>676</v>
      </c>
      <c r="H4187" s="36">
        <v>74808</v>
      </c>
      <c r="I4187" s="58">
        <v>351033</v>
      </c>
      <c r="J4187">
        <f>IFERROR(VLOOKUP(G4187,'LEAID Match'!$A$2:$B$526,2,FALSE),"")</f>
        <v>2923780</v>
      </c>
      <c r="K4187" s="68">
        <f t="shared" si="131"/>
        <v>8</v>
      </c>
    </row>
    <row r="4188" spans="1:11" x14ac:dyDescent="0.2">
      <c r="A4188">
        <f t="shared" si="130"/>
        <v>2923780</v>
      </c>
      <c r="B4188">
        <v>2019</v>
      </c>
      <c r="C4188" t="s">
        <v>739</v>
      </c>
      <c r="D4188" t="s">
        <v>740</v>
      </c>
      <c r="E4188" t="s">
        <v>743</v>
      </c>
      <c r="F4188" s="34">
        <v>750</v>
      </c>
      <c r="G4188" s="34" t="s">
        <v>676</v>
      </c>
      <c r="H4188" s="36">
        <v>74941</v>
      </c>
      <c r="I4188" s="58">
        <v>356087</v>
      </c>
      <c r="J4188">
        <f>IFERROR(VLOOKUP(G4188,'LEAID Match'!$A$2:$B$526,2,FALSE),"")</f>
        <v>2923780</v>
      </c>
      <c r="K4188" s="68">
        <f t="shared" si="131"/>
        <v>8</v>
      </c>
    </row>
    <row r="4189" spans="1:11" x14ac:dyDescent="0.2">
      <c r="A4189">
        <f t="shared" si="130"/>
        <v>2923780</v>
      </c>
      <c r="B4189">
        <v>2020</v>
      </c>
      <c r="C4189" t="s">
        <v>739</v>
      </c>
      <c r="D4189" t="s">
        <v>740</v>
      </c>
      <c r="E4189" t="s">
        <v>743</v>
      </c>
      <c r="F4189" s="34">
        <v>750</v>
      </c>
      <c r="G4189" s="34" t="s">
        <v>676</v>
      </c>
      <c r="H4189" s="36">
        <v>73330</v>
      </c>
      <c r="I4189" s="58">
        <v>348187</v>
      </c>
      <c r="J4189">
        <f>IFERROR(VLOOKUP(G4189,'LEAID Match'!$A$2:$B$526,2,FALSE),"")</f>
        <v>2923780</v>
      </c>
      <c r="K4189" s="68">
        <f t="shared" si="131"/>
        <v>8</v>
      </c>
    </row>
    <row r="4190" spans="1:11" x14ac:dyDescent="0.2">
      <c r="A4190">
        <f t="shared" si="130"/>
        <v>2923780</v>
      </c>
      <c r="B4190">
        <v>2021</v>
      </c>
      <c r="C4190" t="s">
        <v>739</v>
      </c>
      <c r="D4190" t="s">
        <v>740</v>
      </c>
      <c r="E4190" t="s">
        <v>743</v>
      </c>
      <c r="F4190" s="34">
        <v>750</v>
      </c>
      <c r="G4190" s="34" t="s">
        <v>676</v>
      </c>
      <c r="H4190" s="36">
        <v>63289</v>
      </c>
      <c r="I4190" s="58">
        <v>328258</v>
      </c>
      <c r="J4190">
        <f>IFERROR(VLOOKUP(G4190,'LEAID Match'!$A$2:$B$526,2,FALSE),"")</f>
        <v>2923780</v>
      </c>
      <c r="K4190" s="68">
        <f t="shared" si="131"/>
        <v>8</v>
      </c>
    </row>
    <row r="4191" spans="1:11" x14ac:dyDescent="0.2">
      <c r="A4191">
        <f t="shared" si="130"/>
        <v>2923780</v>
      </c>
      <c r="B4191">
        <v>2022</v>
      </c>
      <c r="C4191" t="s">
        <v>739</v>
      </c>
      <c r="D4191" t="s">
        <v>740</v>
      </c>
      <c r="E4191" t="s">
        <v>743</v>
      </c>
      <c r="F4191" s="34">
        <v>750</v>
      </c>
      <c r="G4191" s="34" t="s">
        <v>676</v>
      </c>
      <c r="H4191" s="36">
        <v>64019</v>
      </c>
      <c r="I4191" s="58">
        <v>309522</v>
      </c>
      <c r="J4191">
        <f>IFERROR(VLOOKUP(G4191,'LEAID Match'!$A$2:$B$526,2,FALSE),"")</f>
        <v>2923780</v>
      </c>
      <c r="K4191" s="68">
        <f t="shared" si="131"/>
        <v>8</v>
      </c>
    </row>
    <row r="4192" spans="1:11" x14ac:dyDescent="0.2">
      <c r="A4192" t="str">
        <f t="shared" si="130"/>
        <v/>
      </c>
      <c r="B4192">
        <v>2015</v>
      </c>
      <c r="C4192" t="s">
        <v>739</v>
      </c>
      <c r="D4192" t="s">
        <v>740</v>
      </c>
      <c r="E4192" t="s">
        <v>743</v>
      </c>
      <c r="F4192" s="41">
        <v>801</v>
      </c>
      <c r="G4192" s="43" t="s">
        <v>474</v>
      </c>
      <c r="H4192" s="55">
        <v>123519</v>
      </c>
      <c r="I4192" s="58">
        <v>1275237</v>
      </c>
      <c r="J4192" t="str">
        <f>IFERROR(VLOOKUP(G4192,'LEAID Match'!$A$2:$B$526,2,FALSE),"")</f>
        <v/>
      </c>
      <c r="K4192" s="68">
        <f t="shared" si="131"/>
        <v>216</v>
      </c>
    </row>
    <row r="4193" spans="1:11" x14ac:dyDescent="0.2">
      <c r="A4193" t="str">
        <f t="shared" si="130"/>
        <v/>
      </c>
      <c r="B4193">
        <v>2016</v>
      </c>
      <c r="C4193" t="s">
        <v>739</v>
      </c>
      <c r="D4193" t="s">
        <v>740</v>
      </c>
      <c r="E4193" t="s">
        <v>743</v>
      </c>
      <c r="F4193" s="34">
        <v>801</v>
      </c>
      <c r="G4193" s="34" t="s">
        <v>474</v>
      </c>
      <c r="H4193" s="36">
        <v>120377</v>
      </c>
      <c r="I4193" s="60">
        <v>1280952</v>
      </c>
      <c r="J4193" t="str">
        <f>IFERROR(VLOOKUP(G4193,'LEAID Match'!$A$2:$B$526,2,FALSE),"")</f>
        <v/>
      </c>
      <c r="K4193" s="68">
        <f t="shared" si="131"/>
        <v>216</v>
      </c>
    </row>
    <row r="4194" spans="1:11" x14ac:dyDescent="0.2">
      <c r="A4194" t="str">
        <f t="shared" si="130"/>
        <v/>
      </c>
      <c r="B4194">
        <v>2017</v>
      </c>
      <c r="C4194" t="s">
        <v>739</v>
      </c>
      <c r="D4194" t="s">
        <v>740</v>
      </c>
      <c r="E4194" t="s">
        <v>743</v>
      </c>
      <c r="F4194" s="34">
        <v>801</v>
      </c>
      <c r="G4194" s="34" t="s">
        <v>474</v>
      </c>
      <c r="H4194" s="36">
        <v>113842</v>
      </c>
      <c r="I4194" s="58">
        <v>1283975</v>
      </c>
      <c r="J4194" t="str">
        <f>IFERROR(VLOOKUP(G4194,'LEAID Match'!$A$2:$B$526,2,FALSE),"")</f>
        <v/>
      </c>
      <c r="K4194" s="68">
        <f t="shared" si="131"/>
        <v>216</v>
      </c>
    </row>
    <row r="4195" spans="1:11" x14ac:dyDescent="0.2">
      <c r="A4195" t="str">
        <f t="shared" si="130"/>
        <v/>
      </c>
      <c r="B4195">
        <v>2018</v>
      </c>
      <c r="C4195" t="s">
        <v>739</v>
      </c>
      <c r="D4195" t="s">
        <v>740</v>
      </c>
      <c r="E4195" t="s">
        <v>743</v>
      </c>
      <c r="F4195" s="34">
        <v>801</v>
      </c>
      <c r="G4195" s="34" t="s">
        <v>474</v>
      </c>
      <c r="H4195" s="36">
        <v>115101</v>
      </c>
      <c r="I4195" s="58">
        <v>1173251</v>
      </c>
      <c r="J4195" t="str">
        <f>IFERROR(VLOOKUP(G4195,'LEAID Match'!$A$2:$B$526,2,FALSE),"")</f>
        <v/>
      </c>
      <c r="K4195" s="68">
        <f t="shared" si="131"/>
        <v>216</v>
      </c>
    </row>
    <row r="4196" spans="1:11" x14ac:dyDescent="0.2">
      <c r="A4196" t="str">
        <f t="shared" si="130"/>
        <v/>
      </c>
      <c r="B4196">
        <v>2019</v>
      </c>
      <c r="C4196" t="s">
        <v>739</v>
      </c>
      <c r="D4196" t="s">
        <v>740</v>
      </c>
      <c r="E4196" t="s">
        <v>743</v>
      </c>
      <c r="F4196" s="34">
        <v>801</v>
      </c>
      <c r="G4196" s="34" t="s">
        <v>474</v>
      </c>
      <c r="H4196" s="36">
        <v>138010</v>
      </c>
      <c r="I4196" s="58">
        <v>1113906</v>
      </c>
      <c r="J4196" t="str">
        <f>IFERROR(VLOOKUP(G4196,'LEAID Match'!$A$2:$B$526,2,FALSE),"")</f>
        <v/>
      </c>
      <c r="K4196" s="68">
        <f t="shared" si="131"/>
        <v>216</v>
      </c>
    </row>
    <row r="4197" spans="1:11" x14ac:dyDescent="0.2">
      <c r="A4197" t="str">
        <f t="shared" si="130"/>
        <v/>
      </c>
      <c r="B4197">
        <v>2020</v>
      </c>
      <c r="C4197" t="s">
        <v>739</v>
      </c>
      <c r="D4197" t="s">
        <v>740</v>
      </c>
      <c r="E4197" t="s">
        <v>743</v>
      </c>
      <c r="F4197" s="34">
        <v>801</v>
      </c>
      <c r="G4197" s="34" t="s">
        <v>474</v>
      </c>
      <c r="H4197" s="36">
        <v>138538</v>
      </c>
      <c r="I4197" s="58">
        <v>1161054</v>
      </c>
      <c r="J4197" t="str">
        <f>IFERROR(VLOOKUP(G4197,'LEAID Match'!$A$2:$B$526,2,FALSE),"")</f>
        <v/>
      </c>
      <c r="K4197" s="68">
        <f t="shared" si="131"/>
        <v>216</v>
      </c>
    </row>
    <row r="4198" spans="1:11" x14ac:dyDescent="0.2">
      <c r="A4198" t="str">
        <f t="shared" si="130"/>
        <v/>
      </c>
      <c r="B4198">
        <v>2021</v>
      </c>
      <c r="C4198" t="s">
        <v>739</v>
      </c>
      <c r="D4198" t="s">
        <v>740</v>
      </c>
      <c r="E4198" t="s">
        <v>743</v>
      </c>
      <c r="F4198" s="34">
        <v>801</v>
      </c>
      <c r="G4198" s="34" t="s">
        <v>474</v>
      </c>
      <c r="H4198" s="36">
        <v>129994</v>
      </c>
      <c r="I4198" s="58">
        <v>1170257</v>
      </c>
      <c r="J4198" t="str">
        <f>IFERROR(VLOOKUP(G4198,'LEAID Match'!$A$2:$B$526,2,FALSE),"")</f>
        <v/>
      </c>
      <c r="K4198" s="68">
        <f t="shared" si="131"/>
        <v>216</v>
      </c>
    </row>
    <row r="4199" spans="1:11" x14ac:dyDescent="0.2">
      <c r="A4199" t="str">
        <f t="shared" si="130"/>
        <v/>
      </c>
      <c r="B4199">
        <v>2022</v>
      </c>
      <c r="C4199" t="s">
        <v>739</v>
      </c>
      <c r="D4199" t="s">
        <v>740</v>
      </c>
      <c r="E4199" t="s">
        <v>743</v>
      </c>
      <c r="F4199" s="34">
        <v>801</v>
      </c>
      <c r="G4199" s="34" t="s">
        <v>474</v>
      </c>
      <c r="H4199" s="36">
        <v>124978</v>
      </c>
      <c r="I4199" s="58">
        <v>1099290</v>
      </c>
      <c r="J4199" t="str">
        <f>IFERROR(VLOOKUP(G4199,'LEAID Match'!$A$2:$B$526,2,FALSE),"")</f>
        <v/>
      </c>
      <c r="K4199" s="68">
        <f t="shared" si="131"/>
        <v>216</v>
      </c>
    </row>
    <row r="4200" spans="1:11" x14ac:dyDescent="0.2">
      <c r="A4200" t="str">
        <f t="shared" si="130"/>
        <v/>
      </c>
      <c r="B4200">
        <v>2015</v>
      </c>
      <c r="C4200" t="s">
        <v>739</v>
      </c>
      <c r="D4200" t="s">
        <v>740</v>
      </c>
      <c r="E4200" t="s">
        <v>743</v>
      </c>
      <c r="F4200" s="41">
        <v>802</v>
      </c>
      <c r="G4200" s="42" t="s">
        <v>532</v>
      </c>
      <c r="H4200" s="55">
        <v>217873</v>
      </c>
      <c r="I4200" s="58">
        <v>1209650</v>
      </c>
      <c r="J4200" t="str">
        <f>IFERROR(VLOOKUP(G4200,'LEAID Match'!$A$2:$B$526,2,FALSE),"")</f>
        <v/>
      </c>
      <c r="K4200" s="68">
        <f t="shared" si="131"/>
        <v>216</v>
      </c>
    </row>
    <row r="4201" spans="1:11" x14ac:dyDescent="0.2">
      <c r="A4201" t="str">
        <f t="shared" si="130"/>
        <v/>
      </c>
      <c r="B4201">
        <v>2016</v>
      </c>
      <c r="C4201" t="s">
        <v>739</v>
      </c>
      <c r="D4201" t="s">
        <v>740</v>
      </c>
      <c r="E4201" t="s">
        <v>743</v>
      </c>
      <c r="F4201" s="34">
        <v>802</v>
      </c>
      <c r="G4201" s="34" t="s">
        <v>677</v>
      </c>
      <c r="H4201" s="36">
        <v>205400</v>
      </c>
      <c r="I4201" s="60">
        <v>1214804</v>
      </c>
      <c r="J4201" t="str">
        <f>IFERROR(VLOOKUP(G4201,'LEAID Match'!$A$2:$B$526,2,FALSE),"")</f>
        <v/>
      </c>
      <c r="K4201" s="68">
        <f t="shared" si="131"/>
        <v>216</v>
      </c>
    </row>
    <row r="4202" spans="1:11" x14ac:dyDescent="0.2">
      <c r="A4202" t="str">
        <f t="shared" si="130"/>
        <v/>
      </c>
      <c r="B4202">
        <v>2017</v>
      </c>
      <c r="C4202" t="s">
        <v>739</v>
      </c>
      <c r="D4202" t="s">
        <v>740</v>
      </c>
      <c r="E4202" t="s">
        <v>743</v>
      </c>
      <c r="F4202" s="34">
        <v>802</v>
      </c>
      <c r="G4202" s="34" t="s">
        <v>677</v>
      </c>
      <c r="H4202" s="36">
        <v>207907</v>
      </c>
      <c r="I4202" s="58">
        <v>1285971</v>
      </c>
      <c r="J4202" t="str">
        <f>IFERROR(VLOOKUP(G4202,'LEAID Match'!$A$2:$B$526,2,FALSE),"")</f>
        <v/>
      </c>
      <c r="K4202" s="68">
        <f t="shared" si="131"/>
        <v>216</v>
      </c>
    </row>
    <row r="4203" spans="1:11" x14ac:dyDescent="0.2">
      <c r="A4203" t="str">
        <f t="shared" si="130"/>
        <v/>
      </c>
      <c r="B4203">
        <v>2018</v>
      </c>
      <c r="C4203" t="s">
        <v>739</v>
      </c>
      <c r="D4203" t="s">
        <v>740</v>
      </c>
      <c r="E4203" t="s">
        <v>743</v>
      </c>
      <c r="F4203" s="34">
        <v>802</v>
      </c>
      <c r="G4203" s="34" t="s">
        <v>677</v>
      </c>
      <c r="H4203" s="36">
        <v>200936</v>
      </c>
      <c r="I4203" s="58">
        <v>1225946</v>
      </c>
      <c r="J4203" t="str">
        <f>IFERROR(VLOOKUP(G4203,'LEAID Match'!$A$2:$B$526,2,FALSE),"")</f>
        <v/>
      </c>
      <c r="K4203" s="68">
        <f t="shared" si="131"/>
        <v>216</v>
      </c>
    </row>
    <row r="4204" spans="1:11" x14ac:dyDescent="0.2">
      <c r="A4204" t="str">
        <f t="shared" si="130"/>
        <v/>
      </c>
      <c r="B4204">
        <v>2019</v>
      </c>
      <c r="C4204" t="s">
        <v>739</v>
      </c>
      <c r="D4204" t="s">
        <v>740</v>
      </c>
      <c r="E4204" t="s">
        <v>743</v>
      </c>
      <c r="F4204" s="34">
        <v>802</v>
      </c>
      <c r="G4204" s="34" t="s">
        <v>677</v>
      </c>
      <c r="H4204" s="36">
        <v>204767</v>
      </c>
      <c r="I4204" s="58">
        <v>1230157</v>
      </c>
      <c r="J4204" t="str">
        <f>IFERROR(VLOOKUP(G4204,'LEAID Match'!$A$2:$B$526,2,FALSE),"")</f>
        <v/>
      </c>
      <c r="K4204" s="68">
        <f t="shared" si="131"/>
        <v>216</v>
      </c>
    </row>
    <row r="4205" spans="1:11" x14ac:dyDescent="0.2">
      <c r="A4205" t="str">
        <f t="shared" si="130"/>
        <v/>
      </c>
      <c r="B4205">
        <v>2020</v>
      </c>
      <c r="C4205" t="s">
        <v>739</v>
      </c>
      <c r="D4205" t="s">
        <v>740</v>
      </c>
      <c r="E4205" t="s">
        <v>743</v>
      </c>
      <c r="F4205" s="34">
        <v>802</v>
      </c>
      <c r="G4205" s="34" t="s">
        <v>677</v>
      </c>
      <c r="H4205" s="36">
        <v>202498</v>
      </c>
      <c r="I4205" s="58">
        <v>1239815</v>
      </c>
      <c r="J4205" t="str">
        <f>IFERROR(VLOOKUP(G4205,'LEAID Match'!$A$2:$B$526,2,FALSE),"")</f>
        <v/>
      </c>
      <c r="K4205" s="68">
        <f t="shared" si="131"/>
        <v>216</v>
      </c>
    </row>
    <row r="4206" spans="1:11" x14ac:dyDescent="0.2">
      <c r="A4206" t="str">
        <f t="shared" si="130"/>
        <v/>
      </c>
      <c r="B4206">
        <v>2021</v>
      </c>
      <c r="C4206" t="s">
        <v>739</v>
      </c>
      <c r="D4206" t="s">
        <v>740</v>
      </c>
      <c r="E4206" t="s">
        <v>743</v>
      </c>
      <c r="F4206" s="34">
        <v>802</v>
      </c>
      <c r="G4206" s="34" t="s">
        <v>677</v>
      </c>
      <c r="H4206" s="36">
        <v>209489</v>
      </c>
      <c r="I4206" s="58">
        <v>1277181</v>
      </c>
      <c r="J4206" t="str">
        <f>IFERROR(VLOOKUP(G4206,'LEAID Match'!$A$2:$B$526,2,FALSE),"")</f>
        <v/>
      </c>
      <c r="K4206" s="68">
        <f t="shared" si="131"/>
        <v>216</v>
      </c>
    </row>
    <row r="4207" spans="1:11" x14ac:dyDescent="0.2">
      <c r="A4207" t="str">
        <f t="shared" si="130"/>
        <v/>
      </c>
      <c r="B4207">
        <v>2022</v>
      </c>
      <c r="C4207" t="s">
        <v>739</v>
      </c>
      <c r="D4207" t="s">
        <v>740</v>
      </c>
      <c r="E4207" t="s">
        <v>743</v>
      </c>
      <c r="F4207" s="34">
        <v>802</v>
      </c>
      <c r="G4207" s="34" t="s">
        <v>677</v>
      </c>
      <c r="H4207" s="36">
        <v>241639</v>
      </c>
      <c r="I4207" s="58">
        <v>1398542</v>
      </c>
      <c r="J4207" t="str">
        <f>IFERROR(VLOOKUP(G4207,'LEAID Match'!$A$2:$B$526,2,FALSE),"")</f>
        <v/>
      </c>
      <c r="K4207" s="68">
        <f t="shared" si="131"/>
        <v>216</v>
      </c>
    </row>
    <row r="4208" spans="1:11" x14ac:dyDescent="0.2">
      <c r="A4208" t="str">
        <f t="shared" si="130"/>
        <v/>
      </c>
      <c r="B4208">
        <v>2015</v>
      </c>
      <c r="C4208" t="s">
        <v>739</v>
      </c>
      <c r="D4208" t="s">
        <v>740</v>
      </c>
      <c r="E4208" t="s">
        <v>743</v>
      </c>
      <c r="F4208" s="41">
        <v>803</v>
      </c>
      <c r="G4208" s="43" t="s">
        <v>475</v>
      </c>
      <c r="H4208" s="54">
        <v>2123413</v>
      </c>
      <c r="I4208" s="58">
        <v>4159289</v>
      </c>
      <c r="J4208" t="str">
        <f>IFERROR(VLOOKUP(G4208,'LEAID Match'!$A$2:$B$526,2,FALSE),"")</f>
        <v/>
      </c>
      <c r="K4208" s="68">
        <f t="shared" si="131"/>
        <v>216</v>
      </c>
    </row>
    <row r="4209" spans="1:11" x14ac:dyDescent="0.2">
      <c r="A4209" t="str">
        <f t="shared" si="130"/>
        <v/>
      </c>
      <c r="B4209">
        <v>2016</v>
      </c>
      <c r="C4209" t="s">
        <v>739</v>
      </c>
      <c r="D4209" t="s">
        <v>740</v>
      </c>
      <c r="E4209" t="s">
        <v>743</v>
      </c>
      <c r="F4209" s="34">
        <v>803</v>
      </c>
      <c r="G4209" s="34" t="s">
        <v>475</v>
      </c>
      <c r="H4209" s="36">
        <v>2040287</v>
      </c>
      <c r="I4209" s="60">
        <v>4242915</v>
      </c>
      <c r="J4209" t="str">
        <f>IFERROR(VLOOKUP(G4209,'LEAID Match'!$A$2:$B$526,2,FALSE),"")</f>
        <v/>
      </c>
      <c r="K4209" s="68">
        <f t="shared" si="131"/>
        <v>216</v>
      </c>
    </row>
    <row r="4210" spans="1:11" x14ac:dyDescent="0.2">
      <c r="A4210" t="str">
        <f t="shared" si="130"/>
        <v/>
      </c>
      <c r="B4210">
        <v>2017</v>
      </c>
      <c r="C4210" t="s">
        <v>739</v>
      </c>
      <c r="D4210" t="s">
        <v>740</v>
      </c>
      <c r="E4210" t="s">
        <v>743</v>
      </c>
      <c r="F4210" s="34">
        <v>803</v>
      </c>
      <c r="G4210" s="34" t="s">
        <v>475</v>
      </c>
      <c r="H4210" s="36">
        <v>2097934</v>
      </c>
      <c r="I4210" s="58">
        <v>4377884</v>
      </c>
      <c r="J4210" t="str">
        <f>IFERROR(VLOOKUP(G4210,'LEAID Match'!$A$2:$B$526,2,FALSE),"")</f>
        <v/>
      </c>
      <c r="K4210" s="68">
        <f t="shared" si="131"/>
        <v>216</v>
      </c>
    </row>
    <row r="4211" spans="1:11" x14ac:dyDescent="0.2">
      <c r="A4211" t="str">
        <f t="shared" si="130"/>
        <v/>
      </c>
      <c r="B4211">
        <v>2018</v>
      </c>
      <c r="C4211" t="s">
        <v>739</v>
      </c>
      <c r="D4211" t="s">
        <v>740</v>
      </c>
      <c r="E4211" t="s">
        <v>743</v>
      </c>
      <c r="F4211" s="34">
        <v>803</v>
      </c>
      <c r="G4211" s="34" t="s">
        <v>475</v>
      </c>
      <c r="H4211" s="36">
        <v>2075850</v>
      </c>
      <c r="I4211" s="58">
        <v>4417861</v>
      </c>
      <c r="J4211" t="str">
        <f>IFERROR(VLOOKUP(G4211,'LEAID Match'!$A$2:$B$526,2,FALSE),"")</f>
        <v/>
      </c>
      <c r="K4211" s="68">
        <f t="shared" si="131"/>
        <v>216</v>
      </c>
    </row>
    <row r="4212" spans="1:11" x14ac:dyDescent="0.2">
      <c r="A4212" t="str">
        <f t="shared" si="130"/>
        <v/>
      </c>
      <c r="B4212">
        <v>2019</v>
      </c>
      <c r="C4212" t="s">
        <v>739</v>
      </c>
      <c r="D4212" t="s">
        <v>740</v>
      </c>
      <c r="E4212" t="s">
        <v>743</v>
      </c>
      <c r="F4212" s="34">
        <v>803</v>
      </c>
      <c r="G4212" s="34" t="s">
        <v>475</v>
      </c>
      <c r="H4212" s="36">
        <v>2073906</v>
      </c>
      <c r="I4212" s="58">
        <v>4457300</v>
      </c>
      <c r="J4212" t="str">
        <f>IFERROR(VLOOKUP(G4212,'LEAID Match'!$A$2:$B$526,2,FALSE),"")</f>
        <v/>
      </c>
      <c r="K4212" s="68">
        <f t="shared" si="131"/>
        <v>216</v>
      </c>
    </row>
    <row r="4213" spans="1:11" x14ac:dyDescent="0.2">
      <c r="A4213" t="str">
        <f t="shared" si="130"/>
        <v/>
      </c>
      <c r="B4213">
        <v>2020</v>
      </c>
      <c r="C4213" t="s">
        <v>739</v>
      </c>
      <c r="D4213" t="s">
        <v>740</v>
      </c>
      <c r="E4213" t="s">
        <v>743</v>
      </c>
      <c r="F4213" s="34">
        <v>803</v>
      </c>
      <c r="G4213" s="34" t="s">
        <v>475</v>
      </c>
      <c r="H4213" s="36">
        <v>2082455</v>
      </c>
      <c r="I4213" s="58">
        <v>4652093</v>
      </c>
      <c r="J4213" t="str">
        <f>IFERROR(VLOOKUP(G4213,'LEAID Match'!$A$2:$B$526,2,FALSE),"")</f>
        <v/>
      </c>
      <c r="K4213" s="68">
        <f t="shared" si="131"/>
        <v>216</v>
      </c>
    </row>
    <row r="4214" spans="1:11" x14ac:dyDescent="0.2">
      <c r="A4214" t="str">
        <f t="shared" si="130"/>
        <v/>
      </c>
      <c r="B4214">
        <v>2021</v>
      </c>
      <c r="C4214" t="s">
        <v>739</v>
      </c>
      <c r="D4214" t="s">
        <v>740</v>
      </c>
      <c r="E4214" t="s">
        <v>743</v>
      </c>
      <c r="F4214" s="34">
        <v>803</v>
      </c>
      <c r="G4214" s="34" t="s">
        <v>475</v>
      </c>
      <c r="H4214" s="36">
        <v>2024411</v>
      </c>
      <c r="I4214" s="58">
        <v>4721345</v>
      </c>
      <c r="J4214" t="str">
        <f>IFERROR(VLOOKUP(G4214,'LEAID Match'!$A$2:$B$526,2,FALSE),"")</f>
        <v/>
      </c>
      <c r="K4214" s="68">
        <f t="shared" si="131"/>
        <v>216</v>
      </c>
    </row>
    <row r="4215" spans="1:11" x14ac:dyDescent="0.2">
      <c r="A4215" t="str">
        <f t="shared" si="130"/>
        <v/>
      </c>
      <c r="B4215">
        <v>2022</v>
      </c>
      <c r="C4215" t="s">
        <v>739</v>
      </c>
      <c r="D4215" t="s">
        <v>740</v>
      </c>
      <c r="E4215" t="s">
        <v>743</v>
      </c>
      <c r="F4215" s="34">
        <v>803</v>
      </c>
      <c r="G4215" s="34" t="s">
        <v>475</v>
      </c>
      <c r="H4215" s="36">
        <v>1937802</v>
      </c>
      <c r="I4215" s="58">
        <v>4568751</v>
      </c>
      <c r="J4215" t="str">
        <f>IFERROR(VLOOKUP(G4215,'LEAID Match'!$A$2:$B$526,2,FALSE),"")</f>
        <v/>
      </c>
      <c r="K4215" s="68">
        <f t="shared" si="131"/>
        <v>216</v>
      </c>
    </row>
    <row r="4216" spans="1:11" x14ac:dyDescent="0.2">
      <c r="A4216">
        <f t="shared" si="130"/>
        <v>2900006</v>
      </c>
      <c r="B4216">
        <v>2015</v>
      </c>
      <c r="C4216" t="s">
        <v>739</v>
      </c>
      <c r="D4216" t="s">
        <v>740</v>
      </c>
      <c r="E4216" t="s">
        <v>743</v>
      </c>
      <c r="F4216" s="41">
        <v>805</v>
      </c>
      <c r="G4216" s="42" t="s">
        <v>533</v>
      </c>
      <c r="H4216" s="55">
        <v>434618</v>
      </c>
      <c r="I4216" s="58">
        <v>1704191</v>
      </c>
      <c r="J4216">
        <f>IFERROR(VLOOKUP(G4216,'LEAID Match'!$A$2:$B$526,2,FALSE),"")</f>
        <v>2900006</v>
      </c>
      <c r="K4216" s="68">
        <f t="shared" si="131"/>
        <v>8</v>
      </c>
    </row>
    <row r="4217" spans="1:11" x14ac:dyDescent="0.2">
      <c r="A4217">
        <f t="shared" si="130"/>
        <v>2900006</v>
      </c>
      <c r="B4217">
        <v>2016</v>
      </c>
      <c r="C4217" t="s">
        <v>739</v>
      </c>
      <c r="D4217" t="s">
        <v>740</v>
      </c>
      <c r="E4217" t="s">
        <v>743</v>
      </c>
      <c r="F4217" s="34">
        <v>805</v>
      </c>
      <c r="G4217" s="34" t="s">
        <v>678</v>
      </c>
      <c r="H4217" s="36">
        <v>467630</v>
      </c>
      <c r="I4217" s="60">
        <v>1772351</v>
      </c>
      <c r="J4217">
        <f>IFERROR(VLOOKUP(G4217,'LEAID Match'!$A$2:$B$526,2,FALSE),"")</f>
        <v>2900006</v>
      </c>
      <c r="K4217" s="68">
        <f t="shared" si="131"/>
        <v>8</v>
      </c>
    </row>
    <row r="4218" spans="1:11" x14ac:dyDescent="0.2">
      <c r="A4218">
        <f t="shared" si="130"/>
        <v>2900006</v>
      </c>
      <c r="B4218">
        <v>2017</v>
      </c>
      <c r="C4218" t="s">
        <v>739</v>
      </c>
      <c r="D4218" t="s">
        <v>740</v>
      </c>
      <c r="E4218" t="s">
        <v>743</v>
      </c>
      <c r="F4218" s="34">
        <v>805</v>
      </c>
      <c r="G4218" s="34" t="s">
        <v>678</v>
      </c>
      <c r="H4218" s="36">
        <v>440271</v>
      </c>
      <c r="I4218" s="58">
        <v>1791021</v>
      </c>
      <c r="J4218">
        <f>IFERROR(VLOOKUP(G4218,'LEAID Match'!$A$2:$B$526,2,FALSE),"")</f>
        <v>2900006</v>
      </c>
      <c r="K4218" s="68">
        <f t="shared" si="131"/>
        <v>8</v>
      </c>
    </row>
    <row r="4219" spans="1:11" x14ac:dyDescent="0.2">
      <c r="A4219">
        <f t="shared" si="130"/>
        <v>2900006</v>
      </c>
      <c r="B4219">
        <v>2018</v>
      </c>
      <c r="C4219" t="s">
        <v>739</v>
      </c>
      <c r="D4219" t="s">
        <v>740</v>
      </c>
      <c r="E4219" t="s">
        <v>743</v>
      </c>
      <c r="F4219" s="34">
        <v>805</v>
      </c>
      <c r="G4219" s="34" t="s">
        <v>678</v>
      </c>
      <c r="H4219" s="36">
        <v>422062</v>
      </c>
      <c r="I4219" s="58">
        <v>1754249</v>
      </c>
      <c r="J4219">
        <f>IFERROR(VLOOKUP(G4219,'LEAID Match'!$A$2:$B$526,2,FALSE),"")</f>
        <v>2900006</v>
      </c>
      <c r="K4219" s="68">
        <f t="shared" si="131"/>
        <v>8</v>
      </c>
    </row>
    <row r="4220" spans="1:11" x14ac:dyDescent="0.2">
      <c r="A4220">
        <f t="shared" si="130"/>
        <v>2900006</v>
      </c>
      <c r="B4220">
        <v>2019</v>
      </c>
      <c r="C4220" t="s">
        <v>739</v>
      </c>
      <c r="D4220" t="s">
        <v>740</v>
      </c>
      <c r="E4220" t="s">
        <v>743</v>
      </c>
      <c r="F4220" s="34">
        <v>805</v>
      </c>
      <c r="G4220" s="34" t="s">
        <v>678</v>
      </c>
      <c r="H4220" s="36">
        <v>442074</v>
      </c>
      <c r="I4220" s="58">
        <v>1701859</v>
      </c>
      <c r="J4220">
        <f>IFERROR(VLOOKUP(G4220,'LEAID Match'!$A$2:$B$526,2,FALSE),"")</f>
        <v>2900006</v>
      </c>
      <c r="K4220" s="68">
        <f t="shared" si="131"/>
        <v>8</v>
      </c>
    </row>
    <row r="4221" spans="1:11" x14ac:dyDescent="0.2">
      <c r="A4221">
        <f t="shared" si="130"/>
        <v>2900006</v>
      </c>
      <c r="B4221">
        <v>2020</v>
      </c>
      <c r="C4221" t="s">
        <v>739</v>
      </c>
      <c r="D4221" t="s">
        <v>740</v>
      </c>
      <c r="E4221" t="s">
        <v>743</v>
      </c>
      <c r="F4221" s="34">
        <v>805</v>
      </c>
      <c r="G4221" s="34" t="s">
        <v>678</v>
      </c>
      <c r="H4221" s="36">
        <v>453895</v>
      </c>
      <c r="I4221" s="58">
        <v>1740132</v>
      </c>
      <c r="J4221">
        <f>IFERROR(VLOOKUP(G4221,'LEAID Match'!$A$2:$B$526,2,FALSE),"")</f>
        <v>2900006</v>
      </c>
      <c r="K4221" s="68">
        <f t="shared" si="131"/>
        <v>8</v>
      </c>
    </row>
    <row r="4222" spans="1:11" x14ac:dyDescent="0.2">
      <c r="A4222">
        <f t="shared" si="130"/>
        <v>2900006</v>
      </c>
      <c r="B4222">
        <v>2021</v>
      </c>
      <c r="C4222" t="s">
        <v>739</v>
      </c>
      <c r="D4222" t="s">
        <v>740</v>
      </c>
      <c r="E4222" t="s">
        <v>743</v>
      </c>
      <c r="F4222" s="34">
        <v>805</v>
      </c>
      <c r="G4222" s="34" t="s">
        <v>678</v>
      </c>
      <c r="H4222" s="36">
        <v>459838</v>
      </c>
      <c r="I4222" s="58">
        <v>1674836</v>
      </c>
      <c r="J4222">
        <f>IFERROR(VLOOKUP(G4222,'LEAID Match'!$A$2:$B$526,2,FALSE),"")</f>
        <v>2900006</v>
      </c>
      <c r="K4222" s="68">
        <f t="shared" si="131"/>
        <v>8</v>
      </c>
    </row>
    <row r="4223" spans="1:11" x14ac:dyDescent="0.2">
      <c r="A4223">
        <f t="shared" si="130"/>
        <v>2900006</v>
      </c>
      <c r="B4223">
        <v>2022</v>
      </c>
      <c r="C4223" t="s">
        <v>739</v>
      </c>
      <c r="D4223" t="s">
        <v>740</v>
      </c>
      <c r="E4223" t="s">
        <v>743</v>
      </c>
      <c r="F4223" s="34">
        <v>805</v>
      </c>
      <c r="G4223" s="34" t="s">
        <v>678</v>
      </c>
      <c r="H4223" s="36">
        <v>500395</v>
      </c>
      <c r="I4223" s="58">
        <v>1769446</v>
      </c>
      <c r="J4223">
        <f>IFERROR(VLOOKUP(G4223,'LEAID Match'!$A$2:$B$526,2,FALSE),"")</f>
        <v>2900006</v>
      </c>
      <c r="K4223" s="68">
        <f t="shared" si="131"/>
        <v>8</v>
      </c>
    </row>
    <row r="4224" spans="1:11" x14ac:dyDescent="0.2">
      <c r="A4224">
        <f t="shared" si="130"/>
        <v>2900007</v>
      </c>
      <c r="B4224">
        <v>2015</v>
      </c>
      <c r="C4224" t="s">
        <v>739</v>
      </c>
      <c r="D4224" t="s">
        <v>740</v>
      </c>
      <c r="E4224" t="s">
        <v>743</v>
      </c>
      <c r="F4224" s="41">
        <v>806</v>
      </c>
      <c r="G4224" s="43" t="s">
        <v>476</v>
      </c>
      <c r="H4224" s="54">
        <v>245367</v>
      </c>
      <c r="I4224" s="58">
        <v>2003943</v>
      </c>
      <c r="J4224">
        <f>IFERROR(VLOOKUP(G4224,'LEAID Match'!$A$2:$B$526,2,FALSE),"")</f>
        <v>2900007</v>
      </c>
      <c r="K4224" s="68">
        <f t="shared" si="131"/>
        <v>8</v>
      </c>
    </row>
    <row r="4225" spans="1:11" x14ac:dyDescent="0.2">
      <c r="A4225">
        <f t="shared" si="130"/>
        <v>2900007</v>
      </c>
      <c r="B4225">
        <v>2016</v>
      </c>
      <c r="C4225" t="s">
        <v>739</v>
      </c>
      <c r="D4225" t="s">
        <v>740</v>
      </c>
      <c r="E4225" t="s">
        <v>743</v>
      </c>
      <c r="F4225" s="34">
        <v>806</v>
      </c>
      <c r="G4225" s="34" t="s">
        <v>476</v>
      </c>
      <c r="H4225" s="36">
        <v>232807</v>
      </c>
      <c r="I4225" s="60">
        <v>1973261</v>
      </c>
      <c r="J4225">
        <f>IFERROR(VLOOKUP(G4225,'LEAID Match'!$A$2:$B$526,2,FALSE),"")</f>
        <v>2900007</v>
      </c>
      <c r="K4225" s="68">
        <f t="shared" si="131"/>
        <v>8</v>
      </c>
    </row>
    <row r="4226" spans="1:11" x14ac:dyDescent="0.2">
      <c r="A4226">
        <f t="shared" si="130"/>
        <v>2900007</v>
      </c>
      <c r="B4226">
        <v>2017</v>
      </c>
      <c r="C4226" t="s">
        <v>739</v>
      </c>
      <c r="D4226" t="s">
        <v>740</v>
      </c>
      <c r="E4226" t="s">
        <v>743</v>
      </c>
      <c r="F4226" s="34">
        <v>806</v>
      </c>
      <c r="G4226" s="34" t="s">
        <v>476</v>
      </c>
      <c r="H4226" s="36">
        <v>226632</v>
      </c>
      <c r="I4226" s="58">
        <v>2030852</v>
      </c>
      <c r="J4226">
        <f>IFERROR(VLOOKUP(G4226,'LEAID Match'!$A$2:$B$526,2,FALSE),"")</f>
        <v>2900007</v>
      </c>
      <c r="K4226" s="68">
        <f t="shared" si="131"/>
        <v>8</v>
      </c>
    </row>
    <row r="4227" spans="1:11" x14ac:dyDescent="0.2">
      <c r="A4227">
        <f t="shared" ref="A4227:A4290" si="132">J4227</f>
        <v>2900007</v>
      </c>
      <c r="B4227">
        <v>2018</v>
      </c>
      <c r="C4227" t="s">
        <v>739</v>
      </c>
      <c r="D4227" t="s">
        <v>740</v>
      </c>
      <c r="E4227" t="s">
        <v>743</v>
      </c>
      <c r="F4227" s="34">
        <v>806</v>
      </c>
      <c r="G4227" s="34" t="s">
        <v>476</v>
      </c>
      <c r="H4227" s="36">
        <v>216765</v>
      </c>
      <c r="I4227" s="58">
        <v>2044877</v>
      </c>
      <c r="J4227">
        <f>IFERROR(VLOOKUP(G4227,'LEAID Match'!$A$2:$B$526,2,FALSE),"")</f>
        <v>2900007</v>
      </c>
      <c r="K4227" s="68">
        <f t="shared" ref="K4227:K4290" si="133">COUNTIF($J$2:$J$4295,J4227)</f>
        <v>8</v>
      </c>
    </row>
    <row r="4228" spans="1:11" x14ac:dyDescent="0.2">
      <c r="A4228">
        <f t="shared" si="132"/>
        <v>2900007</v>
      </c>
      <c r="B4228">
        <v>2019</v>
      </c>
      <c r="C4228" t="s">
        <v>739</v>
      </c>
      <c r="D4228" t="s">
        <v>740</v>
      </c>
      <c r="E4228" t="s">
        <v>743</v>
      </c>
      <c r="F4228" s="34">
        <v>806</v>
      </c>
      <c r="G4228" s="34" t="s">
        <v>476</v>
      </c>
      <c r="H4228" s="36">
        <v>227272</v>
      </c>
      <c r="I4228" s="58">
        <v>2097954</v>
      </c>
      <c r="J4228">
        <f>IFERROR(VLOOKUP(G4228,'LEAID Match'!$A$2:$B$526,2,FALSE),"")</f>
        <v>2900007</v>
      </c>
      <c r="K4228" s="68">
        <f t="shared" si="133"/>
        <v>8</v>
      </c>
    </row>
    <row r="4229" spans="1:11" x14ac:dyDescent="0.2">
      <c r="A4229">
        <f t="shared" si="132"/>
        <v>2900007</v>
      </c>
      <c r="B4229">
        <v>2020</v>
      </c>
      <c r="C4229" t="s">
        <v>739</v>
      </c>
      <c r="D4229" t="s">
        <v>740</v>
      </c>
      <c r="E4229" t="s">
        <v>743</v>
      </c>
      <c r="F4229" s="34">
        <v>806</v>
      </c>
      <c r="G4229" s="34" t="s">
        <v>476</v>
      </c>
      <c r="H4229" s="36">
        <v>209267</v>
      </c>
      <c r="I4229" s="58">
        <v>2221375</v>
      </c>
      <c r="J4229">
        <f>IFERROR(VLOOKUP(G4229,'LEAID Match'!$A$2:$B$526,2,FALSE),"")</f>
        <v>2900007</v>
      </c>
      <c r="K4229" s="68">
        <f t="shared" si="133"/>
        <v>8</v>
      </c>
    </row>
    <row r="4230" spans="1:11" x14ac:dyDescent="0.2">
      <c r="A4230">
        <f t="shared" si="132"/>
        <v>2900007</v>
      </c>
      <c r="B4230">
        <v>2021</v>
      </c>
      <c r="C4230" t="s">
        <v>739</v>
      </c>
      <c r="D4230" t="s">
        <v>740</v>
      </c>
      <c r="E4230" t="s">
        <v>743</v>
      </c>
      <c r="F4230" s="34">
        <v>806</v>
      </c>
      <c r="G4230" s="34" t="s">
        <v>476</v>
      </c>
      <c r="H4230" s="36">
        <v>201778</v>
      </c>
      <c r="I4230" s="58">
        <v>2188407</v>
      </c>
      <c r="J4230">
        <f>IFERROR(VLOOKUP(G4230,'LEAID Match'!$A$2:$B$526,2,FALSE),"")</f>
        <v>2900007</v>
      </c>
      <c r="K4230" s="68">
        <f t="shared" si="133"/>
        <v>8</v>
      </c>
    </row>
    <row r="4231" spans="1:11" x14ac:dyDescent="0.2">
      <c r="A4231">
        <f t="shared" si="132"/>
        <v>2900007</v>
      </c>
      <c r="B4231">
        <v>2022</v>
      </c>
      <c r="C4231" t="s">
        <v>739</v>
      </c>
      <c r="D4231" t="s">
        <v>740</v>
      </c>
      <c r="E4231" t="s">
        <v>743</v>
      </c>
      <c r="F4231" s="34">
        <v>806</v>
      </c>
      <c r="G4231" s="34" t="s">
        <v>476</v>
      </c>
      <c r="H4231" s="36">
        <v>208398</v>
      </c>
      <c r="I4231" s="58">
        <v>2269739</v>
      </c>
      <c r="J4231">
        <f>IFERROR(VLOOKUP(G4231,'LEAID Match'!$A$2:$B$526,2,FALSE),"")</f>
        <v>2900007</v>
      </c>
      <c r="K4231" s="68">
        <f t="shared" si="133"/>
        <v>8</v>
      </c>
    </row>
    <row r="4232" spans="1:11" x14ac:dyDescent="0.2">
      <c r="A4232">
        <f t="shared" si="132"/>
        <v>2900005</v>
      </c>
      <c r="B4232">
        <v>2015</v>
      </c>
      <c r="C4232" t="s">
        <v>739</v>
      </c>
      <c r="D4232" t="s">
        <v>740</v>
      </c>
      <c r="E4232" t="s">
        <v>743</v>
      </c>
      <c r="F4232" s="41">
        <v>807</v>
      </c>
      <c r="G4232" s="42" t="s">
        <v>534</v>
      </c>
      <c r="H4232" s="55">
        <v>180322</v>
      </c>
      <c r="I4232" s="58">
        <v>1563698</v>
      </c>
      <c r="J4232">
        <f>IFERROR(VLOOKUP(G4232,'LEAID Match'!$A$2:$B$526,2,FALSE),"")</f>
        <v>2900005</v>
      </c>
      <c r="K4232" s="68">
        <f t="shared" si="133"/>
        <v>8</v>
      </c>
    </row>
    <row r="4233" spans="1:11" x14ac:dyDescent="0.2">
      <c r="A4233">
        <f t="shared" si="132"/>
        <v>2900005</v>
      </c>
      <c r="B4233">
        <v>2016</v>
      </c>
      <c r="C4233" t="s">
        <v>739</v>
      </c>
      <c r="D4233" t="s">
        <v>740</v>
      </c>
      <c r="E4233" t="s">
        <v>743</v>
      </c>
      <c r="F4233" s="34">
        <v>807</v>
      </c>
      <c r="G4233" s="34" t="s">
        <v>679</v>
      </c>
      <c r="H4233" s="36">
        <v>191515</v>
      </c>
      <c r="I4233" s="60">
        <v>1535662</v>
      </c>
      <c r="J4233">
        <f>IFERROR(VLOOKUP(G4233,'LEAID Match'!$A$2:$B$526,2,FALSE),"")</f>
        <v>2900005</v>
      </c>
      <c r="K4233" s="68">
        <f t="shared" si="133"/>
        <v>8</v>
      </c>
    </row>
    <row r="4234" spans="1:11" x14ac:dyDescent="0.2">
      <c r="A4234">
        <f t="shared" si="132"/>
        <v>2900005</v>
      </c>
      <c r="B4234">
        <v>2017</v>
      </c>
      <c r="C4234" t="s">
        <v>739</v>
      </c>
      <c r="D4234" t="s">
        <v>740</v>
      </c>
      <c r="E4234" t="s">
        <v>743</v>
      </c>
      <c r="F4234" s="34">
        <v>807</v>
      </c>
      <c r="G4234" s="34" t="s">
        <v>679</v>
      </c>
      <c r="H4234" s="36">
        <v>173567</v>
      </c>
      <c r="I4234" s="58">
        <v>1646215</v>
      </c>
      <c r="J4234">
        <f>IFERROR(VLOOKUP(G4234,'LEAID Match'!$A$2:$B$526,2,FALSE),"")</f>
        <v>2900005</v>
      </c>
      <c r="K4234" s="68">
        <f t="shared" si="133"/>
        <v>8</v>
      </c>
    </row>
    <row r="4235" spans="1:11" x14ac:dyDescent="0.2">
      <c r="A4235">
        <f t="shared" si="132"/>
        <v>2900005</v>
      </c>
      <c r="B4235">
        <v>2018</v>
      </c>
      <c r="C4235" t="s">
        <v>739</v>
      </c>
      <c r="D4235" t="s">
        <v>740</v>
      </c>
      <c r="E4235" t="s">
        <v>743</v>
      </c>
      <c r="F4235" s="34">
        <v>807</v>
      </c>
      <c r="G4235" s="34" t="s">
        <v>679</v>
      </c>
      <c r="H4235" s="36">
        <v>181685</v>
      </c>
      <c r="I4235" s="58">
        <v>1793467</v>
      </c>
      <c r="J4235">
        <f>IFERROR(VLOOKUP(G4235,'LEAID Match'!$A$2:$B$526,2,FALSE),"")</f>
        <v>2900005</v>
      </c>
      <c r="K4235" s="68">
        <f t="shared" si="133"/>
        <v>8</v>
      </c>
    </row>
    <row r="4236" spans="1:11" x14ac:dyDescent="0.2">
      <c r="A4236">
        <f t="shared" si="132"/>
        <v>2900005</v>
      </c>
      <c r="B4236">
        <v>2019</v>
      </c>
      <c r="C4236" t="s">
        <v>739</v>
      </c>
      <c r="D4236" t="s">
        <v>740</v>
      </c>
      <c r="E4236" t="s">
        <v>743</v>
      </c>
      <c r="F4236" s="34">
        <v>807</v>
      </c>
      <c r="G4236" s="34" t="s">
        <v>679</v>
      </c>
      <c r="H4236" s="36">
        <v>184152</v>
      </c>
      <c r="I4236" s="58">
        <v>1760067</v>
      </c>
      <c r="J4236">
        <f>IFERROR(VLOOKUP(G4236,'LEAID Match'!$A$2:$B$526,2,FALSE),"")</f>
        <v>2900005</v>
      </c>
      <c r="K4236" s="68">
        <f t="shared" si="133"/>
        <v>8</v>
      </c>
    </row>
    <row r="4237" spans="1:11" x14ac:dyDescent="0.2">
      <c r="A4237">
        <f t="shared" si="132"/>
        <v>2900005</v>
      </c>
      <c r="B4237">
        <v>2020</v>
      </c>
      <c r="C4237" t="s">
        <v>739</v>
      </c>
      <c r="D4237" t="s">
        <v>740</v>
      </c>
      <c r="E4237" t="s">
        <v>743</v>
      </c>
      <c r="F4237" s="34">
        <v>807</v>
      </c>
      <c r="G4237" s="34" t="s">
        <v>679</v>
      </c>
      <c r="H4237" s="36">
        <v>171184</v>
      </c>
      <c r="I4237" s="58">
        <v>1851589</v>
      </c>
      <c r="J4237">
        <f>IFERROR(VLOOKUP(G4237,'LEAID Match'!$A$2:$B$526,2,FALSE),"")</f>
        <v>2900005</v>
      </c>
      <c r="K4237" s="68">
        <f t="shared" si="133"/>
        <v>8</v>
      </c>
    </row>
    <row r="4238" spans="1:11" x14ac:dyDescent="0.2">
      <c r="A4238">
        <f t="shared" si="132"/>
        <v>2900005</v>
      </c>
      <c r="B4238">
        <v>2021</v>
      </c>
      <c r="C4238" t="s">
        <v>739</v>
      </c>
      <c r="D4238" t="s">
        <v>740</v>
      </c>
      <c r="E4238" t="s">
        <v>743</v>
      </c>
      <c r="F4238" s="34">
        <v>807</v>
      </c>
      <c r="G4238" s="34" t="s">
        <v>679</v>
      </c>
      <c r="H4238" s="36">
        <v>170038</v>
      </c>
      <c r="I4238" s="58">
        <v>1837708</v>
      </c>
      <c r="J4238">
        <f>IFERROR(VLOOKUP(G4238,'LEAID Match'!$A$2:$B$526,2,FALSE),"")</f>
        <v>2900005</v>
      </c>
      <c r="K4238" s="68">
        <f t="shared" si="133"/>
        <v>8</v>
      </c>
    </row>
    <row r="4239" spans="1:11" x14ac:dyDescent="0.2">
      <c r="A4239">
        <f t="shared" si="132"/>
        <v>2900005</v>
      </c>
      <c r="B4239">
        <v>2022</v>
      </c>
      <c r="C4239" t="s">
        <v>739</v>
      </c>
      <c r="D4239" t="s">
        <v>740</v>
      </c>
      <c r="E4239" t="s">
        <v>743</v>
      </c>
      <c r="F4239" s="34">
        <v>807</v>
      </c>
      <c r="G4239" s="34" t="s">
        <v>679</v>
      </c>
      <c r="H4239" s="36">
        <v>180104</v>
      </c>
      <c r="I4239" s="58">
        <v>1930037</v>
      </c>
      <c r="J4239">
        <f>IFERROR(VLOOKUP(G4239,'LEAID Match'!$A$2:$B$526,2,FALSE),"")</f>
        <v>2900005</v>
      </c>
      <c r="K4239" s="68">
        <f t="shared" si="133"/>
        <v>8</v>
      </c>
    </row>
    <row r="4240" spans="1:11" x14ac:dyDescent="0.2">
      <c r="A4240" t="str">
        <f t="shared" si="132"/>
        <v/>
      </c>
      <c r="B4240">
        <v>2015</v>
      </c>
      <c r="C4240" t="s">
        <v>739</v>
      </c>
      <c r="D4240" t="s">
        <v>740</v>
      </c>
      <c r="E4240" t="s">
        <v>743</v>
      </c>
      <c r="F4240" s="41">
        <v>808</v>
      </c>
      <c r="G4240" s="43" t="s">
        <v>535</v>
      </c>
      <c r="H4240" s="54">
        <v>271340</v>
      </c>
      <c r="I4240" s="58">
        <v>1322280</v>
      </c>
      <c r="J4240" t="str">
        <f>IFERROR(VLOOKUP(G4240,'LEAID Match'!$A$2:$B$526,2,FALSE),"")</f>
        <v/>
      </c>
      <c r="K4240" s="68">
        <f t="shared" si="133"/>
        <v>216</v>
      </c>
    </row>
    <row r="4241" spans="1:11" x14ac:dyDescent="0.2">
      <c r="A4241" t="str">
        <f t="shared" si="132"/>
        <v/>
      </c>
      <c r="B4241">
        <v>2016</v>
      </c>
      <c r="C4241" t="s">
        <v>739</v>
      </c>
      <c r="D4241" t="s">
        <v>740</v>
      </c>
      <c r="E4241" t="s">
        <v>743</v>
      </c>
      <c r="F4241" s="34">
        <v>808</v>
      </c>
      <c r="G4241" s="34" t="s">
        <v>680</v>
      </c>
      <c r="H4241" s="36">
        <v>271536</v>
      </c>
      <c r="I4241" s="60">
        <v>1350140</v>
      </c>
      <c r="J4241" t="str">
        <f>IFERROR(VLOOKUP(G4241,'LEAID Match'!$A$2:$B$526,2,FALSE),"")</f>
        <v/>
      </c>
      <c r="K4241" s="68">
        <f t="shared" si="133"/>
        <v>216</v>
      </c>
    </row>
    <row r="4242" spans="1:11" x14ac:dyDescent="0.2">
      <c r="A4242" t="str">
        <f t="shared" si="132"/>
        <v/>
      </c>
      <c r="B4242">
        <v>2017</v>
      </c>
      <c r="C4242" t="s">
        <v>739</v>
      </c>
      <c r="D4242" t="s">
        <v>740</v>
      </c>
      <c r="E4242" t="s">
        <v>743</v>
      </c>
      <c r="F4242" s="34">
        <v>808</v>
      </c>
      <c r="G4242" s="34" t="s">
        <v>680</v>
      </c>
      <c r="H4242" s="36">
        <v>276235</v>
      </c>
      <c r="I4242" s="58">
        <v>1305485</v>
      </c>
      <c r="J4242" t="str">
        <f>IFERROR(VLOOKUP(G4242,'LEAID Match'!$A$2:$B$526,2,FALSE),"")</f>
        <v/>
      </c>
      <c r="K4242" s="68">
        <f t="shared" si="133"/>
        <v>216</v>
      </c>
    </row>
    <row r="4243" spans="1:11" x14ac:dyDescent="0.2">
      <c r="A4243" t="str">
        <f t="shared" si="132"/>
        <v/>
      </c>
      <c r="B4243">
        <v>2018</v>
      </c>
      <c r="C4243" t="s">
        <v>739</v>
      </c>
      <c r="D4243" t="s">
        <v>740</v>
      </c>
      <c r="E4243" t="s">
        <v>743</v>
      </c>
      <c r="F4243" s="34">
        <v>808</v>
      </c>
      <c r="G4243" s="34" t="s">
        <v>680</v>
      </c>
      <c r="H4243" s="36">
        <v>280623</v>
      </c>
      <c r="I4243" s="58">
        <v>1319994</v>
      </c>
      <c r="J4243" t="str">
        <f>IFERROR(VLOOKUP(G4243,'LEAID Match'!$A$2:$B$526,2,FALSE),"")</f>
        <v/>
      </c>
      <c r="K4243" s="68">
        <f t="shared" si="133"/>
        <v>216</v>
      </c>
    </row>
    <row r="4244" spans="1:11" x14ac:dyDescent="0.2">
      <c r="A4244" t="str">
        <f t="shared" si="132"/>
        <v/>
      </c>
      <c r="B4244">
        <v>2019</v>
      </c>
      <c r="C4244" t="s">
        <v>739</v>
      </c>
      <c r="D4244" t="s">
        <v>740</v>
      </c>
      <c r="E4244" t="s">
        <v>743</v>
      </c>
      <c r="F4244" s="34">
        <v>808</v>
      </c>
      <c r="G4244" s="34" t="s">
        <v>680</v>
      </c>
      <c r="H4244" s="36">
        <v>296664</v>
      </c>
      <c r="I4244" s="58">
        <v>1367421</v>
      </c>
      <c r="J4244" t="str">
        <f>IFERROR(VLOOKUP(G4244,'LEAID Match'!$A$2:$B$526,2,FALSE),"")</f>
        <v/>
      </c>
      <c r="K4244" s="68">
        <f t="shared" si="133"/>
        <v>216</v>
      </c>
    </row>
    <row r="4245" spans="1:11" x14ac:dyDescent="0.2">
      <c r="A4245" t="str">
        <f t="shared" si="132"/>
        <v/>
      </c>
      <c r="B4245">
        <v>2020</v>
      </c>
      <c r="C4245" t="s">
        <v>739</v>
      </c>
      <c r="D4245" t="s">
        <v>740</v>
      </c>
      <c r="E4245" t="s">
        <v>743</v>
      </c>
      <c r="F4245" s="34">
        <v>808</v>
      </c>
      <c r="G4245" s="34" t="s">
        <v>680</v>
      </c>
      <c r="H4245" s="36">
        <v>289154</v>
      </c>
      <c r="I4245" s="58">
        <v>1386334</v>
      </c>
      <c r="J4245" t="str">
        <f>IFERROR(VLOOKUP(G4245,'LEAID Match'!$A$2:$B$526,2,FALSE),"")</f>
        <v/>
      </c>
      <c r="K4245" s="68">
        <f t="shared" si="133"/>
        <v>216</v>
      </c>
    </row>
    <row r="4246" spans="1:11" x14ac:dyDescent="0.2">
      <c r="A4246" t="str">
        <f t="shared" si="132"/>
        <v/>
      </c>
      <c r="B4246">
        <v>2021</v>
      </c>
      <c r="C4246" t="s">
        <v>739</v>
      </c>
      <c r="D4246" t="s">
        <v>740</v>
      </c>
      <c r="E4246" t="s">
        <v>743</v>
      </c>
      <c r="F4246" s="34">
        <v>808</v>
      </c>
      <c r="G4246" s="34" t="s">
        <v>680</v>
      </c>
      <c r="H4246" s="36">
        <v>272459</v>
      </c>
      <c r="I4246" s="58">
        <v>1435326</v>
      </c>
      <c r="J4246" t="str">
        <f>IFERROR(VLOOKUP(G4246,'LEAID Match'!$A$2:$B$526,2,FALSE),"")</f>
        <v/>
      </c>
      <c r="K4246" s="68">
        <f t="shared" si="133"/>
        <v>216</v>
      </c>
    </row>
    <row r="4247" spans="1:11" x14ac:dyDescent="0.2">
      <c r="A4247" t="str">
        <f t="shared" si="132"/>
        <v/>
      </c>
      <c r="B4247">
        <v>2022</v>
      </c>
      <c r="C4247" t="s">
        <v>739</v>
      </c>
      <c r="D4247" t="s">
        <v>740</v>
      </c>
      <c r="E4247" t="s">
        <v>743</v>
      </c>
      <c r="F4247" s="34">
        <v>808</v>
      </c>
      <c r="G4247" s="34" t="s">
        <v>680</v>
      </c>
      <c r="H4247" s="36">
        <v>281741</v>
      </c>
      <c r="I4247" s="58">
        <v>1483009</v>
      </c>
      <c r="J4247" t="str">
        <f>IFERROR(VLOOKUP(G4247,'LEAID Match'!$A$2:$B$526,2,FALSE),"")</f>
        <v/>
      </c>
      <c r="K4247" s="68">
        <f t="shared" si="133"/>
        <v>216</v>
      </c>
    </row>
    <row r="4248" spans="1:11" x14ac:dyDescent="0.2">
      <c r="A4248" t="str">
        <f t="shared" si="132"/>
        <v/>
      </c>
      <c r="B4248">
        <v>2015</v>
      </c>
      <c r="C4248" t="s">
        <v>739</v>
      </c>
      <c r="D4248" t="s">
        <v>740</v>
      </c>
      <c r="E4248" t="s">
        <v>743</v>
      </c>
      <c r="F4248" s="41">
        <v>809</v>
      </c>
      <c r="G4248" s="42" t="s">
        <v>536</v>
      </c>
      <c r="H4248" s="54">
        <v>234094</v>
      </c>
      <c r="I4248" s="58">
        <v>1271402</v>
      </c>
      <c r="J4248" t="str">
        <f>IFERROR(VLOOKUP(G4248,'LEAID Match'!$A$2:$B$526,2,FALSE),"")</f>
        <v/>
      </c>
      <c r="K4248" s="68">
        <f t="shared" si="133"/>
        <v>216</v>
      </c>
    </row>
    <row r="4249" spans="1:11" x14ac:dyDescent="0.2">
      <c r="A4249" t="str">
        <f t="shared" si="132"/>
        <v/>
      </c>
      <c r="B4249">
        <v>2016</v>
      </c>
      <c r="C4249" t="s">
        <v>739</v>
      </c>
      <c r="D4249" t="s">
        <v>740</v>
      </c>
      <c r="E4249" t="s">
        <v>743</v>
      </c>
      <c r="F4249" s="34">
        <v>809</v>
      </c>
      <c r="G4249" s="34" t="s">
        <v>681</v>
      </c>
      <c r="H4249" s="36">
        <v>232182</v>
      </c>
      <c r="I4249" s="60">
        <v>1227331</v>
      </c>
      <c r="J4249" t="str">
        <f>IFERROR(VLOOKUP(G4249,'LEAID Match'!$A$2:$B$526,2,FALSE),"")</f>
        <v/>
      </c>
      <c r="K4249" s="68">
        <f t="shared" si="133"/>
        <v>216</v>
      </c>
    </row>
    <row r="4250" spans="1:11" x14ac:dyDescent="0.2">
      <c r="A4250" t="str">
        <f t="shared" si="132"/>
        <v/>
      </c>
      <c r="B4250">
        <v>2017</v>
      </c>
      <c r="C4250" t="s">
        <v>739</v>
      </c>
      <c r="D4250" t="s">
        <v>740</v>
      </c>
      <c r="E4250" t="s">
        <v>743</v>
      </c>
      <c r="F4250" s="34">
        <v>809</v>
      </c>
      <c r="G4250" s="34" t="s">
        <v>681</v>
      </c>
      <c r="H4250" s="36">
        <v>234364</v>
      </c>
      <c r="I4250" s="58">
        <v>1240716</v>
      </c>
      <c r="J4250" t="str">
        <f>IFERROR(VLOOKUP(G4250,'LEAID Match'!$A$2:$B$526,2,FALSE),"")</f>
        <v/>
      </c>
      <c r="K4250" s="68">
        <f t="shared" si="133"/>
        <v>216</v>
      </c>
    </row>
    <row r="4251" spans="1:11" x14ac:dyDescent="0.2">
      <c r="A4251" t="str">
        <f t="shared" si="132"/>
        <v/>
      </c>
      <c r="B4251">
        <v>2018</v>
      </c>
      <c r="C4251" t="s">
        <v>739</v>
      </c>
      <c r="D4251" t="s">
        <v>740</v>
      </c>
      <c r="E4251" t="s">
        <v>743</v>
      </c>
      <c r="F4251" s="34">
        <v>809</v>
      </c>
      <c r="G4251" s="34" t="s">
        <v>681</v>
      </c>
      <c r="H4251" s="36">
        <v>234367</v>
      </c>
      <c r="I4251" s="58">
        <v>1204580</v>
      </c>
      <c r="J4251" t="str">
        <f>IFERROR(VLOOKUP(G4251,'LEAID Match'!$A$2:$B$526,2,FALSE),"")</f>
        <v/>
      </c>
      <c r="K4251" s="68">
        <f t="shared" si="133"/>
        <v>216</v>
      </c>
    </row>
    <row r="4252" spans="1:11" x14ac:dyDescent="0.2">
      <c r="A4252" t="str">
        <f t="shared" si="132"/>
        <v/>
      </c>
      <c r="B4252">
        <v>2019</v>
      </c>
      <c r="C4252" t="s">
        <v>739</v>
      </c>
      <c r="D4252" t="s">
        <v>740</v>
      </c>
      <c r="E4252" t="s">
        <v>743</v>
      </c>
      <c r="F4252" s="34">
        <v>809</v>
      </c>
      <c r="G4252" s="34" t="s">
        <v>681</v>
      </c>
      <c r="H4252" s="36">
        <v>246777</v>
      </c>
      <c r="I4252" s="58">
        <v>1066422</v>
      </c>
      <c r="J4252" t="str">
        <f>IFERROR(VLOOKUP(G4252,'LEAID Match'!$A$2:$B$526,2,FALSE),"")</f>
        <v/>
      </c>
      <c r="K4252" s="68">
        <f t="shared" si="133"/>
        <v>216</v>
      </c>
    </row>
    <row r="4253" spans="1:11" x14ac:dyDescent="0.2">
      <c r="A4253" t="str">
        <f t="shared" si="132"/>
        <v/>
      </c>
      <c r="B4253">
        <v>2020</v>
      </c>
      <c r="C4253" t="s">
        <v>739</v>
      </c>
      <c r="D4253" t="s">
        <v>740</v>
      </c>
      <c r="E4253" t="s">
        <v>743</v>
      </c>
      <c r="F4253" s="34">
        <v>809</v>
      </c>
      <c r="G4253" s="34" t="s">
        <v>681</v>
      </c>
      <c r="H4253" s="36">
        <v>220582</v>
      </c>
      <c r="I4253" s="58">
        <v>1031393</v>
      </c>
      <c r="J4253" t="str">
        <f>IFERROR(VLOOKUP(G4253,'LEAID Match'!$A$2:$B$526,2,FALSE),"")</f>
        <v/>
      </c>
      <c r="K4253" s="68">
        <f t="shared" si="133"/>
        <v>216</v>
      </c>
    </row>
    <row r="4254" spans="1:11" x14ac:dyDescent="0.2">
      <c r="A4254" t="str">
        <f t="shared" si="132"/>
        <v/>
      </c>
      <c r="B4254">
        <v>2021</v>
      </c>
      <c r="C4254" t="s">
        <v>739</v>
      </c>
      <c r="D4254" t="s">
        <v>740</v>
      </c>
      <c r="E4254" t="s">
        <v>743</v>
      </c>
      <c r="F4254" s="34">
        <v>809</v>
      </c>
      <c r="G4254" s="34" t="s">
        <v>681</v>
      </c>
      <c r="H4254" s="36">
        <v>190098</v>
      </c>
      <c r="I4254" s="58">
        <v>906745</v>
      </c>
      <c r="J4254" t="str">
        <f>IFERROR(VLOOKUP(G4254,'LEAID Match'!$A$2:$B$526,2,FALSE),"")</f>
        <v/>
      </c>
      <c r="K4254" s="68">
        <f t="shared" si="133"/>
        <v>216</v>
      </c>
    </row>
    <row r="4255" spans="1:11" x14ac:dyDescent="0.2">
      <c r="A4255" t="str">
        <f t="shared" si="132"/>
        <v/>
      </c>
      <c r="B4255">
        <v>2022</v>
      </c>
      <c r="C4255" t="s">
        <v>739</v>
      </c>
      <c r="D4255" t="s">
        <v>740</v>
      </c>
      <c r="E4255" t="s">
        <v>743</v>
      </c>
      <c r="F4255" s="34">
        <v>809</v>
      </c>
      <c r="G4255" s="34" t="s">
        <v>681</v>
      </c>
      <c r="H4255" s="36">
        <v>172785</v>
      </c>
      <c r="I4255" s="58">
        <v>814736</v>
      </c>
      <c r="J4255" t="str">
        <f>IFERROR(VLOOKUP(G4255,'LEAID Match'!$A$2:$B$526,2,FALSE),"")</f>
        <v/>
      </c>
      <c r="K4255" s="68">
        <f t="shared" si="133"/>
        <v>216</v>
      </c>
    </row>
    <row r="4256" spans="1:11" x14ac:dyDescent="0.2">
      <c r="A4256" t="str">
        <f t="shared" si="132"/>
        <v/>
      </c>
      <c r="B4256">
        <v>2015</v>
      </c>
      <c r="C4256" t="s">
        <v>739</v>
      </c>
      <c r="D4256" t="s">
        <v>740</v>
      </c>
      <c r="E4256" t="s">
        <v>743</v>
      </c>
      <c r="F4256" s="41">
        <v>810</v>
      </c>
      <c r="G4256" s="43" t="s">
        <v>537</v>
      </c>
      <c r="H4256" s="46"/>
      <c r="I4256" s="58">
        <v>8934195</v>
      </c>
      <c r="J4256" t="str">
        <f>IFERROR(VLOOKUP(G4256,'LEAID Match'!$A$2:$B$526,2,FALSE),"")</f>
        <v/>
      </c>
      <c r="K4256" s="68">
        <f t="shared" si="133"/>
        <v>216</v>
      </c>
    </row>
    <row r="4257" spans="1:11" x14ac:dyDescent="0.2">
      <c r="A4257" t="str">
        <f t="shared" si="132"/>
        <v/>
      </c>
      <c r="B4257">
        <v>2016</v>
      </c>
      <c r="C4257" t="s">
        <v>739</v>
      </c>
      <c r="D4257" t="s">
        <v>740</v>
      </c>
      <c r="E4257" t="s">
        <v>743</v>
      </c>
      <c r="F4257" s="34">
        <v>810</v>
      </c>
      <c r="G4257" s="34" t="s">
        <v>682</v>
      </c>
      <c r="H4257" s="34"/>
      <c r="I4257" s="60">
        <v>9102507</v>
      </c>
      <c r="J4257" t="str">
        <f>IFERROR(VLOOKUP(G4257,'LEAID Match'!$A$2:$B$526,2,FALSE),"")</f>
        <v/>
      </c>
      <c r="K4257" s="68">
        <f t="shared" si="133"/>
        <v>216</v>
      </c>
    </row>
    <row r="4258" spans="1:11" x14ac:dyDescent="0.2">
      <c r="A4258" t="str">
        <f t="shared" si="132"/>
        <v/>
      </c>
      <c r="B4258">
        <v>2017</v>
      </c>
      <c r="C4258" t="s">
        <v>739</v>
      </c>
      <c r="D4258" t="s">
        <v>740</v>
      </c>
      <c r="E4258" t="s">
        <v>743</v>
      </c>
      <c r="F4258" s="34">
        <v>810</v>
      </c>
      <c r="G4258" s="34" t="s">
        <v>682</v>
      </c>
      <c r="H4258" s="34"/>
      <c r="I4258" s="58">
        <v>9158614</v>
      </c>
      <c r="J4258" t="str">
        <f>IFERROR(VLOOKUP(G4258,'LEAID Match'!$A$2:$B$526,2,FALSE),"")</f>
        <v/>
      </c>
      <c r="K4258" s="68">
        <f t="shared" si="133"/>
        <v>216</v>
      </c>
    </row>
    <row r="4259" spans="1:11" x14ac:dyDescent="0.2">
      <c r="A4259" t="str">
        <f t="shared" si="132"/>
        <v/>
      </c>
      <c r="B4259">
        <v>2018</v>
      </c>
      <c r="C4259" t="s">
        <v>739</v>
      </c>
      <c r="D4259" t="s">
        <v>740</v>
      </c>
      <c r="E4259" t="s">
        <v>743</v>
      </c>
      <c r="F4259" s="34">
        <v>810</v>
      </c>
      <c r="G4259" s="34" t="s">
        <v>682</v>
      </c>
      <c r="H4259" s="34"/>
      <c r="I4259" s="58">
        <v>8799817</v>
      </c>
      <c r="J4259" t="str">
        <f>IFERROR(VLOOKUP(G4259,'LEAID Match'!$A$2:$B$526,2,FALSE),"")</f>
        <v/>
      </c>
      <c r="K4259" s="68">
        <f t="shared" si="133"/>
        <v>216</v>
      </c>
    </row>
    <row r="4260" spans="1:11" x14ac:dyDescent="0.2">
      <c r="A4260" t="str">
        <f t="shared" si="132"/>
        <v/>
      </c>
      <c r="B4260">
        <v>2019</v>
      </c>
      <c r="C4260" t="s">
        <v>739</v>
      </c>
      <c r="D4260" t="s">
        <v>740</v>
      </c>
      <c r="E4260" t="s">
        <v>743</v>
      </c>
      <c r="F4260" s="34">
        <v>810</v>
      </c>
      <c r="G4260" s="34" t="s">
        <v>682</v>
      </c>
      <c r="H4260" s="34"/>
      <c r="I4260" s="58">
        <v>8534660</v>
      </c>
      <c r="J4260" t="str">
        <f>IFERROR(VLOOKUP(G4260,'LEAID Match'!$A$2:$B$526,2,FALSE),"")</f>
        <v/>
      </c>
      <c r="K4260" s="68">
        <f t="shared" si="133"/>
        <v>216</v>
      </c>
    </row>
    <row r="4261" spans="1:11" x14ac:dyDescent="0.2">
      <c r="A4261" t="str">
        <f t="shared" si="132"/>
        <v/>
      </c>
      <c r="B4261">
        <v>2020</v>
      </c>
      <c r="C4261" t="s">
        <v>739</v>
      </c>
      <c r="D4261" t="s">
        <v>740</v>
      </c>
      <c r="E4261" t="s">
        <v>743</v>
      </c>
      <c r="F4261" s="34">
        <v>810</v>
      </c>
      <c r="G4261" s="34" t="s">
        <v>682</v>
      </c>
      <c r="H4261" s="34"/>
      <c r="I4261" s="58">
        <v>8674307</v>
      </c>
      <c r="J4261" t="str">
        <f>IFERROR(VLOOKUP(G4261,'LEAID Match'!$A$2:$B$526,2,FALSE),"")</f>
        <v/>
      </c>
      <c r="K4261" s="68">
        <f t="shared" si="133"/>
        <v>216</v>
      </c>
    </row>
    <row r="4262" spans="1:11" x14ac:dyDescent="0.2">
      <c r="A4262" t="str">
        <f t="shared" si="132"/>
        <v/>
      </c>
      <c r="B4262">
        <v>2021</v>
      </c>
      <c r="C4262" t="s">
        <v>739</v>
      </c>
      <c r="D4262" t="s">
        <v>740</v>
      </c>
      <c r="E4262" t="s">
        <v>743</v>
      </c>
      <c r="F4262" s="34">
        <v>810</v>
      </c>
      <c r="G4262" s="34" t="s">
        <v>682</v>
      </c>
      <c r="H4262" s="34"/>
      <c r="I4262" s="58">
        <v>8751373</v>
      </c>
      <c r="J4262" t="str">
        <f>IFERROR(VLOOKUP(G4262,'LEAID Match'!$A$2:$B$526,2,FALSE),"")</f>
        <v/>
      </c>
      <c r="K4262" s="68">
        <f t="shared" si="133"/>
        <v>216</v>
      </c>
    </row>
    <row r="4263" spans="1:11" x14ac:dyDescent="0.2">
      <c r="A4263" t="str">
        <f t="shared" si="132"/>
        <v/>
      </c>
      <c r="B4263">
        <v>2022</v>
      </c>
      <c r="C4263" t="s">
        <v>739</v>
      </c>
      <c r="D4263" t="s">
        <v>740</v>
      </c>
      <c r="E4263" t="s">
        <v>743</v>
      </c>
      <c r="F4263" s="34">
        <v>810</v>
      </c>
      <c r="G4263" s="34" t="s">
        <v>682</v>
      </c>
      <c r="H4263" s="34"/>
      <c r="I4263" s="58">
        <v>9006549</v>
      </c>
      <c r="J4263" t="str">
        <f>IFERROR(VLOOKUP(G4263,'LEAID Match'!$A$2:$B$526,2,FALSE),"")</f>
        <v/>
      </c>
      <c r="K4263" s="68">
        <f t="shared" si="133"/>
        <v>216</v>
      </c>
    </row>
    <row r="4264" spans="1:11" x14ac:dyDescent="0.2">
      <c r="A4264" t="str">
        <f t="shared" si="132"/>
        <v/>
      </c>
      <c r="B4264">
        <v>2015</v>
      </c>
      <c r="C4264" t="s">
        <v>739</v>
      </c>
      <c r="D4264" t="s">
        <v>740</v>
      </c>
      <c r="E4264" t="s">
        <v>743</v>
      </c>
      <c r="F4264" s="41">
        <v>811</v>
      </c>
      <c r="G4264" s="43" t="s">
        <v>477</v>
      </c>
      <c r="H4264" s="55">
        <v>237330</v>
      </c>
      <c r="I4264" s="58">
        <v>531454</v>
      </c>
      <c r="J4264" t="str">
        <f>IFERROR(VLOOKUP(G4264,'LEAID Match'!$A$2:$B$526,2,FALSE),"")</f>
        <v/>
      </c>
      <c r="K4264" s="68">
        <f t="shared" si="133"/>
        <v>216</v>
      </c>
    </row>
    <row r="4265" spans="1:11" x14ac:dyDescent="0.2">
      <c r="A4265" t="str">
        <f t="shared" si="132"/>
        <v/>
      </c>
      <c r="B4265">
        <v>2016</v>
      </c>
      <c r="C4265" t="s">
        <v>739</v>
      </c>
      <c r="D4265" t="s">
        <v>740</v>
      </c>
      <c r="E4265" t="s">
        <v>743</v>
      </c>
      <c r="F4265" s="34">
        <v>811</v>
      </c>
      <c r="G4265" s="34" t="s">
        <v>477</v>
      </c>
      <c r="H4265" s="36">
        <v>242661</v>
      </c>
      <c r="I4265" s="60">
        <v>510335</v>
      </c>
      <c r="J4265" t="str">
        <f>IFERROR(VLOOKUP(G4265,'LEAID Match'!$A$2:$B$526,2,FALSE),"")</f>
        <v/>
      </c>
      <c r="K4265" s="68">
        <f t="shared" si="133"/>
        <v>216</v>
      </c>
    </row>
    <row r="4266" spans="1:11" x14ac:dyDescent="0.2">
      <c r="A4266" t="str">
        <f t="shared" si="132"/>
        <v/>
      </c>
      <c r="B4266">
        <v>2017</v>
      </c>
      <c r="C4266" t="s">
        <v>739</v>
      </c>
      <c r="D4266" t="s">
        <v>740</v>
      </c>
      <c r="E4266" t="s">
        <v>743</v>
      </c>
      <c r="F4266" s="34">
        <v>811</v>
      </c>
      <c r="G4266" s="34" t="s">
        <v>477</v>
      </c>
      <c r="H4266" s="36">
        <v>256749</v>
      </c>
      <c r="I4266" s="58">
        <v>499874</v>
      </c>
      <c r="J4266" t="str">
        <f>IFERROR(VLOOKUP(G4266,'LEAID Match'!$A$2:$B$526,2,FALSE),"")</f>
        <v/>
      </c>
      <c r="K4266" s="68">
        <f t="shared" si="133"/>
        <v>216</v>
      </c>
    </row>
    <row r="4267" spans="1:11" x14ac:dyDescent="0.2">
      <c r="A4267" t="str">
        <f t="shared" si="132"/>
        <v/>
      </c>
      <c r="B4267">
        <v>2018</v>
      </c>
      <c r="C4267" t="s">
        <v>739</v>
      </c>
      <c r="D4267" t="s">
        <v>740</v>
      </c>
      <c r="E4267" t="s">
        <v>743</v>
      </c>
      <c r="F4267" s="34">
        <v>811</v>
      </c>
      <c r="G4267" s="34" t="s">
        <v>477</v>
      </c>
      <c r="H4267" s="36">
        <v>271190</v>
      </c>
      <c r="I4267" s="58">
        <v>503900</v>
      </c>
      <c r="J4267" t="str">
        <f>IFERROR(VLOOKUP(G4267,'LEAID Match'!$A$2:$B$526,2,FALSE),"")</f>
        <v/>
      </c>
      <c r="K4267" s="68">
        <f t="shared" si="133"/>
        <v>216</v>
      </c>
    </row>
    <row r="4268" spans="1:11" x14ac:dyDescent="0.2">
      <c r="A4268" t="str">
        <f t="shared" si="132"/>
        <v/>
      </c>
      <c r="B4268">
        <v>2019</v>
      </c>
      <c r="C4268" t="s">
        <v>739</v>
      </c>
      <c r="D4268" t="s">
        <v>740</v>
      </c>
      <c r="E4268" t="s">
        <v>743</v>
      </c>
      <c r="F4268" s="34">
        <v>811</v>
      </c>
      <c r="G4268" s="34" t="s">
        <v>477</v>
      </c>
      <c r="H4268" s="36">
        <v>286247</v>
      </c>
      <c r="I4268" s="58">
        <v>519072</v>
      </c>
      <c r="J4268" t="str">
        <f>IFERROR(VLOOKUP(G4268,'LEAID Match'!$A$2:$B$526,2,FALSE),"")</f>
        <v/>
      </c>
      <c r="K4268" s="68">
        <f t="shared" si="133"/>
        <v>216</v>
      </c>
    </row>
    <row r="4269" spans="1:11" x14ac:dyDescent="0.2">
      <c r="A4269" t="str">
        <f t="shared" si="132"/>
        <v/>
      </c>
      <c r="B4269">
        <v>2020</v>
      </c>
      <c r="C4269" t="s">
        <v>739</v>
      </c>
      <c r="D4269" t="s">
        <v>740</v>
      </c>
      <c r="E4269" t="s">
        <v>743</v>
      </c>
      <c r="F4269" s="34">
        <v>811</v>
      </c>
      <c r="G4269" s="34" t="s">
        <v>477</v>
      </c>
      <c r="H4269" s="36">
        <v>309809</v>
      </c>
      <c r="I4269" s="58">
        <v>543710</v>
      </c>
      <c r="J4269" t="str">
        <f>IFERROR(VLOOKUP(G4269,'LEAID Match'!$A$2:$B$526,2,FALSE),"")</f>
        <v/>
      </c>
      <c r="K4269" s="68">
        <f t="shared" si="133"/>
        <v>216</v>
      </c>
    </row>
    <row r="4270" spans="1:11" x14ac:dyDescent="0.2">
      <c r="A4270" t="str">
        <f t="shared" si="132"/>
        <v/>
      </c>
      <c r="B4270">
        <v>2021</v>
      </c>
      <c r="C4270" t="s">
        <v>739</v>
      </c>
      <c r="D4270" t="s">
        <v>740</v>
      </c>
      <c r="E4270" t="s">
        <v>743</v>
      </c>
      <c r="F4270" s="34">
        <v>811</v>
      </c>
      <c r="G4270" s="34" t="s">
        <v>477</v>
      </c>
      <c r="H4270" s="36">
        <v>324289</v>
      </c>
      <c r="I4270" s="58">
        <v>520845</v>
      </c>
      <c r="J4270" t="str">
        <f>IFERROR(VLOOKUP(G4270,'LEAID Match'!$A$2:$B$526,2,FALSE),"")</f>
        <v/>
      </c>
      <c r="K4270" s="68">
        <f t="shared" si="133"/>
        <v>216</v>
      </c>
    </row>
    <row r="4271" spans="1:11" x14ac:dyDescent="0.2">
      <c r="A4271" t="str">
        <f t="shared" si="132"/>
        <v/>
      </c>
      <c r="B4271">
        <v>2022</v>
      </c>
      <c r="C4271" t="s">
        <v>739</v>
      </c>
      <c r="D4271" t="s">
        <v>740</v>
      </c>
      <c r="E4271" t="s">
        <v>743</v>
      </c>
      <c r="F4271" s="34">
        <v>811</v>
      </c>
      <c r="G4271" s="34" t="s">
        <v>477</v>
      </c>
      <c r="H4271" s="36">
        <v>349921</v>
      </c>
      <c r="I4271" s="58">
        <v>555193</v>
      </c>
      <c r="J4271" t="str">
        <f>IFERROR(VLOOKUP(G4271,'LEAID Match'!$A$2:$B$526,2,FALSE),"")</f>
        <v/>
      </c>
      <c r="K4271" s="68">
        <f t="shared" si="133"/>
        <v>216</v>
      </c>
    </row>
    <row r="4272" spans="1:11" x14ac:dyDescent="0.2">
      <c r="A4272" t="str">
        <f t="shared" si="132"/>
        <v/>
      </c>
      <c r="B4272">
        <v>2015</v>
      </c>
      <c r="C4272" t="s">
        <v>739</v>
      </c>
      <c r="D4272" t="s">
        <v>740</v>
      </c>
      <c r="E4272" t="s">
        <v>743</v>
      </c>
      <c r="F4272" s="41">
        <v>812</v>
      </c>
      <c r="G4272" s="43" t="s">
        <v>538</v>
      </c>
      <c r="H4272" s="55">
        <v>736516</v>
      </c>
      <c r="I4272" s="58">
        <v>2085438</v>
      </c>
      <c r="J4272" t="str">
        <f>IFERROR(VLOOKUP(G4272,'LEAID Match'!$A$2:$B$526,2,FALSE),"")</f>
        <v/>
      </c>
      <c r="K4272" s="68">
        <f t="shared" si="133"/>
        <v>216</v>
      </c>
    </row>
    <row r="4273" spans="1:11" x14ac:dyDescent="0.2">
      <c r="A4273" t="str">
        <f t="shared" si="132"/>
        <v/>
      </c>
      <c r="B4273">
        <v>2016</v>
      </c>
      <c r="C4273" t="s">
        <v>739</v>
      </c>
      <c r="D4273" t="s">
        <v>740</v>
      </c>
      <c r="E4273" t="s">
        <v>743</v>
      </c>
      <c r="F4273" s="34">
        <v>812</v>
      </c>
      <c r="G4273" s="34" t="s">
        <v>683</v>
      </c>
      <c r="H4273" s="36">
        <v>763136</v>
      </c>
      <c r="I4273" s="60">
        <v>2185629</v>
      </c>
      <c r="J4273" t="str">
        <f>IFERROR(VLOOKUP(G4273,'LEAID Match'!$A$2:$B$526,2,FALSE),"")</f>
        <v/>
      </c>
      <c r="K4273" s="68">
        <f t="shared" si="133"/>
        <v>216</v>
      </c>
    </row>
    <row r="4274" spans="1:11" x14ac:dyDescent="0.2">
      <c r="A4274" t="str">
        <f t="shared" si="132"/>
        <v/>
      </c>
      <c r="B4274">
        <v>2017</v>
      </c>
      <c r="C4274" t="s">
        <v>739</v>
      </c>
      <c r="D4274" t="s">
        <v>740</v>
      </c>
      <c r="E4274" t="s">
        <v>743</v>
      </c>
      <c r="F4274" s="34">
        <v>812</v>
      </c>
      <c r="G4274" s="34" t="s">
        <v>683</v>
      </c>
      <c r="H4274" s="36">
        <v>804149</v>
      </c>
      <c r="I4274" s="58">
        <v>2278684</v>
      </c>
      <c r="J4274" t="str">
        <f>IFERROR(VLOOKUP(G4274,'LEAID Match'!$A$2:$B$526,2,FALSE),"")</f>
        <v/>
      </c>
      <c r="K4274" s="68">
        <f t="shared" si="133"/>
        <v>216</v>
      </c>
    </row>
    <row r="4275" spans="1:11" x14ac:dyDescent="0.2">
      <c r="A4275" t="str">
        <f t="shared" si="132"/>
        <v/>
      </c>
      <c r="B4275">
        <v>2018</v>
      </c>
      <c r="C4275" t="s">
        <v>739</v>
      </c>
      <c r="D4275" t="s">
        <v>740</v>
      </c>
      <c r="E4275" t="s">
        <v>743</v>
      </c>
      <c r="F4275" s="34">
        <v>812</v>
      </c>
      <c r="G4275" s="34" t="s">
        <v>683</v>
      </c>
      <c r="H4275" s="36">
        <v>748149</v>
      </c>
      <c r="I4275" s="58">
        <v>2255509</v>
      </c>
      <c r="J4275" t="str">
        <f>IFERROR(VLOOKUP(G4275,'LEAID Match'!$A$2:$B$526,2,FALSE),"")</f>
        <v/>
      </c>
      <c r="K4275" s="68">
        <f t="shared" si="133"/>
        <v>216</v>
      </c>
    </row>
    <row r="4276" spans="1:11" x14ac:dyDescent="0.2">
      <c r="A4276" t="str">
        <f t="shared" si="132"/>
        <v/>
      </c>
      <c r="B4276">
        <v>2019</v>
      </c>
      <c r="C4276" t="s">
        <v>739</v>
      </c>
      <c r="D4276" t="s">
        <v>740</v>
      </c>
      <c r="E4276" t="s">
        <v>743</v>
      </c>
      <c r="F4276" s="34">
        <v>812</v>
      </c>
      <c r="G4276" s="34" t="s">
        <v>683</v>
      </c>
      <c r="H4276" s="36">
        <v>746009</v>
      </c>
      <c r="I4276" s="58">
        <v>2242151</v>
      </c>
      <c r="J4276" t="str">
        <f>IFERROR(VLOOKUP(G4276,'LEAID Match'!$A$2:$B$526,2,FALSE),"")</f>
        <v/>
      </c>
      <c r="K4276" s="68">
        <f t="shared" si="133"/>
        <v>216</v>
      </c>
    </row>
    <row r="4277" spans="1:11" x14ac:dyDescent="0.2">
      <c r="A4277" t="str">
        <f t="shared" si="132"/>
        <v/>
      </c>
      <c r="B4277">
        <v>2020</v>
      </c>
      <c r="C4277" t="s">
        <v>739</v>
      </c>
      <c r="D4277" t="s">
        <v>740</v>
      </c>
      <c r="E4277" t="s">
        <v>743</v>
      </c>
      <c r="F4277" s="34">
        <v>812</v>
      </c>
      <c r="G4277" s="34" t="s">
        <v>683</v>
      </c>
      <c r="H4277" s="36">
        <v>671760</v>
      </c>
      <c r="I4277" s="58">
        <v>2214959</v>
      </c>
      <c r="J4277" t="str">
        <f>IFERROR(VLOOKUP(G4277,'LEAID Match'!$A$2:$B$526,2,FALSE),"")</f>
        <v/>
      </c>
      <c r="K4277" s="68">
        <f t="shared" si="133"/>
        <v>216</v>
      </c>
    </row>
    <row r="4278" spans="1:11" x14ac:dyDescent="0.2">
      <c r="A4278" t="str">
        <f t="shared" si="132"/>
        <v/>
      </c>
      <c r="B4278">
        <v>2021</v>
      </c>
      <c r="C4278" t="s">
        <v>739</v>
      </c>
      <c r="D4278" t="s">
        <v>740</v>
      </c>
      <c r="E4278" t="s">
        <v>743</v>
      </c>
      <c r="F4278" s="34">
        <v>812</v>
      </c>
      <c r="G4278" s="34" t="s">
        <v>683</v>
      </c>
      <c r="H4278" s="36">
        <v>578426</v>
      </c>
      <c r="I4278" s="58">
        <v>2138761</v>
      </c>
      <c r="J4278" t="str">
        <f>IFERROR(VLOOKUP(G4278,'LEAID Match'!$A$2:$B$526,2,FALSE),"")</f>
        <v/>
      </c>
      <c r="K4278" s="68">
        <f t="shared" si="133"/>
        <v>216</v>
      </c>
    </row>
    <row r="4279" spans="1:11" x14ac:dyDescent="0.2">
      <c r="A4279" t="str">
        <f t="shared" si="132"/>
        <v/>
      </c>
      <c r="B4279">
        <v>2022</v>
      </c>
      <c r="C4279" t="s">
        <v>739</v>
      </c>
      <c r="D4279" t="s">
        <v>740</v>
      </c>
      <c r="E4279" t="s">
        <v>743</v>
      </c>
      <c r="F4279" s="34">
        <v>812</v>
      </c>
      <c r="G4279" s="34" t="s">
        <v>683</v>
      </c>
      <c r="H4279" s="36">
        <v>534978</v>
      </c>
      <c r="I4279" s="58">
        <v>2126879</v>
      </c>
      <c r="J4279" t="str">
        <f>IFERROR(VLOOKUP(G4279,'LEAID Match'!$A$2:$B$526,2,FALSE),"")</f>
        <v/>
      </c>
      <c r="K4279" s="68">
        <f t="shared" si="133"/>
        <v>216</v>
      </c>
    </row>
    <row r="4280" spans="1:11" x14ac:dyDescent="0.2">
      <c r="A4280">
        <f t="shared" si="132"/>
        <v>2900008</v>
      </c>
      <c r="B4280">
        <v>2015</v>
      </c>
      <c r="C4280" t="s">
        <v>739</v>
      </c>
      <c r="D4280" t="s">
        <v>740</v>
      </c>
      <c r="E4280" t="s">
        <v>743</v>
      </c>
      <c r="F4280" s="41">
        <v>813</v>
      </c>
      <c r="G4280" s="43" t="s">
        <v>539</v>
      </c>
      <c r="H4280" s="56">
        <v>575577</v>
      </c>
      <c r="I4280" s="58">
        <v>3447038</v>
      </c>
      <c r="J4280">
        <f>IFERROR(VLOOKUP(G4280,'LEAID Match'!$A$2:$B$526,2,FALSE),"")</f>
        <v>2900008</v>
      </c>
      <c r="K4280" s="68">
        <f t="shared" si="133"/>
        <v>8</v>
      </c>
    </row>
    <row r="4281" spans="1:11" x14ac:dyDescent="0.2">
      <c r="A4281">
        <f t="shared" si="132"/>
        <v>2900008</v>
      </c>
      <c r="B4281">
        <v>2016</v>
      </c>
      <c r="C4281" t="s">
        <v>739</v>
      </c>
      <c r="D4281" t="s">
        <v>740</v>
      </c>
      <c r="E4281" t="s">
        <v>743</v>
      </c>
      <c r="F4281" s="34">
        <v>813</v>
      </c>
      <c r="G4281" s="34" t="s">
        <v>684</v>
      </c>
      <c r="H4281" s="36">
        <v>577903</v>
      </c>
      <c r="I4281" s="60">
        <v>3613045</v>
      </c>
      <c r="J4281">
        <f>IFERROR(VLOOKUP(G4281,'LEAID Match'!$A$2:$B$526,2,FALSE),"")</f>
        <v>2900008</v>
      </c>
      <c r="K4281" s="68">
        <f t="shared" si="133"/>
        <v>8</v>
      </c>
    </row>
    <row r="4282" spans="1:11" x14ac:dyDescent="0.2">
      <c r="A4282">
        <f t="shared" si="132"/>
        <v>2900008</v>
      </c>
      <c r="B4282">
        <v>2017</v>
      </c>
      <c r="C4282" t="s">
        <v>739</v>
      </c>
      <c r="D4282" t="s">
        <v>740</v>
      </c>
      <c r="E4282" t="s">
        <v>743</v>
      </c>
      <c r="F4282" s="34">
        <v>813</v>
      </c>
      <c r="G4282" s="34" t="s">
        <v>684</v>
      </c>
      <c r="H4282" s="36">
        <v>613179</v>
      </c>
      <c r="I4282" s="58">
        <v>3640180</v>
      </c>
      <c r="J4282">
        <f>IFERROR(VLOOKUP(G4282,'LEAID Match'!$A$2:$B$526,2,FALSE),"")</f>
        <v>2900008</v>
      </c>
      <c r="K4282" s="68">
        <f t="shared" si="133"/>
        <v>8</v>
      </c>
    </row>
    <row r="4283" spans="1:11" x14ac:dyDescent="0.2">
      <c r="A4283">
        <f t="shared" si="132"/>
        <v>2900008</v>
      </c>
      <c r="B4283">
        <v>2018</v>
      </c>
      <c r="C4283" t="s">
        <v>739</v>
      </c>
      <c r="D4283" t="s">
        <v>740</v>
      </c>
      <c r="E4283" t="s">
        <v>743</v>
      </c>
      <c r="F4283" s="34">
        <v>813</v>
      </c>
      <c r="G4283" s="34" t="s">
        <v>684</v>
      </c>
      <c r="H4283" s="36">
        <v>654183</v>
      </c>
      <c r="I4283" s="58">
        <v>3536244</v>
      </c>
      <c r="J4283">
        <f>IFERROR(VLOOKUP(G4283,'LEAID Match'!$A$2:$B$526,2,FALSE),"")</f>
        <v>2900008</v>
      </c>
      <c r="K4283" s="68">
        <f t="shared" si="133"/>
        <v>8</v>
      </c>
    </row>
    <row r="4284" spans="1:11" x14ac:dyDescent="0.2">
      <c r="A4284">
        <f t="shared" si="132"/>
        <v>2900008</v>
      </c>
      <c r="B4284">
        <v>2019</v>
      </c>
      <c r="C4284" t="s">
        <v>739</v>
      </c>
      <c r="D4284" t="s">
        <v>740</v>
      </c>
      <c r="E4284" t="s">
        <v>743</v>
      </c>
      <c r="F4284" s="34">
        <v>813</v>
      </c>
      <c r="G4284" s="34" t="s">
        <v>684</v>
      </c>
      <c r="H4284" s="36">
        <v>814044</v>
      </c>
      <c r="I4284" s="58">
        <v>3574134</v>
      </c>
      <c r="J4284">
        <f>IFERROR(VLOOKUP(G4284,'LEAID Match'!$A$2:$B$526,2,FALSE),"")</f>
        <v>2900008</v>
      </c>
      <c r="K4284" s="68">
        <f t="shared" si="133"/>
        <v>8</v>
      </c>
    </row>
    <row r="4285" spans="1:11" x14ac:dyDescent="0.2">
      <c r="A4285">
        <f t="shared" si="132"/>
        <v>2900008</v>
      </c>
      <c r="B4285">
        <v>2020</v>
      </c>
      <c r="C4285" t="s">
        <v>739</v>
      </c>
      <c r="D4285" t="s">
        <v>740</v>
      </c>
      <c r="E4285" t="s">
        <v>743</v>
      </c>
      <c r="F4285" s="34">
        <v>813</v>
      </c>
      <c r="G4285" s="34" t="s">
        <v>684</v>
      </c>
      <c r="H4285" s="36">
        <v>842573</v>
      </c>
      <c r="I4285" s="58">
        <v>3648695</v>
      </c>
      <c r="J4285">
        <f>IFERROR(VLOOKUP(G4285,'LEAID Match'!$A$2:$B$526,2,FALSE),"")</f>
        <v>2900008</v>
      </c>
      <c r="K4285" s="68">
        <f t="shared" si="133"/>
        <v>8</v>
      </c>
    </row>
    <row r="4286" spans="1:11" x14ac:dyDescent="0.2">
      <c r="A4286">
        <f t="shared" si="132"/>
        <v>2900008</v>
      </c>
      <c r="B4286">
        <v>2021</v>
      </c>
      <c r="C4286" t="s">
        <v>739</v>
      </c>
      <c r="D4286" t="s">
        <v>740</v>
      </c>
      <c r="E4286" t="s">
        <v>743</v>
      </c>
      <c r="F4286" s="34">
        <v>813</v>
      </c>
      <c r="G4286" s="34" t="s">
        <v>684</v>
      </c>
      <c r="H4286" s="36">
        <v>894291</v>
      </c>
      <c r="I4286" s="58">
        <v>3611788</v>
      </c>
      <c r="J4286">
        <f>IFERROR(VLOOKUP(G4286,'LEAID Match'!$A$2:$B$526,2,FALSE),"")</f>
        <v>2900008</v>
      </c>
      <c r="K4286" s="68">
        <f t="shared" si="133"/>
        <v>8</v>
      </c>
    </row>
    <row r="4287" spans="1:11" x14ac:dyDescent="0.2">
      <c r="A4287">
        <f t="shared" si="132"/>
        <v>2900008</v>
      </c>
      <c r="B4287">
        <v>2022</v>
      </c>
      <c r="C4287" t="s">
        <v>739</v>
      </c>
      <c r="D4287" t="s">
        <v>740</v>
      </c>
      <c r="E4287" t="s">
        <v>743</v>
      </c>
      <c r="F4287" s="34">
        <v>813</v>
      </c>
      <c r="G4287" s="34" t="s">
        <v>684</v>
      </c>
      <c r="H4287" s="36">
        <v>1008800</v>
      </c>
      <c r="I4287" s="58">
        <v>3727941</v>
      </c>
      <c r="J4287">
        <f>IFERROR(VLOOKUP(G4287,'LEAID Match'!$A$2:$B$526,2,FALSE),"")</f>
        <v>2900008</v>
      </c>
      <c r="K4287" s="68">
        <f t="shared" si="133"/>
        <v>8</v>
      </c>
    </row>
    <row r="4288" spans="1:11" x14ac:dyDescent="0.2">
      <c r="A4288">
        <f t="shared" si="132"/>
        <v>2929280</v>
      </c>
      <c r="B4288">
        <v>2015</v>
      </c>
      <c r="C4288" t="s">
        <v>739</v>
      </c>
      <c r="D4288" t="s">
        <v>740</v>
      </c>
      <c r="E4288" t="s">
        <v>744</v>
      </c>
      <c r="F4288" t="s">
        <v>736</v>
      </c>
      <c r="G4288" s="34" t="s">
        <v>737</v>
      </c>
      <c r="I4288" s="58">
        <v>40708.502999999997</v>
      </c>
      <c r="J4288">
        <f>IFERROR(VLOOKUP(G4288,'LEAID Match'!$A$2:$B$526,2,FALSE),"")</f>
        <v>2929280</v>
      </c>
      <c r="K4288" s="68">
        <f t="shared" si="133"/>
        <v>8</v>
      </c>
    </row>
    <row r="4289" spans="1:11" x14ac:dyDescent="0.2">
      <c r="A4289">
        <f t="shared" si="132"/>
        <v>2929280</v>
      </c>
      <c r="B4289">
        <v>2016</v>
      </c>
      <c r="C4289" t="s">
        <v>739</v>
      </c>
      <c r="D4289" t="s">
        <v>740</v>
      </c>
      <c r="E4289" t="s">
        <v>744</v>
      </c>
      <c r="F4289" t="s">
        <v>736</v>
      </c>
      <c r="G4289" s="34" t="s">
        <v>737</v>
      </c>
      <c r="I4289" s="58">
        <v>39520</v>
      </c>
      <c r="J4289">
        <f>IFERROR(VLOOKUP(G4289,'LEAID Match'!$A$2:$B$526,2,FALSE),"")</f>
        <v>2929280</v>
      </c>
      <c r="K4289" s="68">
        <f t="shared" si="133"/>
        <v>8</v>
      </c>
    </row>
    <row r="4290" spans="1:11" x14ac:dyDescent="0.2">
      <c r="A4290">
        <f t="shared" si="132"/>
        <v>2929280</v>
      </c>
      <c r="B4290">
        <v>2017</v>
      </c>
      <c r="C4290" t="s">
        <v>739</v>
      </c>
      <c r="D4290" t="s">
        <v>740</v>
      </c>
      <c r="E4290" t="s">
        <v>744</v>
      </c>
      <c r="F4290" t="s">
        <v>736</v>
      </c>
      <c r="G4290" s="34" t="s">
        <v>737</v>
      </c>
      <c r="I4290" s="58">
        <v>41077</v>
      </c>
      <c r="J4290">
        <f>IFERROR(VLOOKUP(G4290,'LEAID Match'!$A$2:$B$526,2,FALSE),"")</f>
        <v>2929280</v>
      </c>
      <c r="K4290" s="68">
        <f t="shared" si="133"/>
        <v>8</v>
      </c>
    </row>
    <row r="4291" spans="1:11" x14ac:dyDescent="0.2">
      <c r="A4291">
        <f t="shared" ref="A4291:A4295" si="134">J4291</f>
        <v>2929280</v>
      </c>
      <c r="B4291">
        <v>2018</v>
      </c>
      <c r="C4291" t="s">
        <v>739</v>
      </c>
      <c r="D4291" t="s">
        <v>740</v>
      </c>
      <c r="E4291" t="s">
        <v>744</v>
      </c>
      <c r="F4291" t="s">
        <v>736</v>
      </c>
      <c r="G4291" s="34" t="s">
        <v>737</v>
      </c>
      <c r="I4291" s="58">
        <v>48798</v>
      </c>
      <c r="J4291">
        <f>IFERROR(VLOOKUP(G4291,'LEAID Match'!$A$2:$B$526,2,FALSE),"")</f>
        <v>2929280</v>
      </c>
      <c r="K4291" s="68">
        <f t="shared" ref="K4291:K4295" si="135">COUNTIF($J$2:$J$4295,J4291)</f>
        <v>8</v>
      </c>
    </row>
    <row r="4292" spans="1:11" x14ac:dyDescent="0.2">
      <c r="A4292">
        <f t="shared" si="134"/>
        <v>2929280</v>
      </c>
      <c r="B4292">
        <v>2019</v>
      </c>
      <c r="C4292" t="s">
        <v>739</v>
      </c>
      <c r="D4292" t="s">
        <v>740</v>
      </c>
      <c r="E4292" t="s">
        <v>744</v>
      </c>
      <c r="F4292" t="s">
        <v>736</v>
      </c>
      <c r="G4292" s="34" t="s">
        <v>737</v>
      </c>
      <c r="I4292" s="58">
        <v>43902</v>
      </c>
      <c r="J4292">
        <f>IFERROR(VLOOKUP(G4292,'LEAID Match'!$A$2:$B$526,2,FALSE),"")</f>
        <v>2929280</v>
      </c>
      <c r="K4292" s="68">
        <f t="shared" si="135"/>
        <v>8</v>
      </c>
    </row>
    <row r="4293" spans="1:11" x14ac:dyDescent="0.2">
      <c r="A4293">
        <f t="shared" si="134"/>
        <v>2929280</v>
      </c>
      <c r="B4293">
        <v>2020</v>
      </c>
      <c r="C4293" t="s">
        <v>739</v>
      </c>
      <c r="D4293" t="s">
        <v>740</v>
      </c>
      <c r="E4293" t="s">
        <v>744</v>
      </c>
      <c r="F4293" t="s">
        <v>736</v>
      </c>
      <c r="G4293" s="34" t="s">
        <v>737</v>
      </c>
      <c r="I4293" s="58">
        <v>41822</v>
      </c>
      <c r="J4293">
        <f>IFERROR(VLOOKUP(G4293,'LEAID Match'!$A$2:$B$526,2,FALSE),"")</f>
        <v>2929280</v>
      </c>
      <c r="K4293" s="68">
        <f t="shared" si="135"/>
        <v>8</v>
      </c>
    </row>
    <row r="4294" spans="1:11" x14ac:dyDescent="0.2">
      <c r="A4294">
        <f t="shared" si="134"/>
        <v>2929280</v>
      </c>
      <c r="B4294">
        <v>2021</v>
      </c>
      <c r="C4294" t="s">
        <v>739</v>
      </c>
      <c r="D4294" t="s">
        <v>740</v>
      </c>
      <c r="E4294" t="s">
        <v>744</v>
      </c>
      <c r="F4294" t="s">
        <v>736</v>
      </c>
      <c r="G4294" s="34" t="s">
        <v>737</v>
      </c>
      <c r="I4294" s="58">
        <v>41227</v>
      </c>
      <c r="J4294">
        <f>IFERROR(VLOOKUP(G4294,'LEAID Match'!$A$2:$B$526,2,FALSE),"")</f>
        <v>2929280</v>
      </c>
      <c r="K4294" s="68">
        <f t="shared" si="135"/>
        <v>8</v>
      </c>
    </row>
    <row r="4295" spans="1:11" x14ac:dyDescent="0.2">
      <c r="A4295">
        <f t="shared" si="134"/>
        <v>2929280</v>
      </c>
      <c r="B4295">
        <v>2022</v>
      </c>
      <c r="C4295" t="s">
        <v>739</v>
      </c>
      <c r="D4295" t="s">
        <v>740</v>
      </c>
      <c r="E4295" t="s">
        <v>744</v>
      </c>
      <c r="F4295" t="s">
        <v>736</v>
      </c>
      <c r="G4295" s="34" t="s">
        <v>737</v>
      </c>
      <c r="I4295" s="58">
        <v>41034</v>
      </c>
      <c r="J4295">
        <f>IFERROR(VLOOKUP(G4295,'LEAID Match'!$A$2:$B$526,2,FALSE),"")</f>
        <v>2929280</v>
      </c>
      <c r="K4295" s="68">
        <f t="shared" si="135"/>
        <v>8</v>
      </c>
    </row>
  </sheetData>
  <autoFilter ref="A1:K4295" xr:uid="{64CCD6BF-BA9D-E14B-BA30-5D4D34938D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C27E-371E-2349-9A5E-DAA7CA8235DD}">
  <sheetPr>
    <tabColor rgb="FFFF0000"/>
  </sheetPr>
  <dimension ref="A1"/>
  <sheetViews>
    <sheetView workbookViewId="0">
      <selection activeCell="G40" sqref="G40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C3F2-07DC-974B-A6BD-DE6706321CCE}">
  <sheetPr>
    <tabColor rgb="FFFFFF00"/>
  </sheetPr>
  <dimension ref="A1:M565"/>
  <sheetViews>
    <sheetView workbookViewId="0">
      <selection activeCell="E2" sqref="D2:E537"/>
    </sheetView>
  </sheetViews>
  <sheetFormatPr baseColWidth="10" defaultRowHeight="16" x14ac:dyDescent="0.2"/>
  <cols>
    <col min="2" max="2" width="15.6640625" style="37" bestFit="1" customWidth="1"/>
    <col min="3" max="3" width="26.6640625" style="39" bestFit="1" customWidth="1"/>
    <col min="4" max="4" width="18.83203125" style="51" bestFit="1" customWidth="1"/>
    <col min="5" max="5" width="13" style="60" bestFit="1" customWidth="1"/>
  </cols>
  <sheetData>
    <row r="1" spans="1:11" x14ac:dyDescent="0.2">
      <c r="A1" t="s">
        <v>729</v>
      </c>
      <c r="B1" s="33" t="s">
        <v>521</v>
      </c>
      <c r="C1" s="39" t="s">
        <v>522</v>
      </c>
      <c r="D1" s="51" t="s">
        <v>523</v>
      </c>
      <c r="E1" s="51" t="s">
        <v>523</v>
      </c>
    </row>
    <row r="2" spans="1:11" x14ac:dyDescent="0.2">
      <c r="A2">
        <v>2015</v>
      </c>
      <c r="B2" s="37">
        <v>1</v>
      </c>
      <c r="C2" s="39" t="s">
        <v>0</v>
      </c>
      <c r="D2" s="40">
        <v>26384</v>
      </c>
      <c r="E2" s="60">
        <v>190567</v>
      </c>
      <c r="G2" s="1"/>
      <c r="H2" s="1"/>
      <c r="I2" s="1"/>
      <c r="J2" s="2"/>
      <c r="K2" s="1"/>
    </row>
    <row r="3" spans="1:11" x14ac:dyDescent="0.2">
      <c r="A3">
        <v>2015</v>
      </c>
      <c r="B3" s="37">
        <v>2</v>
      </c>
      <c r="C3" s="39" t="s">
        <v>1</v>
      </c>
      <c r="D3" s="40">
        <v>19636</v>
      </c>
      <c r="E3" s="60">
        <v>154138</v>
      </c>
      <c r="G3" s="1"/>
      <c r="H3" s="1"/>
      <c r="I3" s="3"/>
      <c r="J3" s="2"/>
      <c r="K3" s="3"/>
    </row>
    <row r="4" spans="1:11" x14ac:dyDescent="0.2">
      <c r="A4">
        <v>2015</v>
      </c>
      <c r="B4" s="37">
        <v>3</v>
      </c>
      <c r="C4" s="39" t="s">
        <v>2</v>
      </c>
      <c r="D4" s="40">
        <v>289723</v>
      </c>
      <c r="E4" s="60">
        <v>1807287</v>
      </c>
      <c r="G4" s="1"/>
      <c r="H4" s="1"/>
      <c r="I4" s="3"/>
      <c r="J4" s="2"/>
      <c r="K4" s="3"/>
    </row>
    <row r="5" spans="1:11" x14ac:dyDescent="0.2">
      <c r="A5">
        <v>2015</v>
      </c>
      <c r="B5" s="37">
        <v>4</v>
      </c>
      <c r="C5" s="39" t="s">
        <v>3</v>
      </c>
      <c r="D5" s="40">
        <v>165016</v>
      </c>
      <c r="E5" s="60">
        <v>1392047</v>
      </c>
      <c r="G5" s="1"/>
      <c r="H5" s="1"/>
      <c r="I5" s="3"/>
      <c r="J5" s="2"/>
      <c r="K5" s="3"/>
    </row>
    <row r="6" spans="1:11" x14ac:dyDescent="0.2">
      <c r="A6">
        <v>2015</v>
      </c>
      <c r="B6" s="38">
        <v>5</v>
      </c>
      <c r="C6" s="39" t="s">
        <v>4</v>
      </c>
      <c r="D6" s="40">
        <v>26564</v>
      </c>
      <c r="E6" s="60">
        <v>259917</v>
      </c>
      <c r="G6" s="4"/>
      <c r="H6" s="1"/>
      <c r="I6" s="3"/>
      <c r="J6" s="2"/>
      <c r="K6" s="3"/>
    </row>
    <row r="7" spans="1:11" x14ac:dyDescent="0.2">
      <c r="A7">
        <v>2015</v>
      </c>
      <c r="B7" s="37">
        <v>6</v>
      </c>
      <c r="C7" s="39" t="s">
        <v>5</v>
      </c>
      <c r="D7" s="40">
        <v>14040</v>
      </c>
      <c r="E7" s="60">
        <v>104151</v>
      </c>
      <c r="G7" s="1"/>
      <c r="H7" s="1"/>
      <c r="I7" s="3"/>
      <c r="J7" s="2"/>
      <c r="K7" s="3"/>
    </row>
    <row r="8" spans="1:11" x14ac:dyDescent="0.2">
      <c r="A8">
        <v>2015</v>
      </c>
      <c r="B8" s="37">
        <v>8</v>
      </c>
      <c r="C8" s="39" t="s">
        <v>6</v>
      </c>
      <c r="D8" s="40">
        <v>46642</v>
      </c>
      <c r="E8" s="60">
        <v>328014</v>
      </c>
      <c r="G8" s="1"/>
      <c r="H8" s="1"/>
      <c r="I8" s="3"/>
      <c r="J8" s="2"/>
      <c r="K8" s="3"/>
    </row>
    <row r="9" spans="1:11" x14ac:dyDescent="0.2">
      <c r="A9">
        <v>2015</v>
      </c>
      <c r="B9" s="37">
        <v>9</v>
      </c>
      <c r="C9" s="39" t="s">
        <v>7</v>
      </c>
      <c r="D9" s="40">
        <v>32781</v>
      </c>
      <c r="E9" s="60">
        <v>282745</v>
      </c>
      <c r="G9" s="1"/>
      <c r="H9" s="1"/>
      <c r="I9" s="3"/>
      <c r="J9" s="2"/>
      <c r="K9" s="3"/>
    </row>
    <row r="10" spans="1:11" x14ac:dyDescent="0.2">
      <c r="A10">
        <v>2015</v>
      </c>
      <c r="B10" s="37">
        <v>10</v>
      </c>
      <c r="C10" s="39" t="s">
        <v>8</v>
      </c>
      <c r="D10" s="40">
        <v>11391</v>
      </c>
      <c r="E10" s="60">
        <v>143192</v>
      </c>
      <c r="G10" s="1"/>
      <c r="H10" s="1"/>
      <c r="I10" s="3"/>
      <c r="J10" s="2"/>
      <c r="K10" s="3"/>
    </row>
    <row r="11" spans="1:11" x14ac:dyDescent="0.2">
      <c r="A11">
        <v>2015</v>
      </c>
      <c r="B11" s="37">
        <v>12</v>
      </c>
      <c r="C11" s="39" t="s">
        <v>9</v>
      </c>
      <c r="D11" s="40">
        <v>65500</v>
      </c>
      <c r="E11" s="60">
        <v>412520</v>
      </c>
      <c r="G11" s="1"/>
      <c r="H11" s="1"/>
      <c r="I11" s="3"/>
      <c r="J11" s="2"/>
      <c r="K11" s="3"/>
    </row>
    <row r="12" spans="1:11" x14ac:dyDescent="0.2">
      <c r="A12">
        <v>2015</v>
      </c>
      <c r="B12" s="37">
        <v>14</v>
      </c>
      <c r="C12" s="39" t="s">
        <v>10</v>
      </c>
      <c r="D12" s="40">
        <v>32519</v>
      </c>
      <c r="E12" s="60">
        <v>212360</v>
      </c>
      <c r="G12" s="1"/>
      <c r="H12" s="1"/>
      <c r="I12" s="3"/>
      <c r="J12" s="2"/>
      <c r="K12" s="3"/>
    </row>
    <row r="13" spans="1:11" x14ac:dyDescent="0.2">
      <c r="A13">
        <v>2015</v>
      </c>
      <c r="B13" s="37">
        <v>15</v>
      </c>
      <c r="C13" s="39" t="s">
        <v>11</v>
      </c>
      <c r="D13" s="40">
        <v>256131</v>
      </c>
      <c r="E13" s="60">
        <v>1536970</v>
      </c>
      <c r="G13" s="1"/>
      <c r="H13" s="1"/>
      <c r="I13" s="3"/>
      <c r="J13" s="2"/>
      <c r="K13" s="3"/>
    </row>
    <row r="14" spans="1:11" x14ac:dyDescent="0.2">
      <c r="A14">
        <v>2015</v>
      </c>
      <c r="B14" s="37">
        <v>19</v>
      </c>
      <c r="C14" s="39" t="s">
        <v>12</v>
      </c>
      <c r="D14" s="40">
        <v>178133</v>
      </c>
      <c r="E14" s="60">
        <v>1561867</v>
      </c>
      <c r="G14" s="1"/>
      <c r="H14" s="1"/>
      <c r="I14" s="3"/>
      <c r="J14" s="2"/>
      <c r="K14" s="3"/>
    </row>
    <row r="15" spans="1:11" x14ac:dyDescent="0.2">
      <c r="A15">
        <v>2015</v>
      </c>
      <c r="B15" s="37">
        <v>20</v>
      </c>
      <c r="C15" s="39" t="s">
        <v>13</v>
      </c>
      <c r="D15" s="40">
        <v>56809</v>
      </c>
      <c r="E15" s="60">
        <v>413141</v>
      </c>
      <c r="G15" s="1"/>
      <c r="H15" s="1"/>
      <c r="I15" s="3"/>
      <c r="J15" s="2"/>
      <c r="K15" s="3"/>
    </row>
    <row r="16" spans="1:11" x14ac:dyDescent="0.2">
      <c r="A16">
        <v>2015</v>
      </c>
      <c r="B16" s="37">
        <v>21</v>
      </c>
      <c r="C16" s="39" t="s">
        <v>14</v>
      </c>
      <c r="D16" s="40">
        <v>40761</v>
      </c>
      <c r="E16" s="60">
        <v>255873</v>
      </c>
      <c r="G16" s="1"/>
      <c r="H16" s="1"/>
      <c r="I16" s="3"/>
      <c r="J16" s="2"/>
      <c r="K16" s="3"/>
    </row>
    <row r="17" spans="1:11" x14ac:dyDescent="0.2">
      <c r="A17">
        <v>2015</v>
      </c>
      <c r="B17" s="37">
        <v>22</v>
      </c>
      <c r="C17" s="39" t="s">
        <v>15</v>
      </c>
      <c r="D17" s="40">
        <v>186982</v>
      </c>
      <c r="E17" s="60">
        <v>1168803</v>
      </c>
      <c r="G17" s="1"/>
      <c r="H17" s="1"/>
      <c r="I17" s="3"/>
      <c r="J17" s="2"/>
      <c r="K17" s="3"/>
    </row>
    <row r="18" spans="1:11" x14ac:dyDescent="0.2">
      <c r="A18">
        <v>2015</v>
      </c>
      <c r="B18" s="37">
        <v>23</v>
      </c>
      <c r="C18" s="39" t="s">
        <v>16</v>
      </c>
      <c r="D18" s="40">
        <v>71905</v>
      </c>
      <c r="E18" s="60">
        <v>487559</v>
      </c>
      <c r="G18" s="1"/>
      <c r="H18" s="1"/>
      <c r="I18" s="3"/>
      <c r="J18" s="2"/>
      <c r="K18" s="3"/>
    </row>
    <row r="19" spans="1:11" x14ac:dyDescent="0.2">
      <c r="A19">
        <v>2015</v>
      </c>
      <c r="B19" s="37">
        <v>24</v>
      </c>
      <c r="C19" s="39" t="s">
        <v>17</v>
      </c>
      <c r="D19" s="40">
        <v>34215</v>
      </c>
      <c r="E19" s="60">
        <v>201490</v>
      </c>
      <c r="G19" s="1"/>
      <c r="H19" s="1"/>
      <c r="I19" s="3"/>
      <c r="J19" s="2"/>
      <c r="K19" s="3"/>
    </row>
    <row r="20" spans="1:11" x14ac:dyDescent="0.2">
      <c r="A20">
        <v>2015</v>
      </c>
      <c r="B20" s="37">
        <v>28</v>
      </c>
      <c r="C20" s="39" t="s">
        <v>18</v>
      </c>
      <c r="D20" s="40">
        <v>39385</v>
      </c>
      <c r="E20" s="60">
        <v>172104</v>
      </c>
      <c r="G20" s="1"/>
      <c r="H20" s="1"/>
      <c r="I20" s="3"/>
      <c r="J20" s="2"/>
      <c r="K20" s="3"/>
    </row>
    <row r="21" spans="1:11" x14ac:dyDescent="0.2">
      <c r="A21">
        <v>2015</v>
      </c>
      <c r="B21" s="37">
        <v>31</v>
      </c>
      <c r="C21" s="39" t="s">
        <v>19</v>
      </c>
      <c r="D21" s="40">
        <v>103481</v>
      </c>
      <c r="E21" s="60">
        <v>881501</v>
      </c>
      <c r="G21" s="1"/>
      <c r="H21" s="1"/>
      <c r="I21" s="3"/>
      <c r="J21" s="2"/>
      <c r="K21" s="3"/>
    </row>
    <row r="22" spans="1:11" x14ac:dyDescent="0.2">
      <c r="A22">
        <v>2015</v>
      </c>
      <c r="B22" s="39">
        <v>32</v>
      </c>
      <c r="C22" s="39" t="s">
        <v>20</v>
      </c>
      <c r="D22" s="40">
        <v>40643</v>
      </c>
      <c r="E22" s="60">
        <v>274406</v>
      </c>
      <c r="G22" s="7"/>
      <c r="H22" s="7"/>
      <c r="I22" s="8"/>
      <c r="J22" s="6"/>
      <c r="K22" s="8"/>
    </row>
    <row r="23" spans="1:11" x14ac:dyDescent="0.2">
      <c r="A23">
        <v>2015</v>
      </c>
      <c r="B23" s="37">
        <v>33</v>
      </c>
      <c r="C23" s="39" t="s">
        <v>21</v>
      </c>
      <c r="D23" s="40">
        <v>18308</v>
      </c>
      <c r="E23" s="60">
        <v>169348</v>
      </c>
      <c r="G23" s="7"/>
      <c r="H23" s="7"/>
      <c r="I23" s="8"/>
      <c r="J23" s="6"/>
      <c r="K23" s="8"/>
    </row>
    <row r="24" spans="1:11" x14ac:dyDescent="0.2">
      <c r="A24">
        <v>2015</v>
      </c>
      <c r="B24" s="37">
        <v>34</v>
      </c>
      <c r="C24" s="39" t="s">
        <v>22</v>
      </c>
      <c r="D24" s="40">
        <v>22660</v>
      </c>
      <c r="E24" s="60">
        <v>152112</v>
      </c>
      <c r="G24" s="1"/>
      <c r="H24" s="1"/>
      <c r="I24" s="3"/>
      <c r="J24" s="2"/>
      <c r="K24" s="3"/>
    </row>
    <row r="25" spans="1:11" x14ac:dyDescent="0.2">
      <c r="A25">
        <v>2015</v>
      </c>
      <c r="B25" s="37">
        <v>35</v>
      </c>
      <c r="C25" s="39" t="s">
        <v>23</v>
      </c>
      <c r="D25" s="40">
        <v>11550</v>
      </c>
      <c r="E25" s="60">
        <v>121922</v>
      </c>
      <c r="G25" s="1"/>
      <c r="H25" s="1"/>
      <c r="I25" s="3"/>
      <c r="J25" s="2"/>
      <c r="K25" s="3"/>
    </row>
    <row r="26" spans="1:11" x14ac:dyDescent="0.2">
      <c r="A26">
        <v>2015</v>
      </c>
      <c r="B26" s="37">
        <v>36</v>
      </c>
      <c r="C26" s="39" t="s">
        <v>24</v>
      </c>
      <c r="D26" s="40">
        <v>57936</v>
      </c>
      <c r="E26" s="60">
        <v>449161</v>
      </c>
      <c r="G26" s="1"/>
      <c r="H26" s="1"/>
      <c r="I26" s="3"/>
      <c r="J26" s="2"/>
      <c r="K26" s="3"/>
    </row>
    <row r="27" spans="1:11" x14ac:dyDescent="0.2">
      <c r="A27">
        <v>2015</v>
      </c>
      <c r="B27" s="37">
        <v>37</v>
      </c>
      <c r="C27" s="39" t="s">
        <v>25</v>
      </c>
      <c r="D27" s="40">
        <v>26980</v>
      </c>
      <c r="E27" s="60">
        <v>273076</v>
      </c>
      <c r="G27" s="1"/>
      <c r="H27" s="1"/>
      <c r="I27" s="3"/>
      <c r="J27" s="2"/>
      <c r="K27" s="3"/>
    </row>
    <row r="28" spans="1:11" x14ac:dyDescent="0.2">
      <c r="A28">
        <v>2015</v>
      </c>
      <c r="B28" s="37">
        <v>38</v>
      </c>
      <c r="C28" s="39" t="s">
        <v>26</v>
      </c>
      <c r="D28" s="40">
        <v>67468</v>
      </c>
      <c r="E28" s="60">
        <v>669634</v>
      </c>
      <c r="G28" s="1"/>
      <c r="H28" s="1"/>
      <c r="I28" s="3"/>
      <c r="J28" s="2"/>
      <c r="K28" s="3"/>
    </row>
    <row r="29" spans="1:11" x14ac:dyDescent="0.2">
      <c r="A29">
        <v>2015</v>
      </c>
      <c r="B29" s="37">
        <v>39</v>
      </c>
      <c r="C29" s="39" t="s">
        <v>27</v>
      </c>
      <c r="D29" s="40">
        <v>14233</v>
      </c>
      <c r="E29" s="60">
        <v>110394</v>
      </c>
      <c r="G29" s="1"/>
      <c r="H29" s="1"/>
      <c r="I29" s="3"/>
      <c r="J29" s="2"/>
      <c r="K29" s="3"/>
    </row>
    <row r="30" spans="1:11" x14ac:dyDescent="0.2">
      <c r="A30">
        <v>2015</v>
      </c>
      <c r="B30" s="37">
        <v>40</v>
      </c>
      <c r="C30" s="39" t="s">
        <v>28</v>
      </c>
      <c r="D30" s="40">
        <v>5076</v>
      </c>
      <c r="E30" s="60">
        <v>31324</v>
      </c>
      <c r="G30" s="1"/>
      <c r="H30" s="1"/>
      <c r="I30" s="3"/>
      <c r="J30" s="2"/>
      <c r="K30" s="3"/>
    </row>
    <row r="31" spans="1:11" x14ac:dyDescent="0.2">
      <c r="A31">
        <v>2015</v>
      </c>
      <c r="B31" s="37">
        <v>41</v>
      </c>
      <c r="C31" s="39" t="s">
        <v>29</v>
      </c>
      <c r="D31" s="40">
        <v>60476</v>
      </c>
      <c r="E31" s="60">
        <v>420832</v>
      </c>
      <c r="G31" s="1"/>
      <c r="H31" s="1"/>
      <c r="I31" s="3"/>
      <c r="J31" s="2"/>
      <c r="K31" s="3"/>
    </row>
    <row r="32" spans="1:11" x14ac:dyDescent="0.2">
      <c r="A32">
        <v>2015</v>
      </c>
      <c r="B32" s="37">
        <v>42</v>
      </c>
      <c r="C32" s="39" t="s">
        <v>30</v>
      </c>
      <c r="D32" s="40">
        <v>44968</v>
      </c>
      <c r="E32" s="60">
        <v>318742</v>
      </c>
      <c r="G32" s="1"/>
      <c r="H32" s="1"/>
      <c r="I32" s="3"/>
      <c r="J32" s="2"/>
      <c r="K32" s="3"/>
    </row>
    <row r="33" spans="1:11" x14ac:dyDescent="0.2">
      <c r="A33">
        <v>2015</v>
      </c>
      <c r="B33" s="37">
        <v>43</v>
      </c>
      <c r="C33" s="39" t="s">
        <v>31</v>
      </c>
      <c r="D33" s="40">
        <v>129773</v>
      </c>
      <c r="E33" s="60">
        <v>811736</v>
      </c>
      <c r="G33" s="1"/>
      <c r="H33" s="1"/>
      <c r="I33" s="3"/>
      <c r="J33" s="2"/>
      <c r="K33" s="3"/>
    </row>
    <row r="34" spans="1:11" x14ac:dyDescent="0.2">
      <c r="A34">
        <v>2015</v>
      </c>
      <c r="B34" s="37">
        <v>46</v>
      </c>
      <c r="C34" s="39" t="s">
        <v>32</v>
      </c>
      <c r="D34" s="40">
        <v>55832</v>
      </c>
      <c r="E34" s="60">
        <v>309408</v>
      </c>
      <c r="G34" s="1"/>
      <c r="H34" s="1"/>
      <c r="I34" s="3"/>
      <c r="J34" s="2"/>
      <c r="K34" s="3"/>
    </row>
    <row r="35" spans="1:11" x14ac:dyDescent="0.2">
      <c r="A35">
        <v>2015</v>
      </c>
      <c r="B35" s="37">
        <v>47</v>
      </c>
      <c r="C35" s="39" t="s">
        <v>33</v>
      </c>
      <c r="D35" s="40">
        <v>11486</v>
      </c>
      <c r="E35" s="60">
        <v>111621</v>
      </c>
      <c r="G35" s="1"/>
      <c r="H35" s="1"/>
      <c r="I35" s="3"/>
      <c r="J35" s="2"/>
      <c r="K35" s="3"/>
    </row>
    <row r="36" spans="1:11" x14ac:dyDescent="0.2">
      <c r="A36">
        <v>2015</v>
      </c>
      <c r="B36" s="37">
        <v>48</v>
      </c>
      <c r="C36" s="39" t="s">
        <v>34</v>
      </c>
      <c r="D36" s="40">
        <v>72129</v>
      </c>
      <c r="E36" s="60">
        <v>530110</v>
      </c>
      <c r="G36" s="1"/>
      <c r="H36" s="1"/>
      <c r="I36" s="3"/>
      <c r="J36" s="2"/>
      <c r="K36" s="3"/>
    </row>
    <row r="37" spans="1:11" x14ac:dyDescent="0.2">
      <c r="A37">
        <v>2015</v>
      </c>
      <c r="B37" s="37">
        <v>49</v>
      </c>
      <c r="C37" s="39" t="s">
        <v>35</v>
      </c>
      <c r="D37" s="40">
        <v>20929</v>
      </c>
      <c r="E37" s="60">
        <v>142286</v>
      </c>
      <c r="G37" s="1"/>
      <c r="H37" s="1"/>
      <c r="I37" s="3"/>
      <c r="J37" s="2"/>
      <c r="K37" s="3"/>
    </row>
    <row r="38" spans="1:11" x14ac:dyDescent="0.2">
      <c r="A38">
        <v>2015</v>
      </c>
      <c r="B38" s="37">
        <v>50</v>
      </c>
      <c r="C38" s="39" t="s">
        <v>36</v>
      </c>
      <c r="D38" s="40">
        <v>107585</v>
      </c>
      <c r="E38" s="60">
        <v>954856</v>
      </c>
      <c r="G38" s="1"/>
      <c r="H38" s="1"/>
      <c r="I38" s="3"/>
      <c r="J38" s="2"/>
      <c r="K38" s="3"/>
    </row>
    <row r="39" spans="1:11" x14ac:dyDescent="0.2">
      <c r="A39">
        <v>2015</v>
      </c>
      <c r="B39" s="37">
        <v>52</v>
      </c>
      <c r="C39" s="39" t="s">
        <v>37</v>
      </c>
      <c r="D39" s="40">
        <v>103605</v>
      </c>
      <c r="E39" s="60">
        <v>863786</v>
      </c>
      <c r="G39" s="1"/>
      <c r="H39" s="1"/>
      <c r="I39" s="3"/>
      <c r="J39" s="2"/>
      <c r="K39" s="3"/>
    </row>
    <row r="40" spans="1:11" x14ac:dyDescent="0.2">
      <c r="A40">
        <v>2015</v>
      </c>
      <c r="B40" s="37">
        <v>53</v>
      </c>
      <c r="C40" s="39" t="s">
        <v>38</v>
      </c>
      <c r="D40" s="40">
        <v>55161</v>
      </c>
      <c r="E40" s="60">
        <v>292204</v>
      </c>
      <c r="G40" s="1"/>
      <c r="H40" s="1"/>
      <c r="I40" s="3"/>
      <c r="J40" s="2"/>
      <c r="K40" s="3"/>
    </row>
    <row r="41" spans="1:11" x14ac:dyDescent="0.2">
      <c r="A41">
        <v>2015</v>
      </c>
      <c r="B41" s="37">
        <v>54</v>
      </c>
      <c r="C41" s="39" t="s">
        <v>39</v>
      </c>
      <c r="D41" s="40">
        <v>78912</v>
      </c>
      <c r="E41" s="60">
        <v>868289</v>
      </c>
      <c r="G41" s="1"/>
      <c r="H41" s="1"/>
      <c r="I41" s="3"/>
      <c r="J41" s="2"/>
      <c r="K41" s="3"/>
    </row>
    <row r="42" spans="1:11" x14ac:dyDescent="0.2">
      <c r="A42">
        <v>2015</v>
      </c>
      <c r="B42" s="37">
        <v>55</v>
      </c>
      <c r="C42" s="39" t="s">
        <v>40</v>
      </c>
      <c r="D42" s="40">
        <v>33415</v>
      </c>
      <c r="E42" s="60">
        <v>363756</v>
      </c>
      <c r="G42" s="1"/>
      <c r="H42" s="1"/>
      <c r="I42" s="3"/>
      <c r="J42" s="2"/>
      <c r="K42" s="3"/>
    </row>
    <row r="43" spans="1:11" x14ac:dyDescent="0.2">
      <c r="A43">
        <v>2015</v>
      </c>
      <c r="B43" s="37">
        <v>57</v>
      </c>
      <c r="C43" s="39" t="s">
        <v>41</v>
      </c>
      <c r="D43" s="40">
        <v>2063306</v>
      </c>
      <c r="E43" s="60">
        <v>13507899</v>
      </c>
      <c r="G43" s="1"/>
      <c r="H43" s="1"/>
      <c r="I43" s="3"/>
      <c r="J43" s="2"/>
      <c r="K43" s="3"/>
    </row>
    <row r="44" spans="1:11" x14ac:dyDescent="0.2">
      <c r="A44">
        <v>2015</v>
      </c>
      <c r="B44" s="37">
        <v>63</v>
      </c>
      <c r="C44" s="39" t="s">
        <v>42</v>
      </c>
      <c r="D44" s="40">
        <v>41170</v>
      </c>
      <c r="E44" s="60">
        <v>254866</v>
      </c>
      <c r="G44" s="1"/>
      <c r="H44" s="1"/>
      <c r="I44" s="3"/>
      <c r="J44" s="2"/>
      <c r="K44" s="3"/>
    </row>
    <row r="45" spans="1:11" x14ac:dyDescent="0.2">
      <c r="A45">
        <v>2015</v>
      </c>
      <c r="B45" s="37">
        <v>64</v>
      </c>
      <c r="C45" s="39" t="s">
        <v>43</v>
      </c>
      <c r="D45" s="40">
        <v>54751</v>
      </c>
      <c r="E45" s="60">
        <v>454148</v>
      </c>
      <c r="G45" s="1"/>
      <c r="H45" s="1"/>
      <c r="I45" s="3"/>
      <c r="J45" s="2"/>
      <c r="K45" s="3"/>
    </row>
    <row r="46" spans="1:11" x14ac:dyDescent="0.2">
      <c r="A46">
        <v>2015</v>
      </c>
      <c r="B46" s="37">
        <v>65</v>
      </c>
      <c r="C46" s="39" t="s">
        <v>44</v>
      </c>
      <c r="D46" s="40">
        <v>49970</v>
      </c>
      <c r="E46" s="36">
        <v>506011</v>
      </c>
      <c r="F46" s="1"/>
      <c r="G46" s="1"/>
      <c r="H46" s="3"/>
      <c r="I46" s="2"/>
      <c r="J46" s="3"/>
      <c r="K46" s="2"/>
    </row>
    <row r="47" spans="1:11" x14ac:dyDescent="0.2">
      <c r="A47">
        <v>2015</v>
      </c>
      <c r="B47" s="37">
        <v>66</v>
      </c>
      <c r="C47" s="39" t="s">
        <v>45</v>
      </c>
      <c r="D47" s="40">
        <v>1468891</v>
      </c>
      <c r="E47" s="36">
        <v>8223364</v>
      </c>
      <c r="F47" s="1"/>
      <c r="G47" s="1"/>
      <c r="H47" s="3"/>
      <c r="I47" s="2"/>
      <c r="J47" s="3"/>
      <c r="K47" s="2"/>
    </row>
    <row r="48" spans="1:11" x14ac:dyDescent="0.2">
      <c r="A48">
        <v>2015</v>
      </c>
      <c r="B48" s="37">
        <v>67</v>
      </c>
      <c r="C48" s="39" t="s">
        <v>46</v>
      </c>
      <c r="D48" s="40">
        <v>424424</v>
      </c>
      <c r="E48" s="36">
        <v>3079955</v>
      </c>
      <c r="F48" s="1"/>
      <c r="G48" s="1"/>
      <c r="H48" s="3"/>
      <c r="I48" s="2"/>
      <c r="J48" s="3"/>
      <c r="K48" s="2"/>
    </row>
    <row r="49" spans="1:11" x14ac:dyDescent="0.2">
      <c r="A49">
        <v>2015</v>
      </c>
      <c r="B49" s="37">
        <v>68</v>
      </c>
      <c r="C49" s="39" t="s">
        <v>47</v>
      </c>
      <c r="D49" s="40">
        <v>50135</v>
      </c>
      <c r="E49" s="36">
        <v>403620</v>
      </c>
      <c r="F49" s="1"/>
      <c r="G49" s="1"/>
      <c r="H49" s="3"/>
      <c r="I49" s="2"/>
      <c r="J49" s="3"/>
      <c r="K49" s="2"/>
    </row>
    <row r="50" spans="1:11" x14ac:dyDescent="0.2">
      <c r="A50">
        <v>2015</v>
      </c>
      <c r="B50" s="37">
        <v>69</v>
      </c>
      <c r="C50" s="39" t="s">
        <v>48</v>
      </c>
      <c r="D50" s="40">
        <v>97907</v>
      </c>
      <c r="E50" s="36">
        <v>611004</v>
      </c>
      <c r="F50" s="1"/>
      <c r="G50" s="1"/>
      <c r="H50" s="3"/>
      <c r="I50" s="2"/>
      <c r="J50" s="3"/>
      <c r="K50" s="2"/>
    </row>
    <row r="51" spans="1:11" x14ac:dyDescent="0.2">
      <c r="A51">
        <v>2015</v>
      </c>
      <c r="B51" s="37">
        <v>74</v>
      </c>
      <c r="C51" s="39" t="s">
        <v>49</v>
      </c>
      <c r="D51" s="40">
        <v>15696</v>
      </c>
      <c r="E51" s="36">
        <v>85287</v>
      </c>
      <c r="F51" s="1"/>
      <c r="G51" s="1"/>
      <c r="H51" s="3"/>
      <c r="I51" s="2"/>
      <c r="J51" s="3"/>
      <c r="K51" s="2"/>
    </row>
    <row r="52" spans="1:11" x14ac:dyDescent="0.2">
      <c r="A52">
        <v>2015</v>
      </c>
      <c r="B52" s="37">
        <v>75</v>
      </c>
      <c r="C52" s="39" t="s">
        <v>50</v>
      </c>
      <c r="D52" s="40">
        <v>50827</v>
      </c>
      <c r="E52" s="36">
        <v>481182</v>
      </c>
      <c r="F52" s="1"/>
      <c r="G52" s="1"/>
      <c r="H52" s="3"/>
      <c r="I52" s="2"/>
      <c r="J52" s="3"/>
      <c r="K52" s="2"/>
    </row>
    <row r="53" spans="1:11" x14ac:dyDescent="0.2">
      <c r="A53">
        <v>2015</v>
      </c>
      <c r="B53" s="37">
        <v>76</v>
      </c>
      <c r="C53" s="39" t="s">
        <v>51</v>
      </c>
      <c r="D53" s="40">
        <v>2700</v>
      </c>
      <c r="E53" s="36">
        <v>36680</v>
      </c>
      <c r="F53" s="1"/>
      <c r="G53" s="1"/>
      <c r="H53" s="3"/>
      <c r="I53" s="2"/>
      <c r="J53" s="3"/>
      <c r="K53" s="2"/>
    </row>
    <row r="54" spans="1:11" x14ac:dyDescent="0.2">
      <c r="A54">
        <v>2015</v>
      </c>
      <c r="B54" s="37">
        <v>77</v>
      </c>
      <c r="C54" s="39" t="s">
        <v>52</v>
      </c>
      <c r="D54" s="40">
        <v>5024</v>
      </c>
      <c r="E54" s="36">
        <v>37412</v>
      </c>
      <c r="F54" s="1"/>
      <c r="G54" s="1"/>
      <c r="H54" s="3"/>
      <c r="I54" s="2"/>
      <c r="J54" s="3"/>
      <c r="K54" s="2"/>
    </row>
    <row r="55" spans="1:11" x14ac:dyDescent="0.2">
      <c r="A55">
        <v>2015</v>
      </c>
      <c r="B55" s="37">
        <v>78</v>
      </c>
      <c r="C55" s="39" t="s">
        <v>53</v>
      </c>
      <c r="D55" s="40">
        <v>32967</v>
      </c>
      <c r="E55" s="36">
        <v>297991</v>
      </c>
      <c r="F55" s="1"/>
      <c r="G55" s="1"/>
      <c r="H55" s="3"/>
      <c r="I55" s="2"/>
      <c r="J55" s="3"/>
      <c r="K55" s="2"/>
    </row>
    <row r="56" spans="1:11" x14ac:dyDescent="0.2">
      <c r="A56">
        <v>2015</v>
      </c>
      <c r="B56" s="37">
        <v>79</v>
      </c>
      <c r="C56" s="39" t="s">
        <v>54</v>
      </c>
      <c r="D56" s="40">
        <v>5387</v>
      </c>
      <c r="E56" s="36">
        <v>44604</v>
      </c>
      <c r="F56" s="1"/>
      <c r="G56" s="1"/>
      <c r="H56" s="3"/>
      <c r="I56" s="2"/>
      <c r="J56" s="3"/>
      <c r="K56" s="2"/>
    </row>
    <row r="57" spans="1:11" x14ac:dyDescent="0.2">
      <c r="A57">
        <v>2015</v>
      </c>
      <c r="B57" s="37">
        <v>80</v>
      </c>
      <c r="C57" s="39" t="s">
        <v>55</v>
      </c>
      <c r="D57" s="40">
        <v>22483</v>
      </c>
      <c r="E57" s="36">
        <v>189330</v>
      </c>
      <c r="F57" s="1"/>
      <c r="G57" s="1"/>
      <c r="H57" s="3"/>
      <c r="I57" s="2"/>
      <c r="J57" s="3"/>
      <c r="K57" s="2"/>
    </row>
    <row r="58" spans="1:11" x14ac:dyDescent="0.2">
      <c r="A58">
        <v>2015</v>
      </c>
      <c r="B58" s="37">
        <v>82</v>
      </c>
      <c r="C58" s="39" t="s">
        <v>56</v>
      </c>
      <c r="D58" s="40">
        <v>2874</v>
      </c>
      <c r="E58" s="36">
        <v>36954</v>
      </c>
      <c r="F58" s="1"/>
      <c r="G58" s="1"/>
      <c r="H58" s="3"/>
      <c r="I58" s="2"/>
      <c r="J58" s="3"/>
      <c r="K58" s="2"/>
    </row>
    <row r="59" spans="1:11" x14ac:dyDescent="0.2">
      <c r="A59">
        <v>2015</v>
      </c>
      <c r="B59" s="37">
        <v>83</v>
      </c>
      <c r="C59" s="39" t="s">
        <v>57</v>
      </c>
      <c r="D59" s="40">
        <v>70295</v>
      </c>
      <c r="E59" s="36">
        <v>755534</v>
      </c>
      <c r="F59" s="1"/>
      <c r="G59" s="1"/>
      <c r="H59" s="3"/>
      <c r="I59" s="2"/>
      <c r="J59" s="3"/>
      <c r="K59" s="2"/>
    </row>
    <row r="60" spans="1:11" x14ac:dyDescent="0.2">
      <c r="A60">
        <v>2015</v>
      </c>
      <c r="B60" s="37">
        <v>84</v>
      </c>
      <c r="C60" s="39" t="s">
        <v>85</v>
      </c>
      <c r="D60" s="40">
        <v>109521</v>
      </c>
      <c r="E60" s="36">
        <v>674887</v>
      </c>
      <c r="F60" s="1"/>
    </row>
    <row r="61" spans="1:11" x14ac:dyDescent="0.2">
      <c r="A61">
        <v>2015</v>
      </c>
      <c r="B61" s="37">
        <v>85</v>
      </c>
      <c r="C61" s="39" t="s">
        <v>58</v>
      </c>
      <c r="D61" s="40">
        <v>47956</v>
      </c>
      <c r="E61" s="36">
        <v>358007</v>
      </c>
      <c r="F61" s="1"/>
      <c r="G61" s="1"/>
      <c r="H61" s="3"/>
      <c r="I61" s="2"/>
      <c r="J61" s="3"/>
      <c r="K61" s="2"/>
    </row>
    <row r="62" spans="1:11" x14ac:dyDescent="0.2">
      <c r="A62">
        <v>2015</v>
      </c>
      <c r="B62" s="37">
        <v>86</v>
      </c>
      <c r="C62" s="39" t="s">
        <v>59</v>
      </c>
      <c r="D62" s="40">
        <v>223961</v>
      </c>
      <c r="E62" s="36">
        <v>1356299</v>
      </c>
      <c r="F62" s="1"/>
      <c r="G62" s="1"/>
      <c r="H62" s="3"/>
      <c r="I62" s="2"/>
      <c r="J62" s="3"/>
      <c r="K62" s="2"/>
    </row>
    <row r="63" spans="1:11" x14ac:dyDescent="0.2">
      <c r="A63">
        <v>2015</v>
      </c>
      <c r="B63" s="37">
        <v>93</v>
      </c>
      <c r="C63" s="39" t="s">
        <v>60</v>
      </c>
      <c r="D63" s="40">
        <v>40734</v>
      </c>
      <c r="E63" s="36">
        <v>257733</v>
      </c>
      <c r="F63" s="1"/>
      <c r="G63" s="1"/>
      <c r="H63" s="3"/>
      <c r="I63" s="2"/>
      <c r="J63" s="3"/>
      <c r="K63" s="2"/>
    </row>
    <row r="64" spans="1:11" x14ac:dyDescent="0.2">
      <c r="A64">
        <v>2015</v>
      </c>
      <c r="B64" s="37">
        <v>94</v>
      </c>
      <c r="C64" s="39" t="s">
        <v>61</v>
      </c>
      <c r="D64" s="40">
        <v>488045</v>
      </c>
      <c r="E64" s="36">
        <v>3183597</v>
      </c>
      <c r="F64" s="1"/>
      <c r="G64" s="1"/>
      <c r="H64" s="3"/>
      <c r="I64" s="2"/>
      <c r="J64" s="3"/>
      <c r="K64" s="2"/>
    </row>
    <row r="65" spans="1:11" x14ac:dyDescent="0.2">
      <c r="A65">
        <v>2015</v>
      </c>
      <c r="B65" s="37">
        <v>95</v>
      </c>
      <c r="C65" s="39" t="s">
        <v>62</v>
      </c>
      <c r="D65" s="40">
        <v>39673</v>
      </c>
      <c r="E65" s="36">
        <v>175980</v>
      </c>
      <c r="F65" s="1"/>
      <c r="G65" s="1"/>
      <c r="H65" s="3"/>
      <c r="I65" s="2"/>
      <c r="J65" s="3"/>
      <c r="K65" s="2"/>
    </row>
    <row r="66" spans="1:11" x14ac:dyDescent="0.2">
      <c r="A66">
        <v>2015</v>
      </c>
      <c r="B66" s="37">
        <v>96</v>
      </c>
      <c r="C66" s="39" t="s">
        <v>63</v>
      </c>
      <c r="D66" s="40">
        <v>29310</v>
      </c>
      <c r="E66" s="36">
        <v>241240</v>
      </c>
      <c r="F66" s="1"/>
      <c r="G66" s="1"/>
      <c r="H66" s="3"/>
      <c r="I66" s="2"/>
      <c r="J66" s="3"/>
      <c r="K66" s="2"/>
    </row>
    <row r="67" spans="1:11" x14ac:dyDescent="0.2">
      <c r="A67">
        <v>2015</v>
      </c>
      <c r="B67" s="37">
        <v>97</v>
      </c>
      <c r="C67" s="39" t="s">
        <v>64</v>
      </c>
      <c r="D67" s="40">
        <v>486266</v>
      </c>
      <c r="E67" s="36">
        <v>2643334</v>
      </c>
      <c r="F67" s="1"/>
      <c r="G67" s="1"/>
      <c r="H67" s="3"/>
      <c r="I67" s="2"/>
      <c r="J67" s="3"/>
      <c r="K67" s="2"/>
    </row>
    <row r="68" spans="1:11" x14ac:dyDescent="0.2">
      <c r="A68">
        <v>2015</v>
      </c>
      <c r="B68" s="37">
        <v>98</v>
      </c>
      <c r="C68" s="39" t="s">
        <v>65</v>
      </c>
      <c r="D68" s="40">
        <v>25760</v>
      </c>
      <c r="E68" s="36">
        <v>268633</v>
      </c>
      <c r="F68" s="1"/>
      <c r="G68" s="1"/>
      <c r="H68" s="3"/>
      <c r="I68" s="2"/>
      <c r="J68" s="3"/>
      <c r="K68" s="2"/>
    </row>
    <row r="69" spans="1:11" x14ac:dyDescent="0.2">
      <c r="A69">
        <v>2015</v>
      </c>
      <c r="B69" s="37">
        <v>99</v>
      </c>
      <c r="C69" s="39" t="s">
        <v>66</v>
      </c>
      <c r="D69" s="40">
        <v>20086</v>
      </c>
      <c r="E69" s="36">
        <v>218181</v>
      </c>
      <c r="F69" s="1"/>
      <c r="G69" s="1"/>
      <c r="H69" s="3"/>
      <c r="I69" s="2"/>
      <c r="J69" s="3"/>
      <c r="K69" s="2"/>
    </row>
    <row r="70" spans="1:11" x14ac:dyDescent="0.2">
      <c r="A70">
        <v>2015</v>
      </c>
      <c r="B70" s="37">
        <v>100</v>
      </c>
      <c r="C70" s="39" t="s">
        <v>67</v>
      </c>
      <c r="D70" s="40">
        <v>26720</v>
      </c>
      <c r="E70" s="36">
        <v>253030</v>
      </c>
      <c r="F70" s="1"/>
      <c r="G70" s="1"/>
      <c r="H70" s="3"/>
      <c r="I70" s="2"/>
      <c r="J70" s="3"/>
      <c r="K70" s="2"/>
    </row>
    <row r="71" spans="1:11" x14ac:dyDescent="0.2">
      <c r="A71">
        <v>2015</v>
      </c>
      <c r="B71" s="37">
        <v>101</v>
      </c>
      <c r="C71" s="39" t="s">
        <v>68</v>
      </c>
      <c r="D71" s="40">
        <v>468806</v>
      </c>
      <c r="E71" s="36">
        <v>3221483</v>
      </c>
      <c r="F71" s="1"/>
      <c r="G71" s="1"/>
      <c r="H71" s="3"/>
      <c r="I71" s="2"/>
      <c r="J71" s="3"/>
      <c r="K71" s="2"/>
    </row>
    <row r="72" spans="1:11" x14ac:dyDescent="0.2">
      <c r="A72">
        <v>2015</v>
      </c>
      <c r="B72" s="37">
        <v>103</v>
      </c>
      <c r="C72" s="39" t="s">
        <v>69</v>
      </c>
      <c r="D72" s="40">
        <v>8564</v>
      </c>
      <c r="E72" s="36">
        <v>134953</v>
      </c>
      <c r="F72" s="1"/>
      <c r="G72" s="1"/>
      <c r="H72" s="3"/>
      <c r="I72" s="2"/>
      <c r="J72" s="3"/>
      <c r="K72" s="2"/>
    </row>
    <row r="73" spans="1:11" x14ac:dyDescent="0.2">
      <c r="A73">
        <v>2015</v>
      </c>
      <c r="B73" s="37">
        <v>104</v>
      </c>
      <c r="C73" s="39" t="s">
        <v>70</v>
      </c>
      <c r="D73" s="40">
        <v>13981</v>
      </c>
      <c r="E73" s="36">
        <v>136634</v>
      </c>
      <c r="F73" s="1"/>
      <c r="G73" s="1"/>
      <c r="H73" s="3"/>
      <c r="I73" s="2"/>
      <c r="J73" s="3"/>
      <c r="K73" s="2"/>
    </row>
    <row r="74" spans="1:11" x14ac:dyDescent="0.2">
      <c r="A74">
        <v>2015</v>
      </c>
      <c r="B74" s="37">
        <v>106</v>
      </c>
      <c r="C74" s="39" t="s">
        <v>71</v>
      </c>
      <c r="D74" s="40">
        <v>14381</v>
      </c>
      <c r="E74" s="36">
        <v>95914</v>
      </c>
      <c r="F74" s="1"/>
      <c r="G74" s="1"/>
      <c r="H74" s="3"/>
      <c r="I74" s="2"/>
      <c r="J74" s="3"/>
      <c r="K74" s="2"/>
    </row>
    <row r="75" spans="1:11" x14ac:dyDescent="0.2">
      <c r="A75">
        <v>2015</v>
      </c>
      <c r="B75" s="37">
        <v>107</v>
      </c>
      <c r="C75" s="39" t="s">
        <v>72</v>
      </c>
      <c r="D75" s="40">
        <v>88540</v>
      </c>
      <c r="E75" s="36">
        <v>616821</v>
      </c>
      <c r="F75" s="1"/>
      <c r="G75" s="1"/>
      <c r="H75" s="3"/>
      <c r="I75" s="2"/>
      <c r="J75" s="3"/>
      <c r="K75" s="2"/>
    </row>
    <row r="76" spans="1:11" x14ac:dyDescent="0.2">
      <c r="A76">
        <v>2015</v>
      </c>
      <c r="B76" s="37">
        <v>108</v>
      </c>
      <c r="C76" s="39" t="s">
        <v>73</v>
      </c>
      <c r="D76" s="40">
        <v>20225</v>
      </c>
      <c r="E76" s="36">
        <v>160266</v>
      </c>
      <c r="F76" s="1"/>
      <c r="G76" s="1"/>
      <c r="H76" s="3"/>
      <c r="I76" s="2"/>
      <c r="J76" s="3"/>
      <c r="K76" s="2"/>
    </row>
    <row r="77" spans="1:11" x14ac:dyDescent="0.2">
      <c r="A77">
        <v>2015</v>
      </c>
      <c r="B77" s="37">
        <v>110</v>
      </c>
      <c r="C77" s="39" t="s">
        <v>74</v>
      </c>
      <c r="D77" s="40">
        <v>47057</v>
      </c>
      <c r="E77" s="36">
        <v>336424</v>
      </c>
      <c r="F77" s="1"/>
      <c r="G77" s="1"/>
      <c r="H77" s="3"/>
      <c r="I77" s="2"/>
      <c r="J77" s="3"/>
      <c r="K77" s="2"/>
    </row>
    <row r="78" spans="1:11" x14ac:dyDescent="0.2">
      <c r="A78">
        <v>2015</v>
      </c>
      <c r="B78" s="37">
        <v>111</v>
      </c>
      <c r="C78" s="39" t="s">
        <v>75</v>
      </c>
      <c r="D78" s="40">
        <v>53947</v>
      </c>
      <c r="E78" s="36">
        <v>390573</v>
      </c>
      <c r="F78" s="1"/>
      <c r="G78" s="1"/>
      <c r="H78" s="3"/>
      <c r="I78" s="2"/>
      <c r="J78" s="3"/>
      <c r="K78" s="2"/>
    </row>
    <row r="79" spans="1:11" x14ac:dyDescent="0.2">
      <c r="A79">
        <v>2015</v>
      </c>
      <c r="B79" s="37">
        <v>112</v>
      </c>
      <c r="C79" s="39" t="s">
        <v>76</v>
      </c>
      <c r="D79" s="40">
        <v>50314</v>
      </c>
      <c r="E79" s="36">
        <v>373278</v>
      </c>
      <c r="F79" s="1"/>
      <c r="G79" s="1"/>
      <c r="H79" s="3"/>
      <c r="I79" s="2"/>
      <c r="J79" s="3"/>
      <c r="K79" s="2"/>
    </row>
    <row r="80" spans="1:11" x14ac:dyDescent="0.2">
      <c r="A80">
        <v>2015</v>
      </c>
      <c r="B80" s="37">
        <v>113</v>
      </c>
      <c r="C80" s="39" t="s">
        <v>77</v>
      </c>
      <c r="D80" s="40">
        <v>570174</v>
      </c>
      <c r="E80" s="36">
        <v>3940436</v>
      </c>
      <c r="F80" s="1"/>
      <c r="G80" s="1"/>
      <c r="H80" s="3"/>
      <c r="I80" s="2"/>
      <c r="J80" s="3"/>
      <c r="K80" s="2"/>
    </row>
    <row r="81" spans="1:12" x14ac:dyDescent="0.2">
      <c r="A81">
        <v>2015</v>
      </c>
      <c r="B81" s="37">
        <v>114</v>
      </c>
      <c r="C81" s="39" t="s">
        <v>78</v>
      </c>
      <c r="D81" s="40">
        <v>148029</v>
      </c>
      <c r="E81" s="36">
        <v>1335372</v>
      </c>
      <c r="F81" s="1"/>
      <c r="G81" s="1"/>
      <c r="H81" s="3"/>
      <c r="I81" s="2"/>
      <c r="J81" s="3"/>
      <c r="K81" s="2"/>
    </row>
    <row r="82" spans="1:12" x14ac:dyDescent="0.2">
      <c r="A82">
        <v>2015</v>
      </c>
      <c r="B82" s="37">
        <v>115</v>
      </c>
      <c r="C82" s="39" t="s">
        <v>87</v>
      </c>
      <c r="D82" s="40">
        <v>21967</v>
      </c>
      <c r="E82" s="36">
        <v>254644</v>
      </c>
      <c r="F82" s="1"/>
    </row>
    <row r="83" spans="1:12" x14ac:dyDescent="0.2">
      <c r="A83">
        <v>2015</v>
      </c>
      <c r="B83" s="37">
        <v>116</v>
      </c>
      <c r="C83" s="39" t="s">
        <v>79</v>
      </c>
      <c r="D83" s="40">
        <v>35974</v>
      </c>
      <c r="E83" s="36">
        <v>385446</v>
      </c>
      <c r="F83" s="1"/>
      <c r="G83" s="1"/>
      <c r="H83" s="3"/>
      <c r="I83" s="2"/>
      <c r="J83" s="3"/>
      <c r="K83" s="2"/>
    </row>
    <row r="84" spans="1:12" x14ac:dyDescent="0.2">
      <c r="A84">
        <v>2015</v>
      </c>
      <c r="B84" s="37">
        <v>117</v>
      </c>
      <c r="C84" s="39" t="s">
        <v>80</v>
      </c>
      <c r="D84" s="40">
        <v>76194</v>
      </c>
      <c r="E84" s="36">
        <v>527141</v>
      </c>
      <c r="F84" s="1"/>
      <c r="G84" s="1"/>
      <c r="H84" s="3"/>
      <c r="I84" s="2"/>
      <c r="J84" s="3"/>
      <c r="K84" s="2"/>
    </row>
    <row r="85" spans="1:12" x14ac:dyDescent="0.2">
      <c r="A85">
        <v>2015</v>
      </c>
      <c r="B85" s="37">
        <v>118</v>
      </c>
      <c r="C85" s="39" t="s">
        <v>81</v>
      </c>
      <c r="D85" s="40">
        <v>225318</v>
      </c>
      <c r="E85" s="36">
        <v>1807792</v>
      </c>
      <c r="F85" s="1"/>
      <c r="G85" s="1"/>
      <c r="H85" s="3"/>
      <c r="I85" s="2"/>
      <c r="J85" s="3"/>
      <c r="K85" s="2"/>
    </row>
    <row r="86" spans="1:12" x14ac:dyDescent="0.2">
      <c r="A86">
        <v>2015</v>
      </c>
      <c r="B86" s="37">
        <v>119</v>
      </c>
      <c r="C86" s="39" t="s">
        <v>82</v>
      </c>
      <c r="D86" s="40">
        <v>9596</v>
      </c>
      <c r="E86" s="36">
        <v>87037</v>
      </c>
      <c r="F86" s="1"/>
      <c r="G86" s="1"/>
      <c r="H86" s="3"/>
      <c r="I86" s="2"/>
      <c r="J86" s="3"/>
      <c r="K86" s="2"/>
    </row>
    <row r="87" spans="1:12" x14ac:dyDescent="0.2">
      <c r="A87">
        <v>2015</v>
      </c>
      <c r="B87" s="37">
        <v>120</v>
      </c>
      <c r="C87" s="39" t="s">
        <v>83</v>
      </c>
      <c r="D87" s="40">
        <v>509485</v>
      </c>
      <c r="E87" s="36">
        <v>3220460</v>
      </c>
      <c r="F87" s="1"/>
      <c r="G87" s="1"/>
      <c r="H87" s="3"/>
      <c r="I87" s="2"/>
      <c r="J87" s="3"/>
      <c r="K87" s="2"/>
    </row>
    <row r="88" spans="1:12" x14ac:dyDescent="0.2">
      <c r="A88">
        <v>2015</v>
      </c>
      <c r="B88" s="37">
        <v>125</v>
      </c>
      <c r="C88" s="39" t="s">
        <v>84</v>
      </c>
      <c r="D88" s="40">
        <v>17678</v>
      </c>
      <c r="E88" s="36">
        <v>119319</v>
      </c>
      <c r="F88" s="7"/>
      <c r="G88" s="7"/>
      <c r="H88" s="3"/>
      <c r="I88" s="6"/>
      <c r="J88" s="8"/>
      <c r="K88" s="6"/>
    </row>
    <row r="89" spans="1:12" x14ac:dyDescent="0.2">
      <c r="A89">
        <v>2015</v>
      </c>
      <c r="B89" s="37">
        <v>129</v>
      </c>
      <c r="C89" s="39" t="s">
        <v>129</v>
      </c>
      <c r="D89" s="40">
        <v>74841</v>
      </c>
      <c r="E89" s="60">
        <v>619206</v>
      </c>
      <c r="F89" s="7"/>
      <c r="G89" s="1"/>
    </row>
    <row r="90" spans="1:12" x14ac:dyDescent="0.2">
      <c r="A90">
        <v>2015</v>
      </c>
      <c r="B90" s="37">
        <v>130</v>
      </c>
      <c r="C90" s="39" t="s">
        <v>88</v>
      </c>
      <c r="D90" s="40">
        <v>88022</v>
      </c>
      <c r="E90" s="60">
        <v>781894</v>
      </c>
      <c r="G90" s="1"/>
      <c r="H90" s="1"/>
      <c r="I90" s="3"/>
      <c r="J90" s="2"/>
      <c r="K90" s="3"/>
      <c r="L90" s="2"/>
    </row>
    <row r="91" spans="1:12" x14ac:dyDescent="0.2">
      <c r="A91">
        <v>2015</v>
      </c>
      <c r="B91" s="37">
        <v>131</v>
      </c>
      <c r="C91" s="39" t="s">
        <v>89</v>
      </c>
      <c r="D91" s="40">
        <v>18007</v>
      </c>
      <c r="E91" s="60">
        <v>155079</v>
      </c>
      <c r="G91" s="1"/>
      <c r="H91" s="1"/>
      <c r="I91" s="3"/>
      <c r="J91" s="2"/>
      <c r="K91" s="3"/>
      <c r="L91" s="2"/>
    </row>
    <row r="92" spans="1:12" x14ac:dyDescent="0.2">
      <c r="A92">
        <v>2015</v>
      </c>
      <c r="B92" s="37">
        <v>132</v>
      </c>
      <c r="C92" s="39" t="s">
        <v>90</v>
      </c>
      <c r="D92" s="40">
        <v>33111</v>
      </c>
      <c r="E92" s="60">
        <v>200401</v>
      </c>
      <c r="G92" s="1"/>
      <c r="H92" s="1"/>
      <c r="I92" s="3"/>
      <c r="J92" s="2"/>
      <c r="K92" s="3"/>
      <c r="L92" s="2"/>
    </row>
    <row r="93" spans="1:12" x14ac:dyDescent="0.2">
      <c r="A93">
        <v>2015</v>
      </c>
      <c r="B93" s="37">
        <v>133</v>
      </c>
      <c r="C93" s="39" t="s">
        <v>91</v>
      </c>
      <c r="D93" s="40">
        <v>17872</v>
      </c>
      <c r="E93" s="60">
        <v>134936</v>
      </c>
      <c r="G93" s="1"/>
      <c r="H93" s="1"/>
      <c r="I93" s="3"/>
      <c r="J93" s="2"/>
      <c r="K93" s="3"/>
      <c r="L93" s="2"/>
    </row>
    <row r="94" spans="1:12" x14ac:dyDescent="0.2">
      <c r="A94">
        <v>2015</v>
      </c>
      <c r="B94" s="37">
        <v>134</v>
      </c>
      <c r="C94" s="39" t="s">
        <v>92</v>
      </c>
      <c r="D94" s="40">
        <v>53760</v>
      </c>
      <c r="E94" s="60">
        <v>343914</v>
      </c>
      <c r="G94" s="9"/>
      <c r="H94" s="1"/>
      <c r="I94" s="3"/>
      <c r="J94" s="2"/>
      <c r="K94" s="3"/>
      <c r="L94" s="2"/>
    </row>
    <row r="95" spans="1:12" x14ac:dyDescent="0.2">
      <c r="A95">
        <v>2015</v>
      </c>
      <c r="B95" s="37">
        <v>137</v>
      </c>
      <c r="C95" s="39" t="s">
        <v>93</v>
      </c>
      <c r="D95" s="40">
        <v>23304</v>
      </c>
      <c r="E95" s="60">
        <v>144912</v>
      </c>
      <c r="G95" s="1"/>
      <c r="H95" s="1"/>
      <c r="I95" s="3"/>
      <c r="J95" s="2"/>
      <c r="K95" s="3"/>
      <c r="L95" s="2"/>
    </row>
    <row r="96" spans="1:12" x14ac:dyDescent="0.2">
      <c r="A96">
        <v>2015</v>
      </c>
      <c r="B96" s="37">
        <v>138</v>
      </c>
      <c r="C96" s="39" t="s">
        <v>94</v>
      </c>
      <c r="D96" s="40">
        <v>357585</v>
      </c>
      <c r="E96" s="60">
        <v>4003399</v>
      </c>
      <c r="G96" s="1"/>
      <c r="H96" s="1"/>
      <c r="I96" s="3"/>
      <c r="J96" s="2"/>
      <c r="K96" s="3"/>
      <c r="L96" s="2"/>
    </row>
    <row r="97" spans="1:12" x14ac:dyDescent="0.2">
      <c r="A97">
        <v>2015</v>
      </c>
      <c r="B97" s="37">
        <v>139</v>
      </c>
      <c r="C97" s="39" t="s">
        <v>95</v>
      </c>
      <c r="D97" s="40">
        <v>64000</v>
      </c>
      <c r="E97" s="60">
        <v>485922</v>
      </c>
      <c r="G97" s="1"/>
      <c r="H97" s="1"/>
      <c r="I97" s="3"/>
      <c r="J97" s="2"/>
      <c r="K97" s="3"/>
      <c r="L97" s="2"/>
    </row>
    <row r="98" spans="1:12" x14ac:dyDescent="0.2">
      <c r="A98">
        <v>2015</v>
      </c>
      <c r="B98" s="37">
        <v>140</v>
      </c>
      <c r="C98" s="39" t="s">
        <v>96</v>
      </c>
      <c r="D98" s="40">
        <v>33930</v>
      </c>
      <c r="E98" s="60">
        <v>268988</v>
      </c>
      <c r="G98" s="1"/>
      <c r="H98" s="1"/>
      <c r="I98" s="3"/>
      <c r="J98" s="2"/>
      <c r="K98" s="3"/>
      <c r="L98" s="2"/>
    </row>
    <row r="99" spans="1:12" x14ac:dyDescent="0.2">
      <c r="A99">
        <v>2015</v>
      </c>
      <c r="B99" s="37">
        <v>141</v>
      </c>
      <c r="C99" s="39" t="s">
        <v>97</v>
      </c>
      <c r="D99" s="40">
        <v>88727</v>
      </c>
      <c r="E99" s="60">
        <v>685379</v>
      </c>
      <c r="G99" s="1"/>
      <c r="H99" s="1"/>
      <c r="I99" s="3"/>
      <c r="J99" s="2"/>
      <c r="K99" s="3"/>
      <c r="L99" s="2"/>
    </row>
    <row r="100" spans="1:12" x14ac:dyDescent="0.2">
      <c r="A100">
        <v>2015</v>
      </c>
      <c r="B100" s="37">
        <v>142</v>
      </c>
      <c r="C100" s="39" t="s">
        <v>98</v>
      </c>
      <c r="D100" s="40">
        <v>446980</v>
      </c>
      <c r="E100" s="60">
        <v>3533895</v>
      </c>
      <c r="G100" s="1"/>
      <c r="H100" s="1"/>
      <c r="I100" s="3"/>
      <c r="J100" s="2"/>
      <c r="K100" s="3"/>
      <c r="L100" s="2"/>
    </row>
    <row r="101" spans="1:12" x14ac:dyDescent="0.2">
      <c r="A101">
        <v>2015</v>
      </c>
      <c r="B101" s="37">
        <v>143</v>
      </c>
      <c r="C101" s="39" t="s">
        <v>99</v>
      </c>
      <c r="D101" s="40">
        <v>47718</v>
      </c>
      <c r="E101" s="60">
        <v>496291</v>
      </c>
      <c r="G101" s="1"/>
      <c r="H101" s="1"/>
      <c r="I101" s="3"/>
      <c r="J101" s="2"/>
      <c r="K101" s="3"/>
      <c r="L101" s="2"/>
    </row>
    <row r="102" spans="1:12" x14ac:dyDescent="0.2">
      <c r="A102">
        <v>2015</v>
      </c>
      <c r="B102" s="37">
        <v>144</v>
      </c>
      <c r="C102" s="39" t="s">
        <v>100</v>
      </c>
      <c r="D102" s="40">
        <v>77505</v>
      </c>
      <c r="E102" s="60">
        <v>641895</v>
      </c>
      <c r="G102" s="1"/>
      <c r="H102" s="1"/>
      <c r="I102" s="3"/>
      <c r="J102" s="2"/>
      <c r="K102" s="3"/>
      <c r="L102" s="2"/>
    </row>
    <row r="103" spans="1:12" x14ac:dyDescent="0.2">
      <c r="A103">
        <v>2015</v>
      </c>
      <c r="B103" s="37">
        <v>149</v>
      </c>
      <c r="C103" s="39" t="s">
        <v>101</v>
      </c>
      <c r="D103" s="40">
        <v>9106</v>
      </c>
      <c r="E103" s="60">
        <v>33278</v>
      </c>
      <c r="G103" s="1"/>
      <c r="H103" s="1"/>
      <c r="I103" s="3"/>
      <c r="J103" s="2"/>
      <c r="K103" s="3"/>
      <c r="L103" s="2"/>
    </row>
    <row r="104" spans="1:12" x14ac:dyDescent="0.2">
      <c r="A104">
        <v>2015</v>
      </c>
      <c r="B104" s="37">
        <v>151</v>
      </c>
      <c r="C104" s="39" t="s">
        <v>102</v>
      </c>
      <c r="D104" s="40">
        <v>249869</v>
      </c>
      <c r="E104" s="60">
        <v>2479116</v>
      </c>
      <c r="G104" s="1"/>
      <c r="H104" s="1"/>
      <c r="I104" s="3"/>
      <c r="J104" s="2"/>
      <c r="K104" s="3"/>
      <c r="L104" s="2"/>
    </row>
    <row r="105" spans="1:12" x14ac:dyDescent="0.2">
      <c r="A105">
        <v>2015</v>
      </c>
      <c r="B105" s="37">
        <v>152</v>
      </c>
      <c r="C105" s="39" t="s">
        <v>103</v>
      </c>
      <c r="D105" s="40">
        <v>199483</v>
      </c>
      <c r="E105" s="60">
        <v>1678978</v>
      </c>
      <c r="G105" s="1"/>
      <c r="H105" s="1"/>
      <c r="I105" s="3"/>
      <c r="J105" s="2"/>
      <c r="K105" s="3"/>
      <c r="L105" s="2"/>
    </row>
    <row r="106" spans="1:12" x14ac:dyDescent="0.2">
      <c r="A106">
        <v>2015</v>
      </c>
      <c r="B106" s="37">
        <v>154</v>
      </c>
      <c r="C106" s="39" t="s">
        <v>104</v>
      </c>
      <c r="D106" s="40">
        <v>281484</v>
      </c>
      <c r="E106" s="60">
        <v>1907040</v>
      </c>
      <c r="G106" s="1"/>
      <c r="H106" s="1"/>
      <c r="I106" s="3"/>
      <c r="J106" s="2"/>
      <c r="K106" s="3"/>
      <c r="L106" s="2"/>
    </row>
    <row r="107" spans="1:12" x14ac:dyDescent="0.2">
      <c r="A107">
        <v>2015</v>
      </c>
      <c r="B107" s="37">
        <v>155</v>
      </c>
      <c r="C107" s="39" t="s">
        <v>105</v>
      </c>
      <c r="D107" s="40">
        <v>1538755</v>
      </c>
      <c r="E107" s="60">
        <v>8224845</v>
      </c>
      <c r="G107" s="1"/>
      <c r="H107" s="1"/>
      <c r="I107" s="3"/>
      <c r="J107" s="2"/>
      <c r="K107" s="3"/>
      <c r="L107" s="2"/>
    </row>
    <row r="108" spans="1:12" x14ac:dyDescent="0.2">
      <c r="A108">
        <v>2015</v>
      </c>
      <c r="B108" s="37">
        <v>156</v>
      </c>
      <c r="C108" s="39" t="s">
        <v>106</v>
      </c>
      <c r="D108" s="40">
        <v>2858708</v>
      </c>
      <c r="E108" s="60">
        <v>14936534</v>
      </c>
      <c r="G108" s="1"/>
      <c r="H108" s="1"/>
      <c r="I108" s="3"/>
      <c r="J108" s="2"/>
      <c r="K108" s="3"/>
      <c r="L108" s="2"/>
    </row>
    <row r="109" spans="1:12" x14ac:dyDescent="0.2">
      <c r="A109">
        <v>2015</v>
      </c>
      <c r="B109" s="37">
        <v>165</v>
      </c>
      <c r="C109" s="39" t="s">
        <v>107</v>
      </c>
      <c r="D109" s="40">
        <v>2375</v>
      </c>
      <c r="E109" s="60">
        <v>17665</v>
      </c>
      <c r="G109" s="1"/>
      <c r="H109" s="1"/>
      <c r="I109" s="3"/>
      <c r="J109" s="2"/>
      <c r="K109" s="3"/>
      <c r="L109" s="2"/>
    </row>
    <row r="110" spans="1:12" x14ac:dyDescent="0.2">
      <c r="A110">
        <v>2015</v>
      </c>
      <c r="B110" s="37">
        <v>167</v>
      </c>
      <c r="C110" s="39" t="s">
        <v>108</v>
      </c>
      <c r="D110" s="40">
        <v>136064</v>
      </c>
      <c r="E110" s="60">
        <v>1149603</v>
      </c>
      <c r="G110" s="1"/>
      <c r="H110" s="1"/>
      <c r="I110" s="3"/>
      <c r="J110" s="2"/>
      <c r="K110" s="3"/>
      <c r="L110" s="2"/>
    </row>
    <row r="111" spans="1:12" x14ac:dyDescent="0.2">
      <c r="A111">
        <v>2015</v>
      </c>
      <c r="B111" s="37">
        <v>168</v>
      </c>
      <c r="C111" s="39" t="s">
        <v>109</v>
      </c>
      <c r="D111" s="40">
        <v>70203</v>
      </c>
      <c r="E111" s="60">
        <v>671462</v>
      </c>
      <c r="G111" s="1"/>
      <c r="H111" s="1"/>
      <c r="I111" s="3"/>
      <c r="J111" s="2"/>
      <c r="K111" s="3"/>
      <c r="L111" s="2"/>
    </row>
    <row r="112" spans="1:12" x14ac:dyDescent="0.2">
      <c r="A112">
        <v>2015</v>
      </c>
      <c r="B112" s="37">
        <v>169</v>
      </c>
      <c r="C112" s="39" t="s">
        <v>110</v>
      </c>
      <c r="D112" s="40">
        <v>33980</v>
      </c>
      <c r="E112" s="60">
        <v>518450</v>
      </c>
      <c r="G112" s="1"/>
      <c r="H112" s="1"/>
      <c r="I112" s="3"/>
      <c r="J112" s="2"/>
      <c r="K112" s="3"/>
      <c r="L112" s="2"/>
    </row>
    <row r="113" spans="1:12" x14ac:dyDescent="0.2">
      <c r="A113">
        <v>2015</v>
      </c>
      <c r="B113" s="37">
        <v>170</v>
      </c>
      <c r="C113" s="39" t="s">
        <v>111</v>
      </c>
      <c r="D113" s="40">
        <v>48521</v>
      </c>
      <c r="E113" s="60">
        <v>395688</v>
      </c>
      <c r="G113" s="10"/>
      <c r="H113" s="1"/>
      <c r="I113" s="3"/>
      <c r="J113" s="2"/>
      <c r="K113" s="3"/>
      <c r="L113" s="2"/>
    </row>
    <row r="114" spans="1:12" x14ac:dyDescent="0.2">
      <c r="A114">
        <v>2015</v>
      </c>
      <c r="B114" s="37">
        <v>171</v>
      </c>
      <c r="C114" s="39" t="s">
        <v>112</v>
      </c>
      <c r="D114" s="40">
        <v>78442</v>
      </c>
      <c r="E114" s="60">
        <v>646505</v>
      </c>
      <c r="G114" s="1"/>
      <c r="H114" s="1"/>
      <c r="I114" s="3"/>
      <c r="J114" s="2"/>
      <c r="K114" s="3"/>
      <c r="L114" s="2"/>
    </row>
    <row r="115" spans="1:12" x14ac:dyDescent="0.2">
      <c r="A115">
        <v>2015</v>
      </c>
      <c r="B115" s="37">
        <v>173</v>
      </c>
      <c r="C115" s="39" t="s">
        <v>524</v>
      </c>
      <c r="D115" s="40">
        <v>43647</v>
      </c>
      <c r="E115" s="60">
        <v>386571</v>
      </c>
      <c r="G115" s="1"/>
      <c r="H115" s="1"/>
      <c r="I115" s="3"/>
      <c r="J115" s="2"/>
      <c r="K115" s="3"/>
      <c r="L115" s="2"/>
    </row>
    <row r="116" spans="1:12" x14ac:dyDescent="0.2">
      <c r="A116">
        <v>2015</v>
      </c>
      <c r="B116" s="37">
        <v>174</v>
      </c>
      <c r="C116" s="39" t="s">
        <v>113</v>
      </c>
      <c r="D116" s="40">
        <v>904764</v>
      </c>
      <c r="E116" s="60">
        <v>6233384</v>
      </c>
      <c r="G116" s="1"/>
      <c r="H116" s="1"/>
      <c r="I116" s="3"/>
      <c r="J116" s="2"/>
      <c r="K116" s="3"/>
      <c r="L116" s="2"/>
    </row>
    <row r="117" spans="1:12" x14ac:dyDescent="0.2">
      <c r="A117">
        <v>2015</v>
      </c>
      <c r="B117" s="37">
        <v>175</v>
      </c>
      <c r="C117" s="39" t="s">
        <v>114</v>
      </c>
      <c r="D117" s="40">
        <v>112104</v>
      </c>
      <c r="E117" s="60">
        <v>1012870</v>
      </c>
      <c r="G117" s="1"/>
      <c r="H117" s="1"/>
      <c r="I117" s="3"/>
      <c r="J117" s="2"/>
      <c r="K117" s="3"/>
      <c r="L117" s="2"/>
    </row>
    <row r="118" spans="1:12" x14ac:dyDescent="0.2">
      <c r="A118">
        <v>2015</v>
      </c>
      <c r="B118" s="37">
        <v>176</v>
      </c>
      <c r="C118" s="39" t="s">
        <v>115</v>
      </c>
      <c r="D118" s="40">
        <v>10295</v>
      </c>
      <c r="E118" s="60">
        <v>77331</v>
      </c>
      <c r="G118" s="1"/>
      <c r="H118" s="1"/>
      <c r="I118" s="3"/>
      <c r="J118" s="2"/>
      <c r="K118" s="3"/>
      <c r="L118" s="2"/>
    </row>
    <row r="119" spans="1:12" x14ac:dyDescent="0.2">
      <c r="A119">
        <v>2015</v>
      </c>
      <c r="B119" s="37">
        <v>177</v>
      </c>
      <c r="C119" s="39" t="s">
        <v>116</v>
      </c>
      <c r="D119" s="40">
        <v>17274</v>
      </c>
      <c r="E119" s="60">
        <v>118860</v>
      </c>
      <c r="G119" s="1"/>
      <c r="H119" s="1"/>
      <c r="I119" s="3"/>
      <c r="J119" s="2"/>
      <c r="K119" s="3"/>
      <c r="L119" s="2"/>
    </row>
    <row r="120" spans="1:12" x14ac:dyDescent="0.2">
      <c r="A120">
        <v>2015</v>
      </c>
      <c r="B120" s="37">
        <v>178</v>
      </c>
      <c r="C120" s="39" t="s">
        <v>117</v>
      </c>
      <c r="D120" s="40">
        <v>13291</v>
      </c>
      <c r="E120" s="60">
        <v>127697</v>
      </c>
      <c r="G120" s="1"/>
      <c r="H120" s="1"/>
      <c r="I120" s="3"/>
      <c r="J120" s="2"/>
      <c r="K120" s="3"/>
      <c r="L120" s="2"/>
    </row>
    <row r="121" spans="1:12" x14ac:dyDescent="0.2">
      <c r="A121">
        <v>2015</v>
      </c>
      <c r="B121" s="37">
        <v>179</v>
      </c>
      <c r="C121" s="39" t="s">
        <v>118</v>
      </c>
      <c r="D121" s="40">
        <v>30305</v>
      </c>
      <c r="E121" s="60">
        <v>154210</v>
      </c>
      <c r="G121" s="1"/>
      <c r="H121" s="1"/>
      <c r="I121" s="3"/>
      <c r="J121" s="2"/>
      <c r="K121" s="3"/>
      <c r="L121" s="2"/>
    </row>
    <row r="122" spans="1:12" x14ac:dyDescent="0.2">
      <c r="A122">
        <v>2015</v>
      </c>
      <c r="B122" s="37">
        <v>180</v>
      </c>
      <c r="C122" s="39" t="s">
        <v>119</v>
      </c>
      <c r="D122" s="40">
        <v>29308</v>
      </c>
      <c r="E122" s="60">
        <v>193873</v>
      </c>
      <c r="G122" s="1"/>
      <c r="H122" s="1"/>
      <c r="I122" s="3"/>
      <c r="J122" s="2"/>
      <c r="K122" s="3"/>
      <c r="L122" s="2"/>
    </row>
    <row r="123" spans="1:12" x14ac:dyDescent="0.2">
      <c r="A123">
        <v>2015</v>
      </c>
      <c r="B123" s="37">
        <v>181</v>
      </c>
      <c r="C123" s="39" t="s">
        <v>120</v>
      </c>
      <c r="D123" s="40">
        <v>64703</v>
      </c>
      <c r="E123" s="60">
        <v>600658</v>
      </c>
      <c r="G123" s="1"/>
      <c r="H123" s="1"/>
      <c r="I123" s="3"/>
      <c r="J123" s="2"/>
      <c r="K123" s="3"/>
      <c r="L123" s="2"/>
    </row>
    <row r="124" spans="1:12" x14ac:dyDescent="0.2">
      <c r="A124">
        <v>2015</v>
      </c>
      <c r="B124" s="37">
        <v>182</v>
      </c>
      <c r="C124" s="39" t="s">
        <v>121</v>
      </c>
      <c r="D124" s="40">
        <v>118021</v>
      </c>
      <c r="E124" s="60">
        <v>902822</v>
      </c>
      <c r="G124" s="1"/>
      <c r="H124" s="1"/>
      <c r="I124" s="3"/>
      <c r="J124" s="2"/>
      <c r="K124" s="3"/>
      <c r="L124" s="2"/>
    </row>
    <row r="125" spans="1:12" x14ac:dyDescent="0.2">
      <c r="A125">
        <v>2015</v>
      </c>
      <c r="B125" s="37">
        <v>183</v>
      </c>
      <c r="C125" s="39" t="s">
        <v>122</v>
      </c>
      <c r="D125" s="40">
        <v>77953</v>
      </c>
      <c r="E125" s="60">
        <v>537967</v>
      </c>
      <c r="G125" s="1"/>
      <c r="H125" s="1"/>
      <c r="I125" s="3"/>
      <c r="J125" s="2"/>
      <c r="K125" s="3"/>
      <c r="L125" s="2"/>
    </row>
    <row r="126" spans="1:12" x14ac:dyDescent="0.2">
      <c r="A126">
        <v>2015</v>
      </c>
      <c r="B126" s="37">
        <v>184</v>
      </c>
      <c r="C126" s="39" t="s">
        <v>123</v>
      </c>
      <c r="D126" s="40">
        <v>31609</v>
      </c>
      <c r="E126" s="60">
        <v>243501</v>
      </c>
      <c r="G126" s="1"/>
      <c r="H126" s="1"/>
      <c r="I126" s="3"/>
      <c r="J126" s="2"/>
      <c r="K126" s="3"/>
      <c r="L126" s="2"/>
    </row>
    <row r="127" spans="1:12" x14ac:dyDescent="0.2">
      <c r="A127">
        <v>2015</v>
      </c>
      <c r="B127" s="37">
        <v>185</v>
      </c>
      <c r="C127" s="39" t="s">
        <v>124</v>
      </c>
      <c r="D127" s="40">
        <v>7843</v>
      </c>
      <c r="E127" s="60">
        <v>114282</v>
      </c>
      <c r="G127" s="1"/>
      <c r="H127" s="1"/>
      <c r="I127" s="3"/>
      <c r="J127" s="2"/>
      <c r="K127" s="3"/>
      <c r="L127" s="2"/>
    </row>
    <row r="128" spans="1:12" x14ac:dyDescent="0.2">
      <c r="A128">
        <v>2015</v>
      </c>
      <c r="B128" s="37">
        <v>186</v>
      </c>
      <c r="C128" s="39" t="s">
        <v>125</v>
      </c>
      <c r="D128" s="40">
        <v>15710</v>
      </c>
      <c r="E128" s="60">
        <v>129859</v>
      </c>
      <c r="G128" s="1"/>
      <c r="H128" s="1"/>
      <c r="I128" s="3"/>
      <c r="J128" s="2"/>
      <c r="K128" s="3"/>
      <c r="L128" s="2"/>
    </row>
    <row r="129" spans="1:12" x14ac:dyDescent="0.2">
      <c r="A129">
        <v>2015</v>
      </c>
      <c r="B129" s="37">
        <v>187</v>
      </c>
      <c r="C129" s="39" t="s">
        <v>126</v>
      </c>
      <c r="D129" s="40">
        <v>33543</v>
      </c>
      <c r="E129" s="60">
        <v>301637</v>
      </c>
      <c r="G129" s="1"/>
      <c r="H129" s="1"/>
      <c r="I129" s="3"/>
      <c r="J129" s="2"/>
      <c r="K129" s="3"/>
      <c r="L129" s="2"/>
    </row>
    <row r="130" spans="1:12" x14ac:dyDescent="0.2">
      <c r="A130">
        <v>2015</v>
      </c>
      <c r="B130" s="37">
        <v>188</v>
      </c>
      <c r="C130" s="39" t="s">
        <v>127</v>
      </c>
      <c r="D130" s="40">
        <v>169908</v>
      </c>
      <c r="E130" s="60">
        <v>1037062</v>
      </c>
      <c r="G130" s="10"/>
      <c r="H130" s="1"/>
      <c r="I130" s="3"/>
      <c r="J130" s="2"/>
      <c r="K130" s="3"/>
      <c r="L130" s="2"/>
    </row>
    <row r="131" spans="1:12" x14ac:dyDescent="0.2">
      <c r="A131">
        <v>2015</v>
      </c>
      <c r="B131" s="37">
        <v>191</v>
      </c>
      <c r="C131" s="39" t="s">
        <v>128</v>
      </c>
      <c r="D131" s="40">
        <v>14426</v>
      </c>
      <c r="E131" s="60">
        <v>153551</v>
      </c>
      <c r="G131" s="1"/>
      <c r="H131" s="1"/>
      <c r="I131" s="3"/>
      <c r="J131" s="2"/>
      <c r="K131" s="3"/>
      <c r="L131" s="2"/>
    </row>
    <row r="132" spans="1:12" x14ac:dyDescent="0.2">
      <c r="A132">
        <v>2015</v>
      </c>
      <c r="B132" s="37">
        <v>192</v>
      </c>
      <c r="C132" s="39" t="s">
        <v>130</v>
      </c>
      <c r="D132" s="40">
        <v>10380</v>
      </c>
      <c r="E132" s="36">
        <v>88877</v>
      </c>
      <c r="F132" s="1"/>
      <c r="G132" s="1"/>
      <c r="H132" s="3"/>
      <c r="I132" s="2"/>
      <c r="J132" s="3"/>
    </row>
    <row r="133" spans="1:12" x14ac:dyDescent="0.2">
      <c r="A133">
        <v>2015</v>
      </c>
      <c r="B133" s="37">
        <v>193</v>
      </c>
      <c r="C133" s="39" t="s">
        <v>131</v>
      </c>
      <c r="D133" s="40">
        <v>50951</v>
      </c>
      <c r="E133" s="36">
        <v>414007</v>
      </c>
      <c r="F133" s="1"/>
      <c r="G133" s="1"/>
      <c r="H133" s="3"/>
      <c r="I133" s="2"/>
      <c r="J133" s="3"/>
    </row>
    <row r="134" spans="1:12" x14ac:dyDescent="0.2">
      <c r="A134">
        <v>2015</v>
      </c>
      <c r="B134" s="37">
        <v>194</v>
      </c>
      <c r="C134" s="39" t="s">
        <v>132</v>
      </c>
      <c r="D134" s="40">
        <v>13579</v>
      </c>
      <c r="E134" s="36">
        <v>166385</v>
      </c>
      <c r="F134" s="1"/>
      <c r="G134" s="1"/>
      <c r="H134" s="3"/>
      <c r="I134" s="2"/>
      <c r="J134" s="3"/>
    </row>
    <row r="135" spans="1:12" x14ac:dyDescent="0.2">
      <c r="A135">
        <v>2015</v>
      </c>
      <c r="B135" s="37">
        <v>195</v>
      </c>
      <c r="C135" s="39" t="s">
        <v>133</v>
      </c>
      <c r="D135" s="40">
        <v>22461</v>
      </c>
      <c r="E135" s="36">
        <v>134901</v>
      </c>
      <c r="F135" s="1"/>
      <c r="G135" s="1"/>
      <c r="H135" s="3"/>
      <c r="I135" s="2"/>
      <c r="J135" s="3"/>
    </row>
    <row r="136" spans="1:12" x14ac:dyDescent="0.2">
      <c r="A136">
        <v>2015</v>
      </c>
      <c r="B136" s="37">
        <v>196</v>
      </c>
      <c r="C136" s="39" t="s">
        <v>134</v>
      </c>
      <c r="D136" s="40">
        <v>7446</v>
      </c>
      <c r="E136" s="36">
        <v>128242</v>
      </c>
      <c r="F136" s="1"/>
      <c r="G136" s="1"/>
      <c r="H136" s="3"/>
      <c r="I136" s="2"/>
      <c r="J136" s="3"/>
    </row>
    <row r="137" spans="1:12" x14ac:dyDescent="0.2">
      <c r="A137">
        <v>2015</v>
      </c>
      <c r="B137" s="37">
        <v>197</v>
      </c>
      <c r="C137" s="39" t="s">
        <v>135</v>
      </c>
      <c r="D137" s="40">
        <v>34419</v>
      </c>
      <c r="E137" s="36">
        <v>368497</v>
      </c>
      <c r="F137" s="1"/>
      <c r="G137" s="1"/>
      <c r="H137" s="3"/>
      <c r="I137" s="2"/>
      <c r="J137" s="3"/>
    </row>
    <row r="138" spans="1:12" x14ac:dyDescent="0.2">
      <c r="A138">
        <v>2015</v>
      </c>
      <c r="B138" s="37">
        <v>198</v>
      </c>
      <c r="C138" s="39" t="s">
        <v>136</v>
      </c>
      <c r="D138" s="40">
        <v>14681</v>
      </c>
      <c r="E138" s="36">
        <v>132634</v>
      </c>
      <c r="F138" s="1"/>
      <c r="G138" s="1"/>
      <c r="H138" s="3"/>
      <c r="I138" s="2"/>
      <c r="J138" s="3"/>
    </row>
    <row r="139" spans="1:12" x14ac:dyDescent="0.2">
      <c r="A139">
        <v>2015</v>
      </c>
      <c r="B139" s="37">
        <v>200</v>
      </c>
      <c r="C139" s="39" t="s">
        <v>137</v>
      </c>
      <c r="D139" s="40">
        <v>14600</v>
      </c>
      <c r="E139" s="36">
        <v>156003</v>
      </c>
      <c r="F139" s="1"/>
      <c r="G139" s="1"/>
      <c r="H139" s="3"/>
      <c r="I139" s="2"/>
      <c r="J139" s="3"/>
    </row>
    <row r="140" spans="1:12" x14ac:dyDescent="0.2">
      <c r="A140">
        <v>2015</v>
      </c>
      <c r="B140" s="37">
        <v>201</v>
      </c>
      <c r="C140" s="39" t="s">
        <v>138</v>
      </c>
      <c r="D140" s="40">
        <v>10908</v>
      </c>
      <c r="E140" s="36">
        <v>81684</v>
      </c>
      <c r="F140" s="1"/>
      <c r="G140" s="1"/>
      <c r="H140" s="3"/>
      <c r="I140" s="2"/>
      <c r="J140" s="3"/>
    </row>
    <row r="141" spans="1:12" x14ac:dyDescent="0.2">
      <c r="A141">
        <v>2015</v>
      </c>
      <c r="B141" s="37">
        <v>202</v>
      </c>
      <c r="C141" s="39" t="s">
        <v>139</v>
      </c>
      <c r="D141" s="40">
        <v>17025</v>
      </c>
      <c r="E141" s="36">
        <v>101069</v>
      </c>
      <c r="F141" s="1"/>
      <c r="G141" s="1"/>
      <c r="H141" s="3"/>
      <c r="I141" s="2"/>
      <c r="J141" s="3"/>
    </row>
    <row r="142" spans="1:12" x14ac:dyDescent="0.2">
      <c r="A142">
        <v>2015</v>
      </c>
      <c r="B142" s="37">
        <v>203</v>
      </c>
      <c r="C142" s="39" t="s">
        <v>140</v>
      </c>
      <c r="D142" s="40">
        <v>22109</v>
      </c>
      <c r="E142" s="36">
        <v>162316</v>
      </c>
      <c r="F142" s="1"/>
      <c r="G142" s="1"/>
      <c r="H142" s="3"/>
      <c r="I142" s="2"/>
      <c r="J142" s="3"/>
    </row>
    <row r="143" spans="1:12" x14ac:dyDescent="0.2">
      <c r="A143">
        <v>2015</v>
      </c>
      <c r="B143" s="37">
        <v>204</v>
      </c>
      <c r="C143" s="39" t="s">
        <v>141</v>
      </c>
      <c r="D143" s="40">
        <v>17820</v>
      </c>
      <c r="E143" s="36">
        <v>135474</v>
      </c>
      <c r="F143" s="1"/>
      <c r="G143" s="1"/>
      <c r="H143" s="3"/>
      <c r="I143" s="2"/>
      <c r="J143" s="3"/>
    </row>
    <row r="144" spans="1:12" x14ac:dyDescent="0.2">
      <c r="A144">
        <v>2015</v>
      </c>
      <c r="B144" s="37">
        <v>205</v>
      </c>
      <c r="C144" s="39" t="s">
        <v>142</v>
      </c>
      <c r="D144" s="40">
        <v>129615</v>
      </c>
      <c r="E144" s="36">
        <v>821546</v>
      </c>
      <c r="F144" s="1"/>
      <c r="G144" s="1"/>
      <c r="H144" s="3"/>
      <c r="I144" s="2"/>
      <c r="J144" s="3"/>
    </row>
    <row r="145" spans="1:10" x14ac:dyDescent="0.2">
      <c r="A145">
        <v>2015</v>
      </c>
      <c r="B145" s="37">
        <v>206</v>
      </c>
      <c r="C145" s="39" t="s">
        <v>143</v>
      </c>
      <c r="D145" s="40">
        <v>125065</v>
      </c>
      <c r="E145" s="36">
        <v>814556</v>
      </c>
      <c r="F145" s="1"/>
      <c r="G145" s="1"/>
      <c r="H145" s="3"/>
      <c r="I145" s="2"/>
      <c r="J145" s="3"/>
    </row>
    <row r="146" spans="1:10" x14ac:dyDescent="0.2">
      <c r="A146">
        <v>2015</v>
      </c>
      <c r="B146" s="37">
        <v>207</v>
      </c>
      <c r="C146" s="39" t="s">
        <v>144</v>
      </c>
      <c r="D146" s="40">
        <v>14362</v>
      </c>
      <c r="E146" s="36">
        <v>68288</v>
      </c>
      <c r="F146" s="1"/>
      <c r="G146" s="1"/>
      <c r="H146" s="3"/>
      <c r="I146" s="2"/>
      <c r="J146" s="3"/>
    </row>
    <row r="147" spans="1:10" x14ac:dyDescent="0.2">
      <c r="A147">
        <v>2015</v>
      </c>
      <c r="B147" s="37">
        <v>208</v>
      </c>
      <c r="C147" s="39" t="s">
        <v>145</v>
      </c>
      <c r="D147" s="40">
        <v>11616</v>
      </c>
      <c r="E147" s="36">
        <v>66742</v>
      </c>
      <c r="F147" s="1"/>
      <c r="G147" s="1"/>
      <c r="H147" s="3"/>
      <c r="I147" s="2"/>
      <c r="J147" s="3"/>
    </row>
    <row r="148" spans="1:10" x14ac:dyDescent="0.2">
      <c r="A148">
        <v>2015</v>
      </c>
      <c r="B148" s="37">
        <v>209</v>
      </c>
      <c r="C148" s="39" t="s">
        <v>146</v>
      </c>
      <c r="D148" s="40">
        <v>114008</v>
      </c>
      <c r="E148" s="36">
        <v>695445</v>
      </c>
      <c r="F148" s="1"/>
      <c r="G148" s="1"/>
      <c r="H148" s="3"/>
      <c r="I148" s="2"/>
      <c r="J148" s="3"/>
    </row>
    <row r="149" spans="1:10" x14ac:dyDescent="0.2">
      <c r="A149">
        <v>2015</v>
      </c>
      <c r="B149" s="37">
        <v>210</v>
      </c>
      <c r="C149" s="39" t="s">
        <v>147</v>
      </c>
      <c r="D149" s="40">
        <v>46505</v>
      </c>
      <c r="E149" s="36">
        <v>370190</v>
      </c>
      <c r="F149" s="1"/>
      <c r="G149" s="1"/>
      <c r="H149" s="3"/>
      <c r="I149" s="2"/>
      <c r="J149" s="3"/>
    </row>
    <row r="150" spans="1:10" x14ac:dyDescent="0.2">
      <c r="A150">
        <v>2015</v>
      </c>
      <c r="B150" s="37">
        <v>211</v>
      </c>
      <c r="C150" s="39" t="s">
        <v>148</v>
      </c>
      <c r="D150" s="40">
        <v>46536</v>
      </c>
      <c r="E150" s="36">
        <v>353007</v>
      </c>
      <c r="F150" s="1"/>
      <c r="G150" s="1"/>
      <c r="H150" s="3"/>
      <c r="I150" s="2"/>
      <c r="J150" s="3"/>
    </row>
    <row r="151" spans="1:10" x14ac:dyDescent="0.2">
      <c r="A151">
        <v>2015</v>
      </c>
      <c r="B151" s="37">
        <v>212</v>
      </c>
      <c r="C151" s="39" t="s">
        <v>149</v>
      </c>
      <c r="D151" s="40">
        <v>27913</v>
      </c>
      <c r="E151" s="36">
        <v>189745</v>
      </c>
      <c r="F151" s="1"/>
      <c r="G151" s="1"/>
      <c r="H151" s="3"/>
      <c r="I151" s="2"/>
      <c r="J151" s="3"/>
    </row>
    <row r="152" spans="1:10" x14ac:dyDescent="0.2">
      <c r="A152">
        <v>2015</v>
      </c>
      <c r="B152" s="37">
        <v>213</v>
      </c>
      <c r="C152" s="39" t="s">
        <v>150</v>
      </c>
      <c r="D152" s="40">
        <v>73601</v>
      </c>
      <c r="E152" s="36">
        <v>494939</v>
      </c>
      <c r="F152" s="1"/>
      <c r="G152" s="1"/>
      <c r="H152" s="3"/>
      <c r="I152" s="2"/>
      <c r="J152" s="3"/>
    </row>
    <row r="153" spans="1:10" x14ac:dyDescent="0.2">
      <c r="A153">
        <v>2015</v>
      </c>
      <c r="B153" s="37">
        <v>214</v>
      </c>
      <c r="C153" s="39" t="s">
        <v>151</v>
      </c>
      <c r="D153" s="40">
        <v>40860</v>
      </c>
      <c r="E153" s="36">
        <v>217621</v>
      </c>
      <c r="F153" s="1"/>
      <c r="G153" s="1"/>
      <c r="H153" s="3"/>
      <c r="I153" s="2"/>
      <c r="J153" s="3"/>
    </row>
    <row r="154" spans="1:10" x14ac:dyDescent="0.2">
      <c r="A154">
        <v>2015</v>
      </c>
      <c r="B154" s="37">
        <v>215</v>
      </c>
      <c r="C154" s="39" t="s">
        <v>152</v>
      </c>
      <c r="D154" s="40">
        <v>161941</v>
      </c>
      <c r="E154" s="36">
        <v>1320051</v>
      </c>
      <c r="F154" s="1"/>
      <c r="G154" s="1"/>
      <c r="H154" s="3"/>
      <c r="I154" s="2"/>
      <c r="J154" s="3"/>
    </row>
    <row r="155" spans="1:10" x14ac:dyDescent="0.2">
      <c r="A155">
        <v>2015</v>
      </c>
      <c r="B155" s="37">
        <v>216</v>
      </c>
      <c r="C155" s="39" t="s">
        <v>153</v>
      </c>
      <c r="D155" s="40">
        <v>19418</v>
      </c>
      <c r="E155" s="36">
        <v>104165</v>
      </c>
      <c r="F155" s="1"/>
      <c r="G155" s="1"/>
      <c r="H155" s="3"/>
      <c r="I155" s="2"/>
      <c r="J155" s="3"/>
    </row>
    <row r="156" spans="1:10" x14ac:dyDescent="0.2">
      <c r="A156">
        <v>2015</v>
      </c>
      <c r="B156" s="37">
        <v>217</v>
      </c>
      <c r="C156" s="39" t="s">
        <v>154</v>
      </c>
      <c r="D156" s="40">
        <v>419112</v>
      </c>
      <c r="E156" s="36">
        <v>2362868</v>
      </c>
      <c r="F156" s="1"/>
      <c r="G156" s="1"/>
      <c r="H156" s="3"/>
      <c r="I156" s="2"/>
      <c r="J156" s="3"/>
    </row>
    <row r="157" spans="1:10" x14ac:dyDescent="0.2">
      <c r="A157">
        <v>2015</v>
      </c>
      <c r="B157" s="37">
        <v>218</v>
      </c>
      <c r="C157" s="39" t="s">
        <v>155</v>
      </c>
      <c r="D157" s="40">
        <v>239273</v>
      </c>
      <c r="E157" s="36">
        <v>2003481</v>
      </c>
      <c r="F157" s="1"/>
      <c r="G157" s="1"/>
      <c r="H157" s="3"/>
      <c r="I157" s="2"/>
      <c r="J157" s="3"/>
    </row>
    <row r="158" spans="1:10" x14ac:dyDescent="0.2">
      <c r="A158">
        <v>2015</v>
      </c>
      <c r="B158" s="37">
        <v>219</v>
      </c>
      <c r="C158" s="39" t="s">
        <v>156</v>
      </c>
      <c r="D158" s="40">
        <v>257559</v>
      </c>
      <c r="E158" s="36">
        <v>1565406</v>
      </c>
      <c r="F158" s="1"/>
      <c r="G158" s="1"/>
      <c r="H158" s="3"/>
      <c r="I158" s="2"/>
      <c r="J158" s="3"/>
    </row>
    <row r="159" spans="1:10" x14ac:dyDescent="0.2">
      <c r="A159">
        <v>2015</v>
      </c>
      <c r="B159" s="37">
        <v>220</v>
      </c>
      <c r="C159" s="39" t="s">
        <v>157</v>
      </c>
      <c r="D159" s="40">
        <v>38067</v>
      </c>
      <c r="E159" s="36">
        <v>226753</v>
      </c>
      <c r="F159" s="1"/>
      <c r="G159" s="1"/>
      <c r="H159" s="3"/>
      <c r="I159" s="2"/>
      <c r="J159" s="3"/>
    </row>
    <row r="160" spans="1:10" x14ac:dyDescent="0.2">
      <c r="A160">
        <v>2015</v>
      </c>
      <c r="B160" s="37">
        <v>221</v>
      </c>
      <c r="C160" s="39" t="s">
        <v>158</v>
      </c>
      <c r="D160" s="40">
        <v>17762</v>
      </c>
      <c r="E160" s="36">
        <v>161884</v>
      </c>
      <c r="F160" s="1"/>
      <c r="G160" s="1"/>
      <c r="H160" s="3"/>
      <c r="I160" s="2"/>
      <c r="J160" s="3"/>
    </row>
    <row r="161" spans="1:10" x14ac:dyDescent="0.2">
      <c r="A161">
        <v>2015</v>
      </c>
      <c r="B161" s="37">
        <v>222</v>
      </c>
      <c r="C161" s="39" t="s">
        <v>159</v>
      </c>
      <c r="D161" s="40">
        <v>6674</v>
      </c>
      <c r="E161" s="36">
        <v>54148</v>
      </c>
      <c r="F161" s="1"/>
      <c r="G161" s="1"/>
      <c r="H161" s="3"/>
      <c r="I161" s="2"/>
      <c r="J161" s="3"/>
    </row>
    <row r="162" spans="1:10" x14ac:dyDescent="0.2">
      <c r="A162">
        <v>2015</v>
      </c>
      <c r="B162" s="37">
        <v>223</v>
      </c>
      <c r="C162" s="39" t="s">
        <v>160</v>
      </c>
      <c r="D162" s="40">
        <v>156129</v>
      </c>
      <c r="E162" s="36">
        <v>1455805</v>
      </c>
      <c r="F162" s="1"/>
      <c r="G162" s="1"/>
      <c r="H162" s="3"/>
      <c r="I162" s="2"/>
      <c r="J162" s="3"/>
    </row>
    <row r="163" spans="1:10" x14ac:dyDescent="0.2">
      <c r="A163">
        <v>2015</v>
      </c>
      <c r="B163" s="37">
        <v>224</v>
      </c>
      <c r="C163" s="39" t="s">
        <v>161</v>
      </c>
      <c r="D163" s="40">
        <v>465249</v>
      </c>
      <c r="E163" s="36">
        <v>3147842</v>
      </c>
      <c r="F163" s="1"/>
      <c r="G163" s="1"/>
      <c r="H163" s="3"/>
      <c r="I163" s="2"/>
      <c r="J163" s="3"/>
    </row>
    <row r="164" spans="1:10" x14ac:dyDescent="0.2">
      <c r="A164">
        <v>2015</v>
      </c>
      <c r="B164" s="37">
        <v>225</v>
      </c>
      <c r="C164" s="39" t="s">
        <v>162</v>
      </c>
      <c r="D164" s="40">
        <v>54143</v>
      </c>
      <c r="E164" s="36">
        <v>329294</v>
      </c>
      <c r="F164" s="1"/>
      <c r="G164" s="1"/>
      <c r="H164" s="3"/>
      <c r="I164" s="2"/>
      <c r="J164" s="3"/>
    </row>
    <row r="165" spans="1:10" x14ac:dyDescent="0.2">
      <c r="A165">
        <v>2015</v>
      </c>
      <c r="B165" s="37">
        <v>229</v>
      </c>
      <c r="C165" s="39" t="s">
        <v>163</v>
      </c>
      <c r="D165" s="40">
        <v>76778</v>
      </c>
      <c r="E165" s="36">
        <v>659476</v>
      </c>
      <c r="F165" s="1"/>
      <c r="G165" s="1"/>
      <c r="H165" s="3"/>
      <c r="I165" s="2"/>
      <c r="J165" s="3"/>
    </row>
    <row r="166" spans="1:10" x14ac:dyDescent="0.2">
      <c r="A166">
        <v>2015</v>
      </c>
      <c r="B166" s="37">
        <v>230</v>
      </c>
      <c r="C166" s="39" t="s">
        <v>164</v>
      </c>
      <c r="D166" s="40">
        <v>162053</v>
      </c>
      <c r="E166" s="36">
        <v>1128752</v>
      </c>
      <c r="F166" s="1"/>
      <c r="G166" s="1"/>
      <c r="H166" s="3"/>
      <c r="I166" s="2"/>
      <c r="J166" s="3"/>
    </row>
    <row r="167" spans="1:10" x14ac:dyDescent="0.2">
      <c r="A167">
        <v>2015</v>
      </c>
      <c r="B167" s="37">
        <v>232</v>
      </c>
      <c r="C167" s="39" t="s">
        <v>165</v>
      </c>
      <c r="D167" s="40">
        <v>31042</v>
      </c>
      <c r="E167" s="36">
        <v>284663</v>
      </c>
      <c r="F167" s="1"/>
      <c r="G167" s="1"/>
      <c r="H167" s="3"/>
      <c r="I167" s="2"/>
      <c r="J167" s="3"/>
    </row>
    <row r="168" spans="1:10" x14ac:dyDescent="0.2">
      <c r="A168">
        <v>2015</v>
      </c>
      <c r="B168" s="37">
        <v>233</v>
      </c>
      <c r="C168" s="39" t="s">
        <v>166</v>
      </c>
      <c r="D168" s="40">
        <v>23316</v>
      </c>
      <c r="E168" s="36">
        <v>242501</v>
      </c>
      <c r="F168" s="1"/>
      <c r="G168" s="1"/>
      <c r="H168" s="3"/>
      <c r="I168" s="2"/>
      <c r="J168" s="3"/>
    </row>
    <row r="169" spans="1:10" x14ac:dyDescent="0.2">
      <c r="A169">
        <v>2015</v>
      </c>
      <c r="B169" s="37">
        <v>234</v>
      </c>
      <c r="C169" s="39" t="s">
        <v>167</v>
      </c>
      <c r="D169" s="40">
        <v>40691</v>
      </c>
      <c r="E169" s="36">
        <v>311336</v>
      </c>
      <c r="F169" s="1"/>
      <c r="G169" s="1"/>
      <c r="H169" s="3"/>
      <c r="I169" s="2"/>
      <c r="J169" s="3"/>
    </row>
    <row r="170" spans="1:10" x14ac:dyDescent="0.2">
      <c r="A170">
        <v>2015</v>
      </c>
      <c r="B170" s="37">
        <v>235</v>
      </c>
      <c r="C170" s="39" t="s">
        <v>168</v>
      </c>
      <c r="D170" s="40">
        <v>442485</v>
      </c>
      <c r="E170" s="36">
        <v>2863742</v>
      </c>
      <c r="F170" s="1"/>
      <c r="G170" s="1"/>
      <c r="H170" s="3"/>
      <c r="I170" s="2"/>
      <c r="J170" s="3"/>
    </row>
    <row r="171" spans="1:10" x14ac:dyDescent="0.2">
      <c r="A171">
        <v>2015</v>
      </c>
      <c r="B171" s="37">
        <v>236</v>
      </c>
      <c r="C171" s="39" t="s">
        <v>169</v>
      </c>
      <c r="D171" s="40">
        <v>417490</v>
      </c>
      <c r="E171" s="36">
        <v>2989020</v>
      </c>
      <c r="F171" s="1"/>
      <c r="G171" s="1"/>
      <c r="H171" s="3"/>
      <c r="I171" s="2"/>
      <c r="J171" s="3"/>
    </row>
    <row r="172" spans="1:10" x14ac:dyDescent="0.2">
      <c r="A172">
        <v>2015</v>
      </c>
      <c r="B172" s="37">
        <v>237</v>
      </c>
      <c r="C172" s="39" t="s">
        <v>170</v>
      </c>
      <c r="D172" s="40">
        <v>46835</v>
      </c>
      <c r="E172" s="36">
        <v>445888</v>
      </c>
      <c r="F172" s="1"/>
      <c r="G172" s="1"/>
      <c r="H172" s="3"/>
      <c r="I172" s="2"/>
      <c r="J172" s="3"/>
    </row>
    <row r="173" spans="1:10" x14ac:dyDescent="0.2">
      <c r="A173">
        <v>2015</v>
      </c>
      <c r="B173" s="37">
        <v>238</v>
      </c>
      <c r="C173" s="39" t="s">
        <v>171</v>
      </c>
      <c r="D173" s="40">
        <v>17270</v>
      </c>
      <c r="E173" s="36">
        <v>178918</v>
      </c>
      <c r="F173" s="1"/>
      <c r="G173" s="1"/>
      <c r="H173" s="3"/>
      <c r="I173" s="2"/>
      <c r="J173" s="3"/>
    </row>
    <row r="174" spans="1:10" x14ac:dyDescent="0.2">
      <c r="A174">
        <v>2015</v>
      </c>
      <c r="B174" s="37">
        <v>239</v>
      </c>
      <c r="C174" s="39" t="s">
        <v>172</v>
      </c>
      <c r="D174" s="40">
        <v>118876</v>
      </c>
      <c r="E174" s="36">
        <v>747732</v>
      </c>
      <c r="F174" s="1"/>
      <c r="G174" s="1"/>
      <c r="H174" s="3"/>
      <c r="I174" s="2"/>
      <c r="J174" s="3"/>
    </row>
    <row r="175" spans="1:10" x14ac:dyDescent="0.2">
      <c r="A175">
        <v>2015</v>
      </c>
      <c r="B175" s="37">
        <v>240</v>
      </c>
      <c r="C175" s="39" t="s">
        <v>216</v>
      </c>
      <c r="D175" s="40">
        <v>252942</v>
      </c>
      <c r="E175" s="60">
        <v>1243080</v>
      </c>
      <c r="F175" s="1"/>
    </row>
    <row r="176" spans="1:10" x14ac:dyDescent="0.2">
      <c r="A176">
        <v>2015</v>
      </c>
      <c r="B176" s="37">
        <v>241</v>
      </c>
      <c r="C176" s="39" t="s">
        <v>173</v>
      </c>
      <c r="D176" s="40">
        <v>83944</v>
      </c>
      <c r="E176" s="36">
        <v>616930</v>
      </c>
      <c r="F176" s="2"/>
    </row>
    <row r="177" spans="1:6" x14ac:dyDescent="0.2">
      <c r="A177">
        <v>2015</v>
      </c>
      <c r="B177" s="37">
        <v>242</v>
      </c>
      <c r="C177" s="39" t="s">
        <v>174</v>
      </c>
      <c r="D177" s="40">
        <v>3043995</v>
      </c>
      <c r="E177" s="36">
        <v>16680479</v>
      </c>
      <c r="F177" s="2"/>
    </row>
    <row r="178" spans="1:6" x14ac:dyDescent="0.2">
      <c r="A178">
        <v>2015</v>
      </c>
      <c r="B178" s="37">
        <v>243</v>
      </c>
      <c r="C178" s="39" t="s">
        <v>175</v>
      </c>
      <c r="D178" s="40">
        <v>5348</v>
      </c>
      <c r="E178" s="36">
        <v>38913</v>
      </c>
      <c r="F178" s="2"/>
    </row>
    <row r="179" spans="1:6" x14ac:dyDescent="0.2">
      <c r="A179">
        <v>2015</v>
      </c>
      <c r="B179" s="37">
        <v>244</v>
      </c>
      <c r="C179" s="39" t="s">
        <v>176</v>
      </c>
      <c r="D179" s="40">
        <v>32888</v>
      </c>
      <c r="E179" s="36">
        <v>150232</v>
      </c>
      <c r="F179" s="2"/>
    </row>
    <row r="180" spans="1:6" x14ac:dyDescent="0.2">
      <c r="A180">
        <v>2015</v>
      </c>
      <c r="B180" s="37">
        <v>245</v>
      </c>
      <c r="C180" s="39" t="s">
        <v>177</v>
      </c>
      <c r="D180" s="40">
        <v>18705</v>
      </c>
      <c r="E180" s="36">
        <v>74812</v>
      </c>
      <c r="F180" s="2"/>
    </row>
    <row r="181" spans="1:6" x14ac:dyDescent="0.2">
      <c r="A181">
        <v>2015</v>
      </c>
      <c r="B181" s="37">
        <v>246</v>
      </c>
      <c r="C181" s="39" t="s">
        <v>178</v>
      </c>
      <c r="D181" s="40">
        <v>7163</v>
      </c>
      <c r="E181" s="36">
        <v>54570</v>
      </c>
      <c r="F181" s="2"/>
    </row>
    <row r="182" spans="1:6" x14ac:dyDescent="0.2">
      <c r="A182">
        <v>2015</v>
      </c>
      <c r="B182" s="37">
        <v>247</v>
      </c>
      <c r="C182" s="39" t="s">
        <v>179</v>
      </c>
      <c r="D182" s="40">
        <v>90747</v>
      </c>
      <c r="E182" s="36">
        <v>767937</v>
      </c>
      <c r="F182" s="2"/>
    </row>
    <row r="183" spans="1:6" x14ac:dyDescent="0.2">
      <c r="A183">
        <v>2015</v>
      </c>
      <c r="B183" s="37">
        <v>248</v>
      </c>
      <c r="C183" s="39" t="s">
        <v>180</v>
      </c>
      <c r="D183" s="40">
        <v>16549</v>
      </c>
      <c r="E183" s="36">
        <v>86727</v>
      </c>
      <c r="F183" s="2"/>
    </row>
    <row r="184" spans="1:6" x14ac:dyDescent="0.2">
      <c r="A184">
        <v>2015</v>
      </c>
      <c r="B184" s="37">
        <v>249</v>
      </c>
      <c r="C184" s="39" t="s">
        <v>181</v>
      </c>
      <c r="D184" s="40">
        <v>75303</v>
      </c>
      <c r="E184" s="36">
        <v>551946</v>
      </c>
      <c r="F184" s="2"/>
    </row>
    <row r="185" spans="1:6" x14ac:dyDescent="0.2">
      <c r="A185">
        <v>2015</v>
      </c>
      <c r="B185" s="37">
        <v>250</v>
      </c>
      <c r="C185" s="39" t="s">
        <v>182</v>
      </c>
      <c r="D185" s="40">
        <v>23000</v>
      </c>
      <c r="E185" s="36">
        <v>173031</v>
      </c>
      <c r="F185" s="2"/>
    </row>
    <row r="186" spans="1:6" x14ac:dyDescent="0.2">
      <c r="A186">
        <v>2015</v>
      </c>
      <c r="B186" s="37">
        <v>251</v>
      </c>
      <c r="C186" s="39" t="s">
        <v>183</v>
      </c>
      <c r="D186" s="40">
        <v>10745</v>
      </c>
      <c r="E186" s="36">
        <v>117618</v>
      </c>
      <c r="F186" s="2"/>
    </row>
    <row r="187" spans="1:6" x14ac:dyDescent="0.2">
      <c r="A187">
        <v>2015</v>
      </c>
      <c r="B187" s="37">
        <v>252</v>
      </c>
      <c r="C187" s="39" t="s">
        <v>184</v>
      </c>
      <c r="D187" s="40">
        <v>10992</v>
      </c>
      <c r="E187" s="36">
        <v>97332</v>
      </c>
      <c r="F187" s="2"/>
    </row>
    <row r="188" spans="1:6" x14ac:dyDescent="0.2">
      <c r="A188">
        <v>2015</v>
      </c>
      <c r="B188" s="37">
        <v>254</v>
      </c>
      <c r="C188" s="39" t="s">
        <v>185</v>
      </c>
      <c r="D188" s="40">
        <v>35293</v>
      </c>
      <c r="E188" s="36">
        <v>422474</v>
      </c>
      <c r="F188" s="2"/>
    </row>
    <row r="189" spans="1:6" x14ac:dyDescent="0.2">
      <c r="A189">
        <v>2015</v>
      </c>
      <c r="B189" s="37">
        <v>256</v>
      </c>
      <c r="C189" s="39" t="s">
        <v>186</v>
      </c>
      <c r="D189" s="40">
        <v>4974</v>
      </c>
      <c r="E189" s="36">
        <v>52374</v>
      </c>
      <c r="F189" s="2"/>
    </row>
    <row r="190" spans="1:6" x14ac:dyDescent="0.2">
      <c r="A190">
        <v>2015</v>
      </c>
      <c r="B190" s="37">
        <v>258</v>
      </c>
      <c r="C190" s="39" t="s">
        <v>187</v>
      </c>
      <c r="D190" s="40">
        <v>48089</v>
      </c>
      <c r="E190" s="36">
        <v>116958</v>
      </c>
      <c r="F190" s="2"/>
    </row>
    <row r="191" spans="1:6" x14ac:dyDescent="0.2">
      <c r="A191">
        <v>2015</v>
      </c>
      <c r="B191" s="37">
        <v>259</v>
      </c>
      <c r="C191" s="39" t="s">
        <v>188</v>
      </c>
      <c r="D191" s="40">
        <v>7755</v>
      </c>
      <c r="E191" s="36">
        <v>60154</v>
      </c>
      <c r="F191" s="2"/>
    </row>
    <row r="192" spans="1:6" x14ac:dyDescent="0.2">
      <c r="A192">
        <v>2015</v>
      </c>
      <c r="B192" s="37">
        <v>260</v>
      </c>
      <c r="C192" s="39" t="s">
        <v>189</v>
      </c>
      <c r="D192" s="40">
        <v>6365</v>
      </c>
      <c r="E192" s="36">
        <v>44608</v>
      </c>
      <c r="F192" s="2"/>
    </row>
    <row r="193" spans="1:6" x14ac:dyDescent="0.2">
      <c r="A193">
        <v>2015</v>
      </c>
      <c r="B193" s="37">
        <v>261</v>
      </c>
      <c r="C193" s="39" t="s">
        <v>190</v>
      </c>
      <c r="D193" s="40">
        <v>6093</v>
      </c>
      <c r="E193" s="36">
        <v>82318</v>
      </c>
      <c r="F193" s="2"/>
    </row>
    <row r="194" spans="1:6" x14ac:dyDescent="0.2">
      <c r="A194">
        <v>2015</v>
      </c>
      <c r="B194" s="37">
        <v>264</v>
      </c>
      <c r="C194" s="39" t="s">
        <v>191</v>
      </c>
      <c r="D194" s="40">
        <v>82657</v>
      </c>
      <c r="E194" s="36">
        <v>1192192</v>
      </c>
      <c r="F194" s="2"/>
    </row>
    <row r="195" spans="1:6" x14ac:dyDescent="0.2">
      <c r="A195">
        <v>2015</v>
      </c>
      <c r="B195" s="37">
        <v>266</v>
      </c>
      <c r="C195" s="39" t="s">
        <v>192</v>
      </c>
      <c r="D195" s="40">
        <v>68812</v>
      </c>
      <c r="E195" s="36">
        <v>428489</v>
      </c>
      <c r="F195" s="2"/>
    </row>
    <row r="196" spans="1:6" x14ac:dyDescent="0.2">
      <c r="A196">
        <v>2015</v>
      </c>
      <c r="B196" s="37">
        <v>267</v>
      </c>
      <c r="C196" s="39" t="s">
        <v>193</v>
      </c>
      <c r="D196" s="40">
        <v>31989</v>
      </c>
      <c r="E196" s="36">
        <v>191842</v>
      </c>
      <c r="F196" s="2"/>
    </row>
    <row r="197" spans="1:6" x14ac:dyDescent="0.2">
      <c r="A197">
        <v>2015</v>
      </c>
      <c r="B197" s="37">
        <v>268</v>
      </c>
      <c r="C197" s="39" t="s">
        <v>194</v>
      </c>
      <c r="D197" s="40">
        <v>19510</v>
      </c>
      <c r="E197" s="36">
        <v>205798</v>
      </c>
      <c r="F197" s="2"/>
    </row>
    <row r="198" spans="1:6" x14ac:dyDescent="0.2">
      <c r="A198">
        <v>2015</v>
      </c>
      <c r="B198" s="37">
        <v>269</v>
      </c>
      <c r="C198" s="39" t="s">
        <v>195</v>
      </c>
      <c r="D198" s="40">
        <v>38280</v>
      </c>
      <c r="E198" s="36">
        <v>186042</v>
      </c>
      <c r="F198" s="2"/>
    </row>
    <row r="199" spans="1:6" x14ac:dyDescent="0.2">
      <c r="A199">
        <v>2015</v>
      </c>
      <c r="B199" s="37">
        <v>270</v>
      </c>
      <c r="C199" s="39" t="s">
        <v>196</v>
      </c>
      <c r="D199" s="40">
        <v>23523</v>
      </c>
      <c r="E199" s="36">
        <v>203611</v>
      </c>
      <c r="F199" s="2"/>
    </row>
    <row r="200" spans="1:6" x14ac:dyDescent="0.2">
      <c r="A200">
        <v>2015</v>
      </c>
      <c r="B200" s="37">
        <v>271</v>
      </c>
      <c r="C200" s="39" t="s">
        <v>197</v>
      </c>
      <c r="D200" s="40">
        <v>25595</v>
      </c>
      <c r="E200" s="36">
        <v>201376</v>
      </c>
      <c r="F200" s="2"/>
    </row>
    <row r="201" spans="1:6" x14ac:dyDescent="0.2">
      <c r="A201">
        <v>2015</v>
      </c>
      <c r="B201" s="37">
        <v>272</v>
      </c>
      <c r="C201" s="39" t="s">
        <v>198</v>
      </c>
      <c r="D201" s="40">
        <v>11496</v>
      </c>
      <c r="E201" s="36">
        <v>98768</v>
      </c>
      <c r="F201" s="2"/>
    </row>
    <row r="202" spans="1:6" x14ac:dyDescent="0.2">
      <c r="A202">
        <v>2015</v>
      </c>
      <c r="B202" s="37">
        <v>273</v>
      </c>
      <c r="C202" s="39" t="s">
        <v>199</v>
      </c>
      <c r="D202" s="40">
        <v>38571</v>
      </c>
      <c r="E202" s="36">
        <v>265452</v>
      </c>
      <c r="F202" s="2"/>
    </row>
    <row r="203" spans="1:6" x14ac:dyDescent="0.2">
      <c r="A203">
        <v>2015</v>
      </c>
      <c r="B203" s="37">
        <v>274</v>
      </c>
      <c r="C203" s="39" t="s">
        <v>200</v>
      </c>
      <c r="D203" s="40">
        <v>25795</v>
      </c>
      <c r="E203" s="36">
        <v>220405</v>
      </c>
      <c r="F203" s="2"/>
    </row>
    <row r="204" spans="1:6" x14ac:dyDescent="0.2">
      <c r="A204">
        <v>2015</v>
      </c>
      <c r="B204" s="37">
        <v>275</v>
      </c>
      <c r="C204" s="39" t="s">
        <v>201</v>
      </c>
      <c r="D204" s="40">
        <v>51771</v>
      </c>
      <c r="E204" s="36">
        <v>416173</v>
      </c>
      <c r="F204" s="2"/>
    </row>
    <row r="205" spans="1:6" x14ac:dyDescent="0.2">
      <c r="A205">
        <v>2015</v>
      </c>
      <c r="B205" s="37">
        <v>276</v>
      </c>
      <c r="C205" s="39" t="s">
        <v>202</v>
      </c>
      <c r="D205" s="40">
        <v>20484</v>
      </c>
      <c r="E205" s="36">
        <v>135380</v>
      </c>
      <c r="F205" s="2"/>
    </row>
    <row r="206" spans="1:6" x14ac:dyDescent="0.2">
      <c r="A206">
        <v>2015</v>
      </c>
      <c r="B206" s="37">
        <v>277</v>
      </c>
      <c r="C206" s="39" t="s">
        <v>203</v>
      </c>
      <c r="D206" s="40">
        <v>102846</v>
      </c>
      <c r="E206" s="36">
        <v>748048</v>
      </c>
      <c r="F206" s="2"/>
    </row>
    <row r="207" spans="1:6" x14ac:dyDescent="0.2">
      <c r="A207">
        <v>2015</v>
      </c>
      <c r="B207" s="37">
        <v>278</v>
      </c>
      <c r="C207" s="39" t="s">
        <v>204</v>
      </c>
      <c r="D207" s="40">
        <v>99064</v>
      </c>
      <c r="E207" s="36">
        <v>892806</v>
      </c>
      <c r="F207" s="2"/>
    </row>
    <row r="208" spans="1:6" x14ac:dyDescent="0.2">
      <c r="A208">
        <v>2015</v>
      </c>
      <c r="B208" s="37">
        <v>279</v>
      </c>
      <c r="C208" s="39" t="s">
        <v>205</v>
      </c>
      <c r="D208" s="40">
        <v>25695</v>
      </c>
      <c r="E208" s="36">
        <v>229213</v>
      </c>
      <c r="F208" s="2"/>
    </row>
    <row r="209" spans="1:10" x14ac:dyDescent="0.2">
      <c r="A209">
        <v>2015</v>
      </c>
      <c r="B209" s="37">
        <v>280</v>
      </c>
      <c r="C209" s="39" t="s">
        <v>206</v>
      </c>
      <c r="D209" s="40">
        <v>257092</v>
      </c>
      <c r="E209" s="36">
        <v>1730990</v>
      </c>
      <c r="F209" s="2"/>
    </row>
    <row r="210" spans="1:10" x14ac:dyDescent="0.2">
      <c r="A210">
        <v>2015</v>
      </c>
      <c r="B210" s="37">
        <v>281</v>
      </c>
      <c r="C210" s="39" t="s">
        <v>207</v>
      </c>
      <c r="D210" s="40">
        <v>17641</v>
      </c>
      <c r="E210" s="36">
        <v>157995</v>
      </c>
      <c r="F210" s="2"/>
    </row>
    <row r="211" spans="1:10" x14ac:dyDescent="0.2">
      <c r="A211">
        <v>2015</v>
      </c>
      <c r="B211" s="37">
        <v>282</v>
      </c>
      <c r="C211" s="39" t="s">
        <v>208</v>
      </c>
      <c r="D211" s="40">
        <v>38674</v>
      </c>
      <c r="E211" s="36">
        <v>333769</v>
      </c>
      <c r="F211" s="2"/>
    </row>
    <row r="212" spans="1:10" x14ac:dyDescent="0.2">
      <c r="A212">
        <v>2015</v>
      </c>
      <c r="B212" s="37">
        <v>284</v>
      </c>
      <c r="C212" s="39" t="s">
        <v>209</v>
      </c>
      <c r="D212" s="40">
        <v>24051</v>
      </c>
      <c r="E212" s="36">
        <v>133735</v>
      </c>
      <c r="F212" s="2"/>
    </row>
    <row r="213" spans="1:10" x14ac:dyDescent="0.2">
      <c r="A213">
        <v>2015</v>
      </c>
      <c r="B213" s="37">
        <v>285</v>
      </c>
      <c r="C213" s="39" t="s">
        <v>210</v>
      </c>
      <c r="D213" s="40">
        <v>38889</v>
      </c>
      <c r="E213" s="36">
        <v>221312</v>
      </c>
      <c r="F213" s="2"/>
    </row>
    <row r="214" spans="1:10" x14ac:dyDescent="0.2">
      <c r="A214">
        <v>2015</v>
      </c>
      <c r="B214" s="37">
        <v>286</v>
      </c>
      <c r="C214" s="39" t="s">
        <v>211</v>
      </c>
      <c r="D214" s="40">
        <v>94445</v>
      </c>
      <c r="E214" s="36">
        <v>754600</v>
      </c>
      <c r="F214" s="2"/>
    </row>
    <row r="215" spans="1:10" x14ac:dyDescent="0.2">
      <c r="A215">
        <v>2015</v>
      </c>
      <c r="B215" s="37">
        <v>287</v>
      </c>
      <c r="C215" s="39" t="s">
        <v>212</v>
      </c>
      <c r="D215" s="40">
        <v>17190</v>
      </c>
      <c r="E215" s="36">
        <v>76630</v>
      </c>
      <c r="F215" s="2"/>
    </row>
    <row r="216" spans="1:10" x14ac:dyDescent="0.2">
      <c r="A216">
        <v>2015</v>
      </c>
      <c r="B216" s="37">
        <v>288</v>
      </c>
      <c r="C216" s="39" t="s">
        <v>213</v>
      </c>
      <c r="D216" s="40">
        <v>48524</v>
      </c>
      <c r="E216" s="36">
        <v>298883</v>
      </c>
      <c r="F216" s="2"/>
    </row>
    <row r="217" spans="1:10" x14ac:dyDescent="0.2">
      <c r="A217">
        <v>2015</v>
      </c>
      <c r="B217" s="37">
        <v>289</v>
      </c>
      <c r="C217" s="39" t="s">
        <v>215</v>
      </c>
      <c r="D217" s="40">
        <v>686089</v>
      </c>
      <c r="E217" s="36">
        <v>3733928</v>
      </c>
      <c r="F217" s="2"/>
    </row>
    <row r="218" spans="1:10" x14ac:dyDescent="0.2">
      <c r="A218">
        <v>2015</v>
      </c>
      <c r="B218" s="37">
        <v>290</v>
      </c>
      <c r="C218" s="39" t="s">
        <v>217</v>
      </c>
      <c r="D218" s="40">
        <v>1793387</v>
      </c>
      <c r="E218" s="36">
        <v>10595425</v>
      </c>
      <c r="F218" s="1"/>
      <c r="G218" s="1"/>
      <c r="H218" s="3"/>
      <c r="I218" s="2"/>
      <c r="J218" s="3"/>
    </row>
    <row r="219" spans="1:10" x14ac:dyDescent="0.2">
      <c r="A219">
        <v>2015</v>
      </c>
      <c r="B219" s="37">
        <v>291</v>
      </c>
      <c r="C219" s="39" t="s">
        <v>218</v>
      </c>
      <c r="D219" s="40">
        <v>419159</v>
      </c>
      <c r="E219" s="36">
        <v>2679285</v>
      </c>
      <c r="F219" s="1"/>
      <c r="G219" s="1"/>
      <c r="H219" s="3"/>
      <c r="I219" s="2"/>
      <c r="J219" s="3"/>
    </row>
    <row r="220" spans="1:10" x14ac:dyDescent="0.2">
      <c r="A220">
        <v>2015</v>
      </c>
      <c r="B220" s="37">
        <v>292</v>
      </c>
      <c r="C220" s="39" t="s">
        <v>219</v>
      </c>
      <c r="D220" s="40">
        <v>136461</v>
      </c>
      <c r="E220" s="36">
        <v>1365001</v>
      </c>
      <c r="F220" s="1"/>
      <c r="G220" s="1"/>
      <c r="H220" s="3"/>
      <c r="I220" s="2"/>
      <c r="J220" s="3"/>
    </row>
    <row r="221" spans="1:10" x14ac:dyDescent="0.2">
      <c r="A221">
        <v>2015</v>
      </c>
      <c r="B221" s="37">
        <v>293</v>
      </c>
      <c r="C221" s="39" t="s">
        <v>220</v>
      </c>
      <c r="D221" s="40">
        <v>2659349</v>
      </c>
      <c r="E221" s="36">
        <v>13410559</v>
      </c>
      <c r="F221" s="1"/>
      <c r="G221" s="1"/>
      <c r="H221" s="3"/>
      <c r="I221" s="2"/>
      <c r="J221" s="3"/>
    </row>
    <row r="222" spans="1:10" x14ac:dyDescent="0.2">
      <c r="A222">
        <v>2015</v>
      </c>
      <c r="B222" s="37">
        <v>294</v>
      </c>
      <c r="C222" s="39" t="s">
        <v>221</v>
      </c>
      <c r="D222" s="40">
        <v>762425</v>
      </c>
      <c r="E222" s="36">
        <v>4564382</v>
      </c>
      <c r="F222" s="1"/>
      <c r="G222" s="1"/>
      <c r="H222" s="3"/>
      <c r="I222" s="2"/>
      <c r="J222" s="3"/>
    </row>
    <row r="223" spans="1:10" x14ac:dyDescent="0.2">
      <c r="A223">
        <v>2015</v>
      </c>
      <c r="B223" s="37">
        <v>295</v>
      </c>
      <c r="C223" s="39" t="s">
        <v>222</v>
      </c>
      <c r="D223" s="40">
        <v>1197834</v>
      </c>
      <c r="E223" s="36">
        <v>6388876</v>
      </c>
      <c r="F223" s="1"/>
      <c r="G223" s="1"/>
      <c r="H223" s="3"/>
      <c r="I223" s="2"/>
      <c r="J223" s="3"/>
    </row>
    <row r="224" spans="1:10" x14ac:dyDescent="0.2">
      <c r="A224">
        <v>2015</v>
      </c>
      <c r="B224" s="37">
        <v>296</v>
      </c>
      <c r="C224" s="39" t="s">
        <v>223</v>
      </c>
      <c r="D224" s="40">
        <v>633971</v>
      </c>
      <c r="E224" s="36">
        <v>3606981</v>
      </c>
      <c r="F224" s="1"/>
      <c r="G224" s="1"/>
      <c r="H224" s="3"/>
      <c r="I224" s="2"/>
      <c r="J224" s="3"/>
    </row>
    <row r="225" spans="1:10" x14ac:dyDescent="0.2">
      <c r="A225">
        <v>2015</v>
      </c>
      <c r="B225" s="37">
        <v>297</v>
      </c>
      <c r="C225" s="39" t="s">
        <v>224</v>
      </c>
      <c r="D225" s="40">
        <v>58138</v>
      </c>
      <c r="E225" s="36">
        <v>401291</v>
      </c>
      <c r="F225" s="1"/>
      <c r="G225" s="1"/>
      <c r="H225" s="3"/>
      <c r="I225" s="2"/>
      <c r="J225" s="3"/>
    </row>
    <row r="226" spans="1:10" x14ac:dyDescent="0.2">
      <c r="A226">
        <v>2015</v>
      </c>
      <c r="B226" s="37">
        <v>298</v>
      </c>
      <c r="C226" s="39" t="s">
        <v>225</v>
      </c>
      <c r="D226" s="40">
        <v>2209998</v>
      </c>
      <c r="E226" s="36">
        <v>10172910</v>
      </c>
      <c r="F226" s="1"/>
      <c r="G226" s="1"/>
      <c r="H226" s="3"/>
      <c r="I226" s="2"/>
      <c r="J226" s="3"/>
    </row>
    <row r="227" spans="1:10" x14ac:dyDescent="0.2">
      <c r="A227">
        <v>2015</v>
      </c>
      <c r="B227" s="37">
        <v>299</v>
      </c>
      <c r="C227" s="39" t="s">
        <v>226</v>
      </c>
      <c r="D227" s="40">
        <v>405592</v>
      </c>
      <c r="E227" s="36">
        <v>2355385</v>
      </c>
      <c r="F227" s="1"/>
      <c r="G227" s="1"/>
      <c r="H227" s="3"/>
      <c r="I227" s="2"/>
      <c r="J227" s="3"/>
    </row>
    <row r="228" spans="1:10" x14ac:dyDescent="0.2">
      <c r="A228">
        <v>2015</v>
      </c>
      <c r="B228" s="37">
        <v>302</v>
      </c>
      <c r="C228" s="39" t="s">
        <v>227</v>
      </c>
      <c r="D228" s="40">
        <v>289586</v>
      </c>
      <c r="E228" s="36">
        <v>1999659</v>
      </c>
      <c r="F228" s="1"/>
      <c r="G228" s="1"/>
      <c r="H228" s="3"/>
      <c r="I228" s="2"/>
      <c r="J228" s="3"/>
    </row>
    <row r="229" spans="1:10" x14ac:dyDescent="0.2">
      <c r="A229">
        <v>2015</v>
      </c>
      <c r="B229" s="37">
        <v>303</v>
      </c>
      <c r="C229" s="39" t="s">
        <v>228</v>
      </c>
      <c r="D229" s="40">
        <v>80642</v>
      </c>
      <c r="E229" s="36">
        <v>452849</v>
      </c>
      <c r="F229" s="1"/>
      <c r="G229" s="1"/>
      <c r="H229" s="3"/>
      <c r="I229" s="2"/>
      <c r="J229" s="3"/>
    </row>
    <row r="230" spans="1:10" x14ac:dyDescent="0.2">
      <c r="A230">
        <v>2015</v>
      </c>
      <c r="B230" s="37">
        <v>304</v>
      </c>
      <c r="C230" s="39" t="s">
        <v>229</v>
      </c>
      <c r="D230" s="40">
        <v>42897</v>
      </c>
      <c r="E230" s="36">
        <v>307464</v>
      </c>
      <c r="F230" s="1"/>
      <c r="G230" s="1"/>
      <c r="H230" s="3"/>
      <c r="I230" s="2"/>
      <c r="J230" s="3"/>
    </row>
    <row r="231" spans="1:10" x14ac:dyDescent="0.2">
      <c r="A231">
        <v>2015</v>
      </c>
      <c r="B231" s="37">
        <v>305</v>
      </c>
      <c r="C231" s="39" t="s">
        <v>230</v>
      </c>
      <c r="D231" s="40">
        <v>428612</v>
      </c>
      <c r="E231" s="36">
        <v>2414385</v>
      </c>
      <c r="F231" s="1"/>
      <c r="G231" s="1"/>
      <c r="H231" s="3"/>
      <c r="I231" s="2"/>
      <c r="J231" s="3"/>
    </row>
    <row r="232" spans="1:10" x14ac:dyDescent="0.2">
      <c r="A232">
        <v>2015</v>
      </c>
      <c r="B232" s="37">
        <v>306</v>
      </c>
      <c r="C232" s="39" t="s">
        <v>231</v>
      </c>
      <c r="D232" s="40">
        <v>770483</v>
      </c>
      <c r="E232" s="36">
        <v>4466084</v>
      </c>
      <c r="F232" s="1"/>
      <c r="G232" s="1"/>
      <c r="H232" s="3"/>
      <c r="I232" s="2"/>
      <c r="J232" s="3"/>
    </row>
    <row r="233" spans="1:10" x14ac:dyDescent="0.2">
      <c r="A233">
        <v>2015</v>
      </c>
      <c r="B233" s="37">
        <v>307</v>
      </c>
      <c r="C233" s="39" t="s">
        <v>232</v>
      </c>
      <c r="D233" s="40">
        <v>377783</v>
      </c>
      <c r="E233" s="36">
        <v>2986848</v>
      </c>
      <c r="F233" s="1"/>
      <c r="G233" s="1"/>
      <c r="H233" s="3"/>
      <c r="I233" s="2"/>
      <c r="J233" s="3"/>
    </row>
    <row r="234" spans="1:10" x14ac:dyDescent="0.2">
      <c r="A234">
        <v>2015</v>
      </c>
      <c r="B234" s="37">
        <v>308</v>
      </c>
      <c r="C234" s="39" t="s">
        <v>233</v>
      </c>
      <c r="D234" s="40">
        <v>18107</v>
      </c>
      <c r="E234" s="36">
        <v>89707</v>
      </c>
      <c r="F234" s="1"/>
      <c r="G234" s="1"/>
      <c r="H234" s="3"/>
      <c r="I234" s="2"/>
      <c r="J234" s="3"/>
    </row>
    <row r="235" spans="1:10" x14ac:dyDescent="0.2">
      <c r="A235">
        <v>2015</v>
      </c>
      <c r="B235" s="37">
        <v>313</v>
      </c>
      <c r="C235" s="39" t="s">
        <v>234</v>
      </c>
      <c r="D235" s="40">
        <v>598555</v>
      </c>
      <c r="E235" s="36">
        <v>4722365</v>
      </c>
      <c r="F235" s="1"/>
      <c r="G235" s="1"/>
      <c r="H235" s="3"/>
      <c r="I235" s="2"/>
      <c r="J235" s="3"/>
    </row>
    <row r="236" spans="1:10" x14ac:dyDescent="0.2">
      <c r="A236">
        <v>2015</v>
      </c>
      <c r="B236" s="37">
        <v>314</v>
      </c>
      <c r="C236" s="39" t="s">
        <v>235</v>
      </c>
      <c r="D236" s="40">
        <v>85771</v>
      </c>
      <c r="E236" s="36">
        <v>445603</v>
      </c>
      <c r="F236" s="1"/>
      <c r="G236" s="1"/>
      <c r="H236" s="3"/>
      <c r="I236" s="2"/>
      <c r="J236" s="3"/>
    </row>
    <row r="237" spans="1:10" x14ac:dyDescent="0.2">
      <c r="A237">
        <v>2015</v>
      </c>
      <c r="B237" s="37">
        <v>315</v>
      </c>
      <c r="C237" s="39" t="s">
        <v>236</v>
      </c>
      <c r="D237" s="40">
        <v>407908</v>
      </c>
      <c r="E237" s="36">
        <v>2356392</v>
      </c>
      <c r="F237" s="1"/>
      <c r="G237" s="1"/>
      <c r="H237" s="3"/>
      <c r="I237" s="2"/>
      <c r="J237" s="3"/>
    </row>
    <row r="238" spans="1:10" x14ac:dyDescent="0.2">
      <c r="A238">
        <v>2015</v>
      </c>
      <c r="B238" s="37">
        <v>317</v>
      </c>
      <c r="C238" s="39" t="s">
        <v>237</v>
      </c>
      <c r="D238" s="40">
        <v>156218</v>
      </c>
      <c r="E238" s="36">
        <v>1039667</v>
      </c>
      <c r="F238" s="1"/>
      <c r="G238" s="1"/>
      <c r="H238" s="3"/>
      <c r="I238" s="2"/>
      <c r="J238" s="3"/>
    </row>
    <row r="239" spans="1:10" x14ac:dyDescent="0.2">
      <c r="A239">
        <v>2015</v>
      </c>
      <c r="B239" s="37">
        <v>318</v>
      </c>
      <c r="C239" s="39" t="s">
        <v>238</v>
      </c>
      <c r="D239" s="40">
        <v>215076</v>
      </c>
      <c r="E239" s="36">
        <v>1999176</v>
      </c>
      <c r="F239" s="1"/>
      <c r="G239" s="1"/>
      <c r="H239" s="3"/>
      <c r="I239" s="2"/>
      <c r="J239" s="3"/>
    </row>
    <row r="240" spans="1:10" x14ac:dyDescent="0.2">
      <c r="A240">
        <v>2015</v>
      </c>
      <c r="B240" s="37">
        <v>319</v>
      </c>
      <c r="C240" s="39" t="s">
        <v>239</v>
      </c>
      <c r="D240" s="40">
        <v>125844</v>
      </c>
      <c r="E240" s="36">
        <v>661077</v>
      </c>
      <c r="F240" s="1"/>
      <c r="G240" s="1"/>
      <c r="H240" s="3"/>
      <c r="I240" s="2"/>
      <c r="J240" s="3"/>
    </row>
    <row r="241" spans="1:10" x14ac:dyDescent="0.2">
      <c r="A241">
        <v>2015</v>
      </c>
      <c r="B241" s="37">
        <v>321</v>
      </c>
      <c r="C241" s="39" t="s">
        <v>240</v>
      </c>
      <c r="D241" s="40">
        <v>33614</v>
      </c>
      <c r="E241" s="36">
        <v>224849</v>
      </c>
      <c r="F241" s="1"/>
      <c r="G241" s="1"/>
      <c r="H241" s="3"/>
      <c r="I241" s="2"/>
      <c r="J241" s="3"/>
    </row>
    <row r="242" spans="1:10" x14ac:dyDescent="0.2">
      <c r="A242">
        <v>2015</v>
      </c>
      <c r="B242" s="37">
        <v>322</v>
      </c>
      <c r="C242" s="39" t="s">
        <v>241</v>
      </c>
      <c r="D242" s="40">
        <v>301223</v>
      </c>
      <c r="E242" s="36">
        <v>2008958</v>
      </c>
      <c r="F242" s="1"/>
      <c r="G242" s="1"/>
      <c r="H242" s="3"/>
      <c r="I242" s="2"/>
      <c r="J242" s="3"/>
    </row>
    <row r="243" spans="1:10" x14ac:dyDescent="0.2">
      <c r="A243">
        <v>2015</v>
      </c>
      <c r="B243" s="37">
        <v>323</v>
      </c>
      <c r="C243" s="39" t="s">
        <v>242</v>
      </c>
      <c r="D243" s="40">
        <v>1100187</v>
      </c>
      <c r="E243" s="36">
        <v>8563001</v>
      </c>
      <c r="F243" s="1"/>
      <c r="G243" s="1"/>
      <c r="H243" s="3"/>
      <c r="I243" s="2"/>
      <c r="J243" s="3"/>
    </row>
    <row r="244" spans="1:10" x14ac:dyDescent="0.2">
      <c r="A244">
        <v>2015</v>
      </c>
      <c r="B244" s="37">
        <v>324</v>
      </c>
      <c r="C244" s="39" t="s">
        <v>243</v>
      </c>
      <c r="D244" s="40">
        <v>37210</v>
      </c>
      <c r="E244" s="36">
        <v>449893</v>
      </c>
      <c r="F244" s="1"/>
      <c r="G244" s="1"/>
      <c r="H244" s="3"/>
      <c r="I244" s="2"/>
      <c r="J244" s="3"/>
    </row>
    <row r="245" spans="1:10" x14ac:dyDescent="0.2">
      <c r="A245">
        <v>2015</v>
      </c>
      <c r="B245" s="37">
        <v>325</v>
      </c>
      <c r="C245" s="39" t="s">
        <v>244</v>
      </c>
      <c r="D245" s="40">
        <v>286936</v>
      </c>
      <c r="E245" s="36">
        <v>2040574</v>
      </c>
      <c r="F245" s="1"/>
      <c r="G245" s="1"/>
      <c r="H245" s="3"/>
      <c r="I245" s="2"/>
      <c r="J245" s="3"/>
    </row>
    <row r="246" spans="1:10" x14ac:dyDescent="0.2">
      <c r="A246">
        <v>2015</v>
      </c>
      <c r="B246" s="37">
        <v>326</v>
      </c>
      <c r="C246" s="39" t="s">
        <v>245</v>
      </c>
      <c r="D246" s="40">
        <v>22184</v>
      </c>
      <c r="E246" s="36">
        <v>179388</v>
      </c>
      <c r="F246" s="1"/>
      <c r="G246" s="1"/>
      <c r="H246" s="3"/>
      <c r="I246" s="2"/>
      <c r="J246" s="3"/>
    </row>
    <row r="247" spans="1:10" x14ac:dyDescent="0.2">
      <c r="A247">
        <v>2015</v>
      </c>
      <c r="B247" s="37">
        <v>328</v>
      </c>
      <c r="C247" s="39" t="s">
        <v>246</v>
      </c>
      <c r="D247" s="40">
        <v>72698</v>
      </c>
      <c r="E247" s="36">
        <v>845274</v>
      </c>
      <c r="F247" s="1"/>
      <c r="G247" s="1"/>
      <c r="H247" s="3"/>
      <c r="I247" s="2"/>
      <c r="J247" s="3"/>
    </row>
    <row r="248" spans="1:10" x14ac:dyDescent="0.2">
      <c r="A248">
        <v>2015</v>
      </c>
      <c r="B248" s="37">
        <v>329</v>
      </c>
      <c r="C248" s="39" t="s">
        <v>247</v>
      </c>
      <c r="D248" s="40">
        <v>13793</v>
      </c>
      <c r="E248" s="36">
        <v>115385</v>
      </c>
      <c r="F248" s="1"/>
      <c r="G248" s="1"/>
      <c r="H248" s="3"/>
      <c r="I248" s="2"/>
      <c r="J248" s="3"/>
    </row>
    <row r="249" spans="1:10" x14ac:dyDescent="0.2">
      <c r="A249">
        <v>2015</v>
      </c>
      <c r="B249" s="37">
        <v>330</v>
      </c>
      <c r="C249" s="39" t="s">
        <v>248</v>
      </c>
      <c r="D249" s="40">
        <v>30186</v>
      </c>
      <c r="E249" s="36">
        <v>353094</v>
      </c>
      <c r="F249" s="1"/>
      <c r="G249" s="1"/>
      <c r="H249" s="3"/>
      <c r="I249" s="2"/>
      <c r="J249" s="3"/>
    </row>
    <row r="250" spans="1:10" x14ac:dyDescent="0.2">
      <c r="A250">
        <v>2015</v>
      </c>
      <c r="B250" s="37">
        <v>331</v>
      </c>
      <c r="C250" s="39" t="s">
        <v>249</v>
      </c>
      <c r="D250" s="40">
        <v>337448</v>
      </c>
      <c r="E250" s="36">
        <v>2392660</v>
      </c>
      <c r="F250" s="1"/>
      <c r="G250" s="1"/>
      <c r="H250" s="3"/>
      <c r="I250" s="2"/>
      <c r="J250" s="3"/>
    </row>
    <row r="251" spans="1:10" x14ac:dyDescent="0.2">
      <c r="A251">
        <v>2015</v>
      </c>
      <c r="B251" s="37">
        <v>332</v>
      </c>
      <c r="C251" s="39" t="s">
        <v>250</v>
      </c>
      <c r="D251" s="40">
        <v>123085</v>
      </c>
      <c r="E251" s="36">
        <v>1025696</v>
      </c>
      <c r="F251" s="1"/>
      <c r="G251" s="1"/>
      <c r="H251" s="3"/>
      <c r="I251" s="2"/>
      <c r="J251" s="3"/>
    </row>
    <row r="252" spans="1:10" x14ac:dyDescent="0.2">
      <c r="A252">
        <v>2015</v>
      </c>
      <c r="B252" s="37">
        <v>333</v>
      </c>
      <c r="C252" s="39" t="s">
        <v>251</v>
      </c>
      <c r="D252" s="40">
        <v>36800</v>
      </c>
      <c r="E252" s="36">
        <v>244528</v>
      </c>
      <c r="F252" s="1"/>
      <c r="G252" s="1"/>
      <c r="H252" s="3"/>
      <c r="I252" s="2"/>
      <c r="J252" s="3"/>
    </row>
    <row r="253" spans="1:10" x14ac:dyDescent="0.2">
      <c r="A253">
        <v>2015</v>
      </c>
      <c r="B253" s="37">
        <v>335</v>
      </c>
      <c r="C253" s="39" t="s">
        <v>252</v>
      </c>
      <c r="D253" s="40">
        <v>58915</v>
      </c>
      <c r="E253" s="36">
        <v>325385</v>
      </c>
      <c r="F253" s="1"/>
      <c r="G253" s="1"/>
      <c r="H253" s="3"/>
      <c r="I253" s="2"/>
      <c r="J253" s="3"/>
    </row>
    <row r="254" spans="1:10" x14ac:dyDescent="0.2">
      <c r="A254">
        <v>2015</v>
      </c>
      <c r="B254" s="37">
        <v>336</v>
      </c>
      <c r="C254" s="39" t="s">
        <v>253</v>
      </c>
      <c r="D254" s="40">
        <v>76944</v>
      </c>
      <c r="E254" s="36">
        <v>487350</v>
      </c>
      <c r="F254" s="1"/>
      <c r="G254" s="1"/>
      <c r="H254" s="3"/>
      <c r="I254" s="2"/>
      <c r="J254" s="3"/>
    </row>
    <row r="255" spans="1:10" x14ac:dyDescent="0.2">
      <c r="A255">
        <v>2015</v>
      </c>
      <c r="B255" s="37">
        <v>337</v>
      </c>
      <c r="C255" s="39" t="s">
        <v>254</v>
      </c>
      <c r="D255" s="40">
        <v>479870</v>
      </c>
      <c r="E255" s="36">
        <v>2726128</v>
      </c>
      <c r="F255" s="1"/>
      <c r="G255" s="1"/>
      <c r="H255" s="3"/>
      <c r="I255" s="2"/>
      <c r="J255" s="3"/>
    </row>
    <row r="256" spans="1:10" x14ac:dyDescent="0.2">
      <c r="A256">
        <v>2015</v>
      </c>
      <c r="B256" s="37">
        <v>339</v>
      </c>
      <c r="C256" s="39" t="s">
        <v>255</v>
      </c>
      <c r="D256" s="40">
        <v>10306</v>
      </c>
      <c r="E256" s="36">
        <v>59920</v>
      </c>
      <c r="F256" s="1"/>
      <c r="G256" s="1"/>
      <c r="H256" s="3"/>
      <c r="I256" s="2"/>
      <c r="J256" s="3"/>
    </row>
    <row r="257" spans="1:10" x14ac:dyDescent="0.2">
      <c r="A257">
        <v>2015</v>
      </c>
      <c r="B257" s="37">
        <v>340</v>
      </c>
      <c r="C257" s="39" t="s">
        <v>256</v>
      </c>
      <c r="D257" s="40">
        <v>44886</v>
      </c>
      <c r="E257" s="36">
        <v>257989</v>
      </c>
      <c r="F257" s="1"/>
      <c r="G257" s="1"/>
      <c r="H257" s="3"/>
      <c r="I257" s="2"/>
      <c r="J257" s="3"/>
    </row>
    <row r="258" spans="1:10" x14ac:dyDescent="0.2">
      <c r="A258">
        <v>2015</v>
      </c>
      <c r="B258" s="37">
        <v>351</v>
      </c>
      <c r="C258" s="39" t="s">
        <v>257</v>
      </c>
      <c r="D258" s="40">
        <v>32871</v>
      </c>
      <c r="E258" s="36">
        <v>314154</v>
      </c>
      <c r="F258" s="1"/>
      <c r="G258" s="1"/>
      <c r="H258" s="3"/>
      <c r="I258" s="2"/>
      <c r="J258" s="3"/>
    </row>
    <row r="259" spans="1:10" x14ac:dyDescent="0.2">
      <c r="A259">
        <v>2015</v>
      </c>
      <c r="B259" s="37">
        <v>352</v>
      </c>
      <c r="C259" s="39" t="s">
        <v>258</v>
      </c>
      <c r="D259" s="40">
        <v>98713</v>
      </c>
      <c r="E259" s="36">
        <v>746201</v>
      </c>
      <c r="F259" s="1"/>
      <c r="G259" s="1"/>
      <c r="H259" s="3"/>
      <c r="I259" s="2"/>
      <c r="J259" s="3"/>
    </row>
    <row r="260" spans="1:10" x14ac:dyDescent="0.2">
      <c r="A260">
        <v>2015</v>
      </c>
      <c r="B260" s="37">
        <v>353</v>
      </c>
      <c r="C260" s="39" t="s">
        <v>259</v>
      </c>
      <c r="D260" s="40">
        <v>156733</v>
      </c>
      <c r="E260" s="36">
        <v>1346956</v>
      </c>
      <c r="F260" s="1"/>
      <c r="G260" s="1"/>
      <c r="H260" s="3"/>
      <c r="I260" s="2"/>
      <c r="J260" s="3"/>
    </row>
    <row r="261" spans="1:10" x14ac:dyDescent="0.2">
      <c r="A261">
        <v>2015</v>
      </c>
      <c r="B261" s="35">
        <v>354</v>
      </c>
      <c r="C261" s="39" t="s">
        <v>260</v>
      </c>
      <c r="D261" s="40">
        <v>30795</v>
      </c>
      <c r="E261" s="36">
        <v>276740</v>
      </c>
      <c r="F261" s="1"/>
      <c r="G261" s="3"/>
      <c r="H261" s="2"/>
      <c r="I261" s="3"/>
    </row>
    <row r="262" spans="1:10" x14ac:dyDescent="0.2">
      <c r="A262">
        <v>2015</v>
      </c>
      <c r="B262" s="35">
        <v>355</v>
      </c>
      <c r="C262" s="39" t="s">
        <v>261</v>
      </c>
      <c r="D262" s="40">
        <v>27167</v>
      </c>
      <c r="E262" s="36">
        <v>312102</v>
      </c>
      <c r="F262" s="1"/>
      <c r="G262" s="3"/>
      <c r="H262" s="2"/>
      <c r="I262" s="3"/>
    </row>
    <row r="263" spans="1:10" x14ac:dyDescent="0.2">
      <c r="A263">
        <v>2015</v>
      </c>
      <c r="B263" s="35">
        <v>356</v>
      </c>
      <c r="C263" s="39" t="s">
        <v>262</v>
      </c>
      <c r="D263" s="40">
        <v>63601</v>
      </c>
      <c r="E263" s="36">
        <v>670399</v>
      </c>
      <c r="F263" s="1"/>
      <c r="G263" s="3"/>
      <c r="H263" s="2"/>
      <c r="I263" s="3"/>
    </row>
    <row r="264" spans="1:10" x14ac:dyDescent="0.2">
      <c r="A264">
        <v>2015</v>
      </c>
      <c r="B264" s="35">
        <v>357</v>
      </c>
      <c r="C264" s="39" t="s">
        <v>263</v>
      </c>
      <c r="D264" s="40">
        <v>47513</v>
      </c>
      <c r="E264" s="36">
        <v>285860</v>
      </c>
      <c r="F264" s="1"/>
      <c r="G264" s="3"/>
      <c r="H264" s="2"/>
      <c r="I264" s="3"/>
    </row>
    <row r="265" spans="1:10" x14ac:dyDescent="0.2">
      <c r="A265">
        <v>2015</v>
      </c>
      <c r="B265" s="35">
        <v>358</v>
      </c>
      <c r="C265" s="39" t="s">
        <v>264</v>
      </c>
      <c r="D265" s="40">
        <v>95225</v>
      </c>
      <c r="E265" s="36">
        <v>929991</v>
      </c>
      <c r="F265" s="1"/>
      <c r="G265" s="3"/>
      <c r="H265" s="2"/>
      <c r="I265" s="3"/>
    </row>
    <row r="266" spans="1:10" x14ac:dyDescent="0.2">
      <c r="A266">
        <v>2015</v>
      </c>
      <c r="B266" s="35">
        <v>359</v>
      </c>
      <c r="C266" s="39" t="s">
        <v>265</v>
      </c>
      <c r="D266" s="40">
        <v>49917</v>
      </c>
      <c r="E266" s="36">
        <v>425691</v>
      </c>
      <c r="F266" s="1"/>
      <c r="G266" s="3"/>
      <c r="H266" s="2"/>
      <c r="I266" s="3"/>
    </row>
    <row r="267" spans="1:10" x14ac:dyDescent="0.2">
      <c r="A267">
        <v>2015</v>
      </c>
      <c r="B267" s="35">
        <v>360</v>
      </c>
      <c r="C267" s="39" t="s">
        <v>266</v>
      </c>
      <c r="D267" s="40">
        <v>35868</v>
      </c>
      <c r="E267" s="36">
        <v>287273</v>
      </c>
      <c r="F267" s="1"/>
      <c r="G267" s="3"/>
      <c r="H267" s="2"/>
      <c r="I267" s="3"/>
    </row>
    <row r="268" spans="1:10" x14ac:dyDescent="0.2">
      <c r="A268">
        <v>2015</v>
      </c>
      <c r="B268" s="35">
        <v>361</v>
      </c>
      <c r="C268" s="39" t="s">
        <v>267</v>
      </c>
      <c r="D268" s="40">
        <v>111325</v>
      </c>
      <c r="E268" s="36">
        <v>1151248</v>
      </c>
      <c r="F268" s="1"/>
      <c r="G268" s="3"/>
      <c r="H268" s="2"/>
      <c r="I268" s="3"/>
    </row>
    <row r="269" spans="1:10" x14ac:dyDescent="0.2">
      <c r="A269">
        <v>2015</v>
      </c>
      <c r="B269" s="35">
        <v>362</v>
      </c>
      <c r="C269" s="39" t="s">
        <v>268</v>
      </c>
      <c r="D269" s="40">
        <v>54625</v>
      </c>
      <c r="E269" s="36">
        <v>431393</v>
      </c>
      <c r="F269" s="1"/>
      <c r="G269" s="3"/>
      <c r="H269" s="2"/>
      <c r="I269" s="3"/>
    </row>
    <row r="270" spans="1:10" x14ac:dyDescent="0.2">
      <c r="A270">
        <v>2015</v>
      </c>
      <c r="B270" s="35">
        <v>363</v>
      </c>
      <c r="C270" s="39" t="s">
        <v>269</v>
      </c>
      <c r="D270" s="40">
        <v>53734</v>
      </c>
      <c r="E270" s="36">
        <v>328287</v>
      </c>
      <c r="F270" s="1"/>
      <c r="G270" s="3"/>
      <c r="H270" s="2"/>
      <c r="I270" s="3"/>
    </row>
    <row r="271" spans="1:10" x14ac:dyDescent="0.2">
      <c r="A271">
        <v>2015</v>
      </c>
      <c r="B271" s="35">
        <v>364</v>
      </c>
      <c r="C271" s="39" t="s">
        <v>270</v>
      </c>
      <c r="D271" s="40">
        <v>89438</v>
      </c>
      <c r="E271" s="36">
        <v>588913</v>
      </c>
      <c r="F271" s="1"/>
      <c r="G271" s="3"/>
      <c r="H271" s="2"/>
      <c r="I271" s="3"/>
    </row>
    <row r="272" spans="1:10" x14ac:dyDescent="0.2">
      <c r="A272">
        <v>2015</v>
      </c>
      <c r="B272" s="35">
        <v>365</v>
      </c>
      <c r="C272" s="39" t="s">
        <v>271</v>
      </c>
      <c r="D272" s="40">
        <v>34093</v>
      </c>
      <c r="E272" s="36">
        <v>238731</v>
      </c>
      <c r="F272" s="1"/>
      <c r="G272" s="3"/>
      <c r="H272" s="2"/>
      <c r="I272" s="3"/>
    </row>
    <row r="273" spans="1:9" x14ac:dyDescent="0.2">
      <c r="A273">
        <v>2015</v>
      </c>
      <c r="B273" s="35">
        <v>366</v>
      </c>
      <c r="C273" s="39" t="s">
        <v>272</v>
      </c>
      <c r="D273" s="40">
        <v>73696</v>
      </c>
      <c r="E273" s="36">
        <v>498661</v>
      </c>
      <c r="F273" s="1"/>
      <c r="G273" s="3"/>
      <c r="H273" s="2"/>
      <c r="I273" s="3"/>
    </row>
    <row r="274" spans="1:9" x14ac:dyDescent="0.2">
      <c r="A274">
        <v>2015</v>
      </c>
      <c r="B274" s="35">
        <v>367</v>
      </c>
      <c r="C274" s="39" t="s">
        <v>273</v>
      </c>
      <c r="D274" s="40">
        <v>690145</v>
      </c>
      <c r="E274" s="36">
        <v>3916184</v>
      </c>
      <c r="F274" s="1"/>
      <c r="G274" s="3"/>
      <c r="H274" s="2"/>
      <c r="I274" s="3"/>
    </row>
    <row r="275" spans="1:9" x14ac:dyDescent="0.2">
      <c r="A275">
        <v>2015</v>
      </c>
      <c r="B275" s="35">
        <v>368</v>
      </c>
      <c r="C275" s="39" t="s">
        <v>274</v>
      </c>
      <c r="D275" s="40">
        <v>141155</v>
      </c>
      <c r="E275" s="36">
        <v>907324</v>
      </c>
      <c r="F275" s="1"/>
      <c r="G275" s="3"/>
      <c r="H275" s="2"/>
      <c r="I275" s="3"/>
    </row>
    <row r="276" spans="1:9" x14ac:dyDescent="0.2">
      <c r="A276">
        <v>2015</v>
      </c>
      <c r="B276" s="35">
        <v>369</v>
      </c>
      <c r="C276" s="39" t="s">
        <v>275</v>
      </c>
      <c r="D276" s="40">
        <v>26366</v>
      </c>
      <c r="E276" s="36">
        <v>160598</v>
      </c>
      <c r="F276" s="1"/>
      <c r="G276" s="3"/>
      <c r="H276" s="2"/>
      <c r="I276" s="3"/>
    </row>
    <row r="277" spans="1:9" x14ac:dyDescent="0.2">
      <c r="A277">
        <v>2015</v>
      </c>
      <c r="B277" s="35">
        <v>370</v>
      </c>
      <c r="C277" s="39" t="s">
        <v>276</v>
      </c>
      <c r="D277" s="40">
        <v>21315</v>
      </c>
      <c r="E277" s="36">
        <v>124315</v>
      </c>
      <c r="F277" s="1"/>
      <c r="G277" s="3"/>
      <c r="H277" s="2"/>
      <c r="I277" s="3"/>
    </row>
    <row r="278" spans="1:9" x14ac:dyDescent="0.2">
      <c r="A278">
        <v>2015</v>
      </c>
      <c r="B278" s="35">
        <v>371</v>
      </c>
      <c r="C278" s="39" t="s">
        <v>277</v>
      </c>
      <c r="D278" s="40">
        <v>95698</v>
      </c>
      <c r="E278" s="36">
        <v>775971</v>
      </c>
      <c r="F278" s="1"/>
      <c r="G278" s="3"/>
      <c r="H278" s="2"/>
      <c r="I278" s="3"/>
    </row>
    <row r="279" spans="1:9" x14ac:dyDescent="0.2">
      <c r="A279">
        <v>2015</v>
      </c>
      <c r="B279" s="35">
        <v>372</v>
      </c>
      <c r="C279" s="39" t="s">
        <v>278</v>
      </c>
      <c r="D279" s="40">
        <v>20971</v>
      </c>
      <c r="E279" s="36">
        <v>138212</v>
      </c>
      <c r="F279" s="1"/>
      <c r="G279" s="3"/>
      <c r="H279" s="2"/>
      <c r="I279" s="3"/>
    </row>
    <row r="280" spans="1:9" x14ac:dyDescent="0.2">
      <c r="A280">
        <v>2015</v>
      </c>
      <c r="B280" s="35">
        <v>373</v>
      </c>
      <c r="C280" s="39" t="s">
        <v>279</v>
      </c>
      <c r="D280" s="40">
        <v>53195</v>
      </c>
      <c r="E280" s="36">
        <v>462321</v>
      </c>
      <c r="F280" s="1"/>
      <c r="G280" s="3"/>
      <c r="H280" s="2"/>
      <c r="I280" s="3"/>
    </row>
    <row r="281" spans="1:9" x14ac:dyDescent="0.2">
      <c r="A281">
        <v>2015</v>
      </c>
      <c r="B281" s="35">
        <v>374</v>
      </c>
      <c r="C281" s="39" t="s">
        <v>280</v>
      </c>
      <c r="D281" s="40">
        <v>14735</v>
      </c>
      <c r="E281" s="36">
        <v>119854</v>
      </c>
      <c r="F281" s="1"/>
      <c r="G281" s="3"/>
      <c r="H281" s="2"/>
      <c r="I281" s="3"/>
    </row>
    <row r="282" spans="1:9" x14ac:dyDescent="0.2">
      <c r="A282">
        <v>2015</v>
      </c>
      <c r="B282" s="35">
        <v>375</v>
      </c>
      <c r="C282" s="39" t="s">
        <v>281</v>
      </c>
      <c r="D282" s="40">
        <v>167792</v>
      </c>
      <c r="E282" s="36">
        <v>1333055</v>
      </c>
      <c r="F282" s="1"/>
      <c r="G282" s="3"/>
      <c r="H282" s="2"/>
      <c r="I282" s="3"/>
    </row>
    <row r="283" spans="1:9" x14ac:dyDescent="0.2">
      <c r="A283">
        <v>2015</v>
      </c>
      <c r="B283" s="35">
        <v>376</v>
      </c>
      <c r="C283" s="39" t="s">
        <v>282</v>
      </c>
      <c r="D283" s="40">
        <v>12213</v>
      </c>
      <c r="E283" s="36">
        <v>52457</v>
      </c>
      <c r="F283" s="1"/>
      <c r="G283" s="3"/>
      <c r="H283" s="2"/>
      <c r="I283" s="3"/>
    </row>
    <row r="284" spans="1:9" x14ac:dyDescent="0.2">
      <c r="A284">
        <v>2015</v>
      </c>
      <c r="B284" s="35">
        <v>378</v>
      </c>
      <c r="C284" s="39" t="s">
        <v>283</v>
      </c>
      <c r="D284" s="40">
        <v>327127</v>
      </c>
      <c r="E284" s="36">
        <v>2283848</v>
      </c>
      <c r="F284" s="1"/>
      <c r="G284" s="3"/>
      <c r="H284" s="2"/>
      <c r="I284" s="3"/>
    </row>
    <row r="285" spans="1:9" x14ac:dyDescent="0.2">
      <c r="A285">
        <v>2015</v>
      </c>
      <c r="B285" s="35">
        <v>379</v>
      </c>
      <c r="C285" s="39" t="s">
        <v>284</v>
      </c>
      <c r="D285" s="40">
        <v>122698</v>
      </c>
      <c r="E285" s="36">
        <v>926503</v>
      </c>
      <c r="F285" s="1"/>
      <c r="G285" s="3"/>
      <c r="H285" s="2"/>
      <c r="I285" s="3"/>
    </row>
    <row r="286" spans="1:9" x14ac:dyDescent="0.2">
      <c r="A286">
        <v>2015</v>
      </c>
      <c r="B286" s="35">
        <v>380</v>
      </c>
      <c r="C286" s="39" t="s">
        <v>285</v>
      </c>
      <c r="D286" s="40">
        <v>32777</v>
      </c>
      <c r="E286" s="36">
        <v>250999</v>
      </c>
      <c r="F286" s="1"/>
      <c r="G286" s="3"/>
      <c r="H286" s="2"/>
      <c r="I286" s="3"/>
    </row>
    <row r="287" spans="1:9" x14ac:dyDescent="0.2">
      <c r="A287">
        <v>2015</v>
      </c>
      <c r="B287" s="35">
        <v>381</v>
      </c>
      <c r="C287" s="39" t="s">
        <v>286</v>
      </c>
      <c r="D287" s="40">
        <v>16264</v>
      </c>
      <c r="E287" s="36">
        <v>107220</v>
      </c>
      <c r="F287" s="1"/>
      <c r="G287" s="3"/>
      <c r="H287" s="2"/>
      <c r="I287" s="3"/>
    </row>
    <row r="288" spans="1:9" x14ac:dyDescent="0.2">
      <c r="A288">
        <v>2015</v>
      </c>
      <c r="B288" s="35">
        <v>383</v>
      </c>
      <c r="C288" s="39" t="s">
        <v>287</v>
      </c>
      <c r="D288" s="40">
        <v>17986</v>
      </c>
      <c r="E288" s="36">
        <v>147604</v>
      </c>
      <c r="F288" s="1"/>
      <c r="G288" s="3"/>
      <c r="H288" s="2"/>
      <c r="I288" s="3"/>
    </row>
    <row r="289" spans="1:9" x14ac:dyDescent="0.2">
      <c r="A289">
        <v>2015</v>
      </c>
      <c r="B289" s="35">
        <v>384</v>
      </c>
      <c r="C289" s="39" t="s">
        <v>288</v>
      </c>
      <c r="D289" s="40">
        <v>10860</v>
      </c>
      <c r="E289" s="36">
        <v>168581</v>
      </c>
      <c r="F289" s="1"/>
      <c r="G289" s="3"/>
      <c r="H289" s="2"/>
      <c r="I289" s="3"/>
    </row>
    <row r="290" spans="1:9" x14ac:dyDescent="0.2">
      <c r="A290">
        <v>2015</v>
      </c>
      <c r="B290" s="35">
        <v>386</v>
      </c>
      <c r="C290" s="39" t="s">
        <v>289</v>
      </c>
      <c r="D290" s="40">
        <v>6958</v>
      </c>
      <c r="E290" s="36">
        <v>54379</v>
      </c>
      <c r="F290" s="1"/>
      <c r="G290" s="3"/>
      <c r="H290" s="2"/>
      <c r="I290" s="3"/>
    </row>
    <row r="291" spans="1:9" x14ac:dyDescent="0.2">
      <c r="A291">
        <v>2015</v>
      </c>
      <c r="B291" s="35">
        <v>388</v>
      </c>
      <c r="C291" s="39" t="s">
        <v>290</v>
      </c>
      <c r="D291" s="40">
        <v>186285</v>
      </c>
      <c r="E291" s="36">
        <v>1122021</v>
      </c>
      <c r="F291" s="1"/>
      <c r="G291" s="3"/>
      <c r="H291" s="2"/>
      <c r="I291" s="3"/>
    </row>
    <row r="292" spans="1:9" x14ac:dyDescent="0.2">
      <c r="A292">
        <v>2015</v>
      </c>
      <c r="B292" s="35">
        <v>389</v>
      </c>
      <c r="C292" s="39" t="s">
        <v>291</v>
      </c>
      <c r="D292" s="40">
        <v>14494</v>
      </c>
      <c r="E292" s="36">
        <v>113979</v>
      </c>
      <c r="F292" s="1"/>
      <c r="G292" s="3"/>
      <c r="H292" s="2"/>
      <c r="I292" s="3"/>
    </row>
    <row r="293" spans="1:9" x14ac:dyDescent="0.2">
      <c r="A293">
        <v>2015</v>
      </c>
      <c r="B293" s="35">
        <v>390</v>
      </c>
      <c r="C293" s="39" t="s">
        <v>292</v>
      </c>
      <c r="D293" s="40">
        <v>38353</v>
      </c>
      <c r="E293" s="36">
        <v>273850</v>
      </c>
      <c r="F293" s="1"/>
      <c r="G293" s="3"/>
      <c r="H293" s="2"/>
      <c r="I293" s="3"/>
    </row>
    <row r="294" spans="1:9" x14ac:dyDescent="0.2">
      <c r="A294">
        <v>2015</v>
      </c>
      <c r="B294" s="35">
        <v>391</v>
      </c>
      <c r="C294" s="39" t="s">
        <v>293</v>
      </c>
      <c r="D294" s="40">
        <v>74525</v>
      </c>
      <c r="E294" s="36">
        <v>476803</v>
      </c>
      <c r="F294" s="1"/>
      <c r="G294" s="3"/>
      <c r="H294" s="2"/>
      <c r="I294" s="3"/>
    </row>
    <row r="295" spans="1:9" x14ac:dyDescent="0.2">
      <c r="A295">
        <v>2015</v>
      </c>
      <c r="B295" s="35">
        <v>392</v>
      </c>
      <c r="C295" s="39" t="s">
        <v>294</v>
      </c>
      <c r="D295" s="40">
        <v>103816</v>
      </c>
      <c r="E295" s="36">
        <v>742487</v>
      </c>
      <c r="F295" s="1"/>
      <c r="G295" s="3"/>
      <c r="H295" s="2"/>
      <c r="I295" s="3"/>
    </row>
    <row r="296" spans="1:9" x14ac:dyDescent="0.2">
      <c r="A296">
        <v>2015</v>
      </c>
      <c r="B296" s="35">
        <v>393</v>
      </c>
      <c r="C296" s="39" t="s">
        <v>295</v>
      </c>
      <c r="D296" s="40">
        <v>17920</v>
      </c>
      <c r="E296" s="36">
        <v>181390</v>
      </c>
      <c r="F296" s="1"/>
      <c r="G296" s="3"/>
      <c r="H296" s="2"/>
      <c r="I296" s="3"/>
    </row>
    <row r="297" spans="1:9" x14ac:dyDescent="0.2">
      <c r="A297">
        <v>2015</v>
      </c>
      <c r="B297" s="35">
        <v>394</v>
      </c>
      <c r="C297" s="39" t="s">
        <v>296</v>
      </c>
      <c r="D297" s="40">
        <v>325418</v>
      </c>
      <c r="E297" s="36">
        <v>2543793</v>
      </c>
      <c r="F297" s="1"/>
      <c r="G297" s="3"/>
      <c r="H297" s="2"/>
      <c r="I297" s="3"/>
    </row>
    <row r="298" spans="1:9" x14ac:dyDescent="0.2">
      <c r="A298">
        <v>2015</v>
      </c>
      <c r="B298" s="35">
        <v>395</v>
      </c>
      <c r="C298" s="39" t="s">
        <v>297</v>
      </c>
      <c r="D298" s="40">
        <v>24838</v>
      </c>
      <c r="E298" s="36">
        <v>176124</v>
      </c>
      <c r="F298" s="1"/>
      <c r="G298" s="3"/>
      <c r="H298" s="2"/>
      <c r="I298" s="3"/>
    </row>
    <row r="299" spans="1:9" x14ac:dyDescent="0.2">
      <c r="A299">
        <v>2015</v>
      </c>
      <c r="B299" s="35">
        <v>397</v>
      </c>
      <c r="C299" s="39" t="s">
        <v>298</v>
      </c>
      <c r="D299" s="40">
        <v>35109</v>
      </c>
      <c r="E299" s="36">
        <v>311827</v>
      </c>
      <c r="F299" s="1"/>
      <c r="G299" s="3"/>
      <c r="H299" s="2"/>
      <c r="I299" s="3"/>
    </row>
    <row r="300" spans="1:9" x14ac:dyDescent="0.2">
      <c r="A300">
        <v>2015</v>
      </c>
      <c r="B300" s="35">
        <v>398</v>
      </c>
      <c r="C300" s="39" t="s">
        <v>299</v>
      </c>
      <c r="D300" s="40">
        <v>201903</v>
      </c>
      <c r="E300" s="36">
        <v>1133859</v>
      </c>
      <c r="F300" s="1"/>
      <c r="G300" s="3"/>
      <c r="H300" s="2"/>
      <c r="I300" s="3"/>
    </row>
    <row r="301" spans="1:9" x14ac:dyDescent="0.2">
      <c r="A301">
        <v>2015</v>
      </c>
      <c r="B301" s="35">
        <v>399</v>
      </c>
      <c r="C301" s="39" t="s">
        <v>300</v>
      </c>
      <c r="D301" s="40">
        <v>217588</v>
      </c>
      <c r="E301" s="36">
        <v>1402486</v>
      </c>
      <c r="F301" s="1"/>
      <c r="G301" s="3"/>
      <c r="H301" s="2"/>
      <c r="I301" s="3"/>
    </row>
    <row r="302" spans="1:9" x14ac:dyDescent="0.2">
      <c r="A302">
        <v>2015</v>
      </c>
      <c r="B302" s="35">
        <v>400</v>
      </c>
      <c r="C302" s="39" t="s">
        <v>301</v>
      </c>
      <c r="D302" s="40">
        <v>22787</v>
      </c>
      <c r="E302" s="36">
        <v>163124</v>
      </c>
      <c r="F302" s="1"/>
      <c r="G302" s="3"/>
      <c r="H302" s="2"/>
      <c r="I302" s="3"/>
    </row>
    <row r="303" spans="1:9" x14ac:dyDescent="0.2">
      <c r="A303">
        <v>2015</v>
      </c>
      <c r="B303" s="35">
        <v>401</v>
      </c>
      <c r="C303" s="39" t="s">
        <v>302</v>
      </c>
      <c r="D303" s="40">
        <v>14646</v>
      </c>
      <c r="E303" s="36">
        <v>173012</v>
      </c>
      <c r="F303" s="1"/>
      <c r="G303" s="3"/>
      <c r="H303" s="2"/>
      <c r="I303" s="3"/>
    </row>
    <row r="304" spans="1:9" x14ac:dyDescent="0.2">
      <c r="A304">
        <v>2015</v>
      </c>
      <c r="B304" s="35">
        <v>402</v>
      </c>
      <c r="C304" s="39" t="s">
        <v>303</v>
      </c>
      <c r="D304" s="40">
        <v>71318</v>
      </c>
      <c r="E304" s="36">
        <v>448613</v>
      </c>
      <c r="F304" s="1"/>
      <c r="G304" s="3"/>
      <c r="H304" s="2"/>
      <c r="I304" s="3"/>
    </row>
    <row r="305" spans="1:9" x14ac:dyDescent="0.2">
      <c r="A305">
        <v>2015</v>
      </c>
      <c r="B305" s="35">
        <v>403</v>
      </c>
      <c r="C305" s="39" t="s">
        <v>304</v>
      </c>
      <c r="D305" s="40">
        <v>75705</v>
      </c>
      <c r="E305" s="36">
        <v>622572</v>
      </c>
      <c r="F305" s="1"/>
      <c r="G305" s="3"/>
      <c r="H305" s="2"/>
      <c r="I305" s="3"/>
    </row>
    <row r="306" spans="1:9" x14ac:dyDescent="0.2">
      <c r="A306">
        <v>2015</v>
      </c>
      <c r="B306" s="35">
        <v>404</v>
      </c>
      <c r="C306" s="39" t="s">
        <v>305</v>
      </c>
      <c r="D306" s="40">
        <v>65310</v>
      </c>
      <c r="E306" s="36">
        <v>627988</v>
      </c>
      <c r="F306" s="1"/>
      <c r="G306" s="3"/>
      <c r="H306" s="2"/>
      <c r="I306" s="3"/>
    </row>
    <row r="307" spans="1:9" x14ac:dyDescent="0.2">
      <c r="A307">
        <v>2015</v>
      </c>
      <c r="B307" s="35">
        <v>405</v>
      </c>
      <c r="C307" s="39" t="s">
        <v>306</v>
      </c>
      <c r="D307" s="40">
        <v>92089</v>
      </c>
      <c r="E307" s="36">
        <v>808394</v>
      </c>
      <c r="F307" s="1"/>
      <c r="G307" s="3"/>
      <c r="H307" s="2"/>
      <c r="I307" s="3"/>
    </row>
    <row r="308" spans="1:9" x14ac:dyDescent="0.2">
      <c r="A308">
        <v>2015</v>
      </c>
      <c r="B308" s="35">
        <v>406</v>
      </c>
      <c r="C308" s="39" t="s">
        <v>307</v>
      </c>
      <c r="D308" s="40">
        <v>7436</v>
      </c>
      <c r="E308" s="36">
        <v>56497</v>
      </c>
      <c r="F308" s="1"/>
      <c r="G308" s="3"/>
      <c r="H308" s="2"/>
      <c r="I308" s="3"/>
    </row>
    <row r="309" spans="1:9" x14ac:dyDescent="0.2">
      <c r="A309">
        <v>2015</v>
      </c>
      <c r="B309" s="35">
        <v>407</v>
      </c>
      <c r="C309" s="39" t="s">
        <v>308</v>
      </c>
      <c r="D309" s="40">
        <v>4815</v>
      </c>
      <c r="E309" s="36">
        <v>40797</v>
      </c>
      <c r="F309" s="1"/>
      <c r="G309" s="3"/>
      <c r="H309" s="2"/>
      <c r="I309" s="3"/>
    </row>
    <row r="310" spans="1:9" x14ac:dyDescent="0.2">
      <c r="A310">
        <v>2015</v>
      </c>
      <c r="B310" s="35">
        <v>408</v>
      </c>
      <c r="C310" s="39" t="s">
        <v>309</v>
      </c>
      <c r="D310" s="40">
        <v>45752</v>
      </c>
      <c r="E310" s="36">
        <v>367956</v>
      </c>
      <c r="F310" s="1"/>
      <c r="G310" s="3"/>
      <c r="H310" s="2"/>
      <c r="I310" s="3"/>
    </row>
    <row r="311" spans="1:9" x14ac:dyDescent="0.2">
      <c r="A311">
        <v>2015</v>
      </c>
      <c r="B311" s="35">
        <v>409</v>
      </c>
      <c r="C311" s="39" t="s">
        <v>310</v>
      </c>
      <c r="D311" s="40">
        <v>25681</v>
      </c>
      <c r="E311" s="36">
        <v>143413</v>
      </c>
      <c r="F311" s="1"/>
      <c r="G311" s="3"/>
      <c r="H311" s="2"/>
      <c r="I311" s="3"/>
    </row>
    <row r="312" spans="1:9" x14ac:dyDescent="0.2">
      <c r="A312">
        <v>2015</v>
      </c>
      <c r="B312" s="35">
        <v>410</v>
      </c>
      <c r="C312" s="39" t="s">
        <v>311</v>
      </c>
      <c r="D312" s="40">
        <v>6380</v>
      </c>
      <c r="E312" s="36">
        <v>70492</v>
      </c>
      <c r="F312" s="1"/>
      <c r="G312" s="3"/>
      <c r="H312" s="2"/>
      <c r="I312" s="3"/>
    </row>
    <row r="313" spans="1:9" x14ac:dyDescent="0.2">
      <c r="A313">
        <v>2015</v>
      </c>
      <c r="B313" s="35">
        <v>412</v>
      </c>
      <c r="C313" s="39" t="s">
        <v>312</v>
      </c>
      <c r="D313" s="40">
        <v>75853</v>
      </c>
      <c r="E313" s="36">
        <v>440141</v>
      </c>
      <c r="F313" s="1"/>
      <c r="G313" s="3"/>
      <c r="H313" s="2"/>
      <c r="I313" s="3"/>
    </row>
    <row r="314" spans="1:9" x14ac:dyDescent="0.2">
      <c r="A314">
        <v>2015</v>
      </c>
      <c r="B314" s="35">
        <v>413</v>
      </c>
      <c r="C314" s="39" t="s">
        <v>313</v>
      </c>
      <c r="D314" s="40">
        <v>34382</v>
      </c>
      <c r="E314" s="36">
        <v>277727</v>
      </c>
      <c r="F314" s="1"/>
      <c r="G314" s="3"/>
      <c r="H314" s="2"/>
      <c r="I314" s="3"/>
    </row>
    <row r="315" spans="1:9" x14ac:dyDescent="0.2">
      <c r="A315">
        <v>2015</v>
      </c>
      <c r="B315" s="35">
        <v>414</v>
      </c>
      <c r="C315" s="39" t="s">
        <v>314</v>
      </c>
      <c r="D315" s="40">
        <v>8221</v>
      </c>
      <c r="E315" s="36">
        <v>38112</v>
      </c>
      <c r="F315" s="1"/>
      <c r="G315" s="3"/>
      <c r="H315" s="2"/>
      <c r="I315" s="3"/>
    </row>
    <row r="316" spans="1:9" x14ac:dyDescent="0.2">
      <c r="A316">
        <v>2015</v>
      </c>
      <c r="B316" s="35">
        <v>415</v>
      </c>
      <c r="C316" s="39" t="s">
        <v>315</v>
      </c>
      <c r="D316" s="40">
        <v>7507</v>
      </c>
      <c r="E316" s="36">
        <v>37924</v>
      </c>
      <c r="F316" s="1"/>
      <c r="G316" s="3"/>
      <c r="H316" s="2"/>
      <c r="I316" s="3"/>
    </row>
    <row r="317" spans="1:9" x14ac:dyDescent="0.2">
      <c r="A317">
        <v>2015</v>
      </c>
      <c r="B317" s="35">
        <v>416</v>
      </c>
      <c r="C317" s="39" t="s">
        <v>316</v>
      </c>
      <c r="D317" s="40">
        <v>17235</v>
      </c>
      <c r="E317" s="36">
        <v>150761</v>
      </c>
      <c r="F317" s="1"/>
      <c r="G317" s="3"/>
      <c r="H317" s="2"/>
      <c r="I317" s="3"/>
    </row>
    <row r="318" spans="1:9" x14ac:dyDescent="0.2">
      <c r="A318">
        <v>2015</v>
      </c>
      <c r="B318" s="35">
        <v>417</v>
      </c>
      <c r="C318" s="39" t="s">
        <v>317</v>
      </c>
      <c r="D318" s="40">
        <v>38308</v>
      </c>
      <c r="E318" s="36">
        <v>254920</v>
      </c>
      <c r="F318" s="1"/>
      <c r="G318" s="3"/>
      <c r="H318" s="2"/>
      <c r="I318" s="3"/>
    </row>
    <row r="319" spans="1:9" x14ac:dyDescent="0.2">
      <c r="A319">
        <v>2015</v>
      </c>
      <c r="B319" s="35">
        <v>418</v>
      </c>
      <c r="C319" s="39" t="s">
        <v>318</v>
      </c>
      <c r="D319" s="40">
        <v>105083</v>
      </c>
      <c r="E319" s="36">
        <v>779085</v>
      </c>
      <c r="F319" s="1"/>
      <c r="G319" s="3"/>
      <c r="H319" s="2"/>
      <c r="I319" s="3"/>
    </row>
    <row r="320" spans="1:9" x14ac:dyDescent="0.2">
      <c r="A320">
        <v>2015</v>
      </c>
      <c r="B320" s="35">
        <v>419</v>
      </c>
      <c r="C320" s="39" t="s">
        <v>319</v>
      </c>
      <c r="D320" s="40">
        <v>56371</v>
      </c>
      <c r="E320" s="36">
        <v>369629</v>
      </c>
      <c r="F320" s="1"/>
      <c r="G320" s="3"/>
      <c r="H320" s="2"/>
      <c r="I320" s="3"/>
    </row>
    <row r="321" spans="1:9" x14ac:dyDescent="0.2">
      <c r="A321">
        <v>2015</v>
      </c>
      <c r="B321" s="35">
        <v>420</v>
      </c>
      <c r="C321" s="39" t="s">
        <v>320</v>
      </c>
      <c r="D321" s="40">
        <v>116757</v>
      </c>
      <c r="E321" s="36">
        <v>861256</v>
      </c>
      <c r="F321" s="1"/>
      <c r="G321" s="3"/>
      <c r="H321" s="2"/>
      <c r="I321" s="3"/>
    </row>
    <row r="322" spans="1:9" x14ac:dyDescent="0.2">
      <c r="A322">
        <v>2015</v>
      </c>
      <c r="B322" s="35">
        <v>421</v>
      </c>
      <c r="C322" s="39" t="s">
        <v>321</v>
      </c>
      <c r="D322" s="40">
        <v>190227</v>
      </c>
      <c r="E322" s="36">
        <v>1186208</v>
      </c>
      <c r="F322" s="1"/>
      <c r="G322" s="3"/>
      <c r="H322" s="2"/>
      <c r="I322" s="3"/>
    </row>
    <row r="323" spans="1:9" x14ac:dyDescent="0.2">
      <c r="A323">
        <v>2015</v>
      </c>
      <c r="B323" s="35">
        <v>422</v>
      </c>
      <c r="C323" s="39" t="s">
        <v>322</v>
      </c>
      <c r="D323" s="40">
        <v>19255</v>
      </c>
      <c r="E323" s="36">
        <v>107590</v>
      </c>
      <c r="F323" s="1"/>
      <c r="G323" s="3"/>
      <c r="H323" s="2"/>
      <c r="I323" s="3"/>
    </row>
    <row r="324" spans="1:9" x14ac:dyDescent="0.2">
      <c r="A324">
        <v>2015</v>
      </c>
      <c r="B324" s="35">
        <v>423</v>
      </c>
      <c r="C324" s="39" t="s">
        <v>323</v>
      </c>
      <c r="D324" s="40">
        <v>26852</v>
      </c>
      <c r="E324" s="36">
        <v>198393</v>
      </c>
      <c r="F324" s="1"/>
      <c r="G324" s="3"/>
      <c r="H324" s="2"/>
      <c r="I324" s="3"/>
    </row>
    <row r="325" spans="1:9" x14ac:dyDescent="0.2">
      <c r="A325">
        <v>2015</v>
      </c>
      <c r="B325" s="35">
        <v>424</v>
      </c>
      <c r="C325" s="39" t="s">
        <v>324</v>
      </c>
      <c r="D325" s="40">
        <v>61868</v>
      </c>
      <c r="E325" s="36">
        <v>519000</v>
      </c>
      <c r="F325" s="1"/>
      <c r="G325" s="3"/>
      <c r="H325" s="2"/>
      <c r="I325" s="3"/>
    </row>
    <row r="326" spans="1:9" x14ac:dyDescent="0.2">
      <c r="A326">
        <v>2015</v>
      </c>
      <c r="B326" s="35">
        <v>425</v>
      </c>
      <c r="C326" s="39" t="s">
        <v>325</v>
      </c>
      <c r="D326" s="40">
        <v>472586</v>
      </c>
      <c r="E326" s="36">
        <v>2630245</v>
      </c>
      <c r="F326" s="1"/>
      <c r="G326" s="3"/>
      <c r="H326" s="2"/>
      <c r="I326" s="3"/>
    </row>
    <row r="327" spans="1:9" x14ac:dyDescent="0.2">
      <c r="A327">
        <v>2015</v>
      </c>
      <c r="B327" s="35">
        <v>426</v>
      </c>
      <c r="C327" s="39" t="s">
        <v>326</v>
      </c>
      <c r="D327" s="40">
        <v>123418</v>
      </c>
      <c r="E327" s="36">
        <v>976142</v>
      </c>
      <c r="F327" s="1"/>
      <c r="G327" s="3"/>
      <c r="H327" s="2"/>
      <c r="I327" s="3"/>
    </row>
    <row r="328" spans="1:9" x14ac:dyDescent="0.2">
      <c r="A328">
        <v>2015</v>
      </c>
      <c r="B328" s="35">
        <v>427</v>
      </c>
      <c r="C328" s="39" t="s">
        <v>327</v>
      </c>
      <c r="D328" s="40">
        <v>149068</v>
      </c>
      <c r="E328" s="36">
        <v>868999</v>
      </c>
      <c r="F328" s="1"/>
      <c r="G328" s="3"/>
      <c r="H328" s="2"/>
      <c r="I328" s="3"/>
    </row>
    <row r="329" spans="1:9" x14ac:dyDescent="0.2">
      <c r="A329">
        <v>2015</v>
      </c>
      <c r="B329" s="35">
        <v>428</v>
      </c>
      <c r="C329" s="39" t="s">
        <v>328</v>
      </c>
      <c r="D329" s="40">
        <v>13350</v>
      </c>
      <c r="E329" s="36">
        <v>96447</v>
      </c>
      <c r="F329" s="1"/>
      <c r="G329" s="3"/>
      <c r="H329" s="2"/>
      <c r="I329" s="3"/>
    </row>
    <row r="330" spans="1:9" x14ac:dyDescent="0.2">
      <c r="A330">
        <v>2015</v>
      </c>
      <c r="B330" s="35">
        <v>429</v>
      </c>
      <c r="C330" s="39" t="s">
        <v>329</v>
      </c>
      <c r="D330" s="40">
        <v>24258</v>
      </c>
      <c r="E330" s="36">
        <v>207774</v>
      </c>
      <c r="F330" s="1"/>
      <c r="G330" s="3"/>
      <c r="H330" s="2"/>
      <c r="I330" s="3"/>
    </row>
    <row r="331" spans="1:9" x14ac:dyDescent="0.2">
      <c r="A331">
        <v>2015</v>
      </c>
      <c r="B331" s="35">
        <v>430</v>
      </c>
      <c r="C331" s="39" t="s">
        <v>330</v>
      </c>
      <c r="D331" s="40">
        <v>126260</v>
      </c>
      <c r="E331" s="36">
        <v>1124045</v>
      </c>
      <c r="F331" s="1"/>
      <c r="G331" s="3"/>
      <c r="H331" s="2"/>
      <c r="I331" s="3"/>
    </row>
    <row r="332" spans="1:9" x14ac:dyDescent="0.2">
      <c r="A332">
        <v>2015</v>
      </c>
      <c r="B332" s="35">
        <v>431</v>
      </c>
      <c r="C332" s="39" t="s">
        <v>331</v>
      </c>
      <c r="D332" s="40">
        <v>21924</v>
      </c>
      <c r="E332" s="36">
        <v>166172</v>
      </c>
      <c r="F332" s="1"/>
      <c r="G332" s="3"/>
      <c r="H332" s="2"/>
      <c r="I332" s="3"/>
    </row>
    <row r="333" spans="1:9" x14ac:dyDescent="0.2">
      <c r="A333">
        <v>2015</v>
      </c>
      <c r="B333" s="35">
        <v>432</v>
      </c>
      <c r="C333" s="39" t="s">
        <v>332</v>
      </c>
      <c r="D333" s="40">
        <v>15371</v>
      </c>
      <c r="E333" s="36">
        <v>173398</v>
      </c>
      <c r="F333" s="1"/>
      <c r="G333" s="3"/>
      <c r="H333" s="2"/>
      <c r="I333" s="3"/>
    </row>
    <row r="334" spans="1:9" x14ac:dyDescent="0.2">
      <c r="A334">
        <v>2015</v>
      </c>
      <c r="B334" s="35">
        <v>433</v>
      </c>
      <c r="C334" s="39" t="s">
        <v>333</v>
      </c>
      <c r="D334" s="40">
        <v>25242</v>
      </c>
      <c r="E334" s="36">
        <v>190274</v>
      </c>
      <c r="F334" s="1"/>
      <c r="G334" s="3"/>
      <c r="H334" s="2"/>
      <c r="I334" s="3"/>
    </row>
    <row r="335" spans="1:9" x14ac:dyDescent="0.2">
      <c r="A335">
        <v>2015</v>
      </c>
      <c r="B335" s="35">
        <v>434</v>
      </c>
      <c r="C335" s="39" t="s">
        <v>334</v>
      </c>
      <c r="D335" s="40">
        <v>27433</v>
      </c>
      <c r="E335" s="36">
        <v>178090</v>
      </c>
      <c r="F335" s="1"/>
      <c r="G335" s="3"/>
      <c r="H335" s="2"/>
      <c r="I335" s="3"/>
    </row>
    <row r="336" spans="1:9" x14ac:dyDescent="0.2">
      <c r="A336">
        <v>2015</v>
      </c>
      <c r="B336" s="35">
        <v>435</v>
      </c>
      <c r="C336" s="39" t="s">
        <v>335</v>
      </c>
      <c r="D336" s="40">
        <v>8441</v>
      </c>
      <c r="E336" s="36">
        <v>161473</v>
      </c>
      <c r="F336" s="1"/>
      <c r="G336" s="3"/>
      <c r="H336" s="2"/>
      <c r="I336" s="3"/>
    </row>
    <row r="337" spans="1:9" x14ac:dyDescent="0.2">
      <c r="A337">
        <v>2015</v>
      </c>
      <c r="B337" s="35">
        <v>436</v>
      </c>
      <c r="C337" s="39" t="s">
        <v>336</v>
      </c>
      <c r="D337" s="40">
        <v>23800</v>
      </c>
      <c r="E337" s="36">
        <v>142194</v>
      </c>
      <c r="F337" s="1"/>
      <c r="G337" s="3"/>
      <c r="H337" s="2"/>
      <c r="I337" s="3"/>
    </row>
    <row r="338" spans="1:9" x14ac:dyDescent="0.2">
      <c r="A338">
        <v>2015</v>
      </c>
      <c r="B338" s="35">
        <v>437</v>
      </c>
      <c r="C338" s="39" t="s">
        <v>337</v>
      </c>
      <c r="D338" s="40">
        <v>42888</v>
      </c>
      <c r="E338" s="36">
        <v>424734</v>
      </c>
      <c r="F338" s="1"/>
      <c r="G338" s="3"/>
      <c r="H338" s="2"/>
      <c r="I338" s="3"/>
    </row>
    <row r="339" spans="1:9" x14ac:dyDescent="0.2">
      <c r="A339">
        <v>2015</v>
      </c>
      <c r="B339" s="35">
        <v>438</v>
      </c>
      <c r="C339" s="39" t="s">
        <v>338</v>
      </c>
      <c r="D339" s="40">
        <v>24357</v>
      </c>
      <c r="E339" s="36">
        <v>181948</v>
      </c>
      <c r="F339" s="1"/>
      <c r="G339" s="3"/>
      <c r="H339" s="2"/>
      <c r="I339" s="3"/>
    </row>
    <row r="340" spans="1:9" x14ac:dyDescent="0.2">
      <c r="A340">
        <v>2015</v>
      </c>
      <c r="B340" s="35">
        <v>439</v>
      </c>
      <c r="C340" s="39" t="s">
        <v>339</v>
      </c>
      <c r="D340" s="40">
        <v>61992</v>
      </c>
      <c r="E340" s="36">
        <v>493366</v>
      </c>
      <c r="F340" s="1"/>
      <c r="G340" s="3"/>
      <c r="H340" s="2"/>
      <c r="I340" s="3"/>
    </row>
    <row r="341" spans="1:9" x14ac:dyDescent="0.2">
      <c r="A341">
        <v>2015</v>
      </c>
      <c r="B341" s="35">
        <v>440</v>
      </c>
      <c r="C341" s="39" t="s">
        <v>340</v>
      </c>
      <c r="D341" s="40">
        <v>17780</v>
      </c>
      <c r="E341" s="36">
        <v>149813</v>
      </c>
      <c r="F341" s="1"/>
      <c r="G341" s="3"/>
      <c r="H341" s="2"/>
      <c r="I341" s="3"/>
    </row>
    <row r="342" spans="1:9" x14ac:dyDescent="0.2">
      <c r="A342">
        <v>2015</v>
      </c>
      <c r="B342" s="35">
        <v>441</v>
      </c>
      <c r="C342" s="39" t="s">
        <v>341</v>
      </c>
      <c r="D342" s="40">
        <v>52290</v>
      </c>
      <c r="E342" s="36">
        <v>354699</v>
      </c>
      <c r="F342" s="1"/>
      <c r="G342" s="3"/>
      <c r="H342" s="2"/>
      <c r="I342" s="3"/>
    </row>
    <row r="343" spans="1:9" x14ac:dyDescent="0.2">
      <c r="A343">
        <v>2015</v>
      </c>
      <c r="B343" s="35">
        <v>442</v>
      </c>
      <c r="C343" s="39" t="s">
        <v>342</v>
      </c>
      <c r="D343" s="40">
        <v>60936</v>
      </c>
      <c r="E343" s="36">
        <v>490900</v>
      </c>
      <c r="F343" s="1"/>
      <c r="G343" s="3"/>
      <c r="H343" s="2"/>
      <c r="I343" s="3"/>
    </row>
    <row r="344" spans="1:9" x14ac:dyDescent="0.2">
      <c r="A344">
        <v>2015</v>
      </c>
      <c r="B344" s="35">
        <v>443</v>
      </c>
      <c r="C344" s="39" t="s">
        <v>343</v>
      </c>
      <c r="D344" s="40">
        <v>5225</v>
      </c>
      <c r="E344" s="36">
        <v>45667</v>
      </c>
      <c r="F344" s="1"/>
      <c r="G344" s="3"/>
      <c r="H344" s="2"/>
      <c r="I344" s="3"/>
    </row>
    <row r="345" spans="1:9" x14ac:dyDescent="0.2">
      <c r="A345">
        <v>2015</v>
      </c>
      <c r="B345" s="35">
        <v>444</v>
      </c>
      <c r="C345" s="39" t="s">
        <v>344</v>
      </c>
      <c r="D345" s="40">
        <v>40825</v>
      </c>
      <c r="E345" s="36">
        <v>210072</v>
      </c>
      <c r="F345" s="1"/>
      <c r="G345" s="3"/>
      <c r="H345" s="2"/>
      <c r="I345" s="3"/>
    </row>
    <row r="346" spans="1:9" x14ac:dyDescent="0.2">
      <c r="A346">
        <v>2015</v>
      </c>
      <c r="B346" s="35">
        <v>445</v>
      </c>
      <c r="C346" s="39" t="s">
        <v>345</v>
      </c>
      <c r="D346" s="40">
        <v>42295</v>
      </c>
      <c r="E346" s="36">
        <v>260892</v>
      </c>
      <c r="F346" s="1"/>
      <c r="G346" s="3"/>
      <c r="H346" s="2"/>
      <c r="I346" s="3"/>
    </row>
    <row r="347" spans="1:9" x14ac:dyDescent="0.2">
      <c r="A347">
        <v>2015</v>
      </c>
      <c r="B347" s="35">
        <v>446</v>
      </c>
      <c r="C347" s="39" t="s">
        <v>346</v>
      </c>
      <c r="D347" s="40">
        <v>68405</v>
      </c>
      <c r="E347" s="36">
        <v>382842</v>
      </c>
      <c r="F347" s="1"/>
      <c r="G347" s="3"/>
      <c r="H347" s="2"/>
      <c r="I347" s="3"/>
    </row>
    <row r="348" spans="1:9" x14ac:dyDescent="0.2">
      <c r="A348">
        <v>2015</v>
      </c>
      <c r="B348" s="35">
        <v>447</v>
      </c>
      <c r="C348" s="39" t="s">
        <v>347</v>
      </c>
      <c r="D348" s="40">
        <v>22650</v>
      </c>
      <c r="E348" s="36">
        <v>149933</v>
      </c>
      <c r="F348" s="1"/>
      <c r="G348" s="3"/>
      <c r="H348" s="2"/>
      <c r="I348" s="3"/>
    </row>
    <row r="349" spans="1:9" x14ac:dyDescent="0.2">
      <c r="A349">
        <v>2015</v>
      </c>
      <c r="B349" s="35">
        <v>448</v>
      </c>
      <c r="C349" s="39" t="s">
        <v>348</v>
      </c>
      <c r="D349" s="40">
        <v>27314</v>
      </c>
      <c r="E349" s="36">
        <v>180410</v>
      </c>
      <c r="F349" s="1"/>
      <c r="G349" s="3"/>
      <c r="H349" s="2"/>
      <c r="I349" s="3"/>
    </row>
    <row r="350" spans="1:9" x14ac:dyDescent="0.2">
      <c r="A350">
        <v>2015</v>
      </c>
      <c r="B350" s="35">
        <v>449</v>
      </c>
      <c r="C350" s="39" t="s">
        <v>349</v>
      </c>
      <c r="D350" s="40">
        <v>62347</v>
      </c>
      <c r="E350" s="36">
        <v>492735</v>
      </c>
      <c r="F350" s="1"/>
      <c r="G350" s="3"/>
      <c r="H350" s="2"/>
      <c r="I350" s="3"/>
    </row>
    <row r="351" spans="1:9" x14ac:dyDescent="0.2">
      <c r="A351">
        <v>2015</v>
      </c>
      <c r="B351" s="35">
        <v>450</v>
      </c>
      <c r="C351" s="39" t="s">
        <v>350</v>
      </c>
      <c r="D351" s="40">
        <v>11821</v>
      </c>
      <c r="E351" s="36">
        <v>91236</v>
      </c>
      <c r="F351" s="1"/>
      <c r="G351" s="3"/>
      <c r="H351" s="2"/>
      <c r="I351" s="3"/>
    </row>
    <row r="352" spans="1:9" x14ac:dyDescent="0.2">
      <c r="A352">
        <v>2015</v>
      </c>
      <c r="B352" s="35">
        <v>451</v>
      </c>
      <c r="C352" s="39" t="s">
        <v>351</v>
      </c>
      <c r="D352" s="40">
        <v>18653</v>
      </c>
      <c r="E352" s="36">
        <v>159429</v>
      </c>
      <c r="F352" s="1"/>
      <c r="G352" s="3"/>
      <c r="H352" s="2"/>
      <c r="I352" s="3"/>
    </row>
    <row r="353" spans="1:9" x14ac:dyDescent="0.2">
      <c r="A353">
        <v>2015</v>
      </c>
      <c r="B353" s="35">
        <v>452</v>
      </c>
      <c r="C353" s="39" t="s">
        <v>352</v>
      </c>
      <c r="D353" s="40">
        <v>22006</v>
      </c>
      <c r="E353" s="36">
        <v>413518</v>
      </c>
      <c r="F353" s="1"/>
      <c r="G353" s="3"/>
      <c r="H353" s="2"/>
      <c r="I353" s="3"/>
    </row>
    <row r="354" spans="1:9" x14ac:dyDescent="0.2">
      <c r="A354">
        <v>2015</v>
      </c>
      <c r="B354" s="35">
        <v>453</v>
      </c>
      <c r="C354" s="39" t="s">
        <v>353</v>
      </c>
      <c r="D354" s="40">
        <v>16229</v>
      </c>
      <c r="E354" s="36">
        <v>146086</v>
      </c>
      <c r="F354" s="1"/>
      <c r="G354" s="3"/>
      <c r="H354" s="2"/>
      <c r="I354" s="3"/>
    </row>
    <row r="355" spans="1:9" x14ac:dyDescent="0.2">
      <c r="A355">
        <v>2015</v>
      </c>
      <c r="B355" s="35">
        <v>454</v>
      </c>
      <c r="C355" s="39" t="s">
        <v>354</v>
      </c>
      <c r="D355" s="40">
        <v>86303</v>
      </c>
      <c r="E355" s="36">
        <v>613434</v>
      </c>
      <c r="F355" s="1"/>
      <c r="G355" s="3"/>
      <c r="H355" s="2"/>
      <c r="I355" s="3"/>
    </row>
    <row r="356" spans="1:9" x14ac:dyDescent="0.2">
      <c r="A356">
        <v>2015</v>
      </c>
      <c r="B356" s="35">
        <v>455</v>
      </c>
      <c r="C356" s="39" t="s">
        <v>355</v>
      </c>
      <c r="D356" s="40">
        <v>225247</v>
      </c>
      <c r="E356" s="36">
        <v>1560360</v>
      </c>
      <c r="F356" s="1"/>
      <c r="G356" s="3"/>
      <c r="H356" s="2"/>
      <c r="I356" s="3"/>
    </row>
    <row r="357" spans="1:9" x14ac:dyDescent="0.2">
      <c r="A357">
        <v>2015</v>
      </c>
      <c r="B357" s="35">
        <v>462</v>
      </c>
      <c r="C357" s="39" t="s">
        <v>356</v>
      </c>
      <c r="D357" s="40">
        <v>8138</v>
      </c>
      <c r="E357" s="36">
        <v>88287</v>
      </c>
      <c r="F357" s="1"/>
      <c r="G357" s="3"/>
      <c r="H357" s="2"/>
      <c r="I357" s="3"/>
    </row>
    <row r="358" spans="1:9" x14ac:dyDescent="0.2">
      <c r="A358">
        <v>2015</v>
      </c>
      <c r="B358" s="35">
        <v>467</v>
      </c>
      <c r="C358" s="39" t="s">
        <v>357</v>
      </c>
      <c r="D358" s="40">
        <v>26924</v>
      </c>
      <c r="E358" s="36">
        <v>268307</v>
      </c>
      <c r="F358" s="1"/>
      <c r="G358" s="3"/>
      <c r="H358" s="2"/>
      <c r="I358" s="3"/>
    </row>
    <row r="359" spans="1:9" x14ac:dyDescent="0.2">
      <c r="A359">
        <v>2015</v>
      </c>
      <c r="B359" s="35">
        <v>468</v>
      </c>
      <c r="C359" s="39" t="s">
        <v>358</v>
      </c>
      <c r="D359" s="40">
        <v>28846</v>
      </c>
      <c r="E359" s="36">
        <v>212554</v>
      </c>
      <c r="F359" s="1"/>
      <c r="G359" s="3"/>
      <c r="H359" s="2"/>
      <c r="I359" s="3"/>
    </row>
    <row r="360" spans="1:9" x14ac:dyDescent="0.2">
      <c r="A360">
        <v>2015</v>
      </c>
      <c r="B360" s="35">
        <v>469</v>
      </c>
      <c r="C360" s="39" t="s">
        <v>359</v>
      </c>
      <c r="D360" s="40">
        <v>48257</v>
      </c>
      <c r="E360" s="36">
        <v>372391</v>
      </c>
      <c r="F360" s="1"/>
      <c r="G360" s="3"/>
      <c r="H360" s="2"/>
      <c r="I360" s="3"/>
    </row>
    <row r="361" spans="1:9" x14ac:dyDescent="0.2">
      <c r="A361">
        <v>2015</v>
      </c>
      <c r="B361" s="35">
        <v>470</v>
      </c>
      <c r="C361" s="39" t="s">
        <v>360</v>
      </c>
      <c r="D361" s="40">
        <v>39346</v>
      </c>
      <c r="E361" s="36">
        <v>253592</v>
      </c>
      <c r="F361" s="1"/>
      <c r="G361" s="3"/>
      <c r="H361" s="2"/>
      <c r="I361" s="3"/>
    </row>
    <row r="362" spans="1:9" x14ac:dyDescent="0.2">
      <c r="A362">
        <v>2015</v>
      </c>
      <c r="B362" s="35">
        <v>471</v>
      </c>
      <c r="C362" s="39" t="s">
        <v>361</v>
      </c>
      <c r="D362" s="40">
        <v>29219</v>
      </c>
      <c r="E362" s="36">
        <v>148220</v>
      </c>
      <c r="F362" s="1"/>
      <c r="G362" s="3"/>
      <c r="H362" s="2"/>
      <c r="I362" s="3"/>
    </row>
    <row r="363" spans="1:9" x14ac:dyDescent="0.2">
      <c r="A363">
        <v>2015</v>
      </c>
      <c r="B363" s="35">
        <v>472</v>
      </c>
      <c r="C363" s="39" t="s">
        <v>362</v>
      </c>
      <c r="D363" s="40">
        <v>435479</v>
      </c>
      <c r="E363" s="36">
        <v>2829983</v>
      </c>
      <c r="F363" s="1"/>
      <c r="G363" s="3"/>
      <c r="H363" s="2"/>
      <c r="I363" s="3"/>
    </row>
    <row r="364" spans="1:9" x14ac:dyDescent="0.2">
      <c r="A364">
        <v>2015</v>
      </c>
      <c r="B364" s="35">
        <v>476</v>
      </c>
      <c r="C364" s="39" t="s">
        <v>363</v>
      </c>
      <c r="D364" s="40">
        <v>157327</v>
      </c>
      <c r="E364" s="36">
        <v>1094141</v>
      </c>
      <c r="F364" s="1"/>
      <c r="G364" s="3"/>
      <c r="H364" s="2"/>
      <c r="I364" s="3"/>
    </row>
    <row r="365" spans="1:9" x14ac:dyDescent="0.2">
      <c r="A365">
        <v>2015</v>
      </c>
      <c r="B365" s="35">
        <v>477</v>
      </c>
      <c r="C365" s="39" t="s">
        <v>364</v>
      </c>
      <c r="D365" s="40">
        <v>50052</v>
      </c>
      <c r="E365" s="36">
        <v>297547</v>
      </c>
      <c r="F365" s="1"/>
      <c r="G365" s="3"/>
      <c r="H365" s="2"/>
      <c r="I365" s="3"/>
    </row>
    <row r="366" spans="1:9" x14ac:dyDescent="0.2">
      <c r="A366">
        <v>2015</v>
      </c>
      <c r="B366" s="35">
        <v>478</v>
      </c>
      <c r="C366" s="39" t="s">
        <v>365</v>
      </c>
      <c r="D366" s="40">
        <v>24536</v>
      </c>
      <c r="E366" s="36">
        <v>135240</v>
      </c>
      <c r="F366" s="1"/>
      <c r="G366" s="3"/>
      <c r="H366" s="2"/>
      <c r="I366" s="3"/>
    </row>
    <row r="367" spans="1:9" x14ac:dyDescent="0.2">
      <c r="A367">
        <v>2015</v>
      </c>
      <c r="B367" s="35">
        <v>479</v>
      </c>
      <c r="C367" s="39" t="s">
        <v>366</v>
      </c>
      <c r="D367" s="40">
        <v>403184</v>
      </c>
      <c r="E367" s="36">
        <v>2911936</v>
      </c>
      <c r="F367" s="1"/>
      <c r="G367" s="3"/>
      <c r="H367" s="2"/>
      <c r="I367" s="3"/>
    </row>
    <row r="368" spans="1:9" x14ac:dyDescent="0.2">
      <c r="A368">
        <v>2015</v>
      </c>
      <c r="B368" s="35">
        <v>485</v>
      </c>
      <c r="C368" s="39" t="s">
        <v>367</v>
      </c>
      <c r="D368" s="40">
        <v>108232</v>
      </c>
      <c r="E368" s="36">
        <v>749328</v>
      </c>
      <c r="F368" s="10"/>
      <c r="G368" s="3"/>
      <c r="H368" s="2"/>
      <c r="I368" s="3"/>
    </row>
    <row r="369" spans="1:9" x14ac:dyDescent="0.2">
      <c r="A369">
        <v>2015</v>
      </c>
      <c r="B369" s="35">
        <v>486</v>
      </c>
      <c r="C369" s="39" t="s">
        <v>368</v>
      </c>
      <c r="D369" s="40">
        <v>70770</v>
      </c>
      <c r="E369" s="36">
        <v>464843</v>
      </c>
      <c r="F369" s="1"/>
      <c r="G369" s="3"/>
      <c r="H369" s="2"/>
      <c r="I369" s="3"/>
    </row>
    <row r="370" spans="1:9" x14ac:dyDescent="0.2">
      <c r="A370">
        <v>2015</v>
      </c>
      <c r="B370" s="35">
        <v>487</v>
      </c>
      <c r="C370" s="39" t="s">
        <v>369</v>
      </c>
      <c r="D370" s="40">
        <v>67806</v>
      </c>
      <c r="E370" s="36">
        <v>386685</v>
      </c>
      <c r="F370" s="1"/>
      <c r="G370" s="3"/>
      <c r="H370" s="2"/>
      <c r="I370" s="3"/>
    </row>
    <row r="371" spans="1:9" x14ac:dyDescent="0.2">
      <c r="A371">
        <v>2015</v>
      </c>
      <c r="B371" s="35">
        <v>489</v>
      </c>
      <c r="C371" s="39" t="s">
        <v>370</v>
      </c>
      <c r="D371" s="40">
        <v>6565</v>
      </c>
      <c r="E371" s="36">
        <v>50142</v>
      </c>
      <c r="F371" s="1"/>
      <c r="G371" s="3"/>
      <c r="H371" s="2"/>
      <c r="I371" s="3"/>
    </row>
    <row r="372" spans="1:9" x14ac:dyDescent="0.2">
      <c r="A372">
        <v>2015</v>
      </c>
      <c r="B372" s="35">
        <v>490</v>
      </c>
      <c r="C372" s="39" t="s">
        <v>371</v>
      </c>
      <c r="D372" s="40">
        <v>53444</v>
      </c>
      <c r="E372" s="36">
        <v>485717</v>
      </c>
      <c r="F372" s="1"/>
      <c r="G372" s="3"/>
      <c r="H372" s="2"/>
      <c r="I372" s="3"/>
    </row>
    <row r="373" spans="1:9" x14ac:dyDescent="0.2">
      <c r="A373">
        <v>2015</v>
      </c>
      <c r="B373" s="35">
        <v>491</v>
      </c>
      <c r="C373" s="39" t="s">
        <v>372</v>
      </c>
      <c r="D373" s="40">
        <v>77640</v>
      </c>
      <c r="E373" s="36">
        <v>597584</v>
      </c>
      <c r="F373" s="1"/>
      <c r="G373" s="3"/>
      <c r="H373" s="2"/>
      <c r="I373" s="3"/>
    </row>
    <row r="374" spans="1:9" x14ac:dyDescent="0.2">
      <c r="A374">
        <v>2015</v>
      </c>
      <c r="B374" s="35">
        <v>492</v>
      </c>
      <c r="C374" s="39" t="s">
        <v>373</v>
      </c>
      <c r="D374" s="40">
        <v>390231</v>
      </c>
      <c r="E374" s="36">
        <v>3074227</v>
      </c>
      <c r="F374" s="1"/>
      <c r="G374" s="3"/>
      <c r="H374" s="2"/>
      <c r="I374" s="3"/>
    </row>
    <row r="375" spans="1:9" x14ac:dyDescent="0.2">
      <c r="A375">
        <v>2015</v>
      </c>
      <c r="B375" s="35">
        <v>493</v>
      </c>
      <c r="C375" s="39" t="s">
        <v>374</v>
      </c>
      <c r="D375" s="40">
        <v>1514397</v>
      </c>
      <c r="E375" s="36">
        <v>8593182</v>
      </c>
      <c r="F375" s="1"/>
      <c r="G375" s="3"/>
      <c r="H375" s="2"/>
      <c r="I375" s="3"/>
    </row>
    <row r="376" spans="1:9" x14ac:dyDescent="0.2">
      <c r="A376">
        <v>2015</v>
      </c>
      <c r="B376" s="35">
        <v>494</v>
      </c>
      <c r="C376" s="39" t="s">
        <v>375</v>
      </c>
      <c r="D376" s="40">
        <v>235848</v>
      </c>
      <c r="E376" s="36">
        <v>1726480</v>
      </c>
      <c r="F376" s="1"/>
      <c r="G376" s="3"/>
      <c r="H376" s="2"/>
      <c r="I376" s="3"/>
    </row>
    <row r="377" spans="1:9" x14ac:dyDescent="0.2">
      <c r="A377">
        <v>2015</v>
      </c>
      <c r="B377" s="35">
        <v>495</v>
      </c>
      <c r="C377" s="39" t="s">
        <v>376</v>
      </c>
      <c r="D377" s="40">
        <v>75661</v>
      </c>
      <c r="E377" s="36">
        <v>399951</v>
      </c>
      <c r="F377" s="1"/>
      <c r="G377" s="3"/>
      <c r="H377" s="2"/>
      <c r="I377" s="3"/>
    </row>
    <row r="378" spans="1:9" x14ac:dyDescent="0.2">
      <c r="A378">
        <v>2015</v>
      </c>
      <c r="B378" s="35">
        <v>496</v>
      </c>
      <c r="C378" s="39" t="s">
        <v>377</v>
      </c>
      <c r="D378" s="40">
        <v>29890</v>
      </c>
      <c r="E378" s="36">
        <v>168638</v>
      </c>
      <c r="F378" s="1"/>
      <c r="G378" s="3"/>
      <c r="H378" s="2"/>
      <c r="I378" s="3"/>
    </row>
    <row r="379" spans="1:9" x14ac:dyDescent="0.2">
      <c r="A379">
        <v>2015</v>
      </c>
      <c r="B379" s="35">
        <v>497</v>
      </c>
      <c r="C379" s="39" t="s">
        <v>378</v>
      </c>
      <c r="D379" s="40">
        <v>31672</v>
      </c>
      <c r="E379" s="36">
        <v>228000</v>
      </c>
      <c r="F379" s="1"/>
      <c r="G379" s="3"/>
      <c r="H379" s="2"/>
      <c r="I379" s="3"/>
    </row>
    <row r="380" spans="1:9" x14ac:dyDescent="0.2">
      <c r="A380">
        <v>2015</v>
      </c>
      <c r="B380" s="35">
        <v>498</v>
      </c>
      <c r="C380" s="39" t="s">
        <v>379</v>
      </c>
      <c r="D380" s="40">
        <v>63580</v>
      </c>
      <c r="E380" s="36">
        <v>328825</v>
      </c>
      <c r="F380" s="1"/>
      <c r="G380" s="3"/>
      <c r="H380" s="2"/>
      <c r="I380" s="3"/>
    </row>
    <row r="381" spans="1:9" x14ac:dyDescent="0.2">
      <c r="A381">
        <v>2015</v>
      </c>
      <c r="B381" s="35">
        <v>499</v>
      </c>
      <c r="C381" s="39" t="s">
        <v>380</v>
      </c>
      <c r="D381" s="40">
        <v>63179</v>
      </c>
      <c r="E381" s="36">
        <v>522758</v>
      </c>
      <c r="F381" s="1"/>
      <c r="G381" s="3"/>
      <c r="H381" s="2"/>
      <c r="I381" s="3"/>
    </row>
    <row r="382" spans="1:9" x14ac:dyDescent="0.2">
      <c r="A382">
        <v>2015</v>
      </c>
      <c r="B382" s="35">
        <v>500</v>
      </c>
      <c r="C382" s="39" t="s">
        <v>381</v>
      </c>
      <c r="D382" s="40">
        <v>102208</v>
      </c>
      <c r="E382" s="36">
        <v>646633</v>
      </c>
      <c r="F382" s="1"/>
      <c r="G382" s="3"/>
      <c r="H382" s="2"/>
      <c r="I382" s="3"/>
    </row>
    <row r="383" spans="1:9" x14ac:dyDescent="0.2">
      <c r="A383">
        <v>2015</v>
      </c>
      <c r="B383" s="35">
        <v>501</v>
      </c>
      <c r="C383" s="39" t="s">
        <v>382</v>
      </c>
      <c r="D383" s="40">
        <v>52166</v>
      </c>
      <c r="E383" s="36">
        <v>332885</v>
      </c>
      <c r="F383" s="1"/>
      <c r="G383" s="3"/>
      <c r="H383" s="2"/>
      <c r="I383" s="3"/>
    </row>
    <row r="384" spans="1:9" x14ac:dyDescent="0.2">
      <c r="A384">
        <v>2015</v>
      </c>
      <c r="B384" s="35">
        <v>502</v>
      </c>
      <c r="C384" s="39" t="s">
        <v>383</v>
      </c>
      <c r="D384" s="40">
        <v>5801</v>
      </c>
      <c r="E384" s="36">
        <v>31898</v>
      </c>
      <c r="F384" s="1"/>
      <c r="G384" s="3"/>
      <c r="H384" s="2"/>
      <c r="I384" s="3"/>
    </row>
    <row r="385" spans="1:11" x14ac:dyDescent="0.2">
      <c r="A385">
        <v>2015</v>
      </c>
      <c r="B385" s="35">
        <v>503</v>
      </c>
      <c r="C385" s="39" t="s">
        <v>384</v>
      </c>
      <c r="D385" s="40">
        <v>64327</v>
      </c>
      <c r="E385" s="36">
        <v>396977</v>
      </c>
      <c r="F385" s="1"/>
      <c r="G385" s="3"/>
      <c r="H385" s="2"/>
      <c r="I385" s="3"/>
    </row>
    <row r="386" spans="1:11" x14ac:dyDescent="0.2">
      <c r="A386">
        <v>2015</v>
      </c>
      <c r="B386" s="35">
        <v>504</v>
      </c>
      <c r="C386" s="39" t="s">
        <v>385</v>
      </c>
      <c r="D386" s="40">
        <v>93751</v>
      </c>
      <c r="E386" s="36">
        <v>446634</v>
      </c>
      <c r="F386" s="1"/>
      <c r="G386" s="3"/>
      <c r="H386" s="2"/>
      <c r="I386" s="3"/>
    </row>
    <row r="387" spans="1:11" x14ac:dyDescent="0.2">
      <c r="A387">
        <v>2015</v>
      </c>
      <c r="B387" s="35">
        <v>505</v>
      </c>
      <c r="C387" s="39" t="s">
        <v>386</v>
      </c>
      <c r="D387" s="40">
        <v>779861</v>
      </c>
      <c r="E387" s="36">
        <v>4565800</v>
      </c>
      <c r="F387" s="1"/>
      <c r="G387" s="3"/>
      <c r="H387" s="2"/>
      <c r="I387" s="3"/>
    </row>
    <row r="388" spans="1:11" x14ac:dyDescent="0.2">
      <c r="A388">
        <v>2015</v>
      </c>
      <c r="B388" s="35">
        <v>507</v>
      </c>
      <c r="C388" s="39" t="s">
        <v>387</v>
      </c>
      <c r="D388" s="40">
        <v>70647</v>
      </c>
      <c r="E388" s="36">
        <v>487345</v>
      </c>
      <c r="F388" s="1"/>
      <c r="G388" s="3"/>
      <c r="H388" s="2"/>
      <c r="I388" s="3"/>
    </row>
    <row r="389" spans="1:11" x14ac:dyDescent="0.2">
      <c r="A389">
        <v>2015</v>
      </c>
      <c r="B389" s="35">
        <v>509</v>
      </c>
      <c r="C389" s="39" t="s">
        <v>388</v>
      </c>
      <c r="D389" s="40">
        <v>41372</v>
      </c>
      <c r="E389" s="36">
        <v>431464</v>
      </c>
      <c r="F389" s="1"/>
      <c r="G389" s="3"/>
      <c r="H389" s="2"/>
      <c r="I389" s="3"/>
    </row>
    <row r="390" spans="1:11" x14ac:dyDescent="0.2">
      <c r="A390">
        <v>2015</v>
      </c>
      <c r="B390" s="45">
        <v>510</v>
      </c>
      <c r="C390" s="50" t="s">
        <v>478</v>
      </c>
      <c r="D390" s="53">
        <v>83067</v>
      </c>
      <c r="E390" s="75">
        <v>600606</v>
      </c>
      <c r="F390" s="1"/>
      <c r="G390" s="1"/>
      <c r="H390" s="3"/>
      <c r="I390" s="2"/>
      <c r="J390" s="3"/>
      <c r="K390" s="2"/>
    </row>
    <row r="391" spans="1:11" x14ac:dyDescent="0.2">
      <c r="A391">
        <v>2015</v>
      </c>
      <c r="B391" s="45">
        <v>511</v>
      </c>
      <c r="C391" s="50" t="s">
        <v>479</v>
      </c>
      <c r="D391" s="53">
        <v>36926</v>
      </c>
      <c r="E391" s="75">
        <v>282399</v>
      </c>
      <c r="F391" s="1"/>
      <c r="G391" s="1"/>
      <c r="H391" s="3"/>
      <c r="I391" s="2"/>
      <c r="J391" s="3"/>
      <c r="K391" s="2"/>
    </row>
    <row r="392" spans="1:11" x14ac:dyDescent="0.2">
      <c r="A392">
        <v>2015</v>
      </c>
      <c r="B392" s="45">
        <v>512</v>
      </c>
      <c r="C392" s="50" t="s">
        <v>480</v>
      </c>
      <c r="D392" s="53">
        <v>25871</v>
      </c>
      <c r="E392" s="75">
        <v>110615</v>
      </c>
      <c r="F392" s="1"/>
      <c r="G392" s="1"/>
      <c r="H392" s="3"/>
      <c r="I392" s="2"/>
      <c r="J392" s="3"/>
      <c r="K392" s="2"/>
    </row>
    <row r="393" spans="1:11" x14ac:dyDescent="0.2">
      <c r="A393">
        <v>2015</v>
      </c>
      <c r="B393" s="45">
        <v>514</v>
      </c>
      <c r="C393" s="50" t="s">
        <v>481</v>
      </c>
      <c r="D393" s="53">
        <v>25919</v>
      </c>
      <c r="E393" s="75">
        <v>146501</v>
      </c>
      <c r="F393" s="1"/>
      <c r="G393" s="1"/>
      <c r="H393" s="3"/>
      <c r="I393" s="2"/>
      <c r="J393" s="3"/>
      <c r="K393" s="2"/>
    </row>
    <row r="394" spans="1:11" x14ac:dyDescent="0.2">
      <c r="A394">
        <v>2015</v>
      </c>
      <c r="B394" s="45">
        <v>516</v>
      </c>
      <c r="C394" s="50" t="s">
        <v>482</v>
      </c>
      <c r="D394" s="53">
        <v>195982</v>
      </c>
      <c r="E394" s="75">
        <v>1633875</v>
      </c>
      <c r="F394" s="1"/>
      <c r="G394" s="1"/>
      <c r="H394" s="3"/>
      <c r="I394" s="2"/>
      <c r="J394" s="3"/>
      <c r="K394" s="2"/>
    </row>
    <row r="395" spans="1:11" x14ac:dyDescent="0.2">
      <c r="A395">
        <v>2015</v>
      </c>
      <c r="B395" s="45">
        <v>522</v>
      </c>
      <c r="C395" s="50" t="s">
        <v>483</v>
      </c>
      <c r="D395" s="53">
        <v>29739</v>
      </c>
      <c r="E395" s="76">
        <v>231126</v>
      </c>
      <c r="F395" s="1"/>
      <c r="G395" s="1"/>
      <c r="H395" s="3"/>
      <c r="I395" s="2"/>
      <c r="J395" s="3"/>
      <c r="K395" s="2"/>
    </row>
    <row r="396" spans="1:11" x14ac:dyDescent="0.2">
      <c r="A396">
        <v>2015</v>
      </c>
      <c r="B396" s="45">
        <v>523</v>
      </c>
      <c r="C396" s="50" t="s">
        <v>484</v>
      </c>
      <c r="D396" s="53">
        <v>61223</v>
      </c>
      <c r="E396" s="75">
        <v>780948</v>
      </c>
      <c r="F396" s="1"/>
      <c r="G396" s="1"/>
      <c r="H396" s="3"/>
      <c r="I396" s="2"/>
      <c r="J396" s="3"/>
      <c r="K396" s="2"/>
    </row>
    <row r="397" spans="1:11" x14ac:dyDescent="0.2">
      <c r="A397">
        <v>2015</v>
      </c>
      <c r="B397" s="45">
        <v>524</v>
      </c>
      <c r="C397" s="50" t="s">
        <v>485</v>
      </c>
      <c r="D397" s="53">
        <v>88519</v>
      </c>
      <c r="E397" s="75">
        <v>916666</v>
      </c>
      <c r="F397" s="1"/>
      <c r="G397" s="1"/>
      <c r="H397" s="3"/>
      <c r="I397" s="2"/>
      <c r="J397" s="3"/>
      <c r="K397" s="2"/>
    </row>
    <row r="398" spans="1:11" x14ac:dyDescent="0.2">
      <c r="A398">
        <v>2015</v>
      </c>
      <c r="B398" s="45">
        <v>525</v>
      </c>
      <c r="C398" s="50" t="s">
        <v>486</v>
      </c>
      <c r="D398" s="53">
        <v>19753</v>
      </c>
      <c r="E398" s="75">
        <v>175605</v>
      </c>
      <c r="F398" s="1"/>
      <c r="G398" s="1"/>
      <c r="H398" s="3"/>
      <c r="I398" s="2"/>
      <c r="J398" s="3"/>
      <c r="K398" s="2"/>
    </row>
    <row r="399" spans="1:11" x14ac:dyDescent="0.2">
      <c r="A399">
        <v>2015</v>
      </c>
      <c r="B399" s="45">
        <v>526</v>
      </c>
      <c r="C399" s="50" t="s">
        <v>487</v>
      </c>
      <c r="D399" s="53">
        <v>8367</v>
      </c>
      <c r="E399" s="75">
        <v>58612</v>
      </c>
      <c r="F399" s="1"/>
      <c r="G399" s="1"/>
      <c r="H399" s="3"/>
      <c r="I399" s="2"/>
      <c r="J399" s="3"/>
      <c r="K399" s="2"/>
    </row>
    <row r="400" spans="1:11" x14ac:dyDescent="0.2">
      <c r="A400">
        <v>2015</v>
      </c>
      <c r="B400" s="45">
        <v>527</v>
      </c>
      <c r="C400" s="50" t="s">
        <v>488</v>
      </c>
      <c r="D400" s="53">
        <v>51370</v>
      </c>
      <c r="E400" s="75">
        <v>289854</v>
      </c>
      <c r="F400" s="1"/>
      <c r="G400" s="1"/>
      <c r="H400" s="3"/>
      <c r="I400" s="2"/>
      <c r="J400" s="3"/>
      <c r="K400" s="2"/>
    </row>
    <row r="401" spans="1:11" x14ac:dyDescent="0.2">
      <c r="A401">
        <v>2015</v>
      </c>
      <c r="B401" s="45">
        <v>528</v>
      </c>
      <c r="C401" s="50" t="s">
        <v>489</v>
      </c>
      <c r="D401" s="53">
        <v>33141</v>
      </c>
      <c r="E401" s="75">
        <v>211512</v>
      </c>
      <c r="F401" s="1"/>
      <c r="G401" s="1"/>
      <c r="H401" s="3"/>
      <c r="I401" s="2"/>
      <c r="J401" s="3"/>
      <c r="K401" s="2"/>
    </row>
    <row r="402" spans="1:11" x14ac:dyDescent="0.2">
      <c r="A402">
        <v>2015</v>
      </c>
      <c r="B402" s="45">
        <v>529</v>
      </c>
      <c r="C402" s="50" t="s">
        <v>490</v>
      </c>
      <c r="D402" s="53">
        <v>53767</v>
      </c>
      <c r="E402" s="75">
        <v>348797</v>
      </c>
      <c r="F402" s="1"/>
      <c r="G402" s="1"/>
      <c r="H402" s="3"/>
      <c r="I402" s="2"/>
      <c r="J402" s="3"/>
      <c r="K402" s="2"/>
    </row>
    <row r="403" spans="1:11" x14ac:dyDescent="0.2">
      <c r="A403">
        <v>2015</v>
      </c>
      <c r="B403" s="45">
        <v>532</v>
      </c>
      <c r="C403" s="50" t="s">
        <v>491</v>
      </c>
      <c r="D403" s="53">
        <v>139411</v>
      </c>
      <c r="E403" s="75">
        <v>986242</v>
      </c>
      <c r="F403" s="1"/>
      <c r="G403" s="1"/>
      <c r="H403" s="3"/>
      <c r="I403" s="2"/>
      <c r="J403" s="3"/>
      <c r="K403" s="2"/>
    </row>
    <row r="404" spans="1:11" x14ac:dyDescent="0.2">
      <c r="A404">
        <v>2015</v>
      </c>
      <c r="B404" s="45">
        <v>533</v>
      </c>
      <c r="C404" s="50" t="s">
        <v>492</v>
      </c>
      <c r="D404" s="53">
        <v>29455</v>
      </c>
      <c r="E404" s="75">
        <v>224308</v>
      </c>
      <c r="F404" s="1"/>
      <c r="G404" s="1"/>
      <c r="H404" s="3"/>
      <c r="I404" s="2"/>
      <c r="J404" s="3"/>
      <c r="K404" s="2"/>
    </row>
    <row r="405" spans="1:11" x14ac:dyDescent="0.2">
      <c r="A405">
        <v>2015</v>
      </c>
      <c r="B405" s="45">
        <v>534</v>
      </c>
      <c r="C405" s="50" t="s">
        <v>493</v>
      </c>
      <c r="D405" s="53">
        <v>14670</v>
      </c>
      <c r="E405" s="77">
        <v>76286</v>
      </c>
      <c r="F405" s="1"/>
      <c r="G405" s="1"/>
      <c r="H405" s="3"/>
      <c r="I405" s="2"/>
      <c r="J405" s="3"/>
      <c r="K405" s="2"/>
    </row>
    <row r="406" spans="1:11" x14ac:dyDescent="0.2">
      <c r="A406">
        <v>2015</v>
      </c>
      <c r="B406" s="45">
        <v>535</v>
      </c>
      <c r="C406" s="50" t="s">
        <v>494</v>
      </c>
      <c r="D406" s="53">
        <v>25572</v>
      </c>
      <c r="E406" s="77">
        <v>116357</v>
      </c>
      <c r="F406" s="1"/>
      <c r="G406" s="1"/>
      <c r="H406" s="3"/>
      <c r="I406" s="2"/>
      <c r="J406" s="3"/>
      <c r="K406" s="2"/>
    </row>
    <row r="407" spans="1:11" x14ac:dyDescent="0.2">
      <c r="A407">
        <v>2015</v>
      </c>
      <c r="B407" s="45">
        <v>536</v>
      </c>
      <c r="C407" s="50" t="s">
        <v>495</v>
      </c>
      <c r="D407" s="53">
        <v>2407404</v>
      </c>
      <c r="E407" s="77">
        <v>13911744</v>
      </c>
      <c r="F407" s="1"/>
      <c r="G407" s="1"/>
      <c r="H407" s="3"/>
      <c r="I407" s="2"/>
      <c r="J407" s="3"/>
      <c r="K407" s="2"/>
    </row>
    <row r="408" spans="1:11" x14ac:dyDescent="0.2">
      <c r="A408">
        <v>2015</v>
      </c>
      <c r="B408" s="45">
        <v>537</v>
      </c>
      <c r="C408" s="50" t="s">
        <v>496</v>
      </c>
      <c r="D408" s="53">
        <v>1822790</v>
      </c>
      <c r="E408" s="77">
        <v>14971166</v>
      </c>
      <c r="F408" s="1"/>
      <c r="G408" s="1"/>
      <c r="H408" s="3"/>
      <c r="I408" s="2"/>
      <c r="J408" s="3"/>
      <c r="K408" s="2"/>
    </row>
    <row r="409" spans="1:11" x14ac:dyDescent="0.2">
      <c r="A409">
        <v>2015</v>
      </c>
      <c r="B409" s="45">
        <v>538</v>
      </c>
      <c r="C409" s="50" t="s">
        <v>497</v>
      </c>
      <c r="D409" s="53">
        <v>1771618</v>
      </c>
      <c r="E409" s="77">
        <v>10469563</v>
      </c>
      <c r="F409" s="1"/>
      <c r="G409" s="1"/>
      <c r="H409" s="3"/>
      <c r="I409" s="2"/>
      <c r="J409" s="3"/>
      <c r="K409" s="2"/>
    </row>
    <row r="410" spans="1:11" x14ac:dyDescent="0.2">
      <c r="A410">
        <v>2015</v>
      </c>
      <c r="B410" s="45">
        <v>539</v>
      </c>
      <c r="C410" s="50" t="s">
        <v>498</v>
      </c>
      <c r="D410" s="53">
        <v>257369</v>
      </c>
      <c r="E410" s="77">
        <v>1387203</v>
      </c>
      <c r="F410" s="1"/>
      <c r="G410" s="1"/>
      <c r="H410" s="3"/>
      <c r="I410" s="2"/>
      <c r="J410" s="3"/>
      <c r="K410" s="2"/>
    </row>
    <row r="411" spans="1:11" x14ac:dyDescent="0.2">
      <c r="A411">
        <v>2015</v>
      </c>
      <c r="B411" s="45">
        <v>540</v>
      </c>
      <c r="C411" s="50" t="s">
        <v>499</v>
      </c>
      <c r="D411" s="53">
        <v>682749</v>
      </c>
      <c r="E411" s="77">
        <v>4648195</v>
      </c>
      <c r="F411" s="1"/>
      <c r="G411" s="1"/>
      <c r="H411" s="3"/>
      <c r="I411" s="2"/>
      <c r="J411" s="3"/>
      <c r="K411" s="2"/>
    </row>
    <row r="412" spans="1:11" x14ac:dyDescent="0.2">
      <c r="A412">
        <v>2015</v>
      </c>
      <c r="B412" s="45">
        <v>541</v>
      </c>
      <c r="C412" s="50" t="s">
        <v>500</v>
      </c>
      <c r="D412" s="53">
        <v>35155</v>
      </c>
      <c r="E412" s="77">
        <v>225690</v>
      </c>
      <c r="F412" s="1"/>
      <c r="G412" s="1"/>
      <c r="H412" s="3"/>
      <c r="I412" s="2"/>
      <c r="J412" s="3"/>
      <c r="K412" s="2"/>
    </row>
    <row r="413" spans="1:11" x14ac:dyDescent="0.2">
      <c r="A413">
        <v>2015</v>
      </c>
      <c r="B413" s="45">
        <v>542</v>
      </c>
      <c r="C413" s="50" t="s">
        <v>501</v>
      </c>
      <c r="D413" s="53">
        <v>5442</v>
      </c>
      <c r="E413" s="77">
        <v>40770</v>
      </c>
      <c r="F413" s="1"/>
      <c r="G413" s="1"/>
      <c r="H413" s="3"/>
      <c r="I413" s="2"/>
      <c r="J413" s="3"/>
      <c r="K413" s="2"/>
    </row>
    <row r="414" spans="1:11" x14ac:dyDescent="0.2">
      <c r="A414">
        <v>2015</v>
      </c>
      <c r="B414" s="45">
        <v>544</v>
      </c>
      <c r="C414" s="50" t="s">
        <v>502</v>
      </c>
      <c r="D414" s="53">
        <v>35988</v>
      </c>
      <c r="E414" s="77">
        <v>266910</v>
      </c>
      <c r="F414" s="1"/>
      <c r="G414" s="1"/>
      <c r="H414" s="3"/>
      <c r="I414" s="2"/>
      <c r="J414" s="3"/>
      <c r="K414" s="2"/>
    </row>
    <row r="415" spans="1:11" x14ac:dyDescent="0.2">
      <c r="A415">
        <v>2015</v>
      </c>
      <c r="B415" s="45">
        <v>545</v>
      </c>
      <c r="C415" s="50" t="s">
        <v>503</v>
      </c>
      <c r="D415" s="53">
        <v>37835</v>
      </c>
      <c r="E415" s="77">
        <v>311025</v>
      </c>
      <c r="F415" s="1"/>
      <c r="G415" s="1"/>
      <c r="H415" s="3"/>
      <c r="I415" s="2"/>
      <c r="J415" s="3"/>
      <c r="K415" s="2"/>
    </row>
    <row r="416" spans="1:11" x14ac:dyDescent="0.2">
      <c r="A416">
        <v>2015</v>
      </c>
      <c r="B416" s="45">
        <v>546</v>
      </c>
      <c r="C416" s="50" t="s">
        <v>504</v>
      </c>
      <c r="D416" s="53">
        <v>326070</v>
      </c>
      <c r="E416" s="77">
        <v>2005484</v>
      </c>
      <c r="F416" s="1"/>
      <c r="G416" s="1"/>
      <c r="H416" s="3"/>
      <c r="I416" s="2"/>
      <c r="J416" s="3"/>
      <c r="K416" s="2"/>
    </row>
    <row r="417" spans="1:11" x14ac:dyDescent="0.2">
      <c r="A417">
        <v>2015</v>
      </c>
      <c r="B417" s="45">
        <v>547</v>
      </c>
      <c r="C417" s="50" t="s">
        <v>505</v>
      </c>
      <c r="D417" s="53">
        <v>210435</v>
      </c>
      <c r="E417" s="77">
        <v>1494270</v>
      </c>
      <c r="F417" s="1"/>
      <c r="G417" s="1"/>
      <c r="H417" s="3"/>
      <c r="I417" s="2"/>
      <c r="J417" s="3"/>
      <c r="K417" s="2"/>
    </row>
    <row r="418" spans="1:11" x14ac:dyDescent="0.2">
      <c r="A418">
        <v>2015</v>
      </c>
      <c r="B418" s="45">
        <v>548</v>
      </c>
      <c r="C418" s="50" t="s">
        <v>506</v>
      </c>
      <c r="D418" s="53">
        <v>95664</v>
      </c>
      <c r="E418" s="77">
        <v>705554</v>
      </c>
      <c r="F418" s="1"/>
      <c r="G418" s="1"/>
      <c r="H418" s="3"/>
      <c r="I418" s="2"/>
      <c r="J418" s="3"/>
      <c r="K418" s="2"/>
    </row>
    <row r="419" spans="1:11" x14ac:dyDescent="0.2">
      <c r="A419">
        <v>2015</v>
      </c>
      <c r="B419" s="45">
        <v>549</v>
      </c>
      <c r="C419" s="50" t="s">
        <v>507</v>
      </c>
      <c r="D419" s="53">
        <v>46677</v>
      </c>
      <c r="E419" s="77">
        <v>372030</v>
      </c>
      <c r="F419" s="1"/>
      <c r="G419" s="1"/>
      <c r="H419" s="3"/>
      <c r="I419" s="2"/>
      <c r="J419" s="3"/>
      <c r="K419" s="2"/>
    </row>
    <row r="420" spans="1:11" x14ac:dyDescent="0.2">
      <c r="A420">
        <v>2015</v>
      </c>
      <c r="B420" s="45">
        <v>550</v>
      </c>
      <c r="C420" s="50" t="s">
        <v>508</v>
      </c>
      <c r="D420" s="53">
        <v>369732</v>
      </c>
      <c r="E420" s="77">
        <v>2523654</v>
      </c>
      <c r="F420" s="1"/>
      <c r="G420" s="1"/>
      <c r="H420" s="3"/>
      <c r="I420" s="2"/>
      <c r="J420" s="3"/>
      <c r="K420" s="2"/>
    </row>
    <row r="421" spans="1:11" x14ac:dyDescent="0.2">
      <c r="A421">
        <v>2015</v>
      </c>
      <c r="B421" s="45">
        <v>557</v>
      </c>
      <c r="C421" s="50" t="s">
        <v>509</v>
      </c>
      <c r="D421" s="53">
        <v>202710</v>
      </c>
      <c r="E421" s="77">
        <v>1531088</v>
      </c>
      <c r="F421" s="1"/>
      <c r="G421" s="1"/>
      <c r="H421" s="3"/>
      <c r="I421" s="2"/>
      <c r="J421" s="3"/>
      <c r="K421" s="2"/>
    </row>
    <row r="422" spans="1:11" x14ac:dyDescent="0.2">
      <c r="A422">
        <v>2015</v>
      </c>
      <c r="B422" s="45">
        <v>559</v>
      </c>
      <c r="C422" s="50" t="s">
        <v>510</v>
      </c>
      <c r="D422" s="53">
        <v>2402983</v>
      </c>
      <c r="E422" s="77">
        <v>14587757</v>
      </c>
      <c r="F422" s="1"/>
      <c r="G422" s="1"/>
      <c r="H422" s="3"/>
      <c r="I422" s="2"/>
      <c r="J422" s="3"/>
      <c r="K422" s="2"/>
    </row>
    <row r="423" spans="1:11" x14ac:dyDescent="0.2">
      <c r="A423">
        <v>2015</v>
      </c>
      <c r="B423" s="45">
        <v>560</v>
      </c>
      <c r="C423" s="50" t="s">
        <v>511</v>
      </c>
      <c r="D423" s="53">
        <v>1652397</v>
      </c>
      <c r="E423" s="77">
        <v>9128964</v>
      </c>
      <c r="F423" s="1"/>
      <c r="G423" s="1"/>
      <c r="H423" s="3"/>
      <c r="I423" s="2"/>
      <c r="J423" s="3"/>
      <c r="K423" s="2"/>
    </row>
    <row r="424" spans="1:11" x14ac:dyDescent="0.2">
      <c r="A424">
        <v>2015</v>
      </c>
      <c r="B424" s="45">
        <v>561</v>
      </c>
      <c r="C424" s="50" t="s">
        <v>512</v>
      </c>
      <c r="D424" s="53">
        <v>1150723</v>
      </c>
      <c r="E424" s="77">
        <v>5672170</v>
      </c>
      <c r="F424" s="1"/>
      <c r="G424" s="1"/>
      <c r="H424" s="3"/>
      <c r="I424" s="2"/>
      <c r="J424" s="3"/>
      <c r="K424" s="2"/>
    </row>
    <row r="425" spans="1:11" x14ac:dyDescent="0.2">
      <c r="A425">
        <v>2015</v>
      </c>
      <c r="B425" s="45">
        <v>562</v>
      </c>
      <c r="C425" s="50" t="s">
        <v>513</v>
      </c>
      <c r="D425" s="53">
        <v>2321741</v>
      </c>
      <c r="E425" s="77">
        <v>17183404</v>
      </c>
      <c r="F425" s="1"/>
      <c r="G425" s="1"/>
      <c r="H425" s="3"/>
      <c r="I425" s="2"/>
      <c r="J425" s="3"/>
      <c r="K425" s="2"/>
    </row>
    <row r="426" spans="1:11" x14ac:dyDescent="0.2">
      <c r="A426">
        <v>2015</v>
      </c>
      <c r="B426" s="45">
        <v>563</v>
      </c>
      <c r="C426" s="50" t="s">
        <v>514</v>
      </c>
      <c r="D426" s="53">
        <v>763839</v>
      </c>
      <c r="E426" s="77">
        <v>5586614</v>
      </c>
      <c r="F426" s="1"/>
      <c r="G426" s="1"/>
      <c r="H426" s="3"/>
      <c r="I426" s="2"/>
      <c r="J426" s="3"/>
      <c r="K426" s="2"/>
    </row>
    <row r="427" spans="1:11" x14ac:dyDescent="0.2">
      <c r="A427">
        <v>2015</v>
      </c>
      <c r="B427" s="45">
        <v>564</v>
      </c>
      <c r="C427" s="50" t="s">
        <v>515</v>
      </c>
      <c r="D427" s="53">
        <v>611183</v>
      </c>
      <c r="E427" s="77">
        <v>4611302</v>
      </c>
      <c r="F427" s="1"/>
      <c r="G427" s="1"/>
      <c r="H427" s="3"/>
      <c r="I427" s="2"/>
      <c r="J427" s="3"/>
      <c r="K427" s="2"/>
    </row>
    <row r="428" spans="1:11" x14ac:dyDescent="0.2">
      <c r="A428">
        <v>2015</v>
      </c>
      <c r="B428" s="45">
        <v>565</v>
      </c>
      <c r="C428" s="50" t="s">
        <v>516</v>
      </c>
      <c r="D428" s="53">
        <v>1084051</v>
      </c>
      <c r="E428" s="77">
        <v>7583755</v>
      </c>
      <c r="F428" s="1"/>
      <c r="G428" s="1"/>
      <c r="H428" s="3"/>
      <c r="I428" s="2"/>
      <c r="J428" s="3"/>
      <c r="K428" s="2"/>
    </row>
    <row r="429" spans="1:11" x14ac:dyDescent="0.2">
      <c r="A429">
        <v>2015</v>
      </c>
      <c r="B429" s="45">
        <v>566</v>
      </c>
      <c r="C429" s="50" t="s">
        <v>517</v>
      </c>
      <c r="D429" s="53">
        <v>297797</v>
      </c>
      <c r="E429" s="77">
        <v>2087362</v>
      </c>
      <c r="F429" s="1"/>
      <c r="G429" s="1"/>
      <c r="H429" s="3"/>
      <c r="I429" s="2"/>
      <c r="J429" s="3"/>
      <c r="K429" s="2"/>
    </row>
    <row r="430" spans="1:11" x14ac:dyDescent="0.2">
      <c r="A430">
        <v>2015</v>
      </c>
      <c r="B430" s="45">
        <v>567</v>
      </c>
      <c r="C430" s="50" t="s">
        <v>518</v>
      </c>
      <c r="D430" s="53">
        <v>114243</v>
      </c>
      <c r="E430" s="77">
        <v>1127265</v>
      </c>
      <c r="F430" s="1"/>
      <c r="G430" s="1"/>
      <c r="H430" s="3"/>
      <c r="I430" s="2"/>
      <c r="J430" s="3"/>
      <c r="K430" s="2"/>
    </row>
    <row r="431" spans="1:11" x14ac:dyDescent="0.2">
      <c r="A431">
        <v>2015</v>
      </c>
      <c r="B431" s="45">
        <v>569</v>
      </c>
      <c r="C431" s="50" t="s">
        <v>519</v>
      </c>
      <c r="D431" s="53">
        <v>163211</v>
      </c>
      <c r="E431" s="77">
        <v>1025161</v>
      </c>
      <c r="F431" s="1"/>
      <c r="G431" s="1"/>
      <c r="H431" s="3"/>
      <c r="I431" s="2"/>
      <c r="J431" s="3"/>
      <c r="K431" s="2"/>
    </row>
    <row r="432" spans="1:11" x14ac:dyDescent="0.2">
      <c r="A432">
        <v>2015</v>
      </c>
      <c r="B432" s="45">
        <v>570</v>
      </c>
      <c r="C432" s="50" t="s">
        <v>520</v>
      </c>
      <c r="D432" s="53">
        <v>518849</v>
      </c>
      <c r="E432" s="77">
        <v>3450675</v>
      </c>
      <c r="F432" s="1"/>
      <c r="G432" s="1"/>
      <c r="H432" s="3"/>
      <c r="I432" s="2"/>
      <c r="J432" s="3"/>
      <c r="K432" s="2"/>
    </row>
    <row r="433" spans="1:11" x14ac:dyDescent="0.2">
      <c r="A433">
        <v>2015</v>
      </c>
      <c r="B433" s="37">
        <v>571</v>
      </c>
      <c r="C433" s="39" t="s">
        <v>389</v>
      </c>
      <c r="D433" s="40">
        <v>128888</v>
      </c>
      <c r="E433" s="36">
        <v>1217880</v>
      </c>
      <c r="F433" s="1"/>
      <c r="G433" s="1"/>
      <c r="H433" s="3"/>
      <c r="I433" s="2"/>
      <c r="J433" s="3"/>
      <c r="K433" s="2"/>
    </row>
    <row r="434" spans="1:11" x14ac:dyDescent="0.2">
      <c r="A434">
        <v>2015</v>
      </c>
      <c r="B434" s="37">
        <v>572</v>
      </c>
      <c r="C434" s="39" t="s">
        <v>390</v>
      </c>
      <c r="D434" s="40">
        <v>303100</v>
      </c>
      <c r="E434" s="36">
        <v>1986125</v>
      </c>
      <c r="F434" s="1"/>
      <c r="G434" s="1"/>
      <c r="H434" s="3"/>
      <c r="I434" s="2"/>
      <c r="J434" s="3"/>
      <c r="K434" s="2"/>
    </row>
    <row r="435" spans="1:11" x14ac:dyDescent="0.2">
      <c r="A435">
        <v>2015</v>
      </c>
      <c r="B435" s="37">
        <v>574</v>
      </c>
      <c r="C435" s="39" t="s">
        <v>391</v>
      </c>
      <c r="D435" s="40">
        <v>227226</v>
      </c>
      <c r="E435" s="36">
        <v>1216302</v>
      </c>
      <c r="F435" s="1"/>
      <c r="G435" s="1"/>
      <c r="H435" s="3"/>
      <c r="I435" s="2"/>
      <c r="J435" s="3"/>
      <c r="K435" s="2"/>
    </row>
    <row r="436" spans="1:11" x14ac:dyDescent="0.2">
      <c r="A436">
        <v>2015</v>
      </c>
      <c r="B436" s="37">
        <v>575</v>
      </c>
      <c r="C436" s="39" t="s">
        <v>392</v>
      </c>
      <c r="D436" s="40">
        <v>372450</v>
      </c>
      <c r="E436" s="36">
        <v>2133658</v>
      </c>
      <c r="F436" s="1"/>
      <c r="G436" s="1"/>
      <c r="H436" s="3"/>
      <c r="I436" s="2"/>
      <c r="J436" s="3"/>
      <c r="K436" s="2"/>
    </row>
    <row r="437" spans="1:11" x14ac:dyDescent="0.2">
      <c r="A437">
        <v>2015</v>
      </c>
      <c r="B437" s="37">
        <v>576</v>
      </c>
      <c r="C437" s="39" t="s">
        <v>393</v>
      </c>
      <c r="D437" s="40">
        <v>509732</v>
      </c>
      <c r="E437" s="36">
        <v>4782429</v>
      </c>
      <c r="F437" s="1"/>
      <c r="G437" s="1"/>
      <c r="H437" s="3"/>
      <c r="I437" s="2"/>
      <c r="J437" s="3"/>
      <c r="K437" s="2"/>
    </row>
    <row r="438" spans="1:11" x14ac:dyDescent="0.2">
      <c r="A438">
        <v>2015</v>
      </c>
      <c r="B438" s="37">
        <v>577</v>
      </c>
      <c r="C438" s="39" t="s">
        <v>394</v>
      </c>
      <c r="D438" s="40">
        <v>660420</v>
      </c>
      <c r="E438" s="36">
        <v>3487214</v>
      </c>
      <c r="F438" s="1"/>
      <c r="G438" s="1"/>
      <c r="H438" s="3"/>
      <c r="I438" s="2"/>
      <c r="J438" s="3"/>
      <c r="K438" s="2"/>
    </row>
    <row r="439" spans="1:11" x14ac:dyDescent="0.2">
      <c r="A439">
        <v>2015</v>
      </c>
      <c r="B439" s="37">
        <v>578</v>
      </c>
      <c r="C439" s="39" t="s">
        <v>395</v>
      </c>
      <c r="D439" s="40">
        <v>106932</v>
      </c>
      <c r="E439" s="36">
        <v>939379</v>
      </c>
      <c r="F439" s="1"/>
      <c r="G439" s="1"/>
      <c r="H439" s="3"/>
      <c r="I439" s="2"/>
      <c r="J439" s="3"/>
      <c r="K439" s="2"/>
    </row>
    <row r="440" spans="1:11" x14ac:dyDescent="0.2">
      <c r="A440">
        <v>2015</v>
      </c>
      <c r="B440" s="37">
        <v>580</v>
      </c>
      <c r="C440" s="39" t="s">
        <v>396</v>
      </c>
      <c r="D440" s="40">
        <v>411563</v>
      </c>
      <c r="E440" s="36">
        <v>2730853</v>
      </c>
      <c r="F440" s="1"/>
      <c r="G440" s="1"/>
      <c r="H440" s="3"/>
      <c r="I440" s="2"/>
      <c r="J440" s="3"/>
      <c r="K440" s="2"/>
    </row>
    <row r="441" spans="1:11" x14ac:dyDescent="0.2">
      <c r="A441">
        <v>2015</v>
      </c>
      <c r="B441" s="37">
        <v>581</v>
      </c>
      <c r="C441" s="39" t="s">
        <v>397</v>
      </c>
      <c r="D441" s="40">
        <v>583014</v>
      </c>
      <c r="E441" s="36">
        <v>4287899</v>
      </c>
      <c r="F441" s="1"/>
      <c r="G441" s="1"/>
      <c r="H441" s="3"/>
      <c r="I441" s="2"/>
      <c r="J441" s="3"/>
      <c r="K441" s="2"/>
    </row>
    <row r="442" spans="1:11" x14ac:dyDescent="0.2">
      <c r="A442">
        <v>2015</v>
      </c>
      <c r="B442" s="37">
        <v>582</v>
      </c>
      <c r="C442" s="39" t="s">
        <v>398</v>
      </c>
      <c r="D442" s="40">
        <v>412614</v>
      </c>
      <c r="E442" s="36">
        <v>4153887</v>
      </c>
      <c r="F442" s="1"/>
      <c r="G442" s="1"/>
      <c r="H442" s="3"/>
      <c r="I442" s="2"/>
      <c r="J442" s="3"/>
      <c r="K442" s="2"/>
    </row>
    <row r="443" spans="1:11" x14ac:dyDescent="0.2">
      <c r="A443">
        <v>2015</v>
      </c>
      <c r="B443" s="37">
        <v>583</v>
      </c>
      <c r="C443" s="39" t="s">
        <v>399</v>
      </c>
      <c r="D443" s="40">
        <v>2605206</v>
      </c>
      <c r="E443" s="36">
        <v>16773087</v>
      </c>
      <c r="F443" s="1"/>
      <c r="G443" s="1"/>
      <c r="H443" s="3"/>
      <c r="I443" s="2"/>
      <c r="J443" s="3"/>
      <c r="K443" s="2"/>
    </row>
    <row r="444" spans="1:11" x14ac:dyDescent="0.2">
      <c r="A444">
        <v>2015</v>
      </c>
      <c r="B444" s="37">
        <v>584</v>
      </c>
      <c r="C444" s="39" t="s">
        <v>400</v>
      </c>
      <c r="D444" s="40">
        <v>6320594</v>
      </c>
      <c r="E444" s="36">
        <v>26849095</v>
      </c>
      <c r="F444" s="1"/>
      <c r="G444" s="1"/>
      <c r="H444" s="3"/>
      <c r="I444" s="2"/>
      <c r="J444" s="3"/>
      <c r="K444" s="2"/>
    </row>
    <row r="445" spans="1:11" x14ac:dyDescent="0.2">
      <c r="A445">
        <v>2015</v>
      </c>
      <c r="B445" s="37">
        <v>586</v>
      </c>
      <c r="C445" s="39" t="s">
        <v>401</v>
      </c>
      <c r="D445" s="40">
        <v>7972</v>
      </c>
      <c r="E445" s="36">
        <v>60372</v>
      </c>
      <c r="F445" s="1"/>
      <c r="G445" s="1"/>
      <c r="H445" s="3"/>
      <c r="I445" s="2"/>
      <c r="J445" s="3"/>
      <c r="K445" s="2"/>
    </row>
    <row r="446" spans="1:11" x14ac:dyDescent="0.2">
      <c r="A446">
        <v>2015</v>
      </c>
      <c r="B446" s="37">
        <v>588</v>
      </c>
      <c r="C446" s="39" t="s">
        <v>402</v>
      </c>
      <c r="D446" s="40">
        <v>4014</v>
      </c>
      <c r="E446" s="36">
        <v>39866</v>
      </c>
      <c r="F446" s="1"/>
      <c r="G446" s="1"/>
      <c r="H446" s="3"/>
      <c r="I446" s="2"/>
      <c r="J446" s="3"/>
      <c r="K446" s="2"/>
    </row>
    <row r="447" spans="1:11" x14ac:dyDescent="0.2">
      <c r="A447">
        <v>2015</v>
      </c>
      <c r="B447" s="37">
        <v>589</v>
      </c>
      <c r="C447" s="39" t="s">
        <v>403</v>
      </c>
      <c r="D447" s="40">
        <v>8991</v>
      </c>
      <c r="E447" s="36">
        <v>112128</v>
      </c>
      <c r="F447" s="1"/>
      <c r="G447" s="1"/>
      <c r="H447" s="3"/>
      <c r="I447" s="2"/>
      <c r="J447" s="3"/>
      <c r="K447" s="2"/>
    </row>
    <row r="448" spans="1:11" x14ac:dyDescent="0.2">
      <c r="A448">
        <v>2015</v>
      </c>
      <c r="B448" s="37">
        <v>590</v>
      </c>
      <c r="C448" s="39" t="s">
        <v>403</v>
      </c>
      <c r="D448" s="40">
        <v>23954</v>
      </c>
      <c r="E448" s="36">
        <v>282710</v>
      </c>
      <c r="F448" s="1"/>
      <c r="G448" s="1"/>
      <c r="H448" s="3"/>
      <c r="I448" s="2"/>
      <c r="J448" s="3"/>
      <c r="K448" s="2"/>
    </row>
    <row r="449" spans="1:11" x14ac:dyDescent="0.2">
      <c r="A449">
        <v>2015</v>
      </c>
      <c r="B449" s="37">
        <v>592</v>
      </c>
      <c r="C449" s="39" t="s">
        <v>404</v>
      </c>
      <c r="D449" s="40">
        <v>7477</v>
      </c>
      <c r="E449" s="36">
        <v>41725</v>
      </c>
      <c r="F449" s="1"/>
      <c r="G449" s="1"/>
      <c r="H449" s="3"/>
      <c r="I449" s="2"/>
      <c r="J449" s="3"/>
      <c r="K449" s="2"/>
    </row>
    <row r="450" spans="1:11" x14ac:dyDescent="0.2">
      <c r="A450">
        <v>2015</v>
      </c>
      <c r="B450" s="37">
        <v>596</v>
      </c>
      <c r="C450" s="39" t="s">
        <v>405</v>
      </c>
      <c r="D450" s="40">
        <v>4640</v>
      </c>
      <c r="E450" s="36">
        <v>30335</v>
      </c>
      <c r="F450" s="1"/>
      <c r="G450" s="1"/>
      <c r="H450" s="3"/>
      <c r="I450" s="2"/>
      <c r="J450" s="3"/>
      <c r="K450" s="2"/>
    </row>
    <row r="451" spans="1:11" x14ac:dyDescent="0.2">
      <c r="A451">
        <v>2015</v>
      </c>
      <c r="B451" s="37">
        <v>597</v>
      </c>
      <c r="C451" s="39" t="s">
        <v>406</v>
      </c>
      <c r="D451" s="40">
        <v>193264</v>
      </c>
      <c r="E451" s="36">
        <v>1590996</v>
      </c>
      <c r="F451" s="1"/>
      <c r="G451" s="1"/>
      <c r="H451" s="3"/>
      <c r="I451" s="2"/>
      <c r="J451" s="3"/>
      <c r="K451" s="2"/>
    </row>
    <row r="452" spans="1:11" x14ac:dyDescent="0.2">
      <c r="A452">
        <v>2015</v>
      </c>
      <c r="B452" s="37">
        <v>598</v>
      </c>
      <c r="C452" s="39" t="s">
        <v>407</v>
      </c>
      <c r="D452" s="40">
        <v>40201</v>
      </c>
      <c r="E452" s="36">
        <v>235509</v>
      </c>
      <c r="F452" s="1"/>
      <c r="G452" s="1"/>
      <c r="H452" s="3"/>
      <c r="I452" s="2"/>
      <c r="J452" s="3"/>
      <c r="K452" s="2"/>
    </row>
    <row r="453" spans="1:11" x14ac:dyDescent="0.2">
      <c r="A453">
        <v>2015</v>
      </c>
      <c r="B453" s="37">
        <v>601</v>
      </c>
      <c r="C453" s="39" t="s">
        <v>408</v>
      </c>
      <c r="D453" s="40">
        <v>43166</v>
      </c>
      <c r="E453" s="36">
        <v>400505</v>
      </c>
      <c r="F453" s="1"/>
      <c r="G453" s="1"/>
      <c r="H453" s="3"/>
      <c r="I453" s="2"/>
      <c r="J453" s="3"/>
      <c r="K453" s="2"/>
    </row>
    <row r="454" spans="1:11" x14ac:dyDescent="0.2">
      <c r="A454">
        <v>2015</v>
      </c>
      <c r="B454" s="37">
        <v>602</v>
      </c>
      <c r="C454" s="39" t="s">
        <v>409</v>
      </c>
      <c r="D454" s="40">
        <v>69342</v>
      </c>
      <c r="E454" s="36">
        <v>393411</v>
      </c>
      <c r="F454" s="1"/>
      <c r="G454" s="1"/>
      <c r="H454" s="3"/>
      <c r="I454" s="2"/>
      <c r="J454" s="3"/>
      <c r="K454" s="2"/>
    </row>
    <row r="455" spans="1:11" x14ac:dyDescent="0.2">
      <c r="A455">
        <v>2015</v>
      </c>
      <c r="B455" s="37">
        <v>603</v>
      </c>
      <c r="C455" s="39" t="s">
        <v>410</v>
      </c>
      <c r="D455" s="40">
        <v>5685</v>
      </c>
      <c r="E455" s="36">
        <v>45956</v>
      </c>
      <c r="F455" s="1"/>
      <c r="G455" s="1"/>
      <c r="H455" s="3"/>
      <c r="I455" s="2"/>
      <c r="J455" s="3"/>
      <c r="K455" s="2"/>
    </row>
    <row r="456" spans="1:11" x14ac:dyDescent="0.2">
      <c r="A456">
        <v>2015</v>
      </c>
      <c r="B456" s="37">
        <v>607</v>
      </c>
      <c r="C456" s="39" t="s">
        <v>411</v>
      </c>
      <c r="D456" s="40">
        <v>58098</v>
      </c>
      <c r="E456" s="36">
        <v>553946</v>
      </c>
      <c r="F456" s="1"/>
      <c r="G456" s="1"/>
      <c r="H456" s="3"/>
      <c r="I456" s="2"/>
      <c r="J456" s="3"/>
      <c r="K456" s="2"/>
    </row>
    <row r="457" spans="1:11" x14ac:dyDescent="0.2">
      <c r="A457">
        <v>2015</v>
      </c>
      <c r="B457" s="37">
        <v>608</v>
      </c>
      <c r="C457" s="39" t="s">
        <v>412</v>
      </c>
      <c r="D457" s="40">
        <v>39511</v>
      </c>
      <c r="E457" s="36">
        <v>351824</v>
      </c>
      <c r="F457" s="1"/>
      <c r="G457" s="1"/>
      <c r="H457" s="3"/>
      <c r="I457" s="2"/>
      <c r="J457" s="3"/>
      <c r="K457" s="2"/>
    </row>
    <row r="458" spans="1:11" x14ac:dyDescent="0.2">
      <c r="A458">
        <v>2015</v>
      </c>
      <c r="B458" s="37">
        <v>609</v>
      </c>
      <c r="C458" s="39" t="s">
        <v>413</v>
      </c>
      <c r="D458" s="40">
        <v>18275</v>
      </c>
      <c r="E458" s="36">
        <v>218988</v>
      </c>
      <c r="F458" s="1"/>
      <c r="G458" s="1"/>
      <c r="H458" s="3"/>
      <c r="I458" s="2"/>
      <c r="J458" s="3"/>
      <c r="K458" s="2"/>
    </row>
    <row r="459" spans="1:11" x14ac:dyDescent="0.2">
      <c r="A459">
        <v>2015</v>
      </c>
      <c r="B459" s="37">
        <v>610</v>
      </c>
      <c r="C459" s="39" t="s">
        <v>414</v>
      </c>
      <c r="D459" s="40">
        <v>62205</v>
      </c>
      <c r="E459" s="36">
        <v>559796</v>
      </c>
      <c r="F459" s="1"/>
      <c r="G459" s="1"/>
      <c r="H459" s="3"/>
      <c r="I459" s="2"/>
      <c r="J459" s="3"/>
      <c r="K459" s="2"/>
    </row>
    <row r="460" spans="1:11" x14ac:dyDescent="0.2">
      <c r="A460">
        <v>2015</v>
      </c>
      <c r="B460" s="37">
        <v>611</v>
      </c>
      <c r="C460" s="39" t="s">
        <v>415</v>
      </c>
      <c r="D460" s="40">
        <v>27345</v>
      </c>
      <c r="E460" s="36">
        <v>282159</v>
      </c>
      <c r="F460" s="1"/>
      <c r="G460" s="1"/>
      <c r="H460" s="3"/>
      <c r="I460" s="2"/>
      <c r="J460" s="3"/>
      <c r="K460" s="2"/>
    </row>
    <row r="461" spans="1:11" x14ac:dyDescent="0.2">
      <c r="A461">
        <v>2015</v>
      </c>
      <c r="B461" s="37">
        <v>612</v>
      </c>
      <c r="C461" s="39" t="s">
        <v>416</v>
      </c>
      <c r="D461" s="40">
        <v>301731</v>
      </c>
      <c r="E461" s="36">
        <v>2259917</v>
      </c>
      <c r="F461" s="1"/>
      <c r="G461" s="1"/>
      <c r="H461" s="3"/>
      <c r="I461" s="2"/>
      <c r="J461" s="3"/>
      <c r="K461" s="2"/>
    </row>
    <row r="462" spans="1:11" x14ac:dyDescent="0.2">
      <c r="A462">
        <v>2015</v>
      </c>
      <c r="B462" s="37">
        <v>613</v>
      </c>
      <c r="C462" s="39" t="s">
        <v>417</v>
      </c>
      <c r="D462" s="40">
        <v>6543</v>
      </c>
      <c r="E462" s="36">
        <v>78722</v>
      </c>
      <c r="F462" s="1"/>
      <c r="G462" s="1"/>
      <c r="H462" s="3"/>
      <c r="I462" s="2"/>
      <c r="J462" s="3"/>
      <c r="K462" s="2"/>
    </row>
    <row r="463" spans="1:11" x14ac:dyDescent="0.2">
      <c r="A463">
        <v>2015</v>
      </c>
      <c r="B463" s="37">
        <v>614</v>
      </c>
      <c r="C463" s="39" t="s">
        <v>418</v>
      </c>
      <c r="D463" s="40">
        <v>34325</v>
      </c>
      <c r="E463" s="36">
        <v>165097</v>
      </c>
      <c r="F463" s="1"/>
      <c r="G463" s="1"/>
      <c r="H463" s="3"/>
      <c r="I463" s="2"/>
      <c r="J463" s="3"/>
      <c r="K463" s="2"/>
    </row>
    <row r="464" spans="1:11" x14ac:dyDescent="0.2">
      <c r="A464">
        <v>2015</v>
      </c>
      <c r="B464" s="37">
        <v>615</v>
      </c>
      <c r="C464" s="39" t="s">
        <v>419</v>
      </c>
      <c r="D464" s="40">
        <v>60230</v>
      </c>
      <c r="E464" s="36">
        <v>308921</v>
      </c>
      <c r="F464" s="1"/>
      <c r="G464" s="1"/>
      <c r="H464" s="3"/>
      <c r="I464" s="2"/>
      <c r="J464" s="3"/>
      <c r="K464" s="2"/>
    </row>
    <row r="465" spans="1:13" x14ac:dyDescent="0.2">
      <c r="A465">
        <v>2015</v>
      </c>
      <c r="B465" s="37">
        <v>617</v>
      </c>
      <c r="C465" s="39" t="s">
        <v>420</v>
      </c>
      <c r="D465" s="40">
        <v>80583</v>
      </c>
      <c r="E465" s="36">
        <v>449660</v>
      </c>
      <c r="F465" s="1"/>
      <c r="G465" s="1"/>
      <c r="H465" s="3"/>
      <c r="I465" s="2"/>
      <c r="J465" s="3"/>
      <c r="K465" s="2"/>
    </row>
    <row r="466" spans="1:13" x14ac:dyDescent="0.2">
      <c r="A466">
        <v>2015</v>
      </c>
      <c r="B466" s="37">
        <v>618</v>
      </c>
      <c r="C466" s="39" t="s">
        <v>421</v>
      </c>
      <c r="D466" s="40">
        <v>28115</v>
      </c>
      <c r="E466" s="36">
        <v>222731</v>
      </c>
      <c r="F466" s="1"/>
      <c r="G466" s="1"/>
      <c r="H466" s="3"/>
      <c r="I466" s="2"/>
      <c r="J466" s="3"/>
      <c r="K466" s="2"/>
    </row>
    <row r="467" spans="1:13" x14ac:dyDescent="0.2">
      <c r="A467">
        <v>2015</v>
      </c>
      <c r="B467" s="37">
        <v>619</v>
      </c>
      <c r="C467" s="39" t="s">
        <v>422</v>
      </c>
      <c r="D467" s="40">
        <v>38502</v>
      </c>
      <c r="E467" s="36">
        <v>198475</v>
      </c>
      <c r="F467" s="1"/>
      <c r="G467" s="1"/>
      <c r="H467" s="3"/>
      <c r="I467" s="2"/>
      <c r="J467" s="3"/>
      <c r="K467" s="2"/>
    </row>
    <row r="468" spans="1:13" x14ac:dyDescent="0.2">
      <c r="A468">
        <v>2015</v>
      </c>
      <c r="B468" s="37">
        <v>620</v>
      </c>
      <c r="C468" s="39" t="s">
        <v>423</v>
      </c>
      <c r="D468" s="40">
        <v>25193</v>
      </c>
      <c r="E468" s="36">
        <v>180255</v>
      </c>
      <c r="F468" s="1"/>
      <c r="G468" s="1"/>
      <c r="H468" s="3"/>
      <c r="I468" s="2"/>
      <c r="J468" s="3"/>
      <c r="K468" s="2"/>
    </row>
    <row r="469" spans="1:13" x14ac:dyDescent="0.2">
      <c r="A469">
        <v>2015</v>
      </c>
      <c r="B469" s="37">
        <v>621</v>
      </c>
      <c r="C469" s="39" t="s">
        <v>424</v>
      </c>
      <c r="D469" s="40">
        <v>20534</v>
      </c>
      <c r="E469" s="36">
        <v>258390</v>
      </c>
      <c r="F469" s="1"/>
      <c r="G469" s="1"/>
      <c r="H469" s="3"/>
      <c r="I469" s="2"/>
      <c r="J469" s="3"/>
      <c r="K469" s="2"/>
    </row>
    <row r="470" spans="1:13" x14ac:dyDescent="0.2">
      <c r="A470">
        <v>2015</v>
      </c>
      <c r="B470" s="37">
        <v>622</v>
      </c>
      <c r="C470" s="39" t="s">
        <v>425</v>
      </c>
      <c r="D470" s="40">
        <v>72058</v>
      </c>
      <c r="E470" s="36">
        <v>497968</v>
      </c>
      <c r="F470" s="1"/>
      <c r="G470" s="1"/>
      <c r="H470" s="3"/>
      <c r="I470" s="2"/>
      <c r="J470" s="3"/>
      <c r="K470" s="2"/>
    </row>
    <row r="471" spans="1:13" x14ac:dyDescent="0.2">
      <c r="A471">
        <v>2015</v>
      </c>
      <c r="B471" s="37">
        <v>623</v>
      </c>
      <c r="C471" s="39" t="s">
        <v>426</v>
      </c>
      <c r="D471" s="40">
        <v>140967</v>
      </c>
      <c r="E471" s="36">
        <v>1342700</v>
      </c>
      <c r="F471" s="1"/>
      <c r="G471" s="1"/>
      <c r="H471" s="3"/>
      <c r="I471" s="2"/>
      <c r="J471" s="3"/>
      <c r="K471" s="2"/>
    </row>
    <row r="472" spans="1:13" x14ac:dyDescent="0.2">
      <c r="A472">
        <v>2015</v>
      </c>
      <c r="B472" s="37">
        <v>624</v>
      </c>
      <c r="C472" s="39" t="s">
        <v>427</v>
      </c>
      <c r="D472" s="40">
        <v>35236</v>
      </c>
      <c r="E472" s="36">
        <v>346671</v>
      </c>
      <c r="F472" s="1"/>
      <c r="G472" s="1"/>
      <c r="H472" s="3"/>
      <c r="I472" s="2"/>
      <c r="J472" s="3"/>
      <c r="K472" s="2"/>
    </row>
    <row r="473" spans="1:13" x14ac:dyDescent="0.2">
      <c r="A473">
        <v>2015</v>
      </c>
      <c r="B473" s="37">
        <v>625</v>
      </c>
      <c r="C473" s="39" t="s">
        <v>428</v>
      </c>
      <c r="D473" s="40">
        <v>51980</v>
      </c>
      <c r="E473" s="36">
        <v>403758</v>
      </c>
      <c r="F473" s="1"/>
      <c r="G473" s="1"/>
      <c r="H473" s="3"/>
      <c r="I473" s="2"/>
      <c r="J473" s="3"/>
      <c r="K473" s="2"/>
    </row>
    <row r="474" spans="1:13" x14ac:dyDescent="0.2">
      <c r="A474">
        <v>2015</v>
      </c>
      <c r="B474" s="37">
        <v>626</v>
      </c>
      <c r="C474" s="39" t="s">
        <v>429</v>
      </c>
      <c r="D474" s="40">
        <v>24025</v>
      </c>
      <c r="E474" s="36">
        <v>170363</v>
      </c>
      <c r="F474" s="1"/>
      <c r="G474" s="1"/>
      <c r="H474" s="3"/>
      <c r="I474" s="2"/>
      <c r="J474" s="3"/>
      <c r="K474" s="2"/>
    </row>
    <row r="475" spans="1:13" x14ac:dyDescent="0.2">
      <c r="A475">
        <v>2015</v>
      </c>
      <c r="B475" s="37">
        <v>627</v>
      </c>
      <c r="C475" s="39" t="s">
        <v>430</v>
      </c>
      <c r="D475" s="40">
        <v>45078</v>
      </c>
      <c r="E475" s="36">
        <v>329400</v>
      </c>
      <c r="F475" s="1"/>
      <c r="G475" s="1"/>
      <c r="H475" s="3"/>
      <c r="I475" s="2"/>
      <c r="J475" s="3"/>
      <c r="K475" s="2"/>
    </row>
    <row r="476" spans="1:13" x14ac:dyDescent="0.2">
      <c r="A476">
        <v>2015</v>
      </c>
      <c r="B476" s="37">
        <v>628</v>
      </c>
      <c r="C476" s="39" t="s">
        <v>431</v>
      </c>
      <c r="D476" s="40">
        <v>54146</v>
      </c>
      <c r="E476" s="36">
        <v>377404</v>
      </c>
      <c r="F476" s="12"/>
    </row>
    <row r="477" spans="1:13" x14ac:dyDescent="0.2">
      <c r="A477">
        <v>2015</v>
      </c>
      <c r="B477" s="37">
        <v>629</v>
      </c>
      <c r="C477" s="39" t="s">
        <v>432</v>
      </c>
      <c r="D477" s="40">
        <v>229383</v>
      </c>
      <c r="E477" s="36">
        <v>1397531</v>
      </c>
    </row>
    <row r="478" spans="1:13" x14ac:dyDescent="0.2">
      <c r="A478">
        <v>2015</v>
      </c>
      <c r="B478" s="37">
        <v>630</v>
      </c>
      <c r="C478" s="39" t="s">
        <v>433</v>
      </c>
      <c r="D478" s="40">
        <v>105601</v>
      </c>
      <c r="E478" s="36">
        <v>545735</v>
      </c>
    </row>
    <row r="479" spans="1:13" x14ac:dyDescent="0.2">
      <c r="A479">
        <v>2015</v>
      </c>
      <c r="B479" s="37">
        <v>631</v>
      </c>
      <c r="C479" s="39" t="s">
        <v>434</v>
      </c>
      <c r="D479" s="40">
        <v>35495</v>
      </c>
      <c r="E479" s="36">
        <v>208665</v>
      </c>
      <c r="G479" s="18"/>
      <c r="H479" s="32"/>
      <c r="I479" s="16"/>
      <c r="J479" s="17"/>
      <c r="K479" s="70"/>
      <c r="L479" s="17"/>
      <c r="M479" s="31"/>
    </row>
    <row r="480" spans="1:13" x14ac:dyDescent="0.2">
      <c r="A480">
        <v>2015</v>
      </c>
      <c r="B480" s="37">
        <v>632</v>
      </c>
      <c r="C480" s="39" t="s">
        <v>435</v>
      </c>
      <c r="D480" s="40">
        <v>15307</v>
      </c>
      <c r="E480" s="36">
        <v>115321</v>
      </c>
      <c r="F480" s="19"/>
      <c r="G480" s="18"/>
      <c r="H480" s="18"/>
      <c r="I480" s="16"/>
      <c r="J480" s="17"/>
      <c r="K480" s="70"/>
      <c r="L480" s="17"/>
      <c r="M480" s="31"/>
    </row>
    <row r="481" spans="1:13" x14ac:dyDescent="0.2">
      <c r="A481">
        <v>2015</v>
      </c>
      <c r="B481" s="37">
        <v>633</v>
      </c>
      <c r="C481" s="39" t="s">
        <v>436</v>
      </c>
      <c r="D481" s="40">
        <v>58858</v>
      </c>
      <c r="E481" s="36">
        <v>436684</v>
      </c>
      <c r="F481" s="19"/>
      <c r="G481" s="18"/>
      <c r="H481" s="18"/>
      <c r="I481" s="16"/>
      <c r="J481" s="17"/>
      <c r="K481" s="70"/>
      <c r="L481" s="17"/>
      <c r="M481" s="31"/>
    </row>
    <row r="482" spans="1:13" x14ac:dyDescent="0.2">
      <c r="A482">
        <v>2015</v>
      </c>
      <c r="B482" s="37">
        <v>634</v>
      </c>
      <c r="C482" s="39" t="s">
        <v>437</v>
      </c>
      <c r="D482" s="40">
        <v>23188</v>
      </c>
      <c r="E482" s="36">
        <v>165438</v>
      </c>
      <c r="F482" s="19"/>
      <c r="G482" s="18"/>
      <c r="H482" s="18"/>
      <c r="I482" s="16"/>
      <c r="J482" s="71"/>
      <c r="K482" s="70"/>
      <c r="L482" s="17"/>
      <c r="M482" s="31"/>
    </row>
    <row r="483" spans="1:13" x14ac:dyDescent="0.2">
      <c r="A483">
        <v>2015</v>
      </c>
      <c r="B483" s="37">
        <v>635</v>
      </c>
      <c r="C483" s="39" t="s">
        <v>438</v>
      </c>
      <c r="D483" s="40">
        <v>23809</v>
      </c>
      <c r="E483" s="36">
        <v>127479</v>
      </c>
      <c r="F483" s="19"/>
      <c r="G483" s="18"/>
      <c r="H483" s="32"/>
      <c r="I483" s="16"/>
      <c r="J483" s="17"/>
      <c r="K483" s="72"/>
      <c r="L483" s="17"/>
      <c r="M483" s="31"/>
    </row>
    <row r="484" spans="1:13" x14ac:dyDescent="0.2">
      <c r="A484">
        <v>2015</v>
      </c>
      <c r="B484" s="37">
        <v>636</v>
      </c>
      <c r="C484" s="39" t="s">
        <v>439</v>
      </c>
      <c r="D484" s="40">
        <v>103871</v>
      </c>
      <c r="E484" s="36">
        <v>741485</v>
      </c>
      <c r="F484" s="19"/>
      <c r="G484" s="18"/>
      <c r="H484" s="32"/>
      <c r="I484" s="70"/>
      <c r="J484" s="17"/>
      <c r="K484" s="72"/>
      <c r="L484" s="17"/>
      <c r="M484" s="31"/>
    </row>
    <row r="485" spans="1:13" x14ac:dyDescent="0.2">
      <c r="A485">
        <v>2015</v>
      </c>
      <c r="B485" s="37">
        <v>637</v>
      </c>
      <c r="C485" s="39" t="s">
        <v>440</v>
      </c>
      <c r="D485" s="40">
        <v>520046</v>
      </c>
      <c r="E485" s="36">
        <v>2859636</v>
      </c>
      <c r="F485" s="19"/>
      <c r="G485" s="18"/>
      <c r="H485" s="18"/>
      <c r="I485" s="16"/>
      <c r="J485" s="17"/>
      <c r="K485" s="16"/>
      <c r="L485" s="17"/>
      <c r="M485" s="31"/>
    </row>
    <row r="486" spans="1:13" x14ac:dyDescent="0.2">
      <c r="A486">
        <v>2015</v>
      </c>
      <c r="B486" s="37">
        <v>638</v>
      </c>
      <c r="C486" s="39" t="s">
        <v>441</v>
      </c>
      <c r="D486" s="40">
        <v>178986</v>
      </c>
      <c r="E486" s="36">
        <v>970537</v>
      </c>
      <c r="F486" s="19"/>
      <c r="G486" s="18"/>
      <c r="H486" s="18"/>
      <c r="I486" s="16"/>
      <c r="J486" s="17"/>
      <c r="K486" s="16"/>
      <c r="L486" s="17"/>
      <c r="M486" s="31"/>
    </row>
    <row r="487" spans="1:13" x14ac:dyDescent="0.2">
      <c r="A487">
        <v>2015</v>
      </c>
      <c r="B487" s="37">
        <v>639</v>
      </c>
      <c r="C487" s="39" t="s">
        <v>442</v>
      </c>
      <c r="D487" s="40">
        <v>38945</v>
      </c>
      <c r="E487" s="36">
        <v>212266</v>
      </c>
      <c r="F487" s="19"/>
      <c r="G487" s="18"/>
      <c r="H487" s="32"/>
      <c r="I487" s="16"/>
      <c r="J487" s="17"/>
      <c r="K487" s="16"/>
      <c r="L487" s="17"/>
      <c r="M487" s="31"/>
    </row>
    <row r="488" spans="1:13" x14ac:dyDescent="0.2">
      <c r="A488">
        <v>2015</v>
      </c>
      <c r="B488" s="37">
        <v>641</v>
      </c>
      <c r="C488" s="39" t="s">
        <v>443</v>
      </c>
      <c r="D488" s="40">
        <v>7955</v>
      </c>
      <c r="E488" s="36">
        <v>44342</v>
      </c>
      <c r="F488" s="19"/>
      <c r="G488" s="18"/>
      <c r="H488" s="18"/>
      <c r="I488" s="16"/>
      <c r="J488" s="17"/>
      <c r="K488" s="72"/>
      <c r="L488" s="71"/>
      <c r="M488" s="31"/>
    </row>
    <row r="489" spans="1:13" x14ac:dyDescent="0.2">
      <c r="A489">
        <v>2015</v>
      </c>
      <c r="B489" s="37">
        <v>643</v>
      </c>
      <c r="C489" s="39" t="s">
        <v>444</v>
      </c>
      <c r="D489" s="40">
        <v>111492</v>
      </c>
      <c r="E489" s="36">
        <v>737567</v>
      </c>
      <c r="F489" s="19"/>
      <c r="G489" s="18"/>
      <c r="H489" s="32"/>
      <c r="I489" s="16"/>
      <c r="J489" s="17"/>
      <c r="K489" s="16"/>
      <c r="L489" s="17"/>
      <c r="M489" s="31"/>
    </row>
    <row r="490" spans="1:13" x14ac:dyDescent="0.2">
      <c r="A490">
        <v>2015</v>
      </c>
      <c r="B490" s="37">
        <v>644</v>
      </c>
      <c r="C490" s="39" t="s">
        <v>445</v>
      </c>
      <c r="D490" s="40">
        <v>28973</v>
      </c>
      <c r="E490" s="36">
        <v>254786</v>
      </c>
      <c r="F490" s="19"/>
      <c r="G490" s="18"/>
      <c r="H490" s="18"/>
      <c r="I490" s="72"/>
      <c r="J490" s="17"/>
      <c r="K490" s="72"/>
      <c r="L490" s="17"/>
      <c r="M490" s="31"/>
    </row>
    <row r="491" spans="1:13" x14ac:dyDescent="0.2">
      <c r="A491">
        <v>2015</v>
      </c>
      <c r="B491" s="37">
        <v>645</v>
      </c>
      <c r="C491" s="39" t="s">
        <v>446</v>
      </c>
      <c r="D491" s="40">
        <v>72265</v>
      </c>
      <c r="E491" s="36">
        <v>455938</v>
      </c>
      <c r="F491" s="19"/>
      <c r="G491" s="18"/>
      <c r="H491" s="32"/>
      <c r="I491" s="16"/>
      <c r="J491" s="17"/>
      <c r="K491" s="16"/>
      <c r="L491" s="17"/>
      <c r="M491" s="31"/>
    </row>
    <row r="492" spans="1:13" x14ac:dyDescent="0.2">
      <c r="A492">
        <v>2015</v>
      </c>
      <c r="B492" s="37">
        <v>646</v>
      </c>
      <c r="C492" s="39" t="s">
        <v>447</v>
      </c>
      <c r="D492" s="40">
        <v>51354</v>
      </c>
      <c r="E492" s="36">
        <v>336222</v>
      </c>
      <c r="F492" s="19"/>
      <c r="G492" s="18"/>
      <c r="H492" s="18"/>
      <c r="I492" s="16"/>
      <c r="J492" s="17"/>
      <c r="K492" s="72"/>
      <c r="L492" s="17"/>
      <c r="M492" s="31"/>
    </row>
    <row r="493" spans="1:13" x14ac:dyDescent="0.2">
      <c r="A493">
        <v>2015</v>
      </c>
      <c r="B493" s="37">
        <v>647</v>
      </c>
      <c r="C493" s="39" t="s">
        <v>448</v>
      </c>
      <c r="D493" s="40">
        <v>9225</v>
      </c>
      <c r="E493" s="36">
        <v>59896</v>
      </c>
      <c r="F493" s="19"/>
      <c r="G493" s="18"/>
      <c r="H493" s="32"/>
      <c r="I493" s="16"/>
      <c r="J493" s="17"/>
      <c r="K493" s="72"/>
      <c r="L493" s="17"/>
      <c r="M493" s="31"/>
    </row>
    <row r="494" spans="1:13" x14ac:dyDescent="0.2">
      <c r="A494">
        <v>2015</v>
      </c>
      <c r="B494" s="37">
        <v>648</v>
      </c>
      <c r="C494" s="39" t="s">
        <v>449</v>
      </c>
      <c r="D494" s="40">
        <v>28391</v>
      </c>
      <c r="E494" s="36">
        <v>93717</v>
      </c>
      <c r="F494" s="19"/>
      <c r="G494" s="18"/>
      <c r="H494" s="18"/>
      <c r="I494" s="16"/>
      <c r="J494" s="17"/>
      <c r="K494" s="70"/>
      <c r="L494" s="17"/>
      <c r="M494" s="31"/>
    </row>
    <row r="495" spans="1:13" x14ac:dyDescent="0.2">
      <c r="A495">
        <v>2015</v>
      </c>
      <c r="B495" s="37">
        <v>649</v>
      </c>
      <c r="C495" s="39" t="s">
        <v>450</v>
      </c>
      <c r="D495" s="40">
        <v>67056</v>
      </c>
      <c r="E495" s="36">
        <v>456835</v>
      </c>
      <c r="F495" s="19"/>
      <c r="G495" s="18"/>
      <c r="H495" s="18"/>
      <c r="I495" s="16"/>
      <c r="J495" s="17"/>
      <c r="K495" s="16"/>
      <c r="L495" s="17"/>
      <c r="M495" s="31"/>
    </row>
    <row r="496" spans="1:13" x14ac:dyDescent="0.2">
      <c r="A496">
        <v>2015</v>
      </c>
      <c r="B496" s="37">
        <v>653</v>
      </c>
      <c r="C496" s="39" t="s">
        <v>451</v>
      </c>
      <c r="D496" s="40">
        <v>19220</v>
      </c>
      <c r="E496" s="36">
        <v>144397</v>
      </c>
      <c r="F496" s="19"/>
      <c r="G496" s="18"/>
      <c r="H496" s="18"/>
      <c r="I496" s="16"/>
      <c r="J496" s="17"/>
      <c r="K496" s="16"/>
      <c r="L496" s="17"/>
      <c r="M496" s="31"/>
    </row>
    <row r="497" spans="1:13" x14ac:dyDescent="0.2">
      <c r="A497">
        <v>2015</v>
      </c>
      <c r="B497" s="37">
        <v>656</v>
      </c>
      <c r="C497" s="39" t="s">
        <v>452</v>
      </c>
      <c r="D497" s="40">
        <v>229326</v>
      </c>
      <c r="E497" s="36">
        <v>1776856</v>
      </c>
      <c r="F497" s="19"/>
      <c r="G497" s="13"/>
      <c r="H497" s="13"/>
      <c r="I497" s="31"/>
      <c r="J497" s="14"/>
      <c r="K497" s="15"/>
      <c r="L497" s="14"/>
      <c r="M497" s="15"/>
    </row>
    <row r="498" spans="1:13" x14ac:dyDescent="0.2">
      <c r="A498">
        <v>2015</v>
      </c>
      <c r="B498" s="37">
        <v>657</v>
      </c>
      <c r="C498" s="39" t="s">
        <v>453</v>
      </c>
      <c r="D498" s="40">
        <v>15834</v>
      </c>
      <c r="E498" s="36">
        <v>121881</v>
      </c>
      <c r="F498" s="19"/>
      <c r="G498" s="20"/>
      <c r="H498" s="25"/>
      <c r="I498" s="22"/>
      <c r="J498" s="28"/>
      <c r="K498" s="24"/>
    </row>
    <row r="499" spans="1:13" x14ac:dyDescent="0.2">
      <c r="A499">
        <v>2015</v>
      </c>
      <c r="B499" s="37">
        <v>658</v>
      </c>
      <c r="C499" s="39" t="s">
        <v>454</v>
      </c>
      <c r="D499" s="40">
        <v>12310</v>
      </c>
      <c r="E499" s="36">
        <v>146355</v>
      </c>
      <c r="F499" s="19"/>
      <c r="G499" s="20"/>
      <c r="H499" s="25"/>
      <c r="I499" s="29"/>
      <c r="J499" s="28"/>
      <c r="K499" s="24"/>
    </row>
    <row r="500" spans="1:13" x14ac:dyDescent="0.2">
      <c r="A500">
        <v>2015</v>
      </c>
      <c r="B500" s="37">
        <v>659</v>
      </c>
      <c r="C500" s="39" t="s">
        <v>455</v>
      </c>
      <c r="D500" s="40">
        <v>157618</v>
      </c>
      <c r="E500" s="36">
        <v>1043577</v>
      </c>
      <c r="F500" s="19"/>
      <c r="G500" s="20"/>
      <c r="H500" s="25"/>
      <c r="I500" s="29"/>
      <c r="J500" s="26"/>
      <c r="K500" s="24"/>
    </row>
    <row r="501" spans="1:13" x14ac:dyDescent="0.2">
      <c r="A501">
        <v>2015</v>
      </c>
      <c r="B501" s="37">
        <v>660</v>
      </c>
      <c r="C501" s="39" t="s">
        <v>456</v>
      </c>
      <c r="D501" s="40">
        <v>360295</v>
      </c>
      <c r="E501" s="36">
        <v>2105699</v>
      </c>
      <c r="F501" s="19"/>
      <c r="G501" s="20"/>
      <c r="H501" s="25"/>
      <c r="I501" s="29"/>
      <c r="J501" s="26"/>
      <c r="K501" s="24"/>
    </row>
    <row r="502" spans="1:13" x14ac:dyDescent="0.2">
      <c r="A502">
        <v>2015</v>
      </c>
      <c r="B502" s="37">
        <v>661</v>
      </c>
      <c r="C502" s="39" t="s">
        <v>457</v>
      </c>
      <c r="D502" s="40">
        <v>199678</v>
      </c>
      <c r="E502" s="36">
        <v>1522418</v>
      </c>
      <c r="F502" s="19"/>
      <c r="G502" s="20"/>
      <c r="H502" s="21"/>
      <c r="I502" s="29"/>
      <c r="J502" s="23"/>
      <c r="K502" s="24"/>
    </row>
    <row r="503" spans="1:13" x14ac:dyDescent="0.2">
      <c r="A503">
        <v>2015</v>
      </c>
      <c r="B503" s="37">
        <v>662</v>
      </c>
      <c r="C503" s="39" t="s">
        <v>458</v>
      </c>
      <c r="D503" s="40">
        <v>33449</v>
      </c>
      <c r="E503" s="36">
        <v>270212</v>
      </c>
      <c r="F503" s="19"/>
      <c r="G503" s="20"/>
      <c r="H503" s="21"/>
      <c r="I503" s="29"/>
      <c r="J503" s="27"/>
      <c r="K503" s="24"/>
    </row>
    <row r="504" spans="1:13" x14ac:dyDescent="0.2">
      <c r="A504">
        <v>2015</v>
      </c>
      <c r="B504" s="37">
        <v>663</v>
      </c>
      <c r="C504" s="39" t="s">
        <v>459</v>
      </c>
      <c r="D504" s="40">
        <v>16402</v>
      </c>
      <c r="E504" s="36">
        <v>112332</v>
      </c>
      <c r="F504" s="19"/>
      <c r="G504" s="20"/>
      <c r="H504" s="21"/>
      <c r="I504" s="29"/>
      <c r="J504" s="23"/>
      <c r="K504" s="24"/>
    </row>
    <row r="505" spans="1:13" x14ac:dyDescent="0.2">
      <c r="A505">
        <v>2015</v>
      </c>
      <c r="B505" s="37">
        <v>666</v>
      </c>
      <c r="C505" s="39" t="s">
        <v>460</v>
      </c>
      <c r="D505" s="40">
        <v>101019</v>
      </c>
      <c r="E505" s="36">
        <v>572380</v>
      </c>
      <c r="F505" s="19"/>
      <c r="G505" s="20"/>
      <c r="H505" s="21"/>
      <c r="I505" s="29"/>
      <c r="J505" s="23"/>
      <c r="K505" s="24"/>
    </row>
    <row r="506" spans="1:13" x14ac:dyDescent="0.2">
      <c r="A506">
        <v>2015</v>
      </c>
      <c r="B506" s="37">
        <v>667</v>
      </c>
      <c r="C506" s="39" t="s">
        <v>461</v>
      </c>
      <c r="D506" s="40">
        <v>115160</v>
      </c>
      <c r="E506" s="36">
        <v>633349</v>
      </c>
      <c r="F506" s="19"/>
      <c r="G506" s="20"/>
      <c r="H506" s="25"/>
      <c r="I506" s="29"/>
      <c r="J506" s="26"/>
      <c r="K506" s="24"/>
    </row>
    <row r="507" spans="1:13" x14ac:dyDescent="0.2">
      <c r="A507">
        <v>2015</v>
      </c>
      <c r="B507" s="37">
        <v>668</v>
      </c>
      <c r="C507" s="39" t="s">
        <v>462</v>
      </c>
      <c r="D507" s="40">
        <v>63921</v>
      </c>
      <c r="E507" s="36">
        <v>454946</v>
      </c>
      <c r="F507" s="19"/>
      <c r="G507" s="20"/>
      <c r="H507" s="25"/>
      <c r="I507" s="29"/>
      <c r="J507" s="26"/>
      <c r="K507" s="24"/>
    </row>
    <row r="508" spans="1:13" x14ac:dyDescent="0.2">
      <c r="A508">
        <v>2015</v>
      </c>
      <c r="B508" s="37">
        <v>673</v>
      </c>
      <c r="C508" s="39" t="s">
        <v>463</v>
      </c>
      <c r="D508" s="40">
        <v>170767</v>
      </c>
      <c r="E508" s="36">
        <v>1700863</v>
      </c>
      <c r="F508" s="19"/>
      <c r="G508" s="20"/>
      <c r="H508" s="21"/>
      <c r="I508" s="29"/>
      <c r="J508" s="23"/>
      <c r="K508" s="24"/>
    </row>
    <row r="509" spans="1:13" x14ac:dyDescent="0.2">
      <c r="A509">
        <v>2015</v>
      </c>
      <c r="B509" s="37">
        <v>674</v>
      </c>
      <c r="C509" s="39" t="s">
        <v>464</v>
      </c>
      <c r="D509" s="40">
        <v>72809</v>
      </c>
      <c r="E509" s="36">
        <v>547141</v>
      </c>
      <c r="F509" s="19"/>
      <c r="G509" s="20"/>
      <c r="H509" s="21"/>
      <c r="I509" s="29"/>
      <c r="J509" s="23"/>
      <c r="K509" s="24"/>
    </row>
    <row r="510" spans="1:13" x14ac:dyDescent="0.2">
      <c r="A510">
        <v>2015</v>
      </c>
      <c r="B510" s="37">
        <v>675</v>
      </c>
      <c r="C510" s="39" t="s">
        <v>465</v>
      </c>
      <c r="D510" s="40">
        <v>66134</v>
      </c>
      <c r="E510" s="36">
        <v>394958</v>
      </c>
      <c r="F510" s="19"/>
      <c r="G510" s="20"/>
      <c r="H510" s="25"/>
      <c r="I510" s="29"/>
      <c r="J510" s="26"/>
      <c r="K510" s="24"/>
    </row>
    <row r="511" spans="1:13" x14ac:dyDescent="0.2">
      <c r="A511">
        <v>2015</v>
      </c>
      <c r="B511" s="37">
        <v>676</v>
      </c>
      <c r="C511" s="39" t="s">
        <v>466</v>
      </c>
      <c r="D511" s="40">
        <v>23137</v>
      </c>
      <c r="E511" s="36">
        <v>164403</v>
      </c>
      <c r="F511" s="19"/>
      <c r="G511" s="20"/>
      <c r="H511" s="25"/>
      <c r="I511" s="29"/>
      <c r="J511" s="26"/>
      <c r="K511" s="24"/>
    </row>
    <row r="512" spans="1:13" x14ac:dyDescent="0.2">
      <c r="A512">
        <v>2015</v>
      </c>
      <c r="B512" s="37">
        <v>677</v>
      </c>
      <c r="C512" s="39" t="s">
        <v>467</v>
      </c>
      <c r="D512" s="40">
        <v>26830</v>
      </c>
      <c r="E512" s="36">
        <v>228144</v>
      </c>
      <c r="F512" s="19"/>
      <c r="G512" s="20"/>
      <c r="H512" s="25"/>
      <c r="I512" s="29"/>
      <c r="J512" s="28"/>
      <c r="K512" s="24"/>
    </row>
    <row r="513" spans="1:11" x14ac:dyDescent="0.2">
      <c r="A513">
        <v>2015</v>
      </c>
      <c r="B513" s="37">
        <v>680</v>
      </c>
      <c r="C513" s="39" t="s">
        <v>468</v>
      </c>
      <c r="D513" s="40">
        <v>42607</v>
      </c>
      <c r="E513" s="36">
        <v>287885</v>
      </c>
      <c r="F513" s="19"/>
      <c r="G513" s="20"/>
      <c r="H513" s="25"/>
      <c r="I513" s="29"/>
      <c r="J513" s="28"/>
      <c r="K513" s="24"/>
    </row>
    <row r="514" spans="1:11" x14ac:dyDescent="0.2">
      <c r="A514">
        <v>2015</v>
      </c>
      <c r="B514" s="37">
        <v>681</v>
      </c>
      <c r="C514" s="39" t="s">
        <v>469</v>
      </c>
      <c r="D514" s="40">
        <v>50642</v>
      </c>
      <c r="E514" s="36">
        <v>450671</v>
      </c>
      <c r="F514" s="19"/>
      <c r="G514" s="20"/>
      <c r="H514" s="25"/>
      <c r="I514" s="29"/>
      <c r="J514" s="28"/>
      <c r="K514" s="24"/>
    </row>
    <row r="515" spans="1:11" x14ac:dyDescent="0.2">
      <c r="A515">
        <v>2015</v>
      </c>
      <c r="B515" s="37">
        <v>682</v>
      </c>
      <c r="C515" s="39" t="s">
        <v>470</v>
      </c>
      <c r="D515" s="40">
        <v>118063</v>
      </c>
      <c r="E515" s="36">
        <v>871362</v>
      </c>
      <c r="F515" s="19"/>
      <c r="G515" s="20"/>
      <c r="H515" s="25"/>
      <c r="I515" s="29"/>
      <c r="J515" s="28"/>
      <c r="K515" s="24"/>
    </row>
    <row r="516" spans="1:11" x14ac:dyDescent="0.2">
      <c r="A516">
        <v>2015</v>
      </c>
      <c r="B516" s="37">
        <v>683</v>
      </c>
      <c r="C516" s="39" t="s">
        <v>471</v>
      </c>
      <c r="D516" s="40">
        <v>47489</v>
      </c>
      <c r="E516" s="36">
        <v>438896</v>
      </c>
      <c r="F516" s="19"/>
      <c r="G516" s="20"/>
      <c r="H516" s="25"/>
      <c r="I516" s="24"/>
      <c r="J516" s="26"/>
      <c r="K516" s="24"/>
    </row>
    <row r="517" spans="1:11" x14ac:dyDescent="0.2">
      <c r="A517">
        <v>2015</v>
      </c>
      <c r="B517" s="37">
        <v>684</v>
      </c>
      <c r="C517" s="39" t="s">
        <v>472</v>
      </c>
      <c r="D517" s="40">
        <v>6312</v>
      </c>
      <c r="E517" s="36">
        <v>44494</v>
      </c>
      <c r="F517" s="19"/>
      <c r="G517" s="20"/>
      <c r="H517" s="25"/>
      <c r="I517" s="24"/>
      <c r="J517" s="26"/>
      <c r="K517" s="24"/>
    </row>
    <row r="518" spans="1:11" x14ac:dyDescent="0.2">
      <c r="A518">
        <v>2015</v>
      </c>
      <c r="B518" s="37">
        <v>699</v>
      </c>
      <c r="C518" s="39" t="s">
        <v>473</v>
      </c>
      <c r="D518" s="40">
        <v>34194</v>
      </c>
      <c r="E518" s="36">
        <v>490528</v>
      </c>
      <c r="F518" s="19"/>
      <c r="G518" s="20"/>
      <c r="H518" s="25"/>
      <c r="I518" s="24"/>
      <c r="J518" s="28"/>
      <c r="K518" s="24"/>
    </row>
    <row r="519" spans="1:11" x14ac:dyDescent="0.2">
      <c r="A519">
        <v>2015</v>
      </c>
      <c r="B519" s="41">
        <v>701</v>
      </c>
      <c r="C519" s="42" t="s">
        <v>525</v>
      </c>
      <c r="D519" s="46"/>
      <c r="E519" s="44">
        <v>158691</v>
      </c>
      <c r="F519" s="19"/>
      <c r="G519" s="20"/>
      <c r="H519" s="25"/>
      <c r="I519" s="24"/>
      <c r="J519" s="26"/>
      <c r="K519" s="24"/>
    </row>
    <row r="520" spans="1:11" x14ac:dyDescent="0.2">
      <c r="A520">
        <v>2015</v>
      </c>
      <c r="B520" s="41">
        <v>702</v>
      </c>
      <c r="C520" s="43" t="s">
        <v>526</v>
      </c>
      <c r="D520" s="46"/>
      <c r="E520" s="44">
        <v>120853</v>
      </c>
      <c r="F520" s="30"/>
      <c r="G520" s="20"/>
      <c r="H520" s="25"/>
      <c r="I520" s="24"/>
      <c r="J520" s="26"/>
      <c r="K520" s="24"/>
    </row>
    <row r="521" spans="1:11" x14ac:dyDescent="0.2">
      <c r="A521">
        <v>2015</v>
      </c>
      <c r="B521" s="41">
        <v>704</v>
      </c>
      <c r="C521" s="43" t="s">
        <v>527</v>
      </c>
      <c r="D521" s="46"/>
      <c r="E521" s="44">
        <v>116774</v>
      </c>
      <c r="F521" s="30"/>
      <c r="G521" s="20"/>
      <c r="H521" s="25"/>
      <c r="I521" s="24"/>
      <c r="J521" s="26"/>
      <c r="K521" s="24"/>
    </row>
    <row r="522" spans="1:11" x14ac:dyDescent="0.2">
      <c r="A522">
        <v>2015</v>
      </c>
      <c r="B522" s="41">
        <v>708</v>
      </c>
      <c r="C522" s="43" t="s">
        <v>528</v>
      </c>
      <c r="D522" s="46"/>
      <c r="E522" s="44">
        <v>10434</v>
      </c>
      <c r="F522" s="30"/>
      <c r="G522" s="20"/>
      <c r="H522" s="25"/>
      <c r="I522" s="24"/>
      <c r="J522" s="26"/>
      <c r="K522" s="24"/>
    </row>
    <row r="523" spans="1:11" x14ac:dyDescent="0.2">
      <c r="A523">
        <v>2015</v>
      </c>
      <c r="B523" s="41">
        <v>711</v>
      </c>
      <c r="C523" s="42" t="s">
        <v>529</v>
      </c>
      <c r="D523" s="54">
        <v>211523</v>
      </c>
      <c r="E523" s="44">
        <v>183052</v>
      </c>
      <c r="F523" s="2"/>
    </row>
    <row r="524" spans="1:11" x14ac:dyDescent="0.2">
      <c r="A524">
        <v>2015</v>
      </c>
      <c r="B524" s="41">
        <v>714</v>
      </c>
      <c r="C524" s="42" t="s">
        <v>530</v>
      </c>
      <c r="D524" s="54">
        <v>30894</v>
      </c>
      <c r="E524" s="73"/>
      <c r="F524" s="2"/>
    </row>
    <row r="525" spans="1:11" x14ac:dyDescent="0.2">
      <c r="A525">
        <v>2015</v>
      </c>
      <c r="B525" s="41">
        <v>750</v>
      </c>
      <c r="C525" s="43" t="s">
        <v>531</v>
      </c>
      <c r="D525" s="55">
        <v>77528</v>
      </c>
      <c r="E525" s="44">
        <v>374684</v>
      </c>
      <c r="F525" s="2"/>
    </row>
    <row r="526" spans="1:11" x14ac:dyDescent="0.2">
      <c r="A526">
        <v>2015</v>
      </c>
      <c r="B526" s="41">
        <v>801</v>
      </c>
      <c r="C526" s="43" t="s">
        <v>474</v>
      </c>
      <c r="D526" s="55">
        <v>123519</v>
      </c>
      <c r="E526" s="44">
        <v>1275237</v>
      </c>
      <c r="F526" s="2"/>
    </row>
    <row r="527" spans="1:11" x14ac:dyDescent="0.2">
      <c r="A527">
        <v>2015</v>
      </c>
      <c r="B527" s="41">
        <v>802</v>
      </c>
      <c r="C527" s="42" t="s">
        <v>532</v>
      </c>
      <c r="D527" s="55">
        <v>217873</v>
      </c>
      <c r="E527" s="44">
        <v>1209650</v>
      </c>
      <c r="F527" s="2"/>
    </row>
    <row r="528" spans="1:11" x14ac:dyDescent="0.2">
      <c r="A528">
        <v>2015</v>
      </c>
      <c r="B528" s="41">
        <v>803</v>
      </c>
      <c r="C528" s="43" t="s">
        <v>475</v>
      </c>
      <c r="D528" s="54">
        <v>2123413</v>
      </c>
      <c r="E528" s="44">
        <v>4159289</v>
      </c>
      <c r="F528" s="2"/>
    </row>
    <row r="529" spans="1:6" x14ac:dyDescent="0.2">
      <c r="A529">
        <v>2015</v>
      </c>
      <c r="B529" s="41">
        <v>805</v>
      </c>
      <c r="C529" s="42" t="s">
        <v>533</v>
      </c>
      <c r="D529" s="55">
        <v>434618</v>
      </c>
      <c r="E529" s="44">
        <v>1704191</v>
      </c>
      <c r="F529" s="2"/>
    </row>
    <row r="530" spans="1:6" x14ac:dyDescent="0.2">
      <c r="A530">
        <v>2015</v>
      </c>
      <c r="B530" s="41">
        <v>806</v>
      </c>
      <c r="C530" s="43" t="s">
        <v>476</v>
      </c>
      <c r="D530" s="54">
        <v>245367</v>
      </c>
      <c r="E530" s="74">
        <v>2003943</v>
      </c>
      <c r="F530" s="2"/>
    </row>
    <row r="531" spans="1:6" x14ac:dyDescent="0.2">
      <c r="A531">
        <v>2015</v>
      </c>
      <c r="B531" s="41">
        <v>807</v>
      </c>
      <c r="C531" s="42" t="s">
        <v>534</v>
      </c>
      <c r="D531" s="55">
        <v>180322</v>
      </c>
      <c r="E531" s="44">
        <v>1563698</v>
      </c>
      <c r="F531" s="2"/>
    </row>
    <row r="532" spans="1:6" x14ac:dyDescent="0.2">
      <c r="A532">
        <v>2015</v>
      </c>
      <c r="B532" s="41">
        <v>808</v>
      </c>
      <c r="C532" s="43" t="s">
        <v>535</v>
      </c>
      <c r="D532" s="54">
        <v>271340</v>
      </c>
      <c r="E532" s="44">
        <v>1322280</v>
      </c>
      <c r="F532" s="2"/>
    </row>
    <row r="533" spans="1:6" x14ac:dyDescent="0.2">
      <c r="A533">
        <v>2015</v>
      </c>
      <c r="B533" s="41">
        <v>809</v>
      </c>
      <c r="C533" s="42" t="s">
        <v>536</v>
      </c>
      <c r="D533" s="54">
        <v>234094</v>
      </c>
      <c r="E533" s="44">
        <v>1271402</v>
      </c>
      <c r="F533" s="2"/>
    </row>
    <row r="534" spans="1:6" x14ac:dyDescent="0.2">
      <c r="A534">
        <v>2015</v>
      </c>
      <c r="B534" s="41">
        <v>810</v>
      </c>
      <c r="C534" s="43" t="s">
        <v>537</v>
      </c>
      <c r="D534" s="46"/>
      <c r="E534" s="44">
        <v>8934195</v>
      </c>
      <c r="F534" s="2"/>
    </row>
    <row r="535" spans="1:6" x14ac:dyDescent="0.2">
      <c r="A535">
        <v>2015</v>
      </c>
      <c r="B535" s="41">
        <v>811</v>
      </c>
      <c r="C535" s="43" t="s">
        <v>477</v>
      </c>
      <c r="D535" s="55">
        <v>237330</v>
      </c>
      <c r="E535" s="44">
        <v>531454</v>
      </c>
      <c r="F535" s="2"/>
    </row>
    <row r="536" spans="1:6" x14ac:dyDescent="0.2">
      <c r="A536">
        <v>2015</v>
      </c>
      <c r="B536" s="41">
        <v>812</v>
      </c>
      <c r="C536" s="43" t="s">
        <v>538</v>
      </c>
      <c r="D536" s="55">
        <v>736516</v>
      </c>
      <c r="E536" s="44">
        <v>2085438</v>
      </c>
      <c r="F536" s="2"/>
    </row>
    <row r="537" spans="1:6" x14ac:dyDescent="0.2">
      <c r="A537">
        <v>2015</v>
      </c>
      <c r="B537" s="41">
        <v>813</v>
      </c>
      <c r="C537" s="43" t="s">
        <v>539</v>
      </c>
      <c r="D537" s="56">
        <v>575577</v>
      </c>
      <c r="E537" s="44">
        <v>3447038</v>
      </c>
      <c r="F537" s="1"/>
    </row>
    <row r="538" spans="1:6" x14ac:dyDescent="0.2">
      <c r="B538" s="47"/>
    </row>
    <row r="539" spans="1:6" x14ac:dyDescent="0.2">
      <c r="B539" s="47"/>
      <c r="D539" s="52"/>
      <c r="E539" s="60">
        <f>SUM(E2:E537)</f>
        <v>656578129</v>
      </c>
    </row>
    <row r="540" spans="1:6" x14ac:dyDescent="0.2">
      <c r="B540" s="47"/>
    </row>
    <row r="541" spans="1:6" x14ac:dyDescent="0.2">
      <c r="B541" s="47"/>
    </row>
    <row r="542" spans="1:6" x14ac:dyDescent="0.2">
      <c r="B542" s="47"/>
    </row>
    <row r="543" spans="1:6" x14ac:dyDescent="0.2">
      <c r="B543" s="48"/>
    </row>
    <row r="544" spans="1:6" x14ac:dyDescent="0.2">
      <c r="B544" s="38"/>
    </row>
    <row r="545" spans="2:2" x14ac:dyDescent="0.2">
      <c r="B545" s="38"/>
    </row>
    <row r="546" spans="2:2" x14ac:dyDescent="0.2">
      <c r="B546" s="38"/>
    </row>
    <row r="547" spans="2:2" x14ac:dyDescent="0.2">
      <c r="B547" s="49"/>
    </row>
    <row r="548" spans="2:2" x14ac:dyDescent="0.2">
      <c r="B548" s="49"/>
    </row>
    <row r="549" spans="2:2" x14ac:dyDescent="0.2">
      <c r="B549" s="49"/>
    </row>
    <row r="550" spans="2:2" x14ac:dyDescent="0.2">
      <c r="B550" s="49"/>
    </row>
    <row r="551" spans="2:2" x14ac:dyDescent="0.2">
      <c r="B551" s="49"/>
    </row>
    <row r="552" spans="2:2" x14ac:dyDescent="0.2">
      <c r="B552" s="49"/>
    </row>
    <row r="553" spans="2:2" x14ac:dyDescent="0.2">
      <c r="B553" s="49"/>
    </row>
    <row r="554" spans="2:2" x14ac:dyDescent="0.2">
      <c r="B554" s="49"/>
    </row>
    <row r="555" spans="2:2" x14ac:dyDescent="0.2">
      <c r="B555" s="49"/>
    </row>
    <row r="556" spans="2:2" x14ac:dyDescent="0.2">
      <c r="B556" s="49"/>
    </row>
    <row r="557" spans="2:2" x14ac:dyDescent="0.2">
      <c r="B557" s="49"/>
    </row>
    <row r="558" spans="2:2" x14ac:dyDescent="0.2">
      <c r="B558" s="49"/>
    </row>
    <row r="559" spans="2:2" x14ac:dyDescent="0.2">
      <c r="B559" s="49"/>
    </row>
    <row r="560" spans="2:2" x14ac:dyDescent="0.2">
      <c r="B560" s="49"/>
    </row>
    <row r="561" spans="2:2" x14ac:dyDescent="0.2">
      <c r="B561" s="49"/>
    </row>
    <row r="562" spans="2:2" x14ac:dyDescent="0.2">
      <c r="B562" s="49"/>
    </row>
    <row r="563" spans="2:2" x14ac:dyDescent="0.2">
      <c r="B563" s="49"/>
    </row>
    <row r="564" spans="2:2" x14ac:dyDescent="0.2">
      <c r="B564" s="49"/>
    </row>
    <row r="565" spans="2:2" x14ac:dyDescent="0.2">
      <c r="B565" s="49"/>
    </row>
  </sheetData>
  <autoFilter ref="A1:E1" xr:uid="{ECC8C3F2-07DC-974B-A6BD-DE6706321CCE}">
    <sortState xmlns:xlrd2="http://schemas.microsoft.com/office/spreadsheetml/2017/richdata2" ref="A2:E537">
      <sortCondition ref="B1:B53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1FCC-7420-3F4E-BEAF-4B9926BF36AD}">
  <sheetPr>
    <tabColor rgb="FFFFFF00"/>
  </sheetPr>
  <dimension ref="A1:O543"/>
  <sheetViews>
    <sheetView topLeftCell="A513" workbookViewId="0">
      <selection activeCell="E537" sqref="E2:E537"/>
    </sheetView>
  </sheetViews>
  <sheetFormatPr baseColWidth="10" defaultRowHeight="16" x14ac:dyDescent="0.2"/>
  <cols>
    <col min="2" max="2" width="10.83203125" style="34"/>
    <col min="3" max="3" width="26.6640625" style="34" bestFit="1" customWidth="1"/>
    <col min="4" max="4" width="19.83203125" style="34" bestFit="1" customWidth="1"/>
    <col min="5" max="5" width="12.5" style="34" bestFit="1" customWidth="1"/>
    <col min="6" max="6" width="15" style="34" bestFit="1" customWidth="1"/>
    <col min="7" max="7" width="10.83203125" style="34"/>
  </cols>
  <sheetData>
    <row r="1" spans="1:15" x14ac:dyDescent="0.2">
      <c r="A1" t="s">
        <v>729</v>
      </c>
      <c r="B1" s="33" t="s">
        <v>521</v>
      </c>
      <c r="C1" s="39" t="s">
        <v>522</v>
      </c>
      <c r="D1" s="63" t="s">
        <v>523</v>
      </c>
      <c r="F1"/>
      <c r="G1"/>
    </row>
    <row r="2" spans="1:15" x14ac:dyDescent="0.2">
      <c r="A2">
        <v>2016</v>
      </c>
      <c r="B2" s="34">
        <v>1</v>
      </c>
      <c r="C2" s="34" t="s">
        <v>0</v>
      </c>
      <c r="D2" s="36">
        <v>28983</v>
      </c>
      <c r="E2" s="36">
        <v>184107</v>
      </c>
      <c r="F2" s="1"/>
      <c r="G2" s="1"/>
      <c r="H2" s="11"/>
      <c r="I2" s="1"/>
      <c r="J2" s="11"/>
      <c r="K2" s="2"/>
      <c r="L2" s="11"/>
      <c r="M2" s="1"/>
      <c r="N2" s="11"/>
      <c r="O2" s="2">
        <v>2.7399999999999999E-4</v>
      </c>
    </row>
    <row r="3" spans="1:15" x14ac:dyDescent="0.2">
      <c r="A3">
        <v>2016</v>
      </c>
      <c r="B3" s="34">
        <v>2</v>
      </c>
      <c r="C3" s="34" t="s">
        <v>1</v>
      </c>
      <c r="D3" s="36">
        <v>19230</v>
      </c>
      <c r="E3" s="36">
        <v>157907</v>
      </c>
      <c r="F3" s="1"/>
      <c r="G3" s="1"/>
      <c r="H3" s="57"/>
      <c r="I3" s="3"/>
      <c r="J3" s="57"/>
      <c r="K3" s="2"/>
      <c r="L3" s="57"/>
      <c r="M3" s="3"/>
      <c r="N3" s="57"/>
      <c r="O3" s="2">
        <v>1.8200000000000001E-4</v>
      </c>
    </row>
    <row r="4" spans="1:15" x14ac:dyDescent="0.2">
      <c r="A4">
        <v>2016</v>
      </c>
      <c r="B4" s="34">
        <v>3</v>
      </c>
      <c r="C4" s="34" t="s">
        <v>2</v>
      </c>
      <c r="D4" s="36">
        <v>300832</v>
      </c>
      <c r="E4" s="36">
        <v>1837911</v>
      </c>
      <c r="F4" s="1"/>
      <c r="G4" s="1"/>
      <c r="H4" s="57"/>
      <c r="I4" s="3"/>
      <c r="J4" s="57"/>
      <c r="K4" s="2"/>
      <c r="L4" s="57"/>
      <c r="M4" s="3"/>
      <c r="N4" s="57"/>
      <c r="O4" s="2">
        <v>2.8400000000000001E-3</v>
      </c>
    </row>
    <row r="5" spans="1:15" x14ac:dyDescent="0.2">
      <c r="A5">
        <v>2016</v>
      </c>
      <c r="B5" s="34">
        <v>4</v>
      </c>
      <c r="C5" s="34" t="s">
        <v>3</v>
      </c>
      <c r="D5" s="36">
        <v>174875</v>
      </c>
      <c r="E5" s="36">
        <v>1416674</v>
      </c>
      <c r="F5" s="1"/>
      <c r="G5" s="1"/>
      <c r="H5" s="57"/>
      <c r="I5" s="3"/>
      <c r="J5" s="57"/>
      <c r="K5" s="2"/>
      <c r="L5" s="57"/>
      <c r="M5" s="3"/>
      <c r="N5" s="57"/>
      <c r="O5" s="2">
        <v>1.6509999999999999E-3</v>
      </c>
    </row>
    <row r="6" spans="1:15" x14ac:dyDescent="0.2">
      <c r="A6">
        <v>2016</v>
      </c>
      <c r="B6" s="34">
        <v>5</v>
      </c>
      <c r="C6" s="34" t="s">
        <v>4</v>
      </c>
      <c r="D6" s="36">
        <v>27278</v>
      </c>
      <c r="E6" s="36">
        <v>272392</v>
      </c>
      <c r="F6" s="1"/>
      <c r="G6" s="1"/>
      <c r="H6" s="57"/>
      <c r="I6" s="3"/>
      <c r="J6" s="57"/>
      <c r="K6" s="2"/>
      <c r="L6" s="57"/>
      <c r="M6" s="3"/>
      <c r="N6" s="57"/>
      <c r="O6" s="2">
        <v>2.5700000000000001E-4</v>
      </c>
    </row>
    <row r="7" spans="1:15" x14ac:dyDescent="0.2">
      <c r="A7">
        <v>2016</v>
      </c>
      <c r="B7" s="34">
        <v>6</v>
      </c>
      <c r="C7" s="34" t="s">
        <v>5</v>
      </c>
      <c r="D7" s="36">
        <v>19694</v>
      </c>
      <c r="E7" s="36">
        <v>101579</v>
      </c>
      <c r="F7" s="1"/>
      <c r="G7" s="1"/>
      <c r="H7" s="57"/>
      <c r="I7" s="3"/>
      <c r="J7" s="57"/>
      <c r="K7" s="2"/>
      <c r="L7" s="57"/>
      <c r="M7" s="3"/>
      <c r="N7" s="57"/>
      <c r="O7" s="2">
        <v>1.8599999999999999E-4</v>
      </c>
    </row>
    <row r="8" spans="1:15" x14ac:dyDescent="0.2">
      <c r="A8">
        <v>2016</v>
      </c>
      <c r="B8" s="34">
        <v>8</v>
      </c>
      <c r="C8" s="34" t="s">
        <v>6</v>
      </c>
      <c r="D8" s="36">
        <v>44842</v>
      </c>
      <c r="E8" s="36">
        <v>351285</v>
      </c>
      <c r="F8" s="1"/>
      <c r="G8" s="1"/>
      <c r="H8" s="57"/>
      <c r="I8" s="3"/>
      <c r="J8" s="57"/>
      <c r="K8" s="2"/>
      <c r="L8" s="57"/>
      <c r="M8" s="3"/>
      <c r="N8" s="57"/>
      <c r="O8" s="2">
        <v>4.2299999999999998E-4</v>
      </c>
    </row>
    <row r="9" spans="1:15" x14ac:dyDescent="0.2">
      <c r="A9">
        <v>2016</v>
      </c>
      <c r="B9" s="34">
        <v>9</v>
      </c>
      <c r="C9" s="34" t="s">
        <v>7</v>
      </c>
      <c r="D9" s="36">
        <v>32447</v>
      </c>
      <c r="E9" s="36">
        <v>296418</v>
      </c>
      <c r="F9" s="1"/>
      <c r="G9" s="1"/>
      <c r="H9" s="57"/>
      <c r="I9" s="3"/>
      <c r="J9" s="57"/>
      <c r="K9" s="2"/>
      <c r="L9" s="57"/>
      <c r="M9" s="3"/>
      <c r="N9" s="57"/>
      <c r="O9" s="2">
        <v>3.0600000000000001E-4</v>
      </c>
    </row>
    <row r="10" spans="1:15" x14ac:dyDescent="0.2">
      <c r="A10">
        <v>2016</v>
      </c>
      <c r="B10" s="34">
        <v>10</v>
      </c>
      <c r="C10" s="34" t="s">
        <v>8</v>
      </c>
      <c r="D10" s="36">
        <v>11194</v>
      </c>
      <c r="E10" s="36">
        <v>144360</v>
      </c>
      <c r="F10" s="1"/>
      <c r="G10" s="1"/>
      <c r="H10" s="57"/>
      <c r="I10" s="3"/>
      <c r="J10" s="57"/>
      <c r="K10" s="2"/>
      <c r="L10" s="57"/>
      <c r="M10" s="3"/>
      <c r="N10" s="57"/>
      <c r="O10" s="2">
        <v>1.06E-4</v>
      </c>
    </row>
    <row r="11" spans="1:15" x14ac:dyDescent="0.2">
      <c r="A11">
        <v>2016</v>
      </c>
      <c r="B11" s="34">
        <v>12</v>
      </c>
      <c r="C11" s="34" t="s">
        <v>9</v>
      </c>
      <c r="D11" s="36">
        <v>63385</v>
      </c>
      <c r="E11" s="36">
        <v>414142</v>
      </c>
      <c r="F11" s="1"/>
      <c r="G11" s="1"/>
      <c r="H11" s="57"/>
      <c r="I11" s="3"/>
      <c r="J11" s="57"/>
      <c r="K11" s="2"/>
      <c r="L11" s="57"/>
      <c r="M11" s="3"/>
      <c r="N11" s="57"/>
      <c r="O11" s="2">
        <v>5.9800000000000001E-4</v>
      </c>
    </row>
    <row r="12" spans="1:15" x14ac:dyDescent="0.2">
      <c r="A12">
        <v>2016</v>
      </c>
      <c r="B12" s="34">
        <v>14</v>
      </c>
      <c r="C12" s="34" t="s">
        <v>10</v>
      </c>
      <c r="D12" s="36">
        <v>36821</v>
      </c>
      <c r="E12" s="36">
        <v>216421</v>
      </c>
      <c r="F12" s="1"/>
      <c r="G12" s="1"/>
      <c r="H12" s="57"/>
      <c r="I12" s="3"/>
      <c r="J12" s="57"/>
      <c r="K12" s="2"/>
      <c r="L12" s="57"/>
      <c r="M12" s="3"/>
      <c r="N12" s="57"/>
      <c r="O12" s="2">
        <v>3.48E-4</v>
      </c>
    </row>
    <row r="13" spans="1:15" x14ac:dyDescent="0.2">
      <c r="A13">
        <v>2016</v>
      </c>
      <c r="B13" s="34">
        <v>15</v>
      </c>
      <c r="C13" s="34" t="s">
        <v>11</v>
      </c>
      <c r="D13" s="36">
        <v>270051</v>
      </c>
      <c r="E13" s="36">
        <v>1600561</v>
      </c>
      <c r="F13" s="1"/>
      <c r="G13" s="1"/>
      <c r="H13" s="57"/>
      <c r="I13" s="3"/>
      <c r="J13" s="57"/>
      <c r="K13" s="2"/>
      <c r="L13" s="57"/>
      <c r="M13" s="3"/>
      <c r="N13" s="57"/>
      <c r="O13" s="2">
        <v>2.5490000000000001E-3</v>
      </c>
    </row>
    <row r="14" spans="1:15" x14ac:dyDescent="0.2">
      <c r="A14">
        <v>2016</v>
      </c>
      <c r="B14" s="34">
        <v>19</v>
      </c>
      <c r="C14" s="34" t="s">
        <v>540</v>
      </c>
      <c r="D14" s="36">
        <v>176999</v>
      </c>
      <c r="E14" s="36">
        <v>1657105</v>
      </c>
      <c r="F14" s="1"/>
      <c r="G14" s="1"/>
      <c r="H14" s="57"/>
      <c r="I14" s="3"/>
      <c r="J14" s="57"/>
      <c r="K14" s="2"/>
      <c r="L14" s="57"/>
      <c r="M14" s="3"/>
      <c r="N14" s="57"/>
      <c r="O14" s="2">
        <v>1.671E-3</v>
      </c>
    </row>
    <row r="15" spans="1:15" x14ac:dyDescent="0.2">
      <c r="A15">
        <v>2016</v>
      </c>
      <c r="B15" s="34">
        <v>20</v>
      </c>
      <c r="C15" s="34" t="s">
        <v>13</v>
      </c>
      <c r="D15" s="36">
        <v>61944</v>
      </c>
      <c r="E15" s="36">
        <v>412314</v>
      </c>
      <c r="F15" s="1"/>
      <c r="G15" s="1"/>
      <c r="H15" s="57"/>
      <c r="I15" s="3"/>
      <c r="J15" s="57"/>
      <c r="K15" s="2"/>
      <c r="L15" s="57"/>
      <c r="M15" s="3"/>
      <c r="N15" s="57"/>
      <c r="O15" s="2">
        <v>5.8500000000000002E-4</v>
      </c>
    </row>
    <row r="16" spans="1:15" x14ac:dyDescent="0.2">
      <c r="A16">
        <v>2016</v>
      </c>
      <c r="B16" s="34">
        <v>21</v>
      </c>
      <c r="C16" s="34" t="s">
        <v>14</v>
      </c>
      <c r="D16" s="36">
        <v>41631</v>
      </c>
      <c r="E16" s="36">
        <v>253244</v>
      </c>
      <c r="F16" s="1"/>
      <c r="G16" s="1"/>
      <c r="H16" s="57"/>
      <c r="I16" s="3"/>
      <c r="J16" s="57"/>
      <c r="K16" s="2"/>
      <c r="L16" s="57"/>
      <c r="M16" s="3"/>
      <c r="N16" s="57"/>
      <c r="O16" s="2">
        <v>3.9300000000000001E-4</v>
      </c>
    </row>
    <row r="17" spans="1:15" x14ac:dyDescent="0.2">
      <c r="A17">
        <v>2016</v>
      </c>
      <c r="B17" s="34">
        <v>22</v>
      </c>
      <c r="C17" s="34" t="s">
        <v>15</v>
      </c>
      <c r="D17" s="36">
        <v>191528</v>
      </c>
      <c r="E17" s="36">
        <v>1190602</v>
      </c>
      <c r="F17" s="1"/>
      <c r="G17" s="1"/>
      <c r="H17" s="57"/>
      <c r="I17" s="3"/>
      <c r="J17" s="57"/>
      <c r="K17" s="2"/>
      <c r="L17" s="57"/>
      <c r="M17" s="3"/>
      <c r="N17" s="57"/>
      <c r="O17" s="2">
        <v>1.8079999999999999E-3</v>
      </c>
    </row>
    <row r="18" spans="1:15" x14ac:dyDescent="0.2">
      <c r="A18">
        <v>2016</v>
      </c>
      <c r="B18" s="34">
        <v>23</v>
      </c>
      <c r="C18" s="34" t="s">
        <v>16</v>
      </c>
      <c r="D18" s="36">
        <v>72253</v>
      </c>
      <c r="E18" s="36">
        <v>473976</v>
      </c>
      <c r="F18" s="1"/>
      <c r="G18" s="1"/>
      <c r="H18" s="57"/>
      <c r="I18" s="3"/>
      <c r="J18" s="57"/>
      <c r="K18" s="2"/>
      <c r="L18" s="57"/>
      <c r="M18" s="3"/>
      <c r="N18" s="57"/>
      <c r="O18" s="2">
        <v>6.8199999999999999E-4</v>
      </c>
    </row>
    <row r="19" spans="1:15" x14ac:dyDescent="0.2">
      <c r="A19">
        <v>2016</v>
      </c>
      <c r="B19" s="34">
        <v>24</v>
      </c>
      <c r="C19" s="34" t="s">
        <v>17</v>
      </c>
      <c r="D19" s="36">
        <v>35469</v>
      </c>
      <c r="E19" s="36">
        <v>191929</v>
      </c>
      <c r="F19" s="1"/>
      <c r="G19" s="1"/>
      <c r="H19" s="57"/>
      <c r="I19" s="3"/>
      <c r="J19" s="57"/>
      <c r="K19" s="2"/>
      <c r="L19" s="57"/>
      <c r="M19" s="3"/>
      <c r="N19" s="57"/>
      <c r="O19" s="2">
        <v>3.3500000000000001E-4</v>
      </c>
    </row>
    <row r="20" spans="1:15" x14ac:dyDescent="0.2">
      <c r="A20">
        <v>2016</v>
      </c>
      <c r="B20" s="34">
        <v>28</v>
      </c>
      <c r="C20" s="34" t="s">
        <v>18</v>
      </c>
      <c r="D20" s="36">
        <v>43400</v>
      </c>
      <c r="E20" s="36">
        <v>172708</v>
      </c>
      <c r="F20" s="1"/>
      <c r="G20" s="1"/>
      <c r="H20" s="57"/>
      <c r="I20" s="3"/>
      <c r="J20" s="57"/>
      <c r="K20" s="2"/>
      <c r="L20" s="57"/>
      <c r="M20" s="3"/>
      <c r="N20" s="57"/>
      <c r="O20" s="2">
        <v>4.0999999999999999E-4</v>
      </c>
    </row>
    <row r="21" spans="1:15" x14ac:dyDescent="0.2">
      <c r="A21">
        <v>2016</v>
      </c>
      <c r="B21" s="34">
        <v>31</v>
      </c>
      <c r="C21" s="34" t="s">
        <v>541</v>
      </c>
      <c r="D21" s="36">
        <v>108753</v>
      </c>
      <c r="E21" s="36">
        <v>894776</v>
      </c>
      <c r="F21" s="1"/>
      <c r="G21" s="1"/>
      <c r="H21" s="57"/>
      <c r="I21" s="3"/>
      <c r="J21" s="57"/>
      <c r="K21" s="2"/>
      <c r="L21" s="57"/>
      <c r="M21" s="3"/>
      <c r="N21" s="57"/>
      <c r="O21" s="2">
        <v>1.0269999999999999E-3</v>
      </c>
    </row>
    <row r="22" spans="1:15" x14ac:dyDescent="0.2">
      <c r="A22">
        <v>2016</v>
      </c>
      <c r="B22" s="34">
        <v>32</v>
      </c>
      <c r="C22" s="34" t="s">
        <v>542</v>
      </c>
      <c r="D22" s="36">
        <v>40226</v>
      </c>
      <c r="E22" s="36">
        <v>280385</v>
      </c>
      <c r="F22" s="1"/>
      <c r="G22" s="1"/>
      <c r="H22" s="57"/>
      <c r="I22" s="3"/>
      <c r="J22" s="57"/>
      <c r="K22" s="2"/>
      <c r="L22" s="57"/>
      <c r="M22" s="3"/>
      <c r="N22" s="57"/>
      <c r="O22" s="2">
        <v>3.8000000000000002E-4</v>
      </c>
    </row>
    <row r="23" spans="1:15" x14ac:dyDescent="0.2">
      <c r="A23">
        <v>2016</v>
      </c>
      <c r="B23" s="34">
        <v>33</v>
      </c>
      <c r="C23" s="34" t="s">
        <v>21</v>
      </c>
      <c r="D23" s="36">
        <v>19454</v>
      </c>
      <c r="E23" s="36">
        <v>161268</v>
      </c>
      <c r="F23" s="1"/>
      <c r="G23" s="1"/>
      <c r="H23" s="57"/>
      <c r="I23" s="3"/>
      <c r="J23" s="57"/>
      <c r="K23" s="2"/>
      <c r="L23" s="57"/>
      <c r="M23" s="3"/>
      <c r="N23" s="57"/>
      <c r="O23" s="2">
        <v>1.84E-4</v>
      </c>
    </row>
    <row r="24" spans="1:15" x14ac:dyDescent="0.2">
      <c r="A24">
        <v>2016</v>
      </c>
      <c r="B24" s="34">
        <v>34</v>
      </c>
      <c r="C24" s="34" t="s">
        <v>22</v>
      </c>
      <c r="D24" s="36">
        <v>24053</v>
      </c>
      <c r="E24" s="36">
        <v>133978</v>
      </c>
      <c r="F24" s="1"/>
      <c r="G24" s="1"/>
      <c r="H24" s="57"/>
      <c r="I24" s="3"/>
      <c r="J24" s="57"/>
      <c r="K24" s="2"/>
      <c r="L24" s="57"/>
      <c r="M24" s="3"/>
      <c r="N24" s="57"/>
      <c r="O24" s="2">
        <v>2.2699999999999999E-4</v>
      </c>
    </row>
    <row r="25" spans="1:15" x14ac:dyDescent="0.2">
      <c r="A25">
        <v>2016</v>
      </c>
      <c r="B25" s="34">
        <v>35</v>
      </c>
      <c r="C25" s="34" t="s">
        <v>543</v>
      </c>
      <c r="D25" s="36">
        <v>11851</v>
      </c>
      <c r="E25" s="36">
        <v>121373</v>
      </c>
      <c r="F25" s="1"/>
      <c r="G25" s="1"/>
      <c r="H25" s="57"/>
      <c r="I25" s="3"/>
      <c r="J25" s="57"/>
      <c r="K25" s="2"/>
      <c r="L25" s="57"/>
      <c r="M25" s="3"/>
      <c r="N25" s="57"/>
      <c r="O25" s="2">
        <v>1.12E-4</v>
      </c>
    </row>
    <row r="26" spans="1:15" x14ac:dyDescent="0.2">
      <c r="A26">
        <v>2016</v>
      </c>
      <c r="B26" s="34">
        <v>36</v>
      </c>
      <c r="C26" s="34" t="s">
        <v>24</v>
      </c>
      <c r="D26" s="36">
        <v>56105</v>
      </c>
      <c r="E26" s="36">
        <v>451258</v>
      </c>
      <c r="F26" s="1"/>
      <c r="G26" s="1"/>
      <c r="H26" s="57"/>
      <c r="I26" s="3"/>
      <c r="J26" s="57"/>
      <c r="K26" s="2"/>
      <c r="L26" s="57"/>
      <c r="M26" s="3"/>
      <c r="N26" s="57"/>
      <c r="O26" s="2">
        <v>5.2999999999999998E-4</v>
      </c>
    </row>
    <row r="27" spans="1:15" x14ac:dyDescent="0.2">
      <c r="A27">
        <v>2016</v>
      </c>
      <c r="B27" s="34">
        <v>37</v>
      </c>
      <c r="C27" s="34" t="s">
        <v>25</v>
      </c>
      <c r="D27" s="36">
        <v>27066</v>
      </c>
      <c r="E27" s="36">
        <v>266742</v>
      </c>
      <c r="F27" s="1"/>
      <c r="G27" s="1"/>
      <c r="H27" s="57"/>
      <c r="I27" s="3"/>
      <c r="J27" s="57"/>
      <c r="K27" s="2"/>
      <c r="L27" s="57"/>
      <c r="M27" s="3"/>
      <c r="N27" s="57"/>
      <c r="O27" s="2">
        <v>2.5500000000000002E-4</v>
      </c>
    </row>
    <row r="28" spans="1:15" x14ac:dyDescent="0.2">
      <c r="A28">
        <v>2016</v>
      </c>
      <c r="B28" s="34">
        <v>38</v>
      </c>
      <c r="C28" s="34" t="s">
        <v>26</v>
      </c>
      <c r="D28" s="36">
        <v>66710</v>
      </c>
      <c r="E28" s="36">
        <v>659165</v>
      </c>
      <c r="F28" s="1"/>
      <c r="G28" s="1"/>
      <c r="H28" s="57"/>
      <c r="I28" s="3"/>
      <c r="J28" s="57"/>
      <c r="K28" s="2"/>
      <c r="L28" s="57"/>
      <c r="M28" s="3"/>
      <c r="N28" s="57"/>
      <c r="O28" s="2">
        <v>6.3000000000000003E-4</v>
      </c>
    </row>
    <row r="29" spans="1:15" x14ac:dyDescent="0.2">
      <c r="A29">
        <v>2016</v>
      </c>
      <c r="B29" s="34">
        <v>39</v>
      </c>
      <c r="C29" s="34" t="s">
        <v>27</v>
      </c>
      <c r="D29" s="36">
        <v>14327</v>
      </c>
      <c r="E29" s="36">
        <v>115762</v>
      </c>
      <c r="F29" s="1"/>
      <c r="G29" s="1"/>
      <c r="H29" s="57"/>
      <c r="I29" s="3"/>
      <c r="J29" s="57"/>
      <c r="K29" s="2"/>
      <c r="L29" s="57"/>
      <c r="M29" s="3"/>
      <c r="N29" s="57"/>
      <c r="O29" s="2">
        <v>1.35E-4</v>
      </c>
    </row>
    <row r="30" spans="1:15" x14ac:dyDescent="0.2">
      <c r="A30">
        <v>2016</v>
      </c>
      <c r="B30" s="34">
        <v>40</v>
      </c>
      <c r="C30" s="34" t="s">
        <v>28</v>
      </c>
      <c r="D30" s="36">
        <v>4226</v>
      </c>
      <c r="E30" s="36">
        <v>26886</v>
      </c>
      <c r="F30" s="1"/>
      <c r="G30" s="1"/>
      <c r="H30" s="57"/>
      <c r="I30" s="3"/>
      <c r="J30" s="57"/>
      <c r="K30" s="2"/>
      <c r="L30" s="57"/>
      <c r="M30" s="3"/>
      <c r="N30" s="57"/>
      <c r="O30" s="2">
        <v>4.0000000000000003E-5</v>
      </c>
    </row>
    <row r="31" spans="1:15" x14ac:dyDescent="0.2">
      <c r="A31">
        <v>2016</v>
      </c>
      <c r="B31" s="34">
        <v>41</v>
      </c>
      <c r="C31" s="34" t="s">
        <v>544</v>
      </c>
      <c r="D31" s="36">
        <v>60242</v>
      </c>
      <c r="E31" s="36">
        <v>435475</v>
      </c>
      <c r="F31" s="1"/>
      <c r="G31" s="1"/>
      <c r="H31" s="57"/>
      <c r="I31" s="3"/>
      <c r="J31" s="57"/>
      <c r="K31" s="2"/>
      <c r="L31" s="57"/>
      <c r="M31" s="3"/>
      <c r="N31" s="57"/>
      <c r="O31" s="2">
        <v>5.6899999999999995E-4</v>
      </c>
    </row>
    <row r="32" spans="1:15" x14ac:dyDescent="0.2">
      <c r="A32">
        <v>2016</v>
      </c>
      <c r="B32" s="34">
        <v>42</v>
      </c>
      <c r="C32" s="34" t="s">
        <v>545</v>
      </c>
      <c r="D32" s="36">
        <v>43152</v>
      </c>
      <c r="E32" s="36">
        <v>325061</v>
      </c>
      <c r="F32" s="1"/>
      <c r="G32" s="1"/>
      <c r="H32" s="57"/>
      <c r="I32" s="3"/>
      <c r="J32" s="57"/>
      <c r="K32" s="2"/>
      <c r="L32" s="57"/>
      <c r="M32" s="3"/>
      <c r="N32" s="57"/>
      <c r="O32" s="2">
        <v>4.0700000000000003E-4</v>
      </c>
    </row>
    <row r="33" spans="1:15" x14ac:dyDescent="0.2">
      <c r="A33">
        <v>2016</v>
      </c>
      <c r="B33" s="34">
        <v>43</v>
      </c>
      <c r="C33" s="34" t="s">
        <v>31</v>
      </c>
      <c r="D33" s="36">
        <v>129527</v>
      </c>
      <c r="E33" s="36">
        <v>805866</v>
      </c>
      <c r="F33" s="1"/>
      <c r="G33" s="1"/>
      <c r="H33" s="57"/>
      <c r="I33" s="3"/>
      <c r="J33" s="57"/>
      <c r="K33" s="2"/>
      <c r="L33" s="57"/>
      <c r="M33" s="3"/>
      <c r="N33" s="57"/>
      <c r="O33" s="2">
        <v>1.2229999999999999E-3</v>
      </c>
    </row>
    <row r="34" spans="1:15" x14ac:dyDescent="0.2">
      <c r="A34">
        <v>2016</v>
      </c>
      <c r="B34" s="34">
        <v>46</v>
      </c>
      <c r="C34" s="34" t="s">
        <v>32</v>
      </c>
      <c r="D34" s="36">
        <v>52847</v>
      </c>
      <c r="E34" s="36">
        <v>313521</v>
      </c>
      <c r="F34" s="1"/>
      <c r="G34" s="1"/>
      <c r="H34" s="57"/>
      <c r="I34" s="3"/>
      <c r="J34" s="57"/>
      <c r="K34" s="2"/>
      <c r="L34" s="57"/>
      <c r="M34" s="3"/>
      <c r="N34" s="57"/>
      <c r="O34" s="2">
        <v>4.9899999999999999E-4</v>
      </c>
    </row>
    <row r="35" spans="1:15" x14ac:dyDescent="0.2">
      <c r="A35">
        <v>2016</v>
      </c>
      <c r="B35" s="34">
        <v>47</v>
      </c>
      <c r="C35" s="34" t="s">
        <v>33</v>
      </c>
      <c r="D35" s="36">
        <v>11174</v>
      </c>
      <c r="E35" s="36">
        <v>122408</v>
      </c>
      <c r="F35" s="1"/>
      <c r="G35" s="1"/>
      <c r="H35" s="57"/>
      <c r="I35" s="3"/>
      <c r="J35" s="57"/>
      <c r="K35" s="2"/>
      <c r="L35" s="57"/>
      <c r="M35" s="3"/>
      <c r="N35" s="57"/>
      <c r="O35" s="2">
        <v>1.05E-4</v>
      </c>
    </row>
    <row r="36" spans="1:15" x14ac:dyDescent="0.2">
      <c r="A36">
        <v>2016</v>
      </c>
      <c r="B36" s="34">
        <v>48</v>
      </c>
      <c r="C36" s="34" t="s">
        <v>34</v>
      </c>
      <c r="D36" s="36">
        <v>75083</v>
      </c>
      <c r="E36" s="36">
        <v>533105</v>
      </c>
      <c r="F36" s="1"/>
      <c r="G36" s="1"/>
      <c r="H36" s="57"/>
      <c r="I36" s="3"/>
      <c r="J36" s="57"/>
      <c r="K36" s="2"/>
      <c r="L36" s="57"/>
      <c r="M36" s="3"/>
      <c r="N36" s="57"/>
      <c r="O36" s="2">
        <v>7.0899999999999999E-4</v>
      </c>
    </row>
    <row r="37" spans="1:15" x14ac:dyDescent="0.2">
      <c r="A37">
        <v>2016</v>
      </c>
      <c r="B37" s="34">
        <v>49</v>
      </c>
      <c r="C37" s="34" t="s">
        <v>35</v>
      </c>
      <c r="D37" s="36">
        <v>21974</v>
      </c>
      <c r="E37" s="36">
        <v>147824</v>
      </c>
      <c r="F37" s="1"/>
      <c r="G37" s="1"/>
      <c r="H37" s="57"/>
      <c r="I37" s="3"/>
      <c r="J37" s="57"/>
      <c r="K37" s="2"/>
      <c r="L37" s="57"/>
      <c r="M37" s="3"/>
      <c r="N37" s="57"/>
      <c r="O37" s="2">
        <v>2.0699999999999999E-4</v>
      </c>
    </row>
    <row r="38" spans="1:15" x14ac:dyDescent="0.2">
      <c r="A38">
        <v>2016</v>
      </c>
      <c r="B38" s="34">
        <v>50</v>
      </c>
      <c r="C38" s="34" t="s">
        <v>36</v>
      </c>
      <c r="D38" s="36">
        <v>116652</v>
      </c>
      <c r="E38" s="36">
        <v>999573</v>
      </c>
      <c r="F38" s="1"/>
      <c r="G38" s="1"/>
      <c r="H38" s="57"/>
      <c r="I38" s="3"/>
      <c r="J38" s="57"/>
      <c r="K38" s="2"/>
      <c r="L38" s="57"/>
      <c r="M38" s="3"/>
      <c r="N38" s="57"/>
      <c r="O38" s="2">
        <v>1.101E-3</v>
      </c>
    </row>
    <row r="39" spans="1:15" x14ac:dyDescent="0.2">
      <c r="A39">
        <v>2016</v>
      </c>
      <c r="B39" s="34">
        <v>52</v>
      </c>
      <c r="C39" s="34" t="s">
        <v>37</v>
      </c>
      <c r="D39" s="36">
        <v>90853</v>
      </c>
      <c r="E39" s="36">
        <v>873559</v>
      </c>
      <c r="F39" s="1"/>
      <c r="G39" s="1"/>
      <c r="H39" s="57"/>
      <c r="I39" s="3"/>
      <c r="J39" s="57"/>
      <c r="K39" s="2"/>
      <c r="L39" s="57"/>
      <c r="M39" s="3"/>
      <c r="N39" s="57"/>
      <c r="O39" s="2">
        <v>8.5800000000000004E-4</v>
      </c>
    </row>
    <row r="40" spans="1:15" x14ac:dyDescent="0.2">
      <c r="A40">
        <v>2016</v>
      </c>
      <c r="B40" s="34">
        <v>53</v>
      </c>
      <c r="C40" s="34" t="s">
        <v>38</v>
      </c>
      <c r="D40" s="36">
        <v>59126</v>
      </c>
      <c r="E40" s="36">
        <v>303325</v>
      </c>
      <c r="F40" s="1"/>
      <c r="G40" s="1"/>
      <c r="H40" s="57"/>
      <c r="I40" s="3"/>
      <c r="J40" s="57"/>
      <c r="K40" s="2"/>
      <c r="L40" s="57"/>
      <c r="M40" s="3"/>
      <c r="N40" s="57"/>
      <c r="O40" s="2">
        <v>5.5800000000000001E-4</v>
      </c>
    </row>
    <row r="41" spans="1:15" x14ac:dyDescent="0.2">
      <c r="A41">
        <v>2016</v>
      </c>
      <c r="B41" s="34">
        <v>54</v>
      </c>
      <c r="C41" s="34" t="s">
        <v>39</v>
      </c>
      <c r="D41" s="36">
        <v>82764</v>
      </c>
      <c r="E41" s="36">
        <v>879144</v>
      </c>
      <c r="F41" s="1"/>
      <c r="G41" s="1"/>
      <c r="H41" s="57"/>
      <c r="I41" s="3"/>
      <c r="J41" s="57"/>
      <c r="K41" s="2"/>
      <c r="L41" s="57"/>
      <c r="M41" s="3"/>
      <c r="N41" s="57"/>
      <c r="O41" s="2">
        <v>7.8100000000000001E-4</v>
      </c>
    </row>
    <row r="42" spans="1:15" x14ac:dyDescent="0.2">
      <c r="A42">
        <v>2016</v>
      </c>
      <c r="B42" s="34">
        <v>55</v>
      </c>
      <c r="C42" s="34" t="s">
        <v>40</v>
      </c>
      <c r="D42" s="36">
        <v>33418</v>
      </c>
      <c r="E42" s="36">
        <v>379628</v>
      </c>
      <c r="F42" s="1"/>
      <c r="G42" s="1"/>
      <c r="H42" s="57"/>
      <c r="I42" s="3"/>
      <c r="J42" s="57"/>
      <c r="K42" s="2"/>
      <c r="L42" s="57"/>
      <c r="M42" s="3"/>
      <c r="N42" s="57"/>
      <c r="O42" s="2">
        <v>3.1500000000000001E-4</v>
      </c>
    </row>
    <row r="43" spans="1:15" x14ac:dyDescent="0.2">
      <c r="A43">
        <v>2016</v>
      </c>
      <c r="B43" s="34">
        <v>57</v>
      </c>
      <c r="C43" s="34" t="s">
        <v>41</v>
      </c>
      <c r="D43" s="36">
        <v>2142461</v>
      </c>
      <c r="E43" s="36">
        <v>13874329</v>
      </c>
      <c r="F43" s="1"/>
      <c r="G43" s="1"/>
      <c r="H43" s="57"/>
      <c r="I43" s="3"/>
      <c r="J43" s="57"/>
      <c r="K43" s="2"/>
      <c r="L43" s="57"/>
      <c r="M43" s="3"/>
      <c r="N43" s="57"/>
      <c r="O43" s="2">
        <v>2.0223999999999999E-2</v>
      </c>
    </row>
    <row r="44" spans="1:15" x14ac:dyDescent="0.2">
      <c r="A44">
        <v>2016</v>
      </c>
      <c r="B44" s="34">
        <v>63</v>
      </c>
      <c r="C44" s="34" t="s">
        <v>42</v>
      </c>
      <c r="D44" s="36">
        <v>41049</v>
      </c>
      <c r="E44" s="36">
        <v>259782</v>
      </c>
      <c r="F44" s="1"/>
      <c r="G44" s="1"/>
      <c r="H44" s="57"/>
      <c r="I44" s="3"/>
      <c r="J44" s="57"/>
      <c r="K44" s="2"/>
      <c r="L44" s="57"/>
      <c r="M44" s="3"/>
      <c r="N44" s="57"/>
      <c r="O44" s="2">
        <v>3.8699999999999997E-4</v>
      </c>
    </row>
    <row r="45" spans="1:15" x14ac:dyDescent="0.2">
      <c r="A45">
        <v>2016</v>
      </c>
      <c r="B45" s="34">
        <v>64</v>
      </c>
      <c r="C45" s="34" t="s">
        <v>43</v>
      </c>
      <c r="D45" s="36">
        <v>56139</v>
      </c>
      <c r="E45" s="36">
        <v>459925</v>
      </c>
      <c r="F45" s="1"/>
      <c r="G45" s="1"/>
      <c r="H45" s="11"/>
      <c r="I45" s="3"/>
      <c r="J45" s="11"/>
      <c r="K45" s="2"/>
      <c r="L45" s="11"/>
      <c r="M45" s="3"/>
      <c r="N45" s="11"/>
      <c r="O45" s="2">
        <v>5.2999999999999998E-4</v>
      </c>
    </row>
    <row r="46" spans="1:15" x14ac:dyDescent="0.2">
      <c r="A46">
        <v>2016</v>
      </c>
      <c r="B46" s="34">
        <v>65</v>
      </c>
      <c r="C46" s="34" t="s">
        <v>44</v>
      </c>
      <c r="D46" s="36">
        <v>55572</v>
      </c>
      <c r="E46" s="36">
        <v>520966</v>
      </c>
      <c r="F46" s="1"/>
      <c r="G46" s="1"/>
      <c r="H46" s="3"/>
      <c r="I46" s="2"/>
      <c r="J46" s="3"/>
      <c r="K46" s="2"/>
    </row>
    <row r="47" spans="1:15" x14ac:dyDescent="0.2">
      <c r="A47">
        <v>2016</v>
      </c>
      <c r="B47" s="34">
        <v>66</v>
      </c>
      <c r="C47" s="34" t="s">
        <v>45</v>
      </c>
      <c r="D47" s="36">
        <v>1527584</v>
      </c>
      <c r="E47" s="36">
        <v>8297465</v>
      </c>
      <c r="F47" s="1"/>
      <c r="G47" s="1"/>
      <c r="H47" s="3"/>
      <c r="I47" s="2"/>
      <c r="J47" s="3"/>
      <c r="K47" s="2"/>
    </row>
    <row r="48" spans="1:15" x14ac:dyDescent="0.2">
      <c r="A48">
        <v>2016</v>
      </c>
      <c r="B48" s="34">
        <v>67</v>
      </c>
      <c r="C48" s="34" t="s">
        <v>546</v>
      </c>
      <c r="D48" s="36">
        <v>463057</v>
      </c>
      <c r="E48" s="36">
        <v>3155808</v>
      </c>
      <c r="F48" s="1"/>
      <c r="G48" s="1"/>
      <c r="H48" s="3"/>
      <c r="I48" s="2"/>
      <c r="J48" s="3"/>
      <c r="K48" s="2"/>
    </row>
    <row r="49" spans="1:11" x14ac:dyDescent="0.2">
      <c r="A49">
        <v>2016</v>
      </c>
      <c r="B49" s="34">
        <v>68</v>
      </c>
      <c r="C49" s="34" t="s">
        <v>47</v>
      </c>
      <c r="D49" s="36">
        <v>50201</v>
      </c>
      <c r="E49" s="36">
        <v>423466</v>
      </c>
      <c r="F49" s="1"/>
      <c r="G49" s="1"/>
      <c r="H49" s="3"/>
      <c r="I49" s="2"/>
      <c r="J49" s="3"/>
      <c r="K49" s="2"/>
    </row>
    <row r="50" spans="1:11" x14ac:dyDescent="0.2">
      <c r="A50">
        <v>2016</v>
      </c>
      <c r="B50" s="34">
        <v>69</v>
      </c>
      <c r="C50" s="34" t="s">
        <v>48</v>
      </c>
      <c r="D50" s="36">
        <v>108774</v>
      </c>
      <c r="E50" s="36">
        <v>616289</v>
      </c>
      <c r="F50" s="1"/>
      <c r="G50" s="1"/>
      <c r="H50" s="3"/>
      <c r="I50" s="2"/>
      <c r="J50" s="3"/>
      <c r="K50" s="2"/>
    </row>
    <row r="51" spans="1:11" x14ac:dyDescent="0.2">
      <c r="A51">
        <v>2016</v>
      </c>
      <c r="B51" s="34">
        <v>74</v>
      </c>
      <c r="C51" s="34" t="s">
        <v>49</v>
      </c>
      <c r="D51" s="36">
        <v>15138</v>
      </c>
      <c r="E51" s="36">
        <v>87660</v>
      </c>
      <c r="F51" s="1"/>
      <c r="G51" s="1"/>
      <c r="H51" s="3"/>
      <c r="I51" s="2"/>
      <c r="J51" s="3"/>
      <c r="K51" s="2"/>
    </row>
    <row r="52" spans="1:11" x14ac:dyDescent="0.2">
      <c r="A52">
        <v>2016</v>
      </c>
      <c r="B52" s="34">
        <v>75</v>
      </c>
      <c r="C52" s="34" t="s">
        <v>50</v>
      </c>
      <c r="D52" s="36">
        <v>57509</v>
      </c>
      <c r="E52" s="36">
        <v>479448</v>
      </c>
      <c r="F52" s="1"/>
      <c r="G52" s="1"/>
      <c r="H52" s="3"/>
      <c r="I52" s="2"/>
      <c r="J52" s="3"/>
      <c r="K52" s="2"/>
    </row>
    <row r="53" spans="1:11" x14ac:dyDescent="0.2">
      <c r="A53">
        <v>2016</v>
      </c>
      <c r="B53" s="34">
        <v>76</v>
      </c>
      <c r="C53" s="34" t="s">
        <v>51</v>
      </c>
      <c r="D53" s="36">
        <v>2462</v>
      </c>
      <c r="E53" s="36">
        <v>37610</v>
      </c>
      <c r="F53" s="1"/>
      <c r="G53" s="1"/>
      <c r="H53" s="3"/>
      <c r="I53" s="2"/>
      <c r="J53" s="3"/>
      <c r="K53" s="2"/>
    </row>
    <row r="54" spans="1:11" x14ac:dyDescent="0.2">
      <c r="A54">
        <v>2016</v>
      </c>
      <c r="B54" s="34">
        <v>77</v>
      </c>
      <c r="C54" s="34" t="s">
        <v>52</v>
      </c>
      <c r="D54" s="36">
        <v>5372</v>
      </c>
      <c r="E54" s="36">
        <v>38650</v>
      </c>
      <c r="F54" s="1"/>
      <c r="G54" s="1"/>
      <c r="H54" s="3"/>
      <c r="I54" s="2"/>
      <c r="J54" s="3"/>
      <c r="K54" s="2"/>
    </row>
    <row r="55" spans="1:11" x14ac:dyDescent="0.2">
      <c r="A55">
        <v>2016</v>
      </c>
      <c r="B55" s="34">
        <v>78</v>
      </c>
      <c r="C55" s="34" t="s">
        <v>53</v>
      </c>
      <c r="D55" s="36">
        <v>36058</v>
      </c>
      <c r="E55" s="36">
        <v>299666</v>
      </c>
      <c r="F55" s="1"/>
      <c r="G55" s="1"/>
      <c r="H55" s="3"/>
      <c r="I55" s="2"/>
      <c r="J55" s="3"/>
      <c r="K55" s="2"/>
    </row>
    <row r="56" spans="1:11" x14ac:dyDescent="0.2">
      <c r="A56">
        <v>2016</v>
      </c>
      <c r="B56" s="34">
        <v>79</v>
      </c>
      <c r="C56" s="34" t="s">
        <v>54</v>
      </c>
      <c r="D56" s="36">
        <v>5261</v>
      </c>
      <c r="E56" s="36">
        <v>44880</v>
      </c>
      <c r="F56" s="1"/>
      <c r="G56" s="1"/>
      <c r="H56" s="3"/>
      <c r="I56" s="2"/>
      <c r="J56" s="3"/>
      <c r="K56" s="2"/>
    </row>
    <row r="57" spans="1:11" x14ac:dyDescent="0.2">
      <c r="A57">
        <v>2016</v>
      </c>
      <c r="B57" s="34">
        <v>80</v>
      </c>
      <c r="C57" s="34" t="s">
        <v>55</v>
      </c>
      <c r="D57" s="36">
        <v>23888</v>
      </c>
      <c r="E57" s="36">
        <v>199863</v>
      </c>
      <c r="F57" s="1"/>
      <c r="G57" s="1"/>
      <c r="H57" s="3"/>
      <c r="I57" s="2"/>
      <c r="J57" s="3"/>
      <c r="K57" s="2"/>
    </row>
    <row r="58" spans="1:11" x14ac:dyDescent="0.2">
      <c r="A58">
        <v>2016</v>
      </c>
      <c r="B58" s="34">
        <v>82</v>
      </c>
      <c r="C58" s="34" t="s">
        <v>56</v>
      </c>
      <c r="D58" s="36">
        <v>2848</v>
      </c>
      <c r="E58" s="36">
        <v>38095</v>
      </c>
      <c r="F58" s="1"/>
      <c r="G58" s="1"/>
      <c r="H58" s="3"/>
      <c r="I58" s="2"/>
      <c r="J58" s="3"/>
      <c r="K58" s="2"/>
    </row>
    <row r="59" spans="1:11" x14ac:dyDescent="0.2">
      <c r="A59">
        <v>2016</v>
      </c>
      <c r="B59" s="34">
        <v>83</v>
      </c>
      <c r="C59" s="34" t="s">
        <v>547</v>
      </c>
      <c r="D59" s="36">
        <v>76012</v>
      </c>
      <c r="E59" s="36">
        <v>713372</v>
      </c>
      <c r="F59" s="1"/>
      <c r="G59" s="1"/>
      <c r="H59" s="3"/>
      <c r="I59" s="2"/>
      <c r="J59" s="3"/>
      <c r="K59" s="2"/>
    </row>
    <row r="60" spans="1:11" x14ac:dyDescent="0.2">
      <c r="A60">
        <v>2016</v>
      </c>
      <c r="B60" s="34">
        <v>84</v>
      </c>
      <c r="C60" s="34" t="s">
        <v>85</v>
      </c>
      <c r="D60" s="36">
        <v>113607</v>
      </c>
      <c r="E60" s="36">
        <v>670234</v>
      </c>
      <c r="F60" s="1"/>
      <c r="G60" s="1"/>
      <c r="H60" s="3"/>
      <c r="I60" s="2"/>
      <c r="J60" s="3"/>
      <c r="K60" s="2"/>
    </row>
    <row r="61" spans="1:11" x14ac:dyDescent="0.2">
      <c r="A61">
        <v>2016</v>
      </c>
      <c r="B61" s="34">
        <v>85</v>
      </c>
      <c r="C61" s="34" t="s">
        <v>58</v>
      </c>
      <c r="D61" s="36">
        <v>50957</v>
      </c>
      <c r="E61" s="36">
        <v>380434</v>
      </c>
      <c r="F61" s="1"/>
      <c r="G61" s="1"/>
      <c r="H61" s="3"/>
      <c r="I61" s="2"/>
      <c r="J61" s="3"/>
      <c r="K61" s="2"/>
    </row>
    <row r="62" spans="1:11" x14ac:dyDescent="0.2">
      <c r="A62">
        <v>2016</v>
      </c>
      <c r="B62" s="34">
        <v>86</v>
      </c>
      <c r="C62" s="34" t="s">
        <v>59</v>
      </c>
      <c r="D62" s="36">
        <v>244351</v>
      </c>
      <c r="E62" s="36">
        <v>1381693</v>
      </c>
      <c r="F62" s="1"/>
      <c r="G62" s="1"/>
      <c r="H62" s="3"/>
      <c r="I62" s="2"/>
      <c r="J62" s="3"/>
      <c r="K62" s="2"/>
    </row>
    <row r="63" spans="1:11" x14ac:dyDescent="0.2">
      <c r="A63">
        <v>2016</v>
      </c>
      <c r="B63" s="34">
        <v>93</v>
      </c>
      <c r="C63" s="34" t="s">
        <v>60</v>
      </c>
      <c r="D63" s="36">
        <v>44258</v>
      </c>
      <c r="E63" s="36">
        <v>271461</v>
      </c>
      <c r="F63" s="1"/>
      <c r="G63" s="1"/>
      <c r="H63" s="3"/>
      <c r="I63" s="2"/>
      <c r="J63" s="3"/>
      <c r="K63" s="2"/>
    </row>
    <row r="64" spans="1:11" x14ac:dyDescent="0.2">
      <c r="A64">
        <v>2016</v>
      </c>
      <c r="B64" s="34">
        <v>94</v>
      </c>
      <c r="C64" s="34" t="s">
        <v>61</v>
      </c>
      <c r="D64" s="36">
        <v>508836</v>
      </c>
      <c r="E64" s="36">
        <v>3271928</v>
      </c>
      <c r="F64" s="1"/>
      <c r="G64" s="1"/>
      <c r="H64" s="3"/>
      <c r="I64" s="2"/>
      <c r="J64" s="3"/>
      <c r="K64" s="2"/>
    </row>
    <row r="65" spans="1:11" x14ac:dyDescent="0.2">
      <c r="A65">
        <v>2016</v>
      </c>
      <c r="B65" s="34">
        <v>95</v>
      </c>
      <c r="C65" s="34" t="s">
        <v>62</v>
      </c>
      <c r="D65" s="36">
        <v>41896</v>
      </c>
      <c r="E65" s="36">
        <v>182050</v>
      </c>
      <c r="F65" s="1"/>
      <c r="G65" s="1"/>
      <c r="H65" s="3"/>
      <c r="I65" s="2"/>
      <c r="J65" s="3"/>
      <c r="K65" s="2"/>
    </row>
    <row r="66" spans="1:11" x14ac:dyDescent="0.2">
      <c r="A66">
        <v>2016</v>
      </c>
      <c r="B66" s="34">
        <v>96</v>
      </c>
      <c r="C66" s="34" t="s">
        <v>63</v>
      </c>
      <c r="D66" s="36">
        <v>27963</v>
      </c>
      <c r="E66" s="36">
        <v>251958</v>
      </c>
      <c r="F66" s="1"/>
      <c r="G66" s="1"/>
      <c r="H66" s="3"/>
      <c r="I66" s="2"/>
      <c r="J66" s="3"/>
      <c r="K66" s="2"/>
    </row>
    <row r="67" spans="1:11" x14ac:dyDescent="0.2">
      <c r="A67">
        <v>2016</v>
      </c>
      <c r="B67" s="34">
        <v>97</v>
      </c>
      <c r="C67" s="34" t="s">
        <v>548</v>
      </c>
      <c r="D67" s="36">
        <v>507087</v>
      </c>
      <c r="E67" s="36">
        <v>2748558</v>
      </c>
      <c r="F67" s="1"/>
      <c r="G67" s="1"/>
      <c r="H67" s="3"/>
      <c r="I67" s="2"/>
      <c r="J67" s="3"/>
      <c r="K67" s="2"/>
    </row>
    <row r="68" spans="1:11" x14ac:dyDescent="0.2">
      <c r="A68">
        <v>2016</v>
      </c>
      <c r="B68" s="34">
        <v>98</v>
      </c>
      <c r="C68" s="34" t="s">
        <v>65</v>
      </c>
      <c r="D68" s="36">
        <v>23834</v>
      </c>
      <c r="E68" s="36">
        <v>246341</v>
      </c>
      <c r="F68" s="1"/>
      <c r="G68" s="1"/>
      <c r="H68" s="3"/>
      <c r="I68" s="2"/>
      <c r="J68" s="3"/>
      <c r="K68" s="2"/>
    </row>
    <row r="69" spans="1:11" x14ac:dyDescent="0.2">
      <c r="A69">
        <v>2016</v>
      </c>
      <c r="B69" s="34">
        <v>99</v>
      </c>
      <c r="C69" s="34" t="s">
        <v>66</v>
      </c>
      <c r="D69" s="36">
        <v>23334</v>
      </c>
      <c r="E69" s="36">
        <v>213942</v>
      </c>
      <c r="F69" s="1"/>
      <c r="G69" s="1"/>
      <c r="H69" s="3"/>
      <c r="I69" s="2"/>
      <c r="J69" s="3"/>
      <c r="K69" s="2"/>
    </row>
    <row r="70" spans="1:11" x14ac:dyDescent="0.2">
      <c r="A70">
        <v>2016</v>
      </c>
      <c r="B70" s="34">
        <v>100</v>
      </c>
      <c r="C70" s="34" t="s">
        <v>67</v>
      </c>
      <c r="D70" s="36">
        <v>33110</v>
      </c>
      <c r="E70" s="36">
        <v>246397</v>
      </c>
      <c r="F70" s="1"/>
      <c r="G70" s="1"/>
      <c r="H70" s="3"/>
      <c r="I70" s="2"/>
      <c r="J70" s="3"/>
      <c r="K70" s="2"/>
    </row>
    <row r="71" spans="1:11" x14ac:dyDescent="0.2">
      <c r="A71">
        <v>2016</v>
      </c>
      <c r="B71" s="34">
        <v>101</v>
      </c>
      <c r="C71" s="34" t="s">
        <v>68</v>
      </c>
      <c r="D71" s="36">
        <v>469879</v>
      </c>
      <c r="E71" s="36">
        <v>3229544</v>
      </c>
      <c r="F71" s="1"/>
      <c r="G71" s="1"/>
      <c r="H71" s="3"/>
      <c r="I71" s="2"/>
      <c r="J71" s="3"/>
      <c r="K71" s="2"/>
    </row>
    <row r="72" spans="1:11" x14ac:dyDescent="0.2">
      <c r="A72">
        <v>2016</v>
      </c>
      <c r="B72" s="34">
        <v>103</v>
      </c>
      <c r="C72" s="34" t="s">
        <v>69</v>
      </c>
      <c r="D72" s="36">
        <v>8460</v>
      </c>
      <c r="E72" s="36">
        <v>132335</v>
      </c>
      <c r="F72" s="1"/>
      <c r="G72" s="1"/>
      <c r="H72" s="3"/>
      <c r="I72" s="2"/>
      <c r="J72" s="3"/>
      <c r="K72" s="2"/>
    </row>
    <row r="73" spans="1:11" x14ac:dyDescent="0.2">
      <c r="A73">
        <v>2016</v>
      </c>
      <c r="B73" s="34">
        <v>104</v>
      </c>
      <c r="C73" s="34" t="s">
        <v>549</v>
      </c>
      <c r="D73" s="36">
        <v>14247</v>
      </c>
      <c r="E73" s="36">
        <v>139705</v>
      </c>
      <c r="F73" s="1"/>
      <c r="G73" s="1"/>
      <c r="H73" s="3"/>
      <c r="I73" s="2"/>
      <c r="J73" s="3"/>
      <c r="K73" s="2"/>
    </row>
    <row r="74" spans="1:11" x14ac:dyDescent="0.2">
      <c r="A74">
        <v>2016</v>
      </c>
      <c r="B74" s="34">
        <v>106</v>
      </c>
      <c r="C74" s="34" t="s">
        <v>71</v>
      </c>
      <c r="D74" s="36">
        <v>9300</v>
      </c>
      <c r="E74" s="36">
        <v>100711</v>
      </c>
      <c r="F74" s="1"/>
      <c r="G74" s="1"/>
      <c r="H74" s="3"/>
      <c r="I74" s="2"/>
      <c r="J74" s="3"/>
      <c r="K74" s="2"/>
    </row>
    <row r="75" spans="1:11" x14ac:dyDescent="0.2">
      <c r="A75">
        <v>2016</v>
      </c>
      <c r="B75" s="34">
        <v>107</v>
      </c>
      <c r="C75" s="34" t="s">
        <v>72</v>
      </c>
      <c r="D75" s="36">
        <v>99342</v>
      </c>
      <c r="E75" s="36">
        <v>661701</v>
      </c>
      <c r="F75" s="1"/>
      <c r="G75" s="1"/>
      <c r="H75" s="3"/>
      <c r="I75" s="2"/>
      <c r="J75" s="3"/>
      <c r="K75" s="2"/>
    </row>
    <row r="76" spans="1:11" x14ac:dyDescent="0.2">
      <c r="A76">
        <v>2016</v>
      </c>
      <c r="B76" s="34">
        <v>108</v>
      </c>
      <c r="C76" s="34" t="s">
        <v>73</v>
      </c>
      <c r="D76" s="36">
        <v>20537</v>
      </c>
      <c r="E76" s="36">
        <v>163706</v>
      </c>
      <c r="F76" s="1"/>
      <c r="G76" s="1"/>
      <c r="H76" s="3"/>
      <c r="I76" s="2"/>
      <c r="J76" s="3"/>
      <c r="K76" s="2"/>
    </row>
    <row r="77" spans="1:11" x14ac:dyDescent="0.2">
      <c r="A77">
        <v>2016</v>
      </c>
      <c r="B77" s="34">
        <v>110</v>
      </c>
      <c r="C77" s="34" t="s">
        <v>74</v>
      </c>
      <c r="D77" s="36">
        <v>63955</v>
      </c>
      <c r="E77" s="36">
        <v>316155</v>
      </c>
      <c r="F77" s="1"/>
      <c r="G77" s="1"/>
      <c r="H77" s="3"/>
      <c r="I77" s="2"/>
      <c r="J77" s="3"/>
      <c r="K77" s="2"/>
    </row>
    <row r="78" spans="1:11" x14ac:dyDescent="0.2">
      <c r="A78">
        <v>2016</v>
      </c>
      <c r="B78" s="34">
        <v>111</v>
      </c>
      <c r="C78" s="34" t="s">
        <v>86</v>
      </c>
      <c r="D78" s="36">
        <v>56369</v>
      </c>
      <c r="E78" s="36">
        <v>400213</v>
      </c>
      <c r="F78" s="1"/>
      <c r="G78" s="1"/>
      <c r="H78" s="3"/>
      <c r="I78" s="2"/>
      <c r="J78" s="3"/>
      <c r="K78" s="2"/>
    </row>
    <row r="79" spans="1:11" x14ac:dyDescent="0.2">
      <c r="A79">
        <v>2016</v>
      </c>
      <c r="B79" s="34">
        <v>112</v>
      </c>
      <c r="C79" s="34" t="s">
        <v>550</v>
      </c>
      <c r="D79" s="36">
        <v>51576</v>
      </c>
      <c r="E79" s="36">
        <v>366028</v>
      </c>
      <c r="F79" s="1"/>
      <c r="G79" s="1"/>
      <c r="H79" s="3"/>
      <c r="I79" s="2"/>
      <c r="J79" s="3"/>
      <c r="K79" s="2"/>
    </row>
    <row r="80" spans="1:11" x14ac:dyDescent="0.2">
      <c r="A80">
        <v>2016</v>
      </c>
      <c r="B80" s="34">
        <v>113</v>
      </c>
      <c r="C80" s="34" t="s">
        <v>77</v>
      </c>
      <c r="D80" s="36">
        <v>573979</v>
      </c>
      <c r="E80" s="36">
        <v>4042088</v>
      </c>
      <c r="F80" s="1"/>
      <c r="G80" s="1"/>
      <c r="H80" s="3"/>
      <c r="I80" s="2"/>
      <c r="J80" s="3"/>
      <c r="K80" s="2"/>
    </row>
    <row r="81" spans="1:11" x14ac:dyDescent="0.2">
      <c r="A81">
        <v>2016</v>
      </c>
      <c r="B81" s="34">
        <v>114</v>
      </c>
      <c r="C81" s="34" t="s">
        <v>78</v>
      </c>
      <c r="D81" s="36">
        <v>154976</v>
      </c>
      <c r="E81" s="36">
        <v>1360380</v>
      </c>
      <c r="F81" s="1"/>
      <c r="G81" s="1"/>
      <c r="H81" s="3"/>
      <c r="I81" s="2"/>
      <c r="J81" s="3"/>
      <c r="K81" s="2"/>
    </row>
    <row r="82" spans="1:11" x14ac:dyDescent="0.2">
      <c r="A82">
        <v>2016</v>
      </c>
      <c r="B82" s="34">
        <v>115</v>
      </c>
      <c r="C82" s="34" t="s">
        <v>87</v>
      </c>
      <c r="D82" s="36">
        <v>23223</v>
      </c>
      <c r="E82" s="36">
        <v>246852</v>
      </c>
      <c r="F82" s="1"/>
      <c r="G82" s="1"/>
      <c r="H82" s="3"/>
      <c r="I82" s="2"/>
      <c r="J82" s="3"/>
      <c r="K82" s="2"/>
    </row>
    <row r="83" spans="1:11" x14ac:dyDescent="0.2">
      <c r="A83">
        <v>2016</v>
      </c>
      <c r="B83" s="34">
        <v>116</v>
      </c>
      <c r="C83" s="34" t="s">
        <v>79</v>
      </c>
      <c r="D83" s="36">
        <v>33584</v>
      </c>
      <c r="E83" s="36">
        <v>374462</v>
      </c>
      <c r="F83" s="1"/>
      <c r="G83" s="1"/>
      <c r="H83" s="3"/>
      <c r="I83" s="2"/>
      <c r="J83" s="3"/>
      <c r="K83" s="2"/>
    </row>
    <row r="84" spans="1:11" x14ac:dyDescent="0.2">
      <c r="A84">
        <v>2016</v>
      </c>
      <c r="B84" s="34">
        <v>117</v>
      </c>
      <c r="C84" s="34" t="s">
        <v>80</v>
      </c>
      <c r="D84" s="36">
        <v>85442</v>
      </c>
      <c r="E84" s="36">
        <v>525973</v>
      </c>
      <c r="F84" s="1"/>
      <c r="G84" s="1"/>
      <c r="H84" s="3"/>
      <c r="I84" s="2"/>
      <c r="J84" s="3"/>
      <c r="K84" s="2"/>
    </row>
    <row r="85" spans="1:11" x14ac:dyDescent="0.2">
      <c r="A85">
        <v>2016</v>
      </c>
      <c r="B85" s="34">
        <v>118</v>
      </c>
      <c r="C85" s="34" t="s">
        <v>81</v>
      </c>
      <c r="D85" s="36">
        <v>238187</v>
      </c>
      <c r="E85" s="36">
        <v>1804757</v>
      </c>
      <c r="F85" s="1"/>
      <c r="G85" s="1"/>
      <c r="H85" s="3"/>
      <c r="I85" s="2"/>
      <c r="J85" s="3"/>
      <c r="K85" s="2"/>
    </row>
    <row r="86" spans="1:11" x14ac:dyDescent="0.2">
      <c r="A86">
        <v>2016</v>
      </c>
      <c r="B86" s="34">
        <v>119</v>
      </c>
      <c r="C86" s="34" t="s">
        <v>82</v>
      </c>
      <c r="D86" s="36">
        <v>10786</v>
      </c>
      <c r="E86" s="36">
        <v>90288</v>
      </c>
      <c r="F86" s="1"/>
      <c r="G86" s="1"/>
      <c r="H86" s="3"/>
      <c r="I86" s="2"/>
      <c r="J86" s="3"/>
      <c r="K86" s="2"/>
    </row>
    <row r="87" spans="1:11" x14ac:dyDescent="0.2">
      <c r="A87">
        <v>2016</v>
      </c>
      <c r="B87" s="34">
        <v>120</v>
      </c>
      <c r="C87" s="34" t="s">
        <v>83</v>
      </c>
      <c r="D87" s="36">
        <v>522380</v>
      </c>
      <c r="E87" s="36">
        <v>3362661</v>
      </c>
      <c r="F87" s="1"/>
      <c r="G87" s="1"/>
      <c r="H87" s="3"/>
      <c r="I87" s="2"/>
      <c r="J87" s="3"/>
      <c r="K87" s="2"/>
    </row>
    <row r="88" spans="1:11" x14ac:dyDescent="0.2">
      <c r="A88">
        <v>2016</v>
      </c>
      <c r="B88" s="34">
        <v>125</v>
      </c>
      <c r="C88" s="34" t="s">
        <v>84</v>
      </c>
      <c r="D88" s="36">
        <v>16876</v>
      </c>
      <c r="E88" s="36">
        <v>122950</v>
      </c>
      <c r="F88" s="1"/>
      <c r="G88" s="1"/>
      <c r="H88" s="3"/>
      <c r="I88" s="2"/>
      <c r="J88" s="3"/>
      <c r="K88" s="2"/>
    </row>
    <row r="89" spans="1:11" x14ac:dyDescent="0.2">
      <c r="A89">
        <v>2016</v>
      </c>
      <c r="B89" s="34">
        <v>129</v>
      </c>
      <c r="C89" s="34" t="s">
        <v>129</v>
      </c>
      <c r="D89" s="36">
        <v>74693</v>
      </c>
      <c r="E89" s="36">
        <v>632493</v>
      </c>
      <c r="F89" s="1"/>
      <c r="G89" s="1"/>
      <c r="H89" s="3"/>
      <c r="I89" s="2"/>
      <c r="J89" s="3"/>
      <c r="K89" s="2"/>
    </row>
    <row r="90" spans="1:11" x14ac:dyDescent="0.2">
      <c r="A90">
        <v>2016</v>
      </c>
      <c r="B90" s="34">
        <v>130</v>
      </c>
      <c r="C90" s="34" t="s">
        <v>88</v>
      </c>
      <c r="D90" s="36">
        <v>90755</v>
      </c>
      <c r="E90" s="36">
        <v>765398</v>
      </c>
      <c r="F90" s="1"/>
      <c r="G90" s="1"/>
      <c r="H90" s="3"/>
      <c r="I90" s="2"/>
      <c r="J90" s="3"/>
      <c r="K90" s="2"/>
    </row>
    <row r="91" spans="1:11" x14ac:dyDescent="0.2">
      <c r="A91">
        <v>2016</v>
      </c>
      <c r="B91" s="34">
        <v>131</v>
      </c>
      <c r="C91" s="34" t="s">
        <v>89</v>
      </c>
      <c r="D91" s="36">
        <v>18370</v>
      </c>
      <c r="E91" s="36">
        <v>146085</v>
      </c>
      <c r="F91" s="1"/>
      <c r="G91" s="1"/>
      <c r="H91" s="3"/>
      <c r="I91" s="2"/>
      <c r="J91" s="3"/>
      <c r="K91" s="2"/>
    </row>
    <row r="92" spans="1:11" x14ac:dyDescent="0.2">
      <c r="A92">
        <v>2016</v>
      </c>
      <c r="B92" s="34">
        <v>132</v>
      </c>
      <c r="C92" s="34" t="s">
        <v>90</v>
      </c>
      <c r="D92" s="36">
        <v>34233</v>
      </c>
      <c r="E92" s="36">
        <v>204245</v>
      </c>
      <c r="F92" s="1"/>
      <c r="G92" s="1"/>
      <c r="H92" s="3"/>
      <c r="I92" s="2"/>
      <c r="J92" s="3"/>
      <c r="K92" s="2"/>
    </row>
    <row r="93" spans="1:11" x14ac:dyDescent="0.2">
      <c r="A93">
        <v>2016</v>
      </c>
      <c r="B93" s="34">
        <v>133</v>
      </c>
      <c r="C93" s="34" t="s">
        <v>91</v>
      </c>
      <c r="D93" s="36">
        <v>18659</v>
      </c>
      <c r="E93" s="36">
        <v>128370</v>
      </c>
      <c r="F93" s="1"/>
      <c r="G93" s="1"/>
      <c r="H93" s="3"/>
      <c r="I93" s="2"/>
      <c r="J93" s="3"/>
      <c r="K93" s="2"/>
    </row>
    <row r="94" spans="1:11" x14ac:dyDescent="0.2">
      <c r="A94">
        <v>2016</v>
      </c>
      <c r="B94" s="34">
        <v>134</v>
      </c>
      <c r="C94" s="34" t="s">
        <v>92</v>
      </c>
      <c r="D94" s="36">
        <v>56147</v>
      </c>
      <c r="E94" s="36">
        <v>366290</v>
      </c>
      <c r="F94" s="1"/>
      <c r="G94" s="1"/>
      <c r="H94" s="3"/>
      <c r="I94" s="2"/>
      <c r="J94" s="3"/>
      <c r="K94" s="2"/>
    </row>
    <row r="95" spans="1:11" x14ac:dyDescent="0.2">
      <c r="A95">
        <v>2016</v>
      </c>
      <c r="B95" s="34">
        <v>137</v>
      </c>
      <c r="C95" s="34" t="s">
        <v>93</v>
      </c>
      <c r="D95" s="36">
        <v>26220</v>
      </c>
      <c r="E95" s="36">
        <v>147534</v>
      </c>
      <c r="F95" s="1"/>
      <c r="G95" s="1"/>
      <c r="H95" s="3"/>
      <c r="I95" s="2"/>
      <c r="J95" s="3"/>
      <c r="K95" s="2"/>
    </row>
    <row r="96" spans="1:11" x14ac:dyDescent="0.2">
      <c r="A96">
        <v>2016</v>
      </c>
      <c r="B96" s="34">
        <v>138</v>
      </c>
      <c r="C96" s="34" t="s">
        <v>94</v>
      </c>
      <c r="D96" s="36">
        <v>387639</v>
      </c>
      <c r="E96" s="36">
        <v>4070589</v>
      </c>
      <c r="F96" s="1"/>
      <c r="G96" s="1"/>
      <c r="H96" s="3"/>
      <c r="I96" s="2"/>
      <c r="J96" s="3"/>
      <c r="K96" s="2"/>
    </row>
    <row r="97" spans="1:11" x14ac:dyDescent="0.2">
      <c r="A97">
        <v>2016</v>
      </c>
      <c r="B97" s="34">
        <v>139</v>
      </c>
      <c r="C97" s="34" t="s">
        <v>95</v>
      </c>
      <c r="D97" s="36">
        <v>60560</v>
      </c>
      <c r="E97" s="36">
        <v>470129</v>
      </c>
      <c r="F97" s="1"/>
      <c r="G97" s="1"/>
      <c r="H97" s="3"/>
      <c r="I97" s="2"/>
      <c r="J97" s="3"/>
      <c r="K97" s="2"/>
    </row>
    <row r="98" spans="1:11" x14ac:dyDescent="0.2">
      <c r="A98">
        <v>2016</v>
      </c>
      <c r="B98" s="34">
        <v>140</v>
      </c>
      <c r="C98" s="34" t="s">
        <v>96</v>
      </c>
      <c r="D98" s="36">
        <v>34814</v>
      </c>
      <c r="E98" s="36">
        <v>261013</v>
      </c>
      <c r="F98" s="1"/>
      <c r="G98" s="1"/>
      <c r="H98" s="3"/>
      <c r="I98" s="2"/>
      <c r="J98" s="3"/>
      <c r="K98" s="2"/>
    </row>
    <row r="99" spans="1:11" x14ac:dyDescent="0.2">
      <c r="A99">
        <v>2016</v>
      </c>
      <c r="B99" s="34">
        <v>141</v>
      </c>
      <c r="C99" s="34" t="s">
        <v>97</v>
      </c>
      <c r="D99" s="36">
        <v>84528</v>
      </c>
      <c r="E99" s="36">
        <v>704770</v>
      </c>
      <c r="F99" s="1"/>
      <c r="G99" s="1"/>
      <c r="H99" s="3"/>
      <c r="I99" s="2"/>
      <c r="J99" s="3"/>
      <c r="K99" s="2"/>
    </row>
    <row r="100" spans="1:11" x14ac:dyDescent="0.2">
      <c r="A100">
        <v>2016</v>
      </c>
      <c r="B100" s="34">
        <v>142</v>
      </c>
      <c r="C100" s="34" t="s">
        <v>98</v>
      </c>
      <c r="D100" s="36">
        <v>471505</v>
      </c>
      <c r="E100" s="36">
        <v>3752104</v>
      </c>
      <c r="F100" s="1"/>
      <c r="G100" s="1"/>
      <c r="H100" s="3"/>
      <c r="I100" s="2"/>
      <c r="J100" s="3"/>
      <c r="K100" s="2"/>
    </row>
    <row r="101" spans="1:11" x14ac:dyDescent="0.2">
      <c r="A101">
        <v>2016</v>
      </c>
      <c r="B101" s="34">
        <v>143</v>
      </c>
      <c r="C101" s="34" t="s">
        <v>99</v>
      </c>
      <c r="D101" s="36">
        <v>49657</v>
      </c>
      <c r="E101" s="36">
        <v>512152</v>
      </c>
      <c r="F101" s="1"/>
      <c r="G101" s="1"/>
      <c r="H101" s="3"/>
      <c r="I101" s="2"/>
      <c r="J101" s="3"/>
      <c r="K101" s="2"/>
    </row>
    <row r="102" spans="1:11" x14ac:dyDescent="0.2">
      <c r="A102">
        <v>2016</v>
      </c>
      <c r="B102" s="34">
        <v>144</v>
      </c>
      <c r="C102" s="34" t="s">
        <v>100</v>
      </c>
      <c r="D102" s="36">
        <v>74964</v>
      </c>
      <c r="E102" s="36">
        <v>674972</v>
      </c>
      <c r="F102" s="1"/>
      <c r="G102" s="1"/>
      <c r="H102" s="3"/>
      <c r="I102" s="2"/>
      <c r="J102" s="3"/>
      <c r="K102" s="2"/>
    </row>
    <row r="103" spans="1:11" x14ac:dyDescent="0.2">
      <c r="A103">
        <v>2016</v>
      </c>
      <c r="B103" s="34">
        <v>149</v>
      </c>
      <c r="C103" s="34" t="s">
        <v>101</v>
      </c>
      <c r="F103" s="1"/>
      <c r="G103" s="1"/>
      <c r="H103" s="1"/>
      <c r="I103" s="2"/>
      <c r="J103" s="1"/>
      <c r="K103" s="2"/>
    </row>
    <row r="104" spans="1:11" x14ac:dyDescent="0.2">
      <c r="A104">
        <v>2016</v>
      </c>
      <c r="B104" s="34">
        <v>151</v>
      </c>
      <c r="C104" s="34" t="s">
        <v>102</v>
      </c>
      <c r="D104" s="36">
        <v>270497</v>
      </c>
      <c r="E104" s="36">
        <v>2491163</v>
      </c>
      <c r="F104" s="1"/>
      <c r="G104" s="1"/>
      <c r="H104" s="3"/>
      <c r="I104" s="2"/>
      <c r="J104" s="3"/>
      <c r="K104" s="2"/>
    </row>
    <row r="105" spans="1:11" x14ac:dyDescent="0.2">
      <c r="A105">
        <v>2016</v>
      </c>
      <c r="B105" s="34">
        <v>152</v>
      </c>
      <c r="C105" s="34" t="s">
        <v>103</v>
      </c>
      <c r="D105" s="36">
        <v>218287</v>
      </c>
      <c r="E105" s="36">
        <v>1768415</v>
      </c>
      <c r="F105" s="1"/>
      <c r="G105" s="1"/>
      <c r="H105" s="3"/>
      <c r="I105" s="2"/>
      <c r="J105" s="3"/>
      <c r="K105" s="2"/>
    </row>
    <row r="106" spans="1:11" x14ac:dyDescent="0.2">
      <c r="A106">
        <v>2016</v>
      </c>
      <c r="B106" s="34">
        <v>154</v>
      </c>
      <c r="C106" s="34" t="s">
        <v>104</v>
      </c>
      <c r="D106" s="36">
        <v>288084</v>
      </c>
      <c r="E106" s="36">
        <v>1900812</v>
      </c>
      <c r="F106" s="1"/>
      <c r="G106" s="1"/>
      <c r="H106" s="3"/>
      <c r="I106" s="2"/>
      <c r="J106" s="3"/>
      <c r="K106" s="2"/>
    </row>
    <row r="107" spans="1:11" x14ac:dyDescent="0.2">
      <c r="A107">
        <v>2016</v>
      </c>
      <c r="B107" s="34">
        <v>155</v>
      </c>
      <c r="C107" s="34" t="s">
        <v>105</v>
      </c>
      <c r="D107" s="36">
        <v>1598344</v>
      </c>
      <c r="E107" s="36">
        <v>8529254</v>
      </c>
      <c r="F107" s="1"/>
      <c r="G107" s="1"/>
      <c r="H107" s="3"/>
      <c r="I107" s="2"/>
      <c r="J107" s="3"/>
      <c r="K107" s="2"/>
    </row>
    <row r="108" spans="1:11" x14ac:dyDescent="0.2">
      <c r="A108">
        <v>2016</v>
      </c>
      <c r="B108" s="34">
        <v>156</v>
      </c>
      <c r="C108" s="34" t="s">
        <v>106</v>
      </c>
      <c r="D108" s="36">
        <v>3009720</v>
      </c>
      <c r="E108" s="36">
        <v>15501055</v>
      </c>
      <c r="F108" s="1"/>
      <c r="G108" s="1"/>
      <c r="H108" s="3"/>
      <c r="I108" s="2"/>
      <c r="J108" s="3"/>
      <c r="K108" s="2"/>
    </row>
    <row r="109" spans="1:11" x14ac:dyDescent="0.2">
      <c r="A109">
        <v>2016</v>
      </c>
      <c r="B109" s="34">
        <v>165</v>
      </c>
      <c r="C109" s="34" t="s">
        <v>107</v>
      </c>
      <c r="D109" s="36">
        <v>3359</v>
      </c>
      <c r="E109" s="36">
        <v>20305</v>
      </c>
      <c r="F109" s="1"/>
      <c r="G109" s="1"/>
      <c r="H109" s="3"/>
      <c r="I109" s="2"/>
      <c r="J109" s="3"/>
      <c r="K109" s="2"/>
    </row>
    <row r="110" spans="1:11" x14ac:dyDescent="0.2">
      <c r="A110">
        <v>2016</v>
      </c>
      <c r="B110" s="34">
        <v>167</v>
      </c>
      <c r="C110" s="34" t="s">
        <v>108</v>
      </c>
      <c r="D110" s="36">
        <v>132305</v>
      </c>
      <c r="E110" s="36">
        <v>1144623</v>
      </c>
      <c r="F110" s="1"/>
      <c r="G110" s="1"/>
      <c r="H110" s="3"/>
      <c r="I110" s="2"/>
      <c r="J110" s="3"/>
      <c r="K110" s="2"/>
    </row>
    <row r="111" spans="1:11" x14ac:dyDescent="0.2">
      <c r="A111">
        <v>2016</v>
      </c>
      <c r="B111" s="34">
        <v>168</v>
      </c>
      <c r="C111" s="34" t="s">
        <v>109</v>
      </c>
      <c r="D111" s="36">
        <v>77832</v>
      </c>
      <c r="E111" s="36">
        <v>693918</v>
      </c>
      <c r="F111" s="1"/>
      <c r="G111" s="1"/>
      <c r="H111" s="3"/>
      <c r="I111" s="2"/>
      <c r="J111" s="3"/>
      <c r="K111" s="2"/>
    </row>
    <row r="112" spans="1:11" x14ac:dyDescent="0.2">
      <c r="A112">
        <v>2016</v>
      </c>
      <c r="B112" s="34">
        <v>169</v>
      </c>
      <c r="C112" s="34" t="s">
        <v>110</v>
      </c>
      <c r="D112" s="36">
        <v>34495</v>
      </c>
      <c r="E112" s="36">
        <v>501722</v>
      </c>
      <c r="F112" s="1"/>
      <c r="G112" s="1"/>
      <c r="H112" s="3"/>
      <c r="I112" s="2"/>
      <c r="J112" s="3"/>
      <c r="K112" s="2"/>
    </row>
    <row r="113" spans="1:11" x14ac:dyDescent="0.2">
      <c r="A113">
        <v>2016</v>
      </c>
      <c r="B113" s="34">
        <v>170</v>
      </c>
      <c r="C113" s="34" t="s">
        <v>111</v>
      </c>
      <c r="D113" s="36">
        <v>50562</v>
      </c>
      <c r="E113" s="36">
        <v>372585</v>
      </c>
      <c r="F113" s="1"/>
      <c r="G113" s="1"/>
      <c r="H113" s="3"/>
      <c r="I113" s="2"/>
      <c r="J113" s="3"/>
      <c r="K113" s="2"/>
    </row>
    <row r="114" spans="1:11" x14ac:dyDescent="0.2">
      <c r="A114">
        <v>2016</v>
      </c>
      <c r="B114" s="34">
        <v>171</v>
      </c>
      <c r="C114" s="34" t="s">
        <v>112</v>
      </c>
      <c r="D114" s="36">
        <v>76005</v>
      </c>
      <c r="E114" s="36">
        <v>649308</v>
      </c>
      <c r="F114" s="1"/>
      <c r="G114" s="1"/>
      <c r="H114" s="3"/>
      <c r="I114" s="2"/>
      <c r="J114" s="3"/>
      <c r="K114" s="2"/>
    </row>
    <row r="115" spans="1:11" x14ac:dyDescent="0.2">
      <c r="A115">
        <v>2016</v>
      </c>
      <c r="B115" s="34">
        <v>173</v>
      </c>
      <c r="C115" s="34" t="s">
        <v>552</v>
      </c>
      <c r="D115" s="36">
        <v>42082</v>
      </c>
      <c r="E115" s="36">
        <v>392257</v>
      </c>
      <c r="F115" s="1"/>
      <c r="G115" s="1"/>
      <c r="H115" s="3"/>
      <c r="I115" s="2"/>
      <c r="J115" s="3"/>
      <c r="K115" s="2"/>
    </row>
    <row r="116" spans="1:11" x14ac:dyDescent="0.2">
      <c r="A116">
        <v>2016</v>
      </c>
      <c r="B116" s="34">
        <v>174</v>
      </c>
      <c r="C116" s="34" t="s">
        <v>113</v>
      </c>
      <c r="D116" s="36">
        <v>964925</v>
      </c>
      <c r="E116" s="36">
        <v>6231315</v>
      </c>
      <c r="F116" s="1"/>
      <c r="G116" s="1"/>
      <c r="H116" s="3"/>
      <c r="I116" s="2"/>
      <c r="J116" s="3"/>
      <c r="K116" s="2"/>
    </row>
    <row r="117" spans="1:11" x14ac:dyDescent="0.2">
      <c r="A117">
        <v>2016</v>
      </c>
      <c r="B117" s="34">
        <v>175</v>
      </c>
      <c r="C117" s="34" t="s">
        <v>114</v>
      </c>
      <c r="D117" s="36">
        <v>118044</v>
      </c>
      <c r="E117" s="36">
        <v>1052506</v>
      </c>
      <c r="F117" s="1"/>
      <c r="G117" s="1"/>
      <c r="H117" s="3"/>
      <c r="I117" s="2"/>
      <c r="J117" s="3"/>
      <c r="K117" s="2"/>
    </row>
    <row r="118" spans="1:11" x14ac:dyDescent="0.2">
      <c r="A118">
        <v>2016</v>
      </c>
      <c r="B118" s="34">
        <v>176</v>
      </c>
      <c r="C118" s="34" t="s">
        <v>115</v>
      </c>
      <c r="D118" s="36">
        <v>8272</v>
      </c>
      <c r="E118" s="36">
        <v>76928</v>
      </c>
      <c r="F118" s="1"/>
      <c r="G118" s="1"/>
      <c r="H118" s="3"/>
      <c r="I118" s="2"/>
      <c r="J118" s="3"/>
      <c r="K118" s="2"/>
    </row>
    <row r="119" spans="1:11" x14ac:dyDescent="0.2">
      <c r="A119">
        <v>2016</v>
      </c>
      <c r="B119" s="34">
        <v>177</v>
      </c>
      <c r="C119" s="34" t="s">
        <v>116</v>
      </c>
      <c r="D119" s="36">
        <v>20201</v>
      </c>
      <c r="E119" s="36">
        <v>117881</v>
      </c>
      <c r="F119" s="1"/>
      <c r="G119" s="1"/>
      <c r="H119" s="3"/>
      <c r="I119" s="2"/>
      <c r="J119" s="3"/>
      <c r="K119" s="2"/>
    </row>
    <row r="120" spans="1:11" x14ac:dyDescent="0.2">
      <c r="A120">
        <v>2016</v>
      </c>
      <c r="B120" s="34">
        <v>178</v>
      </c>
      <c r="C120" s="34" t="s">
        <v>117</v>
      </c>
      <c r="D120" s="36">
        <v>14862</v>
      </c>
      <c r="E120" s="36">
        <v>130410</v>
      </c>
      <c r="F120" s="1"/>
      <c r="G120" s="1"/>
      <c r="H120" s="3"/>
      <c r="I120" s="2"/>
      <c r="J120" s="3"/>
      <c r="K120" s="2"/>
    </row>
    <row r="121" spans="1:11" x14ac:dyDescent="0.2">
      <c r="A121">
        <v>2016</v>
      </c>
      <c r="B121" s="34">
        <v>179</v>
      </c>
      <c r="C121" s="34" t="s">
        <v>118</v>
      </c>
      <c r="D121" s="36">
        <v>31081</v>
      </c>
      <c r="E121" s="36">
        <v>151864</v>
      </c>
      <c r="F121" s="1"/>
      <c r="G121" s="1"/>
      <c r="H121" s="3"/>
      <c r="I121" s="2"/>
      <c r="J121" s="3"/>
      <c r="K121" s="2"/>
    </row>
    <row r="122" spans="1:11" x14ac:dyDescent="0.2">
      <c r="A122">
        <v>2016</v>
      </c>
      <c r="B122" s="34">
        <v>180</v>
      </c>
      <c r="C122" s="34" t="s">
        <v>119</v>
      </c>
      <c r="D122" s="36">
        <v>28276</v>
      </c>
      <c r="E122" s="36">
        <v>194132</v>
      </c>
      <c r="F122" s="1"/>
      <c r="G122" s="1"/>
      <c r="H122" s="3"/>
      <c r="I122" s="2"/>
      <c r="J122" s="3"/>
      <c r="K122" s="2"/>
    </row>
    <row r="123" spans="1:11" x14ac:dyDescent="0.2">
      <c r="A123">
        <v>2016</v>
      </c>
      <c r="B123" s="34">
        <v>181</v>
      </c>
      <c r="C123" s="34" t="s">
        <v>120</v>
      </c>
      <c r="D123" s="36">
        <v>70988</v>
      </c>
      <c r="E123" s="36">
        <v>577977</v>
      </c>
      <c r="F123" s="1"/>
      <c r="G123" s="1"/>
      <c r="H123" s="3"/>
      <c r="I123" s="2"/>
      <c r="J123" s="3"/>
      <c r="K123" s="2"/>
    </row>
    <row r="124" spans="1:11" x14ac:dyDescent="0.2">
      <c r="A124">
        <v>2016</v>
      </c>
      <c r="B124" s="34">
        <v>182</v>
      </c>
      <c r="C124" s="34" t="s">
        <v>121</v>
      </c>
      <c r="D124" s="36">
        <v>134062</v>
      </c>
      <c r="E124" s="36">
        <v>930120</v>
      </c>
      <c r="F124" s="1"/>
      <c r="G124" s="1"/>
      <c r="H124" s="3"/>
      <c r="I124" s="2"/>
      <c r="J124" s="3"/>
      <c r="K124" s="2"/>
    </row>
    <row r="125" spans="1:11" x14ac:dyDescent="0.2">
      <c r="A125">
        <v>2016</v>
      </c>
      <c r="B125" s="34">
        <v>183</v>
      </c>
      <c r="C125" s="34" t="s">
        <v>122</v>
      </c>
      <c r="D125" s="36">
        <v>79894</v>
      </c>
      <c r="E125" s="36">
        <v>542982</v>
      </c>
      <c r="F125" s="1"/>
      <c r="G125" s="1"/>
      <c r="H125" s="3"/>
      <c r="I125" s="2"/>
      <c r="J125" s="3"/>
      <c r="K125" s="2"/>
    </row>
    <row r="126" spans="1:11" x14ac:dyDescent="0.2">
      <c r="A126">
        <v>2016</v>
      </c>
      <c r="B126" s="34">
        <v>184</v>
      </c>
      <c r="C126" s="34" t="s">
        <v>123</v>
      </c>
      <c r="D126" s="36">
        <v>28716</v>
      </c>
      <c r="E126" s="36">
        <v>239157</v>
      </c>
      <c r="F126" s="1"/>
      <c r="G126" s="1"/>
      <c r="H126" s="3"/>
      <c r="I126" s="2"/>
      <c r="J126" s="3"/>
      <c r="K126" s="2"/>
    </row>
    <row r="127" spans="1:11" x14ac:dyDescent="0.2">
      <c r="A127">
        <v>2016</v>
      </c>
      <c r="B127" s="34">
        <v>185</v>
      </c>
      <c r="C127" s="34" t="s">
        <v>124</v>
      </c>
      <c r="D127" s="36">
        <v>7484</v>
      </c>
      <c r="E127" s="36">
        <v>119619</v>
      </c>
      <c r="F127" s="1"/>
      <c r="G127" s="1"/>
      <c r="H127" s="3"/>
      <c r="I127" s="2"/>
      <c r="J127" s="3"/>
      <c r="K127" s="2"/>
    </row>
    <row r="128" spans="1:11" x14ac:dyDescent="0.2">
      <c r="A128">
        <v>2016</v>
      </c>
      <c r="B128" s="34">
        <v>186</v>
      </c>
      <c r="C128" s="34" t="s">
        <v>125</v>
      </c>
      <c r="D128" s="36">
        <v>15040</v>
      </c>
      <c r="E128" s="36">
        <v>129834</v>
      </c>
      <c r="F128" s="1"/>
      <c r="G128" s="1"/>
      <c r="H128" s="3"/>
      <c r="I128" s="2"/>
      <c r="J128" s="3"/>
      <c r="K128" s="2"/>
    </row>
    <row r="129" spans="1:11" x14ac:dyDescent="0.2">
      <c r="A129">
        <v>2016</v>
      </c>
      <c r="B129" s="34">
        <v>187</v>
      </c>
      <c r="C129" s="34" t="s">
        <v>126</v>
      </c>
      <c r="D129" s="36">
        <v>43276</v>
      </c>
      <c r="E129" s="36">
        <v>308747</v>
      </c>
      <c r="F129" s="1"/>
      <c r="G129" s="1"/>
      <c r="H129" s="3"/>
      <c r="I129" s="2"/>
      <c r="J129" s="3"/>
      <c r="K129" s="2"/>
    </row>
    <row r="130" spans="1:11" x14ac:dyDescent="0.2">
      <c r="A130">
        <v>2016</v>
      </c>
      <c r="B130" s="34">
        <v>188</v>
      </c>
      <c r="C130" s="34" t="s">
        <v>127</v>
      </c>
      <c r="D130" s="36">
        <v>168163</v>
      </c>
      <c r="E130" s="36">
        <v>963511</v>
      </c>
      <c r="F130" s="1"/>
      <c r="G130" s="1"/>
      <c r="H130" s="3"/>
      <c r="I130" s="2"/>
      <c r="J130" s="3"/>
      <c r="K130" s="2"/>
    </row>
    <row r="131" spans="1:11" x14ac:dyDescent="0.2">
      <c r="A131">
        <v>2016</v>
      </c>
      <c r="B131" s="34">
        <v>191</v>
      </c>
      <c r="C131" s="34" t="s">
        <v>128</v>
      </c>
      <c r="D131" s="36">
        <v>16280</v>
      </c>
      <c r="E131" s="36">
        <v>160781</v>
      </c>
      <c r="F131" s="1"/>
      <c r="G131" s="1"/>
      <c r="H131" s="3"/>
      <c r="I131" s="2"/>
      <c r="J131" s="3"/>
      <c r="K131" s="2"/>
    </row>
    <row r="132" spans="1:11" x14ac:dyDescent="0.2">
      <c r="A132">
        <v>2016</v>
      </c>
      <c r="B132" s="34">
        <v>192</v>
      </c>
      <c r="C132" s="34" t="s">
        <v>130</v>
      </c>
      <c r="D132" s="36">
        <v>11401</v>
      </c>
      <c r="E132" s="36">
        <v>94236</v>
      </c>
      <c r="F132" s="1"/>
      <c r="G132" s="1"/>
      <c r="H132" s="3"/>
      <c r="I132" s="2"/>
      <c r="J132" s="3"/>
      <c r="K132" s="2"/>
    </row>
    <row r="133" spans="1:11" x14ac:dyDescent="0.2">
      <c r="A133">
        <v>2016</v>
      </c>
      <c r="B133" s="34">
        <v>193</v>
      </c>
      <c r="C133" s="34" t="s">
        <v>131</v>
      </c>
      <c r="D133" s="36">
        <v>54794</v>
      </c>
      <c r="E133" s="36">
        <v>427302</v>
      </c>
      <c r="F133" s="1"/>
      <c r="G133" s="1"/>
      <c r="H133" s="3"/>
      <c r="I133" s="2"/>
      <c r="J133" s="3"/>
      <c r="K133" s="2"/>
    </row>
    <row r="134" spans="1:11" x14ac:dyDescent="0.2">
      <c r="A134">
        <v>2016</v>
      </c>
      <c r="B134" s="34">
        <v>194</v>
      </c>
      <c r="C134" s="34" t="s">
        <v>132</v>
      </c>
      <c r="D134" s="36">
        <v>12277</v>
      </c>
      <c r="E134" s="36">
        <v>172146</v>
      </c>
      <c r="F134" s="1"/>
      <c r="G134" s="1"/>
      <c r="H134" s="3"/>
      <c r="I134" s="2"/>
      <c r="J134" s="3"/>
      <c r="K134" s="2"/>
    </row>
    <row r="135" spans="1:11" x14ac:dyDescent="0.2">
      <c r="A135">
        <v>2016</v>
      </c>
      <c r="B135" s="34">
        <v>195</v>
      </c>
      <c r="C135" s="34" t="s">
        <v>133</v>
      </c>
      <c r="D135" s="36">
        <v>20951</v>
      </c>
      <c r="E135" s="36">
        <v>149299</v>
      </c>
      <c r="F135" s="1"/>
      <c r="G135" s="1"/>
      <c r="H135" s="3"/>
      <c r="I135" s="2"/>
      <c r="J135" s="3"/>
      <c r="K135" s="2"/>
    </row>
    <row r="136" spans="1:11" x14ac:dyDescent="0.2">
      <c r="A136">
        <v>2016</v>
      </c>
      <c r="B136" s="34">
        <v>196</v>
      </c>
      <c r="C136" s="34" t="s">
        <v>134</v>
      </c>
      <c r="D136" s="36">
        <v>7797</v>
      </c>
      <c r="E136" s="36">
        <v>131046</v>
      </c>
      <c r="F136" s="1"/>
      <c r="G136" s="1"/>
      <c r="H136" s="3"/>
      <c r="I136" s="2"/>
      <c r="J136" s="3"/>
      <c r="K136" s="2"/>
    </row>
    <row r="137" spans="1:11" x14ac:dyDescent="0.2">
      <c r="A137">
        <v>2016</v>
      </c>
      <c r="B137" s="34">
        <v>197</v>
      </c>
      <c r="C137" s="34" t="s">
        <v>135</v>
      </c>
      <c r="D137" s="36">
        <v>36757</v>
      </c>
      <c r="E137" s="36">
        <v>387222</v>
      </c>
      <c r="F137" s="1"/>
      <c r="G137" s="1"/>
      <c r="H137" s="3"/>
      <c r="I137" s="2"/>
      <c r="J137" s="3"/>
      <c r="K137" s="2"/>
    </row>
    <row r="138" spans="1:11" x14ac:dyDescent="0.2">
      <c r="A138">
        <v>2016</v>
      </c>
      <c r="B138" s="34">
        <v>198</v>
      </c>
      <c r="C138" s="34" t="s">
        <v>136</v>
      </c>
      <c r="D138" s="36">
        <v>17559</v>
      </c>
      <c r="E138" s="36">
        <v>135855</v>
      </c>
      <c r="F138" s="1"/>
      <c r="G138" s="1"/>
      <c r="H138" s="3"/>
      <c r="I138" s="2"/>
      <c r="J138" s="3"/>
      <c r="K138" s="2"/>
    </row>
    <row r="139" spans="1:11" x14ac:dyDescent="0.2">
      <c r="A139">
        <v>2016</v>
      </c>
      <c r="B139" s="34">
        <v>200</v>
      </c>
      <c r="C139" s="34" t="s">
        <v>137</v>
      </c>
      <c r="D139" s="36">
        <v>14459</v>
      </c>
      <c r="E139" s="36">
        <v>159918</v>
      </c>
      <c r="F139" s="1"/>
      <c r="G139" s="1"/>
      <c r="H139" s="3"/>
      <c r="I139" s="2"/>
      <c r="J139" s="3"/>
      <c r="K139" s="2"/>
    </row>
    <row r="140" spans="1:11" x14ac:dyDescent="0.2">
      <c r="A140">
        <v>2016</v>
      </c>
      <c r="B140" s="34">
        <v>201</v>
      </c>
      <c r="C140" s="34" t="s">
        <v>138</v>
      </c>
      <c r="D140" s="36">
        <v>11084</v>
      </c>
      <c r="E140" s="36">
        <v>81961</v>
      </c>
      <c r="F140" s="1"/>
      <c r="G140" s="1"/>
      <c r="H140" s="3"/>
      <c r="I140" s="2"/>
      <c r="J140" s="3"/>
      <c r="K140" s="2"/>
    </row>
    <row r="141" spans="1:11" x14ac:dyDescent="0.2">
      <c r="A141">
        <v>2016</v>
      </c>
      <c r="B141" s="34">
        <v>202</v>
      </c>
      <c r="C141" s="34" t="s">
        <v>139</v>
      </c>
      <c r="D141" s="36">
        <v>19099</v>
      </c>
      <c r="E141" s="36">
        <v>103961</v>
      </c>
      <c r="F141" s="1"/>
      <c r="G141" s="1"/>
      <c r="H141" s="3"/>
      <c r="I141" s="2"/>
      <c r="J141" s="3"/>
      <c r="K141" s="2"/>
    </row>
    <row r="142" spans="1:11" x14ac:dyDescent="0.2">
      <c r="A142">
        <v>2016</v>
      </c>
      <c r="B142" s="34">
        <v>203</v>
      </c>
      <c r="C142" s="34" t="s">
        <v>140</v>
      </c>
      <c r="D142" s="36">
        <v>25687</v>
      </c>
      <c r="E142" s="36">
        <v>169788</v>
      </c>
      <c r="F142" s="1"/>
      <c r="G142" s="1"/>
      <c r="H142" s="3"/>
      <c r="I142" s="2"/>
      <c r="J142" s="3"/>
      <c r="K142" s="2"/>
    </row>
    <row r="143" spans="1:11" x14ac:dyDescent="0.2">
      <c r="A143">
        <v>2016</v>
      </c>
      <c r="B143" s="34">
        <v>204</v>
      </c>
      <c r="C143" s="34" t="s">
        <v>141</v>
      </c>
      <c r="D143" s="36">
        <v>17065</v>
      </c>
      <c r="E143" s="36">
        <v>135097</v>
      </c>
      <c r="F143" s="1"/>
      <c r="G143" s="1"/>
      <c r="H143" s="3"/>
      <c r="I143" s="2"/>
      <c r="J143" s="3"/>
      <c r="K143" s="2"/>
    </row>
    <row r="144" spans="1:11" x14ac:dyDescent="0.2">
      <c r="A144">
        <v>2016</v>
      </c>
      <c r="B144" s="34">
        <v>205</v>
      </c>
      <c r="C144" s="34" t="s">
        <v>142</v>
      </c>
      <c r="D144" s="36">
        <v>131204</v>
      </c>
      <c r="E144" s="36">
        <v>829979</v>
      </c>
      <c r="F144" s="1"/>
      <c r="G144" s="1"/>
      <c r="H144" s="3"/>
      <c r="I144" s="2"/>
      <c r="J144" s="3"/>
      <c r="K144" s="2"/>
    </row>
    <row r="145" spans="1:11" x14ac:dyDescent="0.2">
      <c r="A145">
        <v>2016</v>
      </c>
      <c r="B145" s="34">
        <v>206</v>
      </c>
      <c r="C145" s="34" t="s">
        <v>553</v>
      </c>
      <c r="D145" s="36">
        <v>123569</v>
      </c>
      <c r="E145" s="36">
        <v>805250</v>
      </c>
      <c r="F145" s="1"/>
      <c r="G145" s="1"/>
      <c r="H145" s="3"/>
      <c r="I145" s="2"/>
      <c r="J145" s="3"/>
      <c r="K145" s="2"/>
    </row>
    <row r="146" spans="1:11" x14ac:dyDescent="0.2">
      <c r="A146">
        <v>2016</v>
      </c>
      <c r="B146" s="34">
        <v>207</v>
      </c>
      <c r="C146" s="34" t="s">
        <v>144</v>
      </c>
      <c r="D146" s="36">
        <v>13890</v>
      </c>
      <c r="E146" s="36">
        <v>70819</v>
      </c>
      <c r="F146" s="1"/>
      <c r="G146" s="1"/>
      <c r="H146" s="3"/>
      <c r="I146" s="2"/>
      <c r="J146" s="3"/>
      <c r="K146" s="2"/>
    </row>
    <row r="147" spans="1:11" x14ac:dyDescent="0.2">
      <c r="A147">
        <v>2016</v>
      </c>
      <c r="B147" s="34">
        <v>208</v>
      </c>
      <c r="C147" s="34" t="s">
        <v>145</v>
      </c>
      <c r="D147" s="36">
        <v>13380</v>
      </c>
      <c r="E147" s="36">
        <v>67468</v>
      </c>
      <c r="F147" s="1"/>
      <c r="G147" s="1"/>
      <c r="H147" s="3"/>
      <c r="I147" s="2"/>
      <c r="J147" s="3"/>
      <c r="K147" s="2"/>
    </row>
    <row r="148" spans="1:11" x14ac:dyDescent="0.2">
      <c r="A148">
        <v>2016</v>
      </c>
      <c r="B148" s="34">
        <v>209</v>
      </c>
      <c r="C148" s="34" t="s">
        <v>146</v>
      </c>
      <c r="D148" s="36">
        <v>117205</v>
      </c>
      <c r="E148" s="36">
        <v>693380</v>
      </c>
      <c r="F148" s="1"/>
      <c r="G148" s="1"/>
      <c r="H148" s="3"/>
      <c r="I148" s="2"/>
      <c r="J148" s="3"/>
      <c r="K148" s="2"/>
    </row>
    <row r="149" spans="1:11" x14ac:dyDescent="0.2">
      <c r="A149">
        <v>2016</v>
      </c>
      <c r="B149" s="34">
        <v>210</v>
      </c>
      <c r="C149" s="34" t="s">
        <v>147</v>
      </c>
      <c r="D149" s="36">
        <v>55620</v>
      </c>
      <c r="E149" s="36">
        <v>373350</v>
      </c>
      <c r="F149" s="1"/>
      <c r="G149" s="1"/>
      <c r="H149" s="3"/>
      <c r="I149" s="2"/>
      <c r="J149" s="3"/>
      <c r="K149" s="2"/>
    </row>
    <row r="150" spans="1:11" x14ac:dyDescent="0.2">
      <c r="A150">
        <v>2016</v>
      </c>
      <c r="B150" s="34">
        <v>211</v>
      </c>
      <c r="C150" s="34" t="s">
        <v>148</v>
      </c>
      <c r="D150" s="36">
        <v>46064</v>
      </c>
      <c r="E150" s="36">
        <v>360328</v>
      </c>
      <c r="F150" s="1"/>
      <c r="G150" s="1"/>
      <c r="H150" s="3"/>
      <c r="I150" s="2"/>
      <c r="J150" s="3"/>
      <c r="K150" s="2"/>
    </row>
    <row r="151" spans="1:11" x14ac:dyDescent="0.2">
      <c r="A151">
        <v>2016</v>
      </c>
      <c r="B151" s="34">
        <v>212</v>
      </c>
      <c r="C151" s="34" t="s">
        <v>149</v>
      </c>
      <c r="D151" s="36">
        <v>24632</v>
      </c>
      <c r="E151" s="36">
        <v>189206</v>
      </c>
      <c r="F151" s="1"/>
      <c r="G151" s="1"/>
      <c r="H151" s="3"/>
      <c r="I151" s="2"/>
      <c r="J151" s="3"/>
      <c r="K151" s="2"/>
    </row>
    <row r="152" spans="1:11" x14ac:dyDescent="0.2">
      <c r="A152">
        <v>2016</v>
      </c>
      <c r="B152" s="34">
        <v>213</v>
      </c>
      <c r="C152" s="34" t="s">
        <v>150</v>
      </c>
      <c r="D152" s="36">
        <v>73726</v>
      </c>
      <c r="E152" s="36">
        <v>487069</v>
      </c>
      <c r="F152" s="1"/>
      <c r="G152" s="1"/>
      <c r="H152" s="3"/>
      <c r="I152" s="2"/>
      <c r="J152" s="3"/>
      <c r="K152" s="2"/>
    </row>
    <row r="153" spans="1:11" x14ac:dyDescent="0.2">
      <c r="A153">
        <v>2016</v>
      </c>
      <c r="B153" s="34">
        <v>214</v>
      </c>
      <c r="C153" s="34" t="s">
        <v>151</v>
      </c>
      <c r="D153" s="36">
        <v>38032</v>
      </c>
      <c r="E153" s="36">
        <v>194856</v>
      </c>
      <c r="F153" s="1"/>
      <c r="G153" s="1"/>
      <c r="H153" s="3"/>
      <c r="I153" s="2"/>
      <c r="J153" s="3"/>
      <c r="K153" s="2"/>
    </row>
    <row r="154" spans="1:11" x14ac:dyDescent="0.2">
      <c r="A154">
        <v>2016</v>
      </c>
      <c r="B154" s="34">
        <v>215</v>
      </c>
      <c r="C154" s="34" t="s">
        <v>152</v>
      </c>
      <c r="D154" s="36">
        <v>159901</v>
      </c>
      <c r="E154" s="36">
        <v>1331034</v>
      </c>
      <c r="F154" s="1"/>
      <c r="G154" s="1"/>
      <c r="H154" s="3"/>
      <c r="I154" s="2"/>
      <c r="J154" s="3"/>
      <c r="K154" s="2"/>
    </row>
    <row r="155" spans="1:11" x14ac:dyDescent="0.2">
      <c r="A155">
        <v>2016</v>
      </c>
      <c r="B155" s="34">
        <v>216</v>
      </c>
      <c r="C155" s="34" t="s">
        <v>153</v>
      </c>
      <c r="D155" s="36">
        <v>21071</v>
      </c>
      <c r="E155" s="36">
        <v>110692</v>
      </c>
      <c r="F155" s="1"/>
      <c r="G155" s="1"/>
      <c r="H155" s="3"/>
      <c r="I155" s="2"/>
      <c r="J155" s="3"/>
      <c r="K155" s="2"/>
    </row>
    <row r="156" spans="1:11" x14ac:dyDescent="0.2">
      <c r="A156">
        <v>2016</v>
      </c>
      <c r="B156" s="34">
        <v>217</v>
      </c>
      <c r="C156" s="34" t="s">
        <v>154</v>
      </c>
      <c r="D156" s="36">
        <v>405143</v>
      </c>
      <c r="E156" s="36">
        <v>2367837</v>
      </c>
      <c r="F156" s="1"/>
      <c r="G156" s="1"/>
      <c r="H156" s="3"/>
      <c r="I156" s="2"/>
      <c r="J156" s="3"/>
      <c r="K156" s="2"/>
    </row>
    <row r="157" spans="1:11" x14ac:dyDescent="0.2">
      <c r="A157">
        <v>2016</v>
      </c>
      <c r="B157" s="34">
        <v>218</v>
      </c>
      <c r="C157" s="34" t="s">
        <v>155</v>
      </c>
      <c r="D157" s="36">
        <v>252008</v>
      </c>
      <c r="E157" s="36">
        <v>2028482</v>
      </c>
      <c r="F157" s="1"/>
      <c r="G157" s="1"/>
      <c r="H157" s="3"/>
      <c r="I157" s="2"/>
      <c r="J157" s="3"/>
      <c r="K157" s="2"/>
    </row>
    <row r="158" spans="1:11" x14ac:dyDescent="0.2">
      <c r="A158">
        <v>2016</v>
      </c>
      <c r="B158" s="34">
        <v>219</v>
      </c>
      <c r="C158" s="34" t="s">
        <v>156</v>
      </c>
      <c r="D158" s="36">
        <v>252697</v>
      </c>
      <c r="E158" s="36">
        <v>1621944</v>
      </c>
      <c r="F158" s="1"/>
      <c r="G158" s="1"/>
      <c r="H158" s="3"/>
      <c r="I158" s="2"/>
      <c r="J158" s="3"/>
      <c r="K158" s="2"/>
    </row>
    <row r="159" spans="1:11" x14ac:dyDescent="0.2">
      <c r="A159">
        <v>2016</v>
      </c>
      <c r="B159" s="34">
        <v>220</v>
      </c>
      <c r="C159" s="34" t="s">
        <v>157</v>
      </c>
      <c r="D159" s="36">
        <v>40640</v>
      </c>
      <c r="E159" s="36">
        <v>222194</v>
      </c>
      <c r="F159" s="1"/>
      <c r="G159" s="1"/>
      <c r="H159" s="3"/>
      <c r="I159" s="2"/>
      <c r="J159" s="3"/>
      <c r="K159" s="2"/>
    </row>
    <row r="160" spans="1:11" x14ac:dyDescent="0.2">
      <c r="A160">
        <v>2016</v>
      </c>
      <c r="B160" s="34">
        <v>221</v>
      </c>
      <c r="C160" s="34" t="s">
        <v>554</v>
      </c>
      <c r="D160" s="36">
        <v>15609</v>
      </c>
      <c r="E160" s="36">
        <v>166743</v>
      </c>
      <c r="F160" s="1"/>
      <c r="G160" s="1"/>
      <c r="H160" s="3"/>
      <c r="I160" s="2"/>
      <c r="J160" s="3"/>
      <c r="K160" s="2"/>
    </row>
    <row r="161" spans="1:11" x14ac:dyDescent="0.2">
      <c r="A161">
        <v>2016</v>
      </c>
      <c r="B161" s="34">
        <v>222</v>
      </c>
      <c r="C161" s="34" t="s">
        <v>159</v>
      </c>
      <c r="D161" s="36">
        <v>6998</v>
      </c>
      <c r="E161" s="36">
        <v>51287</v>
      </c>
      <c r="F161" s="1"/>
      <c r="G161" s="1"/>
      <c r="H161" s="3"/>
      <c r="I161" s="2"/>
      <c r="J161" s="3"/>
      <c r="K161" s="2"/>
    </row>
    <row r="162" spans="1:11" x14ac:dyDescent="0.2">
      <c r="A162">
        <v>2016</v>
      </c>
      <c r="B162" s="34">
        <v>223</v>
      </c>
      <c r="C162" s="34" t="s">
        <v>160</v>
      </c>
      <c r="D162" s="36">
        <v>167603</v>
      </c>
      <c r="E162" s="36">
        <v>1502580</v>
      </c>
      <c r="F162" s="1"/>
      <c r="G162" s="1"/>
      <c r="H162" s="3"/>
      <c r="I162" s="2"/>
      <c r="J162" s="3"/>
      <c r="K162" s="2"/>
    </row>
    <row r="163" spans="1:11" x14ac:dyDescent="0.2">
      <c r="A163">
        <v>2016</v>
      </c>
      <c r="B163" s="34">
        <v>224</v>
      </c>
      <c r="C163" s="34" t="s">
        <v>161</v>
      </c>
      <c r="D163" s="36">
        <v>465817</v>
      </c>
      <c r="E163" s="36">
        <v>3196537</v>
      </c>
      <c r="F163" s="1"/>
      <c r="G163" s="1"/>
      <c r="H163" s="3"/>
      <c r="I163" s="2"/>
      <c r="J163" s="3"/>
      <c r="K163" s="2"/>
    </row>
    <row r="164" spans="1:11" x14ac:dyDescent="0.2">
      <c r="A164">
        <v>2016</v>
      </c>
      <c r="B164" s="34">
        <v>225</v>
      </c>
      <c r="C164" s="34" t="s">
        <v>162</v>
      </c>
      <c r="D164" s="36">
        <v>56323</v>
      </c>
      <c r="E164" s="36">
        <v>336999</v>
      </c>
      <c r="F164" s="1"/>
      <c r="G164" s="1"/>
      <c r="H164" s="3"/>
      <c r="I164" s="2"/>
      <c r="J164" s="3"/>
      <c r="K164" s="2"/>
    </row>
    <row r="165" spans="1:11" x14ac:dyDescent="0.2">
      <c r="A165">
        <v>2016</v>
      </c>
      <c r="B165" s="34">
        <v>229</v>
      </c>
      <c r="C165" s="34" t="s">
        <v>163</v>
      </c>
      <c r="D165" s="36">
        <v>79743</v>
      </c>
      <c r="E165" s="36">
        <v>660804</v>
      </c>
      <c r="F165" s="1"/>
      <c r="G165" s="1"/>
      <c r="H165" s="3"/>
      <c r="I165" s="2"/>
      <c r="J165" s="3"/>
      <c r="K165" s="2"/>
    </row>
    <row r="166" spans="1:11" x14ac:dyDescent="0.2">
      <c r="A166">
        <v>2016</v>
      </c>
      <c r="B166" s="34">
        <v>230</v>
      </c>
      <c r="C166" s="34" t="s">
        <v>164</v>
      </c>
      <c r="D166" s="36">
        <v>170914</v>
      </c>
      <c r="E166" s="36">
        <v>1095915</v>
      </c>
      <c r="F166" s="1"/>
      <c r="G166" s="1"/>
      <c r="H166" s="3"/>
      <c r="I166" s="2"/>
      <c r="J166" s="3"/>
      <c r="K166" s="2"/>
    </row>
    <row r="167" spans="1:11" x14ac:dyDescent="0.2">
      <c r="A167">
        <v>2016</v>
      </c>
      <c r="B167" s="34">
        <v>232</v>
      </c>
      <c r="C167" s="34" t="s">
        <v>165</v>
      </c>
      <c r="D167" s="36">
        <v>31748</v>
      </c>
      <c r="E167" s="36">
        <v>290434</v>
      </c>
      <c r="F167" s="1"/>
      <c r="G167" s="1"/>
      <c r="H167" s="3"/>
      <c r="I167" s="2"/>
      <c r="J167" s="3"/>
      <c r="K167" s="2"/>
    </row>
    <row r="168" spans="1:11" x14ac:dyDescent="0.2">
      <c r="A168">
        <v>2016</v>
      </c>
      <c r="B168" s="34">
        <v>233</v>
      </c>
      <c r="C168" s="34" t="s">
        <v>166</v>
      </c>
      <c r="D168" s="36">
        <v>22979</v>
      </c>
      <c r="E168" s="36">
        <v>249083</v>
      </c>
      <c r="F168" s="1"/>
      <c r="G168" s="1"/>
      <c r="H168" s="3"/>
      <c r="I168" s="2"/>
      <c r="J168" s="3"/>
      <c r="K168" s="2"/>
    </row>
    <row r="169" spans="1:11" x14ac:dyDescent="0.2">
      <c r="A169">
        <v>2016</v>
      </c>
      <c r="B169" s="34">
        <v>234</v>
      </c>
      <c r="C169" s="34" t="s">
        <v>167</v>
      </c>
      <c r="D169" s="36">
        <v>42046</v>
      </c>
      <c r="E169" s="36">
        <v>293876</v>
      </c>
      <c r="F169" s="1"/>
      <c r="G169" s="1"/>
      <c r="H169" s="3"/>
      <c r="I169" s="2"/>
      <c r="J169" s="3"/>
      <c r="K169" s="2"/>
    </row>
    <row r="170" spans="1:11" x14ac:dyDescent="0.2">
      <c r="A170">
        <v>2016</v>
      </c>
      <c r="B170" s="34">
        <v>235</v>
      </c>
      <c r="C170" s="34" t="s">
        <v>168</v>
      </c>
      <c r="D170" s="36">
        <v>457302</v>
      </c>
      <c r="E170" s="36">
        <v>2966828</v>
      </c>
      <c r="F170" s="1"/>
      <c r="G170" s="1"/>
      <c r="H170" s="3"/>
      <c r="I170" s="2"/>
      <c r="J170" s="3"/>
      <c r="K170" s="2"/>
    </row>
    <row r="171" spans="1:11" x14ac:dyDescent="0.2">
      <c r="A171">
        <v>2016</v>
      </c>
      <c r="B171" s="34">
        <v>236</v>
      </c>
      <c r="C171" s="34" t="s">
        <v>169</v>
      </c>
      <c r="D171" s="36">
        <v>446082</v>
      </c>
      <c r="E171" s="36">
        <v>3047085</v>
      </c>
      <c r="F171" s="1"/>
      <c r="G171" s="1"/>
      <c r="H171" s="3"/>
      <c r="I171" s="2"/>
      <c r="J171" s="3"/>
      <c r="K171" s="2"/>
    </row>
    <row r="172" spans="1:11" x14ac:dyDescent="0.2">
      <c r="A172">
        <v>2016</v>
      </c>
      <c r="B172" s="34">
        <v>237</v>
      </c>
      <c r="C172" s="34" t="s">
        <v>170</v>
      </c>
      <c r="D172" s="36">
        <v>51238</v>
      </c>
      <c r="E172" s="36">
        <v>428326</v>
      </c>
      <c r="F172" s="1"/>
      <c r="G172" s="1"/>
      <c r="H172" s="3"/>
      <c r="I172" s="2"/>
      <c r="J172" s="3"/>
      <c r="K172" s="2"/>
    </row>
    <row r="173" spans="1:11" x14ac:dyDescent="0.2">
      <c r="A173">
        <v>2016</v>
      </c>
      <c r="B173" s="34">
        <v>238</v>
      </c>
      <c r="C173" s="34" t="s">
        <v>171</v>
      </c>
      <c r="D173" s="36">
        <v>17037</v>
      </c>
      <c r="E173" s="36">
        <v>182689</v>
      </c>
      <c r="F173" s="1"/>
      <c r="G173" s="1"/>
      <c r="H173" s="3"/>
      <c r="I173" s="2"/>
      <c r="J173" s="3"/>
      <c r="K173" s="2"/>
    </row>
    <row r="174" spans="1:11" x14ac:dyDescent="0.2">
      <c r="A174">
        <v>2016</v>
      </c>
      <c r="B174" s="34">
        <v>239</v>
      </c>
      <c r="C174" s="34" t="s">
        <v>172</v>
      </c>
      <c r="D174" s="36">
        <v>131255</v>
      </c>
      <c r="E174" s="36">
        <v>773226</v>
      </c>
      <c r="F174" s="1"/>
      <c r="G174" s="1"/>
      <c r="H174" s="3"/>
      <c r="I174" s="2"/>
      <c r="J174" s="3"/>
      <c r="K174" s="2"/>
    </row>
    <row r="175" spans="1:11" x14ac:dyDescent="0.2">
      <c r="A175">
        <v>2016</v>
      </c>
      <c r="B175" s="34">
        <v>240</v>
      </c>
      <c r="C175" s="34" t="s">
        <v>216</v>
      </c>
      <c r="D175" s="36">
        <v>262478</v>
      </c>
      <c r="E175" s="36">
        <v>1293813</v>
      </c>
      <c r="F175" s="1"/>
      <c r="G175" s="1"/>
      <c r="H175" s="3"/>
      <c r="I175" s="2"/>
      <c r="J175" s="3"/>
      <c r="K175" s="2"/>
    </row>
    <row r="176" spans="1:11" x14ac:dyDescent="0.2">
      <c r="A176">
        <v>2016</v>
      </c>
      <c r="B176" s="34">
        <v>241</v>
      </c>
      <c r="C176" s="34" t="s">
        <v>173</v>
      </c>
      <c r="D176" s="36">
        <v>92716</v>
      </c>
      <c r="E176" s="36">
        <v>631534</v>
      </c>
      <c r="F176" s="1"/>
      <c r="G176" s="1"/>
      <c r="H176" s="3"/>
      <c r="I176" s="2"/>
      <c r="J176" s="3"/>
      <c r="K176" s="2"/>
    </row>
    <row r="177" spans="1:11" x14ac:dyDescent="0.2">
      <c r="A177">
        <v>2016</v>
      </c>
      <c r="B177" s="34">
        <v>242</v>
      </c>
      <c r="C177" s="34" t="s">
        <v>174</v>
      </c>
      <c r="D177" s="36">
        <v>3147417</v>
      </c>
      <c r="E177" s="36">
        <v>17249177</v>
      </c>
      <c r="F177" s="1"/>
      <c r="G177" s="1"/>
      <c r="H177" s="3"/>
      <c r="I177" s="2"/>
      <c r="J177" s="3"/>
      <c r="K177" s="2"/>
    </row>
    <row r="178" spans="1:11" x14ac:dyDescent="0.2">
      <c r="A178">
        <v>2016</v>
      </c>
      <c r="B178" s="34">
        <v>243</v>
      </c>
      <c r="C178" s="34" t="s">
        <v>175</v>
      </c>
      <c r="D178" s="36">
        <v>6918</v>
      </c>
      <c r="E178" s="36">
        <v>39372</v>
      </c>
      <c r="F178" s="1"/>
      <c r="G178" s="1"/>
      <c r="H178" s="3"/>
      <c r="I178" s="2"/>
      <c r="J178" s="3"/>
      <c r="K178" s="2"/>
    </row>
    <row r="179" spans="1:11" x14ac:dyDescent="0.2">
      <c r="A179">
        <v>2016</v>
      </c>
      <c r="B179" s="34">
        <v>244</v>
      </c>
      <c r="C179" s="34" t="s">
        <v>176</v>
      </c>
      <c r="D179" s="36">
        <v>34198</v>
      </c>
      <c r="E179" s="36">
        <v>151669</v>
      </c>
      <c r="F179" s="1"/>
      <c r="G179" s="1"/>
      <c r="H179" s="3"/>
      <c r="I179" s="2"/>
      <c r="J179" s="3"/>
      <c r="K179" s="2"/>
    </row>
    <row r="180" spans="1:11" x14ac:dyDescent="0.2">
      <c r="A180">
        <v>2016</v>
      </c>
      <c r="B180" s="34">
        <v>245</v>
      </c>
      <c r="C180" s="34" t="s">
        <v>177</v>
      </c>
      <c r="D180" s="36">
        <v>18113</v>
      </c>
      <c r="E180" s="36">
        <v>81234</v>
      </c>
      <c r="F180" s="1"/>
      <c r="G180" s="1"/>
      <c r="H180" s="3"/>
      <c r="I180" s="2"/>
      <c r="J180" s="3"/>
      <c r="K180" s="2"/>
    </row>
    <row r="181" spans="1:11" x14ac:dyDescent="0.2">
      <c r="A181">
        <v>2016</v>
      </c>
      <c r="B181" s="34">
        <v>246</v>
      </c>
      <c r="C181" s="34" t="s">
        <v>178</v>
      </c>
      <c r="D181" s="36">
        <v>7274</v>
      </c>
      <c r="E181" s="36">
        <v>46871</v>
      </c>
      <c r="F181" s="1"/>
      <c r="G181" s="1"/>
      <c r="H181" s="3"/>
      <c r="I181" s="2"/>
      <c r="J181" s="3"/>
      <c r="K181" s="2"/>
    </row>
    <row r="182" spans="1:11" x14ac:dyDescent="0.2">
      <c r="A182">
        <v>2016</v>
      </c>
      <c r="B182" s="34">
        <v>247</v>
      </c>
      <c r="C182" s="34" t="s">
        <v>179</v>
      </c>
      <c r="D182" s="36">
        <v>92380</v>
      </c>
      <c r="E182" s="36">
        <v>812956</v>
      </c>
      <c r="F182" s="1"/>
      <c r="G182" s="1"/>
      <c r="H182" s="3"/>
      <c r="I182" s="2"/>
      <c r="J182" s="3"/>
      <c r="K182" s="2"/>
    </row>
    <row r="183" spans="1:11" x14ac:dyDescent="0.2">
      <c r="A183">
        <v>2016</v>
      </c>
      <c r="B183" s="34">
        <v>248</v>
      </c>
      <c r="C183" s="34" t="s">
        <v>180</v>
      </c>
      <c r="D183" s="36">
        <v>19817</v>
      </c>
      <c r="E183" s="36">
        <v>85959</v>
      </c>
      <c r="F183" s="1"/>
      <c r="G183" s="1"/>
      <c r="H183" s="3"/>
      <c r="I183" s="2"/>
      <c r="J183" s="3"/>
      <c r="K183" s="2"/>
    </row>
    <row r="184" spans="1:11" x14ac:dyDescent="0.2">
      <c r="A184">
        <v>2016</v>
      </c>
      <c r="B184" s="34">
        <v>249</v>
      </c>
      <c r="C184" s="34" t="s">
        <v>181</v>
      </c>
      <c r="D184" s="36">
        <v>83193</v>
      </c>
      <c r="E184" s="36">
        <v>573184</v>
      </c>
      <c r="F184" s="1"/>
      <c r="G184" s="1"/>
      <c r="H184" s="3"/>
      <c r="I184" s="2"/>
      <c r="J184" s="3"/>
      <c r="K184" s="2"/>
    </row>
    <row r="185" spans="1:11" x14ac:dyDescent="0.2">
      <c r="A185">
        <v>2016</v>
      </c>
      <c r="B185" s="34">
        <v>250</v>
      </c>
      <c r="C185" s="34" t="s">
        <v>182</v>
      </c>
      <c r="D185" s="36">
        <v>21222</v>
      </c>
      <c r="E185" s="36">
        <v>176620</v>
      </c>
      <c r="F185" s="1"/>
      <c r="G185" s="1"/>
      <c r="H185" s="3"/>
      <c r="I185" s="2"/>
      <c r="J185" s="3"/>
      <c r="K185" s="2"/>
    </row>
    <row r="186" spans="1:11" x14ac:dyDescent="0.2">
      <c r="A186">
        <v>2016</v>
      </c>
      <c r="B186" s="34">
        <v>251</v>
      </c>
      <c r="C186" s="34" t="s">
        <v>183</v>
      </c>
      <c r="D186" s="36">
        <v>13867</v>
      </c>
      <c r="E186" s="36">
        <v>113932</v>
      </c>
      <c r="F186" s="1"/>
      <c r="G186" s="1"/>
      <c r="H186" s="3"/>
      <c r="I186" s="2"/>
      <c r="J186" s="3"/>
      <c r="K186" s="2"/>
    </row>
    <row r="187" spans="1:11" x14ac:dyDescent="0.2">
      <c r="A187">
        <v>2016</v>
      </c>
      <c r="B187" s="34">
        <v>252</v>
      </c>
      <c r="C187" s="34" t="s">
        <v>184</v>
      </c>
      <c r="D187" s="36">
        <v>14429</v>
      </c>
      <c r="E187" s="36">
        <v>73897</v>
      </c>
      <c r="F187" s="1"/>
      <c r="G187" s="1"/>
      <c r="H187" s="3"/>
      <c r="I187" s="2"/>
      <c r="J187" s="3"/>
      <c r="K187" s="2"/>
    </row>
    <row r="188" spans="1:11" x14ac:dyDescent="0.2">
      <c r="A188">
        <v>2016</v>
      </c>
      <c r="B188" s="34">
        <v>254</v>
      </c>
      <c r="C188" s="34" t="s">
        <v>185</v>
      </c>
      <c r="D188" s="36">
        <v>39247</v>
      </c>
      <c r="E188" s="36">
        <v>447553</v>
      </c>
      <c r="F188" s="1"/>
      <c r="G188" s="1"/>
      <c r="H188" s="3"/>
      <c r="I188" s="2"/>
      <c r="J188" s="3"/>
      <c r="K188" s="2"/>
    </row>
    <row r="189" spans="1:11" x14ac:dyDescent="0.2">
      <c r="A189">
        <v>2016</v>
      </c>
      <c r="B189" s="34">
        <v>256</v>
      </c>
      <c r="C189" s="34" t="s">
        <v>186</v>
      </c>
      <c r="D189" s="36">
        <v>5047</v>
      </c>
      <c r="E189" s="36">
        <v>51636</v>
      </c>
      <c r="F189" s="1"/>
      <c r="G189" s="1"/>
      <c r="H189" s="3"/>
      <c r="I189" s="2"/>
      <c r="J189" s="3"/>
      <c r="K189" s="2"/>
    </row>
    <row r="190" spans="1:11" x14ac:dyDescent="0.2">
      <c r="A190">
        <v>2016</v>
      </c>
      <c r="B190" s="34">
        <v>258</v>
      </c>
      <c r="C190" s="34" t="s">
        <v>187</v>
      </c>
      <c r="D190" s="36">
        <v>56392</v>
      </c>
      <c r="E190" s="36">
        <v>114821</v>
      </c>
      <c r="F190" s="1"/>
      <c r="G190" s="1"/>
      <c r="H190" s="3"/>
      <c r="I190" s="2"/>
      <c r="J190" s="3"/>
      <c r="K190" s="2"/>
    </row>
    <row r="191" spans="1:11" x14ac:dyDescent="0.2">
      <c r="A191">
        <v>2016</v>
      </c>
      <c r="B191" s="34">
        <v>259</v>
      </c>
      <c r="C191" s="34" t="s">
        <v>188</v>
      </c>
      <c r="D191" s="36">
        <v>8010</v>
      </c>
      <c r="E191" s="36">
        <v>53797</v>
      </c>
      <c r="F191" s="1"/>
      <c r="G191" s="1"/>
      <c r="H191" s="3"/>
      <c r="I191" s="2"/>
      <c r="J191" s="3"/>
      <c r="K191" s="2"/>
    </row>
    <row r="192" spans="1:11" x14ac:dyDescent="0.2">
      <c r="A192">
        <v>2016</v>
      </c>
      <c r="B192" s="34">
        <v>260</v>
      </c>
      <c r="C192" s="34" t="s">
        <v>189</v>
      </c>
      <c r="D192" s="36">
        <v>6469</v>
      </c>
      <c r="E192" s="36">
        <v>44749</v>
      </c>
      <c r="F192" s="1"/>
      <c r="G192" s="1"/>
      <c r="H192" s="3"/>
      <c r="I192" s="2"/>
      <c r="J192" s="3"/>
      <c r="K192" s="2"/>
    </row>
    <row r="193" spans="1:11" x14ac:dyDescent="0.2">
      <c r="A193">
        <v>2016</v>
      </c>
      <c r="B193" s="34">
        <v>261</v>
      </c>
      <c r="C193" s="34" t="s">
        <v>190</v>
      </c>
      <c r="D193" s="36">
        <v>8962</v>
      </c>
      <c r="E193" s="36">
        <v>78161</v>
      </c>
      <c r="F193" s="1"/>
      <c r="G193" s="1"/>
      <c r="H193" s="3"/>
      <c r="I193" s="2"/>
      <c r="J193" s="3"/>
      <c r="K193" s="2"/>
    </row>
    <row r="194" spans="1:11" x14ac:dyDescent="0.2">
      <c r="A194">
        <v>2016</v>
      </c>
      <c r="B194" s="34">
        <v>264</v>
      </c>
      <c r="C194" s="34" t="s">
        <v>191</v>
      </c>
      <c r="D194" s="36">
        <v>87476</v>
      </c>
      <c r="E194" s="36">
        <v>1220904</v>
      </c>
      <c r="F194" s="1"/>
      <c r="G194" s="1"/>
      <c r="H194" s="3"/>
      <c r="I194" s="2"/>
      <c r="J194" s="3"/>
      <c r="K194" s="2"/>
    </row>
    <row r="195" spans="1:11" x14ac:dyDescent="0.2">
      <c r="A195">
        <v>2016</v>
      </c>
      <c r="B195" s="34">
        <v>266</v>
      </c>
      <c r="C195" s="34" t="s">
        <v>192</v>
      </c>
      <c r="D195" s="36">
        <v>71385</v>
      </c>
      <c r="E195" s="36">
        <v>431027</v>
      </c>
      <c r="F195" s="1"/>
      <c r="G195" s="1"/>
      <c r="H195" s="3"/>
      <c r="I195" s="2"/>
      <c r="J195" s="3"/>
      <c r="K195" s="2"/>
    </row>
    <row r="196" spans="1:11" x14ac:dyDescent="0.2">
      <c r="A196">
        <v>2016</v>
      </c>
      <c r="B196" s="34">
        <v>267</v>
      </c>
      <c r="C196" s="34" t="s">
        <v>193</v>
      </c>
      <c r="D196" s="36">
        <v>36230</v>
      </c>
      <c r="E196" s="36">
        <v>195910</v>
      </c>
      <c r="F196" s="1"/>
      <c r="G196" s="1"/>
      <c r="H196" s="3"/>
      <c r="I196" s="2"/>
      <c r="J196" s="3"/>
      <c r="K196" s="2"/>
    </row>
    <row r="197" spans="1:11" x14ac:dyDescent="0.2">
      <c r="A197">
        <v>2016</v>
      </c>
      <c r="B197" s="34">
        <v>268</v>
      </c>
      <c r="C197" s="34" t="s">
        <v>194</v>
      </c>
      <c r="D197" s="36">
        <v>22966</v>
      </c>
      <c r="E197" s="36">
        <v>212098</v>
      </c>
      <c r="F197" s="1"/>
      <c r="G197" s="1"/>
      <c r="H197" s="3"/>
      <c r="I197" s="2"/>
      <c r="J197" s="3"/>
      <c r="K197" s="2"/>
    </row>
    <row r="198" spans="1:11" x14ac:dyDescent="0.2">
      <c r="A198">
        <v>2016</v>
      </c>
      <c r="B198" s="34">
        <v>269</v>
      </c>
      <c r="C198" s="34" t="s">
        <v>555</v>
      </c>
      <c r="D198" s="36">
        <v>40374</v>
      </c>
      <c r="E198" s="36">
        <v>198078</v>
      </c>
      <c r="F198" s="1"/>
      <c r="G198" s="1"/>
      <c r="H198" s="3"/>
      <c r="I198" s="2"/>
      <c r="J198" s="3"/>
      <c r="K198" s="2"/>
    </row>
    <row r="199" spans="1:11" x14ac:dyDescent="0.2">
      <c r="A199">
        <v>2016</v>
      </c>
      <c r="B199" s="34">
        <v>270</v>
      </c>
      <c r="C199" s="34" t="s">
        <v>196</v>
      </c>
      <c r="D199" s="36">
        <v>23235</v>
      </c>
      <c r="E199" s="36">
        <v>215065</v>
      </c>
      <c r="F199" s="1"/>
      <c r="G199" s="1"/>
      <c r="H199" s="3"/>
      <c r="I199" s="2"/>
      <c r="J199" s="3"/>
      <c r="K199" s="2"/>
    </row>
    <row r="200" spans="1:11" x14ac:dyDescent="0.2">
      <c r="A200">
        <v>2016</v>
      </c>
      <c r="B200" s="34">
        <v>271</v>
      </c>
      <c r="C200" s="34" t="s">
        <v>197</v>
      </c>
      <c r="D200" s="36">
        <v>26996</v>
      </c>
      <c r="E200" s="36">
        <v>213400</v>
      </c>
      <c r="F200" s="1"/>
      <c r="G200" s="1"/>
      <c r="H200" s="3"/>
      <c r="I200" s="2"/>
      <c r="J200" s="3"/>
      <c r="K200" s="2"/>
    </row>
    <row r="201" spans="1:11" x14ac:dyDescent="0.2">
      <c r="A201">
        <v>2016</v>
      </c>
      <c r="B201" s="34">
        <v>272</v>
      </c>
      <c r="C201" s="34" t="s">
        <v>198</v>
      </c>
      <c r="D201" s="36">
        <v>11566</v>
      </c>
      <c r="E201" s="36">
        <v>102650</v>
      </c>
      <c r="F201" s="1"/>
      <c r="G201" s="1"/>
      <c r="H201" s="3"/>
      <c r="I201" s="2"/>
      <c r="J201" s="3"/>
      <c r="K201" s="2"/>
    </row>
    <row r="202" spans="1:11" x14ac:dyDescent="0.2">
      <c r="A202">
        <v>2016</v>
      </c>
      <c r="B202" s="34">
        <v>273</v>
      </c>
      <c r="C202" s="34" t="s">
        <v>199</v>
      </c>
      <c r="D202" s="36">
        <v>39693</v>
      </c>
      <c r="E202" s="36">
        <v>279264</v>
      </c>
      <c r="F202" s="1"/>
      <c r="G202" s="1"/>
      <c r="H202" s="3"/>
      <c r="I202" s="2"/>
      <c r="J202" s="3"/>
      <c r="K202" s="2"/>
    </row>
    <row r="203" spans="1:11" x14ac:dyDescent="0.2">
      <c r="A203">
        <v>2016</v>
      </c>
      <c r="B203" s="34">
        <v>274</v>
      </c>
      <c r="C203" s="34" t="s">
        <v>200</v>
      </c>
      <c r="D203" s="36">
        <v>28785</v>
      </c>
      <c r="E203" s="36">
        <v>227039</v>
      </c>
      <c r="F203" s="1"/>
      <c r="G203" s="1"/>
      <c r="H203" s="3"/>
      <c r="I203" s="2"/>
      <c r="J203" s="3"/>
      <c r="K203" s="2"/>
    </row>
    <row r="204" spans="1:11" x14ac:dyDescent="0.2">
      <c r="A204">
        <v>2016</v>
      </c>
      <c r="B204" s="34">
        <v>275</v>
      </c>
      <c r="C204" s="34" t="s">
        <v>201</v>
      </c>
      <c r="D204" s="36">
        <v>52716</v>
      </c>
      <c r="E204" s="36">
        <v>424675</v>
      </c>
      <c r="F204" s="1"/>
      <c r="G204" s="1"/>
      <c r="H204" s="3"/>
      <c r="I204" s="2"/>
      <c r="J204" s="3"/>
      <c r="K204" s="2"/>
    </row>
    <row r="205" spans="1:11" x14ac:dyDescent="0.2">
      <c r="A205">
        <v>2016</v>
      </c>
      <c r="B205" s="34">
        <v>276</v>
      </c>
      <c r="C205" s="34" t="s">
        <v>202</v>
      </c>
      <c r="D205" s="36">
        <v>19982</v>
      </c>
      <c r="E205" s="36">
        <v>141927</v>
      </c>
      <c r="F205" s="1"/>
      <c r="G205" s="1"/>
      <c r="H205" s="3"/>
      <c r="I205" s="2"/>
      <c r="J205" s="3"/>
      <c r="K205" s="2"/>
    </row>
    <row r="206" spans="1:11" x14ac:dyDescent="0.2">
      <c r="A206">
        <v>2016</v>
      </c>
      <c r="B206" s="34">
        <v>277</v>
      </c>
      <c r="C206" s="34" t="s">
        <v>203</v>
      </c>
      <c r="D206" s="36">
        <v>92675</v>
      </c>
      <c r="E206" s="36">
        <v>712921</v>
      </c>
      <c r="F206" s="1"/>
      <c r="G206" s="1"/>
      <c r="H206" s="3"/>
      <c r="I206" s="2"/>
      <c r="J206" s="3"/>
      <c r="K206" s="2"/>
    </row>
    <row r="207" spans="1:11" x14ac:dyDescent="0.2">
      <c r="A207">
        <v>2016</v>
      </c>
      <c r="B207" s="34">
        <v>278</v>
      </c>
      <c r="C207" s="34" t="s">
        <v>204</v>
      </c>
      <c r="D207" s="36">
        <v>113514</v>
      </c>
      <c r="E207" s="36">
        <v>909069</v>
      </c>
      <c r="F207" s="1"/>
      <c r="G207" s="1"/>
      <c r="H207" s="3"/>
      <c r="I207" s="2"/>
      <c r="J207" s="3"/>
      <c r="K207" s="2"/>
    </row>
    <row r="208" spans="1:11" x14ac:dyDescent="0.2">
      <c r="A208">
        <v>2016</v>
      </c>
      <c r="B208" s="34">
        <v>279</v>
      </c>
      <c r="C208" s="34" t="s">
        <v>205</v>
      </c>
      <c r="D208" s="36">
        <v>28354</v>
      </c>
      <c r="E208" s="36">
        <v>241198</v>
      </c>
      <c r="F208" s="1"/>
      <c r="G208" s="1"/>
      <c r="H208" s="3"/>
      <c r="I208" s="2"/>
      <c r="J208" s="3"/>
      <c r="K208" s="2"/>
    </row>
    <row r="209" spans="1:11" x14ac:dyDescent="0.2">
      <c r="A209">
        <v>2016</v>
      </c>
      <c r="B209" s="34">
        <v>280</v>
      </c>
      <c r="C209" s="34" t="s">
        <v>206</v>
      </c>
      <c r="D209" s="36">
        <v>260204</v>
      </c>
      <c r="E209" s="36">
        <v>1745214</v>
      </c>
      <c r="F209" s="1"/>
      <c r="G209" s="1"/>
      <c r="H209" s="3"/>
      <c r="I209" s="2"/>
      <c r="J209" s="3"/>
      <c r="K209" s="2"/>
    </row>
    <row r="210" spans="1:11" x14ac:dyDescent="0.2">
      <c r="A210">
        <v>2016</v>
      </c>
      <c r="B210" s="34">
        <v>281</v>
      </c>
      <c r="C210" s="34" t="s">
        <v>207</v>
      </c>
      <c r="D210" s="36">
        <v>20557</v>
      </c>
      <c r="E210" s="36">
        <v>170620</v>
      </c>
      <c r="F210" s="1"/>
      <c r="G210" s="1"/>
      <c r="H210" s="3"/>
      <c r="I210" s="2"/>
      <c r="J210" s="3"/>
      <c r="K210" s="2"/>
    </row>
    <row r="211" spans="1:11" x14ac:dyDescent="0.2">
      <c r="A211">
        <v>2016</v>
      </c>
      <c r="B211" s="34">
        <v>282</v>
      </c>
      <c r="C211" s="34" t="s">
        <v>208</v>
      </c>
      <c r="D211" s="36">
        <v>40322</v>
      </c>
      <c r="E211" s="36">
        <v>339177</v>
      </c>
      <c r="F211" s="1"/>
      <c r="G211" s="1"/>
      <c r="H211" s="3"/>
      <c r="I211" s="2"/>
      <c r="J211" s="3"/>
      <c r="K211" s="2"/>
    </row>
    <row r="212" spans="1:11" x14ac:dyDescent="0.2">
      <c r="A212">
        <v>2016</v>
      </c>
      <c r="B212" s="34">
        <v>284</v>
      </c>
      <c r="C212" s="34" t="s">
        <v>209</v>
      </c>
      <c r="D212" s="36">
        <v>23217</v>
      </c>
      <c r="E212" s="36">
        <v>133288</v>
      </c>
      <c r="F212" s="1"/>
      <c r="G212" s="1"/>
      <c r="H212" s="3"/>
      <c r="I212" s="2"/>
      <c r="J212" s="3"/>
      <c r="K212" s="2"/>
    </row>
    <row r="213" spans="1:11" x14ac:dyDescent="0.2">
      <c r="A213">
        <v>2016</v>
      </c>
      <c r="B213" s="34">
        <v>285</v>
      </c>
      <c r="C213" s="34" t="s">
        <v>210</v>
      </c>
      <c r="D213" s="36">
        <v>41301</v>
      </c>
      <c r="E213" s="36">
        <v>213433</v>
      </c>
      <c r="F213" s="1"/>
      <c r="G213" s="1"/>
      <c r="H213" s="3"/>
      <c r="I213" s="2"/>
      <c r="J213" s="3"/>
      <c r="K213" s="2"/>
    </row>
    <row r="214" spans="1:11" x14ac:dyDescent="0.2">
      <c r="A214">
        <v>2016</v>
      </c>
      <c r="B214" s="34">
        <v>286</v>
      </c>
      <c r="C214" s="34" t="s">
        <v>211</v>
      </c>
      <c r="D214" s="36">
        <v>100665</v>
      </c>
      <c r="E214" s="36">
        <v>772794</v>
      </c>
      <c r="F214" s="1"/>
      <c r="G214" s="1"/>
      <c r="H214" s="3"/>
      <c r="I214" s="2"/>
      <c r="J214" s="3"/>
      <c r="K214" s="2"/>
    </row>
    <row r="215" spans="1:11" x14ac:dyDescent="0.2">
      <c r="A215">
        <v>2016</v>
      </c>
      <c r="B215" s="34">
        <v>287</v>
      </c>
      <c r="C215" s="34" t="s">
        <v>212</v>
      </c>
      <c r="D215" s="36">
        <v>18473</v>
      </c>
      <c r="E215" s="36">
        <v>83261</v>
      </c>
      <c r="F215" s="1"/>
      <c r="G215" s="1"/>
      <c r="H215" s="3"/>
      <c r="I215" s="2"/>
      <c r="J215" s="3"/>
      <c r="K215" s="2"/>
    </row>
    <row r="216" spans="1:11" x14ac:dyDescent="0.2">
      <c r="A216">
        <v>2016</v>
      </c>
      <c r="B216" s="34">
        <v>288</v>
      </c>
      <c r="C216" s="34" t="s">
        <v>213</v>
      </c>
      <c r="D216" s="36">
        <v>52201</v>
      </c>
      <c r="E216" s="36">
        <v>301164</v>
      </c>
      <c r="F216" s="1"/>
      <c r="G216" s="1"/>
      <c r="H216" s="3"/>
      <c r="I216" s="2"/>
      <c r="J216" s="3"/>
      <c r="K216" s="2"/>
    </row>
    <row r="217" spans="1:11" x14ac:dyDescent="0.2">
      <c r="A217">
        <v>2016</v>
      </c>
      <c r="B217" s="34">
        <v>289</v>
      </c>
      <c r="C217" s="34" t="s">
        <v>214</v>
      </c>
      <c r="D217" s="36">
        <v>736053</v>
      </c>
      <c r="E217" s="36">
        <v>3847781</v>
      </c>
      <c r="F217" s="1"/>
      <c r="G217" s="1"/>
      <c r="H217" s="3"/>
      <c r="I217" s="2"/>
      <c r="J217" s="3"/>
      <c r="K217" s="2"/>
    </row>
    <row r="218" spans="1:11" x14ac:dyDescent="0.2">
      <c r="A218">
        <v>2016</v>
      </c>
      <c r="B218" s="34">
        <v>290</v>
      </c>
      <c r="C218" s="34" t="s">
        <v>217</v>
      </c>
      <c r="D218" s="36">
        <v>1807690</v>
      </c>
      <c r="E218" s="36">
        <v>10821660</v>
      </c>
      <c r="F218" s="1"/>
      <c r="G218" s="1"/>
      <c r="H218" s="3"/>
      <c r="I218" s="2"/>
      <c r="J218" s="3"/>
      <c r="K218" s="2"/>
    </row>
    <row r="219" spans="1:11" x14ac:dyDescent="0.2">
      <c r="A219">
        <v>2016</v>
      </c>
      <c r="B219" s="34">
        <v>291</v>
      </c>
      <c r="C219" s="34" t="s">
        <v>218</v>
      </c>
      <c r="D219" s="36">
        <v>448989</v>
      </c>
      <c r="E219" s="36">
        <v>2812957</v>
      </c>
      <c r="F219" s="1"/>
      <c r="G219" s="1"/>
      <c r="H219" s="3"/>
      <c r="I219" s="2"/>
      <c r="J219" s="3"/>
      <c r="K219" s="2"/>
    </row>
    <row r="220" spans="1:11" x14ac:dyDescent="0.2">
      <c r="A220">
        <v>2016</v>
      </c>
      <c r="B220" s="34">
        <v>292</v>
      </c>
      <c r="C220" s="34" t="s">
        <v>219</v>
      </c>
      <c r="D220" s="36">
        <v>138317</v>
      </c>
      <c r="E220" s="36">
        <v>1386086</v>
      </c>
      <c r="F220" s="1"/>
      <c r="G220" s="1"/>
      <c r="H220" s="3"/>
      <c r="I220" s="2"/>
      <c r="J220" s="3"/>
      <c r="K220" s="2"/>
    </row>
    <row r="221" spans="1:11" x14ac:dyDescent="0.2">
      <c r="A221">
        <v>2016</v>
      </c>
      <c r="B221" s="34">
        <v>293</v>
      </c>
      <c r="C221" s="34" t="s">
        <v>220</v>
      </c>
      <c r="D221" s="36">
        <v>2782564</v>
      </c>
      <c r="E221" s="36">
        <v>13900185</v>
      </c>
      <c r="F221" s="1"/>
      <c r="G221" s="1"/>
      <c r="H221" s="3"/>
      <c r="I221" s="2"/>
      <c r="J221" s="3"/>
      <c r="K221" s="2"/>
    </row>
    <row r="222" spans="1:11" x14ac:dyDescent="0.2">
      <c r="A222">
        <v>2016</v>
      </c>
      <c r="B222" s="34">
        <v>294</v>
      </c>
      <c r="C222" s="34" t="s">
        <v>221</v>
      </c>
      <c r="D222" s="36">
        <v>789722</v>
      </c>
      <c r="E222" s="36">
        <v>4627230</v>
      </c>
      <c r="F222" s="1"/>
      <c r="G222" s="1"/>
      <c r="H222" s="3"/>
      <c r="I222" s="2"/>
      <c r="J222" s="3"/>
      <c r="K222" s="2"/>
    </row>
    <row r="223" spans="1:11" x14ac:dyDescent="0.2">
      <c r="A223">
        <v>2016</v>
      </c>
      <c r="B223" s="34">
        <v>295</v>
      </c>
      <c r="C223" s="34" t="s">
        <v>222</v>
      </c>
      <c r="D223" s="36">
        <v>1309408</v>
      </c>
      <c r="E223" s="36">
        <v>6754449</v>
      </c>
      <c r="F223" s="1"/>
      <c r="G223" s="1"/>
      <c r="H223" s="3"/>
      <c r="I223" s="2"/>
      <c r="J223" s="3"/>
      <c r="K223" s="2"/>
    </row>
    <row r="224" spans="1:11" x14ac:dyDescent="0.2">
      <c r="A224">
        <v>2016</v>
      </c>
      <c r="B224" s="34">
        <v>296</v>
      </c>
      <c r="C224" s="34" t="s">
        <v>223</v>
      </c>
      <c r="D224" s="36">
        <v>631750</v>
      </c>
      <c r="E224" s="36">
        <v>3470901</v>
      </c>
      <c r="F224" s="1"/>
      <c r="G224" s="1"/>
      <c r="H224" s="3"/>
      <c r="I224" s="2"/>
      <c r="J224" s="3"/>
      <c r="K224" s="2"/>
    </row>
    <row r="225" spans="1:11" x14ac:dyDescent="0.2">
      <c r="A225">
        <v>2016</v>
      </c>
      <c r="B225" s="34">
        <v>297</v>
      </c>
      <c r="C225" s="34" t="s">
        <v>224</v>
      </c>
      <c r="D225" s="36">
        <v>62752</v>
      </c>
      <c r="E225" s="36">
        <v>421106</v>
      </c>
      <c r="F225" s="1"/>
      <c r="G225" s="1"/>
      <c r="H225" s="3"/>
      <c r="I225" s="2"/>
      <c r="J225" s="3"/>
      <c r="K225" s="2"/>
    </row>
    <row r="226" spans="1:11" x14ac:dyDescent="0.2">
      <c r="A226">
        <v>2016</v>
      </c>
      <c r="B226" s="34">
        <v>298</v>
      </c>
      <c r="C226" s="34" t="s">
        <v>225</v>
      </c>
      <c r="D226" s="36">
        <v>2259462</v>
      </c>
      <c r="E226" s="36">
        <v>10391115</v>
      </c>
      <c r="F226" s="1"/>
      <c r="G226" s="1"/>
      <c r="H226" s="3"/>
      <c r="I226" s="2"/>
      <c r="J226" s="3"/>
      <c r="K226" s="2"/>
    </row>
    <row r="227" spans="1:11" x14ac:dyDescent="0.2">
      <c r="A227">
        <v>2016</v>
      </c>
      <c r="B227" s="34">
        <v>299</v>
      </c>
      <c r="C227" s="34" t="s">
        <v>226</v>
      </c>
      <c r="D227" s="36">
        <v>429118</v>
      </c>
      <c r="E227" s="36">
        <v>2304951</v>
      </c>
      <c r="F227" s="1"/>
      <c r="G227" s="1"/>
      <c r="H227" s="3"/>
      <c r="I227" s="2"/>
      <c r="J227" s="3"/>
      <c r="K227" s="2"/>
    </row>
    <row r="228" spans="1:11" x14ac:dyDescent="0.2">
      <c r="A228">
        <v>2016</v>
      </c>
      <c r="B228" s="34">
        <v>302</v>
      </c>
      <c r="C228" s="34" t="s">
        <v>227</v>
      </c>
      <c r="D228" s="36">
        <v>298992</v>
      </c>
      <c r="E228" s="36">
        <v>2011946</v>
      </c>
      <c r="F228" s="1"/>
      <c r="G228" s="1"/>
      <c r="H228" s="3"/>
      <c r="I228" s="2"/>
      <c r="J228" s="3"/>
      <c r="K228" s="2"/>
    </row>
    <row r="229" spans="1:11" x14ac:dyDescent="0.2">
      <c r="A229">
        <v>2016</v>
      </c>
      <c r="B229" s="34">
        <v>303</v>
      </c>
      <c r="C229" s="34" t="s">
        <v>556</v>
      </c>
      <c r="D229" s="36">
        <v>84891</v>
      </c>
      <c r="E229" s="36">
        <v>472603</v>
      </c>
      <c r="F229" s="1"/>
      <c r="G229" s="1"/>
      <c r="H229" s="3"/>
      <c r="I229" s="2"/>
      <c r="J229" s="3"/>
      <c r="K229" s="2"/>
    </row>
    <row r="230" spans="1:11" x14ac:dyDescent="0.2">
      <c r="A230">
        <v>2016</v>
      </c>
      <c r="B230" s="34">
        <v>304</v>
      </c>
      <c r="C230" s="34" t="s">
        <v>229</v>
      </c>
      <c r="D230" s="36">
        <v>43500</v>
      </c>
      <c r="E230" s="36">
        <v>305880</v>
      </c>
      <c r="F230" s="1"/>
      <c r="G230" s="1"/>
      <c r="H230" s="3"/>
      <c r="I230" s="2"/>
      <c r="J230" s="3"/>
      <c r="K230" s="2"/>
    </row>
    <row r="231" spans="1:11" x14ac:dyDescent="0.2">
      <c r="A231">
        <v>2016</v>
      </c>
      <c r="B231" s="34">
        <v>305</v>
      </c>
      <c r="C231" s="34" t="s">
        <v>230</v>
      </c>
      <c r="D231" s="36">
        <v>437064</v>
      </c>
      <c r="E231" s="36">
        <v>2481717</v>
      </c>
      <c r="F231" s="1"/>
      <c r="G231" s="1"/>
      <c r="H231" s="3"/>
      <c r="I231" s="2"/>
      <c r="J231" s="3"/>
      <c r="K231" s="2"/>
    </row>
    <row r="232" spans="1:11" x14ac:dyDescent="0.2">
      <c r="A232">
        <v>2016</v>
      </c>
      <c r="B232" s="34">
        <v>306</v>
      </c>
      <c r="C232" s="34" t="s">
        <v>231</v>
      </c>
      <c r="D232" s="36">
        <v>850987</v>
      </c>
      <c r="E232" s="36">
        <v>4631938</v>
      </c>
      <c r="F232" s="1"/>
      <c r="G232" s="1"/>
      <c r="H232" s="3"/>
      <c r="I232" s="2"/>
      <c r="J232" s="3"/>
      <c r="K232" s="2"/>
    </row>
    <row r="233" spans="1:11" x14ac:dyDescent="0.2">
      <c r="A233">
        <v>2016</v>
      </c>
      <c r="B233" s="34">
        <v>307</v>
      </c>
      <c r="C233" s="34" t="s">
        <v>232</v>
      </c>
      <c r="D233" s="36">
        <v>399143</v>
      </c>
      <c r="E233" s="36">
        <v>3059047</v>
      </c>
      <c r="F233" s="1"/>
      <c r="G233" s="1"/>
      <c r="H233" s="3"/>
      <c r="I233" s="2"/>
      <c r="J233" s="3"/>
      <c r="K233" s="2"/>
    </row>
    <row r="234" spans="1:11" x14ac:dyDescent="0.2">
      <c r="A234">
        <v>2016</v>
      </c>
      <c r="B234" s="34">
        <v>308</v>
      </c>
      <c r="C234" s="34" t="s">
        <v>233</v>
      </c>
      <c r="D234" s="36">
        <v>17801</v>
      </c>
      <c r="E234" s="36">
        <v>91024</v>
      </c>
      <c r="F234" s="1"/>
      <c r="G234" s="1"/>
      <c r="H234" s="3"/>
      <c r="I234" s="2"/>
      <c r="J234" s="3"/>
      <c r="K234" s="2"/>
    </row>
    <row r="235" spans="1:11" x14ac:dyDescent="0.2">
      <c r="A235">
        <v>2016</v>
      </c>
      <c r="B235" s="34">
        <v>313</v>
      </c>
      <c r="C235" s="34" t="s">
        <v>234</v>
      </c>
      <c r="D235" s="36">
        <v>584435</v>
      </c>
      <c r="E235" s="36">
        <v>4669984</v>
      </c>
      <c r="F235" s="1"/>
      <c r="G235" s="1"/>
      <c r="H235" s="3"/>
      <c r="I235" s="2"/>
      <c r="J235" s="3"/>
      <c r="K235" s="2"/>
    </row>
    <row r="236" spans="1:11" x14ac:dyDescent="0.2">
      <c r="A236">
        <v>2016</v>
      </c>
      <c r="B236" s="34">
        <v>314</v>
      </c>
      <c r="C236" s="34" t="s">
        <v>557</v>
      </c>
      <c r="D236" s="36">
        <v>90805</v>
      </c>
      <c r="E236" s="36">
        <v>493019</v>
      </c>
      <c r="F236" s="1"/>
      <c r="G236" s="1"/>
      <c r="H236" s="3"/>
      <c r="I236" s="2"/>
      <c r="J236" s="3"/>
      <c r="K236" s="2"/>
    </row>
    <row r="237" spans="1:11" x14ac:dyDescent="0.2">
      <c r="A237">
        <v>2016</v>
      </c>
      <c r="B237" s="34">
        <v>315</v>
      </c>
      <c r="C237" s="34" t="s">
        <v>236</v>
      </c>
      <c r="D237" s="36">
        <v>414130</v>
      </c>
      <c r="E237" s="36">
        <v>2445308</v>
      </c>
      <c r="F237" s="1"/>
      <c r="G237" s="1"/>
      <c r="H237" s="3"/>
      <c r="I237" s="2"/>
      <c r="J237" s="3"/>
      <c r="K237" s="2"/>
    </row>
    <row r="238" spans="1:11" x14ac:dyDescent="0.2">
      <c r="A238">
        <v>2016</v>
      </c>
      <c r="B238" s="34">
        <v>317</v>
      </c>
      <c r="C238" s="34" t="s">
        <v>237</v>
      </c>
      <c r="D238" s="36">
        <v>179533</v>
      </c>
      <c r="E238" s="36">
        <v>1097325</v>
      </c>
      <c r="F238" s="1"/>
      <c r="G238" s="1"/>
      <c r="H238" s="3"/>
      <c r="I238" s="2"/>
      <c r="J238" s="3"/>
      <c r="K238" s="2"/>
    </row>
    <row r="239" spans="1:11" x14ac:dyDescent="0.2">
      <c r="A239">
        <v>2016</v>
      </c>
      <c r="B239" s="34">
        <v>318</v>
      </c>
      <c r="C239" s="34" t="s">
        <v>238</v>
      </c>
      <c r="D239" s="36">
        <v>240982</v>
      </c>
      <c r="E239" s="36">
        <v>2004077</v>
      </c>
      <c r="F239" s="1"/>
      <c r="G239" s="1"/>
      <c r="H239" s="3"/>
      <c r="I239" s="2"/>
      <c r="J239" s="3"/>
      <c r="K239" s="2"/>
    </row>
    <row r="240" spans="1:11" x14ac:dyDescent="0.2">
      <c r="A240">
        <v>2016</v>
      </c>
      <c r="B240" s="34">
        <v>319</v>
      </c>
      <c r="C240" s="34" t="s">
        <v>239</v>
      </c>
      <c r="D240" s="36">
        <v>125886</v>
      </c>
      <c r="E240" s="36">
        <v>709942</v>
      </c>
      <c r="F240" s="1"/>
      <c r="G240" s="1"/>
      <c r="H240" s="3"/>
      <c r="I240" s="2"/>
      <c r="J240" s="3"/>
      <c r="K240" s="2"/>
    </row>
    <row r="241" spans="1:11" x14ac:dyDescent="0.2">
      <c r="A241">
        <v>2016</v>
      </c>
      <c r="B241" s="34">
        <v>321</v>
      </c>
      <c r="C241" s="34" t="s">
        <v>240</v>
      </c>
      <c r="D241" s="36">
        <v>35847</v>
      </c>
      <c r="E241" s="36">
        <v>218861</v>
      </c>
      <c r="F241" s="1"/>
      <c r="G241" s="1"/>
      <c r="H241" s="3"/>
      <c r="I241" s="2"/>
      <c r="J241" s="3"/>
      <c r="K241" s="2"/>
    </row>
    <row r="242" spans="1:11" x14ac:dyDescent="0.2">
      <c r="A242">
        <v>2016</v>
      </c>
      <c r="B242" s="34">
        <v>322</v>
      </c>
      <c r="C242" s="34" t="s">
        <v>241</v>
      </c>
      <c r="D242" s="36">
        <v>319032</v>
      </c>
      <c r="E242" s="36">
        <v>2016355</v>
      </c>
      <c r="F242" s="1"/>
      <c r="G242" s="1"/>
      <c r="H242" s="3"/>
      <c r="I242" s="2"/>
      <c r="J242" s="3"/>
      <c r="K242" s="2"/>
    </row>
    <row r="243" spans="1:11" x14ac:dyDescent="0.2">
      <c r="A243">
        <v>2016</v>
      </c>
      <c r="B243" s="34">
        <v>323</v>
      </c>
      <c r="C243" s="34" t="s">
        <v>242</v>
      </c>
      <c r="D243" s="36">
        <v>1100316</v>
      </c>
      <c r="E243" s="36">
        <v>8788657</v>
      </c>
      <c r="F243" s="1"/>
      <c r="G243" s="1"/>
      <c r="H243" s="3"/>
      <c r="I243" s="2"/>
      <c r="J243" s="3"/>
      <c r="K243" s="2"/>
    </row>
    <row r="244" spans="1:11" x14ac:dyDescent="0.2">
      <c r="A244">
        <v>2016</v>
      </c>
      <c r="B244" s="34">
        <v>324</v>
      </c>
      <c r="C244" s="34" t="s">
        <v>243</v>
      </c>
      <c r="D244" s="36">
        <v>40180</v>
      </c>
      <c r="E244" s="36">
        <v>445447</v>
      </c>
      <c r="F244" s="1"/>
      <c r="G244" s="1"/>
      <c r="H244" s="3"/>
      <c r="I244" s="2"/>
      <c r="J244" s="3"/>
      <c r="K244" s="2"/>
    </row>
    <row r="245" spans="1:11" x14ac:dyDescent="0.2">
      <c r="A245">
        <v>2016</v>
      </c>
      <c r="B245" s="34">
        <v>325</v>
      </c>
      <c r="C245" s="34" t="s">
        <v>244</v>
      </c>
      <c r="D245" s="36">
        <v>283068</v>
      </c>
      <c r="E245" s="36">
        <v>2074748</v>
      </c>
      <c r="F245" s="1"/>
      <c r="G245" s="1"/>
      <c r="H245" s="3"/>
      <c r="I245" s="2"/>
      <c r="J245" s="3"/>
      <c r="K245" s="2"/>
    </row>
    <row r="246" spans="1:11" x14ac:dyDescent="0.2">
      <c r="A246">
        <v>2016</v>
      </c>
      <c r="B246" s="34">
        <v>326</v>
      </c>
      <c r="C246" s="34" t="s">
        <v>245</v>
      </c>
      <c r="D246" s="36">
        <v>25715</v>
      </c>
      <c r="E246" s="36">
        <v>185233</v>
      </c>
      <c r="F246" s="1"/>
      <c r="G246" s="1"/>
      <c r="H246" s="3"/>
      <c r="I246" s="2"/>
      <c r="J246" s="3"/>
      <c r="K246" s="2"/>
    </row>
    <row r="247" spans="1:11" x14ac:dyDescent="0.2">
      <c r="A247">
        <v>2016</v>
      </c>
      <c r="B247" s="34">
        <v>328</v>
      </c>
      <c r="C247" s="34" t="s">
        <v>246</v>
      </c>
      <c r="D247" s="36">
        <v>64847</v>
      </c>
      <c r="E247" s="36">
        <v>844371</v>
      </c>
      <c r="F247" s="1"/>
      <c r="G247" s="1"/>
      <c r="H247" s="3"/>
      <c r="I247" s="2"/>
      <c r="J247" s="3"/>
      <c r="K247" s="2"/>
    </row>
    <row r="248" spans="1:11" x14ac:dyDescent="0.2">
      <c r="A248">
        <v>2016</v>
      </c>
      <c r="B248" s="34">
        <v>329</v>
      </c>
      <c r="C248" s="34" t="s">
        <v>247</v>
      </c>
      <c r="D248" s="36">
        <v>14807</v>
      </c>
      <c r="E248" s="36">
        <v>120486</v>
      </c>
      <c r="F248" s="1"/>
      <c r="G248" s="1"/>
      <c r="H248" s="3"/>
      <c r="I248" s="2"/>
      <c r="J248" s="3"/>
      <c r="K248" s="2"/>
    </row>
    <row r="249" spans="1:11" x14ac:dyDescent="0.2">
      <c r="A249">
        <v>2016</v>
      </c>
      <c r="B249" s="34">
        <v>330</v>
      </c>
      <c r="C249" s="34" t="s">
        <v>248</v>
      </c>
      <c r="D249" s="36">
        <v>27511</v>
      </c>
      <c r="E249" s="36">
        <v>366744</v>
      </c>
      <c r="F249" s="1"/>
      <c r="G249" s="1"/>
      <c r="H249" s="3"/>
      <c r="I249" s="2"/>
      <c r="J249" s="3"/>
      <c r="K249" s="2"/>
    </row>
    <row r="250" spans="1:11" x14ac:dyDescent="0.2">
      <c r="A250">
        <v>2016</v>
      </c>
      <c r="B250" s="34">
        <v>331</v>
      </c>
      <c r="C250" s="34" t="s">
        <v>249</v>
      </c>
      <c r="D250" s="36">
        <v>342977</v>
      </c>
      <c r="E250" s="36">
        <v>2358592</v>
      </c>
      <c r="F250" s="1"/>
      <c r="G250" s="1"/>
      <c r="H250" s="3"/>
      <c r="I250" s="2"/>
      <c r="J250" s="3"/>
      <c r="K250" s="2"/>
    </row>
    <row r="251" spans="1:11" x14ac:dyDescent="0.2">
      <c r="A251">
        <v>2016</v>
      </c>
      <c r="B251" s="34">
        <v>332</v>
      </c>
      <c r="C251" s="34" t="s">
        <v>250</v>
      </c>
      <c r="D251" s="36">
        <v>142916</v>
      </c>
      <c r="E251" s="36">
        <v>1069708</v>
      </c>
      <c r="F251" s="1"/>
      <c r="G251" s="1"/>
      <c r="H251" s="3"/>
      <c r="I251" s="2"/>
      <c r="J251" s="3"/>
      <c r="K251" s="2"/>
    </row>
    <row r="252" spans="1:11" x14ac:dyDescent="0.2">
      <c r="A252">
        <v>2016</v>
      </c>
      <c r="B252" s="34">
        <v>333</v>
      </c>
      <c r="C252" s="34" t="s">
        <v>251</v>
      </c>
      <c r="D252" s="36">
        <v>38618</v>
      </c>
      <c r="E252" s="36">
        <v>242825</v>
      </c>
      <c r="F252" s="1"/>
      <c r="G252" s="1"/>
      <c r="H252" s="3"/>
      <c r="I252" s="2"/>
      <c r="J252" s="3"/>
      <c r="K252" s="2"/>
    </row>
    <row r="253" spans="1:11" x14ac:dyDescent="0.2">
      <c r="A253">
        <v>2016</v>
      </c>
      <c r="B253" s="34">
        <v>335</v>
      </c>
      <c r="C253" s="34" t="s">
        <v>558</v>
      </c>
      <c r="D253" s="36">
        <v>64797</v>
      </c>
      <c r="E253" s="36">
        <v>311252</v>
      </c>
      <c r="F253" s="1"/>
      <c r="G253" s="1"/>
      <c r="H253" s="3"/>
      <c r="I253" s="2"/>
      <c r="J253" s="3"/>
      <c r="K253" s="2"/>
    </row>
    <row r="254" spans="1:11" x14ac:dyDescent="0.2">
      <c r="A254">
        <v>2016</v>
      </c>
      <c r="B254" s="34">
        <v>336</v>
      </c>
      <c r="C254" s="34" t="s">
        <v>559</v>
      </c>
      <c r="D254" s="36">
        <v>68085</v>
      </c>
      <c r="E254" s="36">
        <v>499906</v>
      </c>
      <c r="F254" s="1"/>
      <c r="G254" s="1"/>
      <c r="H254" s="3"/>
      <c r="I254" s="2"/>
      <c r="J254" s="3"/>
      <c r="K254" s="2"/>
    </row>
    <row r="255" spans="1:11" x14ac:dyDescent="0.2">
      <c r="A255">
        <v>2016</v>
      </c>
      <c r="B255" s="34">
        <v>337</v>
      </c>
      <c r="C255" s="34" t="s">
        <v>254</v>
      </c>
      <c r="D255" s="36">
        <v>493243</v>
      </c>
      <c r="E255" s="36">
        <v>2771557</v>
      </c>
      <c r="F255" s="1"/>
      <c r="G255" s="1"/>
      <c r="H255" s="3"/>
      <c r="I255" s="2"/>
      <c r="J255" s="3"/>
      <c r="K255" s="2"/>
    </row>
    <row r="256" spans="1:11" x14ac:dyDescent="0.2">
      <c r="A256">
        <v>2016</v>
      </c>
      <c r="B256" s="34">
        <v>339</v>
      </c>
      <c r="C256" s="34" t="s">
        <v>255</v>
      </c>
      <c r="D256" s="36">
        <v>10476</v>
      </c>
      <c r="E256" s="36">
        <v>53162</v>
      </c>
      <c r="F256" s="1"/>
      <c r="G256" s="1"/>
      <c r="H256" s="3"/>
      <c r="I256" s="2"/>
      <c r="J256" s="3"/>
      <c r="K256" s="2"/>
    </row>
    <row r="257" spans="1:11" x14ac:dyDescent="0.2">
      <c r="A257">
        <v>2016</v>
      </c>
      <c r="B257" s="34">
        <v>340</v>
      </c>
      <c r="C257" s="34" t="s">
        <v>256</v>
      </c>
      <c r="D257" s="36">
        <v>45594</v>
      </c>
      <c r="E257" s="36">
        <v>275498</v>
      </c>
      <c r="F257" s="1"/>
      <c r="G257" s="1"/>
      <c r="H257" s="3"/>
      <c r="I257" s="2"/>
      <c r="J257" s="3"/>
      <c r="K257" s="2"/>
    </row>
    <row r="258" spans="1:11" x14ac:dyDescent="0.2">
      <c r="A258">
        <v>2016</v>
      </c>
      <c r="B258" s="34">
        <v>351</v>
      </c>
      <c r="C258" s="34" t="s">
        <v>560</v>
      </c>
      <c r="D258" s="36">
        <v>30485</v>
      </c>
      <c r="E258" s="36">
        <v>325304</v>
      </c>
      <c r="F258" s="1"/>
      <c r="G258" s="1"/>
      <c r="H258" s="3"/>
      <c r="I258" s="2"/>
      <c r="J258" s="3"/>
      <c r="K258" s="2"/>
    </row>
    <row r="259" spans="1:11" x14ac:dyDescent="0.2">
      <c r="A259">
        <v>2016</v>
      </c>
      <c r="B259" s="34">
        <v>352</v>
      </c>
      <c r="C259" s="34" t="s">
        <v>258</v>
      </c>
      <c r="D259" s="36">
        <v>106737</v>
      </c>
      <c r="E259" s="36">
        <v>793165</v>
      </c>
      <c r="F259" s="1"/>
      <c r="G259" s="1"/>
      <c r="H259" s="3"/>
      <c r="I259" s="2"/>
      <c r="J259" s="3"/>
      <c r="K259" s="2"/>
    </row>
    <row r="260" spans="1:11" x14ac:dyDescent="0.2">
      <c r="A260">
        <v>2016</v>
      </c>
      <c r="B260" s="34">
        <v>353</v>
      </c>
      <c r="C260" s="34" t="s">
        <v>259</v>
      </c>
      <c r="D260" s="36">
        <v>156678</v>
      </c>
      <c r="E260" s="36">
        <v>1385100</v>
      </c>
      <c r="F260" s="1"/>
      <c r="G260" s="1"/>
      <c r="H260" s="3"/>
      <c r="I260" s="2"/>
      <c r="J260" s="3"/>
      <c r="K260" s="2"/>
    </row>
    <row r="261" spans="1:11" x14ac:dyDescent="0.2">
      <c r="A261">
        <v>2016</v>
      </c>
      <c r="B261" s="59">
        <v>354</v>
      </c>
      <c r="C261" s="34" t="s">
        <v>260</v>
      </c>
      <c r="D261" s="36">
        <v>33273</v>
      </c>
      <c r="E261" s="36">
        <v>285002</v>
      </c>
      <c r="F261" s="1"/>
      <c r="G261" s="3"/>
      <c r="H261" s="2"/>
      <c r="I261" s="3"/>
      <c r="J261" s="2"/>
    </row>
    <row r="262" spans="1:11" x14ac:dyDescent="0.2">
      <c r="A262">
        <v>2016</v>
      </c>
      <c r="B262" s="59">
        <v>355</v>
      </c>
      <c r="C262" s="34" t="s">
        <v>261</v>
      </c>
      <c r="D262" s="36">
        <v>27982</v>
      </c>
      <c r="E262" s="36">
        <v>321081</v>
      </c>
      <c r="F262" s="1"/>
      <c r="G262" s="3"/>
      <c r="H262" s="2"/>
      <c r="I262" s="3"/>
      <c r="J262" s="2"/>
    </row>
    <row r="263" spans="1:11" x14ac:dyDescent="0.2">
      <c r="A263">
        <v>2016</v>
      </c>
      <c r="B263" s="59">
        <v>356</v>
      </c>
      <c r="C263" s="34" t="s">
        <v>262</v>
      </c>
      <c r="D263" s="36">
        <v>68218</v>
      </c>
      <c r="E263" s="36">
        <v>683614</v>
      </c>
      <c r="F263" s="1"/>
      <c r="G263" s="3"/>
      <c r="H263" s="2"/>
      <c r="I263" s="3"/>
      <c r="J263" s="2"/>
    </row>
    <row r="264" spans="1:11" x14ac:dyDescent="0.2">
      <c r="A264">
        <v>2016</v>
      </c>
      <c r="B264" s="59">
        <v>357</v>
      </c>
      <c r="C264" s="34" t="s">
        <v>561</v>
      </c>
      <c r="D264" s="36">
        <v>50454</v>
      </c>
      <c r="E264" s="36">
        <v>288236</v>
      </c>
      <c r="F264" s="1"/>
      <c r="G264" s="3"/>
      <c r="H264" s="2"/>
      <c r="I264" s="3"/>
      <c r="J264" s="2"/>
    </row>
    <row r="265" spans="1:11" x14ac:dyDescent="0.2">
      <c r="A265">
        <v>2016</v>
      </c>
      <c r="B265" s="59">
        <v>358</v>
      </c>
      <c r="C265" s="34" t="s">
        <v>264</v>
      </c>
      <c r="D265" s="36">
        <v>102376</v>
      </c>
      <c r="E265" s="36">
        <v>947528</v>
      </c>
      <c r="F265" s="1"/>
      <c r="G265" s="3"/>
      <c r="H265" s="2"/>
      <c r="I265" s="3"/>
      <c r="J265" s="2"/>
    </row>
    <row r="266" spans="1:11" x14ac:dyDescent="0.2">
      <c r="A266">
        <v>2016</v>
      </c>
      <c r="B266" s="59">
        <v>359</v>
      </c>
      <c r="C266" s="34" t="s">
        <v>265</v>
      </c>
      <c r="D266" s="36">
        <v>47106</v>
      </c>
      <c r="E266" s="36">
        <v>417081</v>
      </c>
      <c r="F266" s="1"/>
      <c r="G266" s="3"/>
      <c r="H266" s="2"/>
      <c r="I266" s="3"/>
      <c r="J266" s="2"/>
    </row>
    <row r="267" spans="1:11" x14ac:dyDescent="0.2">
      <c r="A267">
        <v>2016</v>
      </c>
      <c r="B267" s="59">
        <v>360</v>
      </c>
      <c r="C267" s="34" t="s">
        <v>266</v>
      </c>
      <c r="D267" s="36">
        <v>35463</v>
      </c>
      <c r="E267" s="36">
        <v>290735</v>
      </c>
      <c r="F267" s="1"/>
      <c r="G267" s="3"/>
      <c r="H267" s="2"/>
      <c r="I267" s="3"/>
      <c r="J267" s="2"/>
    </row>
    <row r="268" spans="1:11" x14ac:dyDescent="0.2">
      <c r="A268">
        <v>2016</v>
      </c>
      <c r="B268" s="59">
        <v>361</v>
      </c>
      <c r="C268" s="34" t="s">
        <v>267</v>
      </c>
      <c r="D268" s="36">
        <v>115483</v>
      </c>
      <c r="E268" s="36">
        <v>1171231</v>
      </c>
      <c r="F268" s="1"/>
      <c r="G268" s="3"/>
      <c r="H268" s="2"/>
      <c r="I268" s="3"/>
      <c r="J268" s="2"/>
    </row>
    <row r="269" spans="1:11" x14ac:dyDescent="0.2">
      <c r="A269">
        <v>2016</v>
      </c>
      <c r="B269" s="59">
        <v>362</v>
      </c>
      <c r="C269" s="34" t="s">
        <v>268</v>
      </c>
      <c r="D269" s="36">
        <v>54389</v>
      </c>
      <c r="E269" s="36">
        <v>424032</v>
      </c>
      <c r="F269" s="1"/>
      <c r="G269" s="3"/>
      <c r="H269" s="2"/>
      <c r="I269" s="3"/>
      <c r="J269" s="2"/>
    </row>
    <row r="270" spans="1:11" x14ac:dyDescent="0.2">
      <c r="A270">
        <v>2016</v>
      </c>
      <c r="B270" s="59">
        <v>363</v>
      </c>
      <c r="C270" s="34" t="s">
        <v>269</v>
      </c>
      <c r="D270" s="36">
        <v>57723</v>
      </c>
      <c r="E270" s="36">
        <v>338649</v>
      </c>
      <c r="F270" s="1"/>
      <c r="G270" s="3"/>
      <c r="H270" s="2"/>
      <c r="I270" s="3"/>
      <c r="J270" s="2"/>
    </row>
    <row r="271" spans="1:11" x14ac:dyDescent="0.2">
      <c r="A271">
        <v>2016</v>
      </c>
      <c r="B271" s="59">
        <v>364</v>
      </c>
      <c r="C271" s="34" t="s">
        <v>270</v>
      </c>
      <c r="D271" s="36">
        <v>104465</v>
      </c>
      <c r="E271" s="36">
        <v>557876</v>
      </c>
      <c r="F271" s="1"/>
      <c r="G271" s="3"/>
      <c r="H271" s="2"/>
      <c r="I271" s="3"/>
      <c r="J271" s="2"/>
    </row>
    <row r="272" spans="1:11" x14ac:dyDescent="0.2">
      <c r="A272">
        <v>2016</v>
      </c>
      <c r="B272" s="59">
        <v>365</v>
      </c>
      <c r="C272" s="34" t="s">
        <v>562</v>
      </c>
      <c r="D272" s="36">
        <v>35089</v>
      </c>
      <c r="E272" s="36">
        <v>249925</v>
      </c>
      <c r="F272" s="1"/>
      <c r="G272" s="3"/>
      <c r="H272" s="2"/>
      <c r="I272" s="3"/>
      <c r="J272" s="2"/>
    </row>
    <row r="273" spans="1:10" x14ac:dyDescent="0.2">
      <c r="A273">
        <v>2016</v>
      </c>
      <c r="B273" s="59">
        <v>366</v>
      </c>
      <c r="C273" s="34" t="s">
        <v>563</v>
      </c>
      <c r="D273" s="36">
        <v>81592</v>
      </c>
      <c r="E273" s="36">
        <v>515337</v>
      </c>
      <c r="F273" s="1"/>
      <c r="G273" s="3"/>
      <c r="H273" s="2"/>
      <c r="I273" s="3"/>
      <c r="J273" s="2"/>
    </row>
    <row r="274" spans="1:10" x14ac:dyDescent="0.2">
      <c r="A274">
        <v>2016</v>
      </c>
      <c r="B274" s="59">
        <v>367</v>
      </c>
      <c r="C274" s="34" t="s">
        <v>273</v>
      </c>
      <c r="D274" s="36">
        <v>744167</v>
      </c>
      <c r="E274" s="36">
        <v>4044988</v>
      </c>
      <c r="F274" s="1"/>
      <c r="G274" s="3"/>
      <c r="H274" s="2"/>
      <c r="I274" s="3"/>
      <c r="J274" s="2"/>
    </row>
    <row r="275" spans="1:10" x14ac:dyDescent="0.2">
      <c r="A275">
        <v>2016</v>
      </c>
      <c r="B275" s="59">
        <v>368</v>
      </c>
      <c r="C275" s="34" t="s">
        <v>274</v>
      </c>
      <c r="D275" s="36">
        <v>149393</v>
      </c>
      <c r="E275" s="36">
        <v>920455</v>
      </c>
      <c r="F275" s="1"/>
      <c r="G275" s="3"/>
      <c r="H275" s="2"/>
      <c r="I275" s="3"/>
      <c r="J275" s="2"/>
    </row>
    <row r="276" spans="1:10" x14ac:dyDescent="0.2">
      <c r="A276">
        <v>2016</v>
      </c>
      <c r="B276" s="59">
        <v>369</v>
      </c>
      <c r="C276" s="34" t="s">
        <v>564</v>
      </c>
      <c r="D276" s="36">
        <v>23204</v>
      </c>
      <c r="E276" s="36">
        <v>165955</v>
      </c>
      <c r="F276" s="1"/>
      <c r="G276" s="3"/>
      <c r="H276" s="2"/>
      <c r="I276" s="3"/>
      <c r="J276" s="2"/>
    </row>
    <row r="277" spans="1:10" x14ac:dyDescent="0.2">
      <c r="A277">
        <v>2016</v>
      </c>
      <c r="B277" s="59">
        <v>370</v>
      </c>
      <c r="C277" s="34" t="s">
        <v>565</v>
      </c>
      <c r="D277" s="36">
        <v>23934</v>
      </c>
      <c r="E277" s="36">
        <v>119254</v>
      </c>
      <c r="F277" s="1"/>
      <c r="G277" s="3"/>
      <c r="H277" s="2"/>
      <c r="I277" s="3"/>
      <c r="J277" s="2"/>
    </row>
    <row r="278" spans="1:10" x14ac:dyDescent="0.2">
      <c r="A278">
        <v>2016</v>
      </c>
      <c r="B278" s="59">
        <v>371</v>
      </c>
      <c r="C278" s="34" t="s">
        <v>277</v>
      </c>
      <c r="D278" s="36">
        <v>94559</v>
      </c>
      <c r="E278" s="36">
        <v>724440</v>
      </c>
      <c r="F278" s="1"/>
      <c r="G278" s="3"/>
      <c r="H278" s="2"/>
      <c r="I278" s="3"/>
      <c r="J278" s="2"/>
    </row>
    <row r="279" spans="1:10" x14ac:dyDescent="0.2">
      <c r="A279">
        <v>2016</v>
      </c>
      <c r="B279" s="59">
        <v>372</v>
      </c>
      <c r="C279" s="34" t="s">
        <v>278</v>
      </c>
      <c r="D279" s="36">
        <v>20516</v>
      </c>
      <c r="E279" s="36">
        <v>145712</v>
      </c>
      <c r="F279" s="1"/>
      <c r="G279" s="3"/>
      <c r="H279" s="2"/>
      <c r="I279" s="3"/>
      <c r="J279" s="2"/>
    </row>
    <row r="280" spans="1:10" x14ac:dyDescent="0.2">
      <c r="A280">
        <v>2016</v>
      </c>
      <c r="B280" s="59">
        <v>373</v>
      </c>
      <c r="C280" s="34" t="s">
        <v>279</v>
      </c>
      <c r="D280" s="36">
        <v>53179</v>
      </c>
      <c r="E280" s="36">
        <v>474412</v>
      </c>
      <c r="F280" s="1"/>
      <c r="G280" s="3"/>
      <c r="H280" s="2"/>
      <c r="I280" s="3"/>
      <c r="J280" s="2"/>
    </row>
    <row r="281" spans="1:10" x14ac:dyDescent="0.2">
      <c r="A281">
        <v>2016</v>
      </c>
      <c r="B281" s="59">
        <v>374</v>
      </c>
      <c r="C281" s="34" t="s">
        <v>280</v>
      </c>
      <c r="D281" s="36">
        <v>11211</v>
      </c>
      <c r="E281" s="36">
        <v>130750</v>
      </c>
      <c r="F281" s="1"/>
      <c r="G281" s="3"/>
      <c r="H281" s="2"/>
      <c r="I281" s="3"/>
      <c r="J281" s="2"/>
    </row>
    <row r="282" spans="1:10" x14ac:dyDescent="0.2">
      <c r="A282">
        <v>2016</v>
      </c>
      <c r="B282" s="59">
        <v>375</v>
      </c>
      <c r="C282" s="34" t="s">
        <v>566</v>
      </c>
      <c r="D282" s="36">
        <v>175353</v>
      </c>
      <c r="E282" s="36">
        <v>1364566</v>
      </c>
      <c r="F282" s="1"/>
      <c r="G282" s="3"/>
      <c r="H282" s="2"/>
      <c r="I282" s="3"/>
      <c r="J282" s="2"/>
    </row>
    <row r="283" spans="1:10" x14ac:dyDescent="0.2">
      <c r="A283">
        <v>2016</v>
      </c>
      <c r="B283" s="59">
        <v>376</v>
      </c>
      <c r="C283" s="34" t="s">
        <v>282</v>
      </c>
      <c r="D283" s="36">
        <v>14506</v>
      </c>
      <c r="E283" s="36">
        <v>41573</v>
      </c>
      <c r="F283" s="1"/>
      <c r="G283" s="3"/>
      <c r="H283" s="2"/>
      <c r="I283" s="3"/>
      <c r="J283" s="2"/>
    </row>
    <row r="284" spans="1:10" x14ac:dyDescent="0.2">
      <c r="A284">
        <v>2016</v>
      </c>
      <c r="B284" s="59">
        <v>378</v>
      </c>
      <c r="C284" s="34" t="s">
        <v>283</v>
      </c>
      <c r="D284" s="36">
        <v>342716</v>
      </c>
      <c r="E284" s="36">
        <v>2360000</v>
      </c>
      <c r="F284" s="1"/>
      <c r="G284" s="3"/>
      <c r="H284" s="2"/>
      <c r="I284" s="3"/>
      <c r="J284" s="2"/>
    </row>
    <row r="285" spans="1:10" x14ac:dyDescent="0.2">
      <c r="A285">
        <v>2016</v>
      </c>
      <c r="B285" s="59">
        <v>379</v>
      </c>
      <c r="C285" s="34" t="s">
        <v>284</v>
      </c>
      <c r="D285" s="36">
        <v>131103</v>
      </c>
      <c r="E285" s="36">
        <v>910486</v>
      </c>
      <c r="F285" s="1"/>
      <c r="G285" s="3"/>
      <c r="H285" s="2"/>
      <c r="I285" s="3"/>
      <c r="J285" s="2"/>
    </row>
    <row r="286" spans="1:10" x14ac:dyDescent="0.2">
      <c r="A286">
        <v>2016</v>
      </c>
      <c r="B286" s="59">
        <v>380</v>
      </c>
      <c r="C286" s="34" t="s">
        <v>567</v>
      </c>
      <c r="D286" s="36">
        <v>35857</v>
      </c>
      <c r="E286" s="36">
        <v>257178</v>
      </c>
      <c r="F286" s="1"/>
      <c r="G286" s="3"/>
      <c r="H286" s="2"/>
      <c r="I286" s="3"/>
      <c r="J286" s="2"/>
    </row>
    <row r="287" spans="1:10" x14ac:dyDescent="0.2">
      <c r="A287">
        <v>2016</v>
      </c>
      <c r="B287" s="59">
        <v>381</v>
      </c>
      <c r="C287" s="34" t="s">
        <v>286</v>
      </c>
      <c r="D287" s="36">
        <v>16976</v>
      </c>
      <c r="E287" s="36">
        <v>97464</v>
      </c>
      <c r="F287" s="1"/>
      <c r="G287" s="3"/>
      <c r="H287" s="2"/>
      <c r="I287" s="3"/>
      <c r="J287" s="2"/>
    </row>
    <row r="288" spans="1:10" x14ac:dyDescent="0.2">
      <c r="A288">
        <v>2016</v>
      </c>
      <c r="B288" s="59">
        <v>383</v>
      </c>
      <c r="C288" s="34" t="s">
        <v>287</v>
      </c>
      <c r="D288" s="36">
        <v>21676</v>
      </c>
      <c r="E288" s="36">
        <v>156634</v>
      </c>
      <c r="F288" s="1"/>
      <c r="G288" s="3"/>
      <c r="H288" s="2"/>
      <c r="I288" s="3"/>
      <c r="J288" s="2"/>
    </row>
    <row r="289" spans="1:10" x14ac:dyDescent="0.2">
      <c r="A289">
        <v>2016</v>
      </c>
      <c r="B289" s="59">
        <v>384</v>
      </c>
      <c r="C289" s="34" t="s">
        <v>288</v>
      </c>
      <c r="D289" s="36">
        <v>12457</v>
      </c>
      <c r="E289" s="36">
        <v>161083</v>
      </c>
      <c r="F289" s="1"/>
      <c r="G289" s="3"/>
      <c r="H289" s="2"/>
      <c r="I289" s="3"/>
      <c r="J289" s="2"/>
    </row>
    <row r="290" spans="1:10" x14ac:dyDescent="0.2">
      <c r="A290">
        <v>2016</v>
      </c>
      <c r="B290" s="59">
        <v>386</v>
      </c>
      <c r="C290" s="34" t="s">
        <v>289</v>
      </c>
      <c r="D290" s="36">
        <v>6980</v>
      </c>
      <c r="E290" s="36">
        <v>55825</v>
      </c>
      <c r="F290" s="1"/>
      <c r="G290" s="3"/>
      <c r="H290" s="2"/>
      <c r="I290" s="3"/>
      <c r="J290" s="2"/>
    </row>
    <row r="291" spans="1:10" x14ac:dyDescent="0.2">
      <c r="A291">
        <v>2016</v>
      </c>
      <c r="B291" s="59">
        <v>388</v>
      </c>
      <c r="C291" s="34" t="s">
        <v>290</v>
      </c>
      <c r="D291" s="36">
        <v>204117</v>
      </c>
      <c r="E291" s="36">
        <v>1160600</v>
      </c>
      <c r="F291" s="1"/>
      <c r="G291" s="3"/>
      <c r="H291" s="2"/>
      <c r="I291" s="3"/>
      <c r="J291" s="2"/>
    </row>
    <row r="292" spans="1:10" x14ac:dyDescent="0.2">
      <c r="A292">
        <v>2016</v>
      </c>
      <c r="B292" s="59">
        <v>389</v>
      </c>
      <c r="C292" s="34" t="s">
        <v>291</v>
      </c>
      <c r="D292" s="36">
        <v>17535</v>
      </c>
      <c r="E292" s="36">
        <v>116960</v>
      </c>
      <c r="F292" s="1"/>
      <c r="G292" s="3"/>
      <c r="H292" s="2"/>
      <c r="I292" s="3"/>
      <c r="J292" s="2"/>
    </row>
    <row r="293" spans="1:10" x14ac:dyDescent="0.2">
      <c r="A293">
        <v>2016</v>
      </c>
      <c r="B293" s="59">
        <v>390</v>
      </c>
      <c r="C293" s="34" t="s">
        <v>568</v>
      </c>
      <c r="D293" s="36">
        <v>39061</v>
      </c>
      <c r="E293" s="36">
        <v>284043</v>
      </c>
      <c r="F293" s="1"/>
      <c r="G293" s="3"/>
      <c r="H293" s="2"/>
      <c r="I293" s="3"/>
      <c r="J293" s="2"/>
    </row>
    <row r="294" spans="1:10" x14ac:dyDescent="0.2">
      <c r="A294">
        <v>2016</v>
      </c>
      <c r="B294" s="59">
        <v>391</v>
      </c>
      <c r="C294" s="34" t="s">
        <v>569</v>
      </c>
      <c r="D294" s="36">
        <v>71050</v>
      </c>
      <c r="E294" s="36">
        <v>472809</v>
      </c>
      <c r="F294" s="1"/>
      <c r="G294" s="3"/>
      <c r="H294" s="2"/>
      <c r="I294" s="3"/>
      <c r="J294" s="2"/>
    </row>
    <row r="295" spans="1:10" x14ac:dyDescent="0.2">
      <c r="A295">
        <v>2016</v>
      </c>
      <c r="B295" s="59">
        <v>392</v>
      </c>
      <c r="C295" s="34" t="s">
        <v>570</v>
      </c>
      <c r="D295" s="36">
        <v>105851</v>
      </c>
      <c r="E295" s="36">
        <v>749155</v>
      </c>
      <c r="F295" s="1"/>
      <c r="G295" s="3"/>
      <c r="H295" s="2"/>
      <c r="I295" s="3"/>
      <c r="J295" s="2"/>
    </row>
    <row r="296" spans="1:10" x14ac:dyDescent="0.2">
      <c r="A296">
        <v>2016</v>
      </c>
      <c r="B296" s="59">
        <v>393</v>
      </c>
      <c r="C296" s="34" t="s">
        <v>571</v>
      </c>
      <c r="D296" s="36">
        <v>19765</v>
      </c>
      <c r="E296" s="36">
        <v>185409</v>
      </c>
      <c r="F296" s="1"/>
      <c r="G296" s="3"/>
      <c r="H296" s="2"/>
      <c r="I296" s="3"/>
      <c r="J296" s="2"/>
    </row>
    <row r="297" spans="1:10" x14ac:dyDescent="0.2">
      <c r="A297">
        <v>2016</v>
      </c>
      <c r="B297" s="59">
        <v>394</v>
      </c>
      <c r="C297" s="34" t="s">
        <v>296</v>
      </c>
      <c r="D297" s="36">
        <v>348509</v>
      </c>
      <c r="E297" s="36">
        <v>2508757</v>
      </c>
      <c r="F297" s="1"/>
      <c r="G297" s="3"/>
      <c r="H297" s="2"/>
      <c r="I297" s="3"/>
      <c r="J297" s="2"/>
    </row>
    <row r="298" spans="1:10" x14ac:dyDescent="0.2">
      <c r="A298">
        <v>2016</v>
      </c>
      <c r="B298" s="59">
        <v>395</v>
      </c>
      <c r="C298" s="34" t="s">
        <v>297</v>
      </c>
      <c r="D298" s="36">
        <v>25459</v>
      </c>
      <c r="E298" s="36">
        <v>178043</v>
      </c>
      <c r="F298" s="1"/>
      <c r="G298" s="3"/>
      <c r="H298" s="2"/>
      <c r="I298" s="3"/>
      <c r="J298" s="2"/>
    </row>
    <row r="299" spans="1:10" x14ac:dyDescent="0.2">
      <c r="A299">
        <v>2016</v>
      </c>
      <c r="B299" s="59">
        <v>397</v>
      </c>
      <c r="C299" s="34" t="s">
        <v>298</v>
      </c>
      <c r="D299" s="36">
        <v>39548</v>
      </c>
      <c r="E299" s="36">
        <v>301337</v>
      </c>
      <c r="F299" s="1"/>
      <c r="G299" s="3"/>
      <c r="H299" s="2"/>
      <c r="I299" s="3"/>
      <c r="J299" s="2"/>
    </row>
    <row r="300" spans="1:10" x14ac:dyDescent="0.2">
      <c r="A300">
        <v>2016</v>
      </c>
      <c r="B300" s="59">
        <v>398</v>
      </c>
      <c r="C300" s="34" t="s">
        <v>572</v>
      </c>
      <c r="D300" s="36">
        <v>218929</v>
      </c>
      <c r="E300" s="36">
        <v>1120803</v>
      </c>
      <c r="F300" s="1"/>
      <c r="G300" s="3"/>
      <c r="H300" s="2"/>
      <c r="I300" s="3"/>
      <c r="J300" s="2"/>
    </row>
    <row r="301" spans="1:10" x14ac:dyDescent="0.2">
      <c r="A301">
        <v>2016</v>
      </c>
      <c r="B301" s="59">
        <v>399</v>
      </c>
      <c r="C301" s="34" t="s">
        <v>573</v>
      </c>
      <c r="D301" s="36">
        <v>220672</v>
      </c>
      <c r="E301" s="36">
        <v>1425856</v>
      </c>
      <c r="F301" s="1"/>
      <c r="G301" s="3"/>
      <c r="H301" s="2"/>
      <c r="I301" s="3"/>
      <c r="J301" s="2"/>
    </row>
    <row r="302" spans="1:10" x14ac:dyDescent="0.2">
      <c r="A302">
        <v>2016</v>
      </c>
      <c r="B302" s="59">
        <v>400</v>
      </c>
      <c r="C302" s="34" t="s">
        <v>301</v>
      </c>
      <c r="D302" s="36">
        <v>23328</v>
      </c>
      <c r="E302" s="36">
        <v>169442</v>
      </c>
      <c r="F302" s="1"/>
      <c r="G302" s="3"/>
      <c r="H302" s="2"/>
      <c r="I302" s="3"/>
      <c r="J302" s="2"/>
    </row>
    <row r="303" spans="1:10" x14ac:dyDescent="0.2">
      <c r="A303">
        <v>2016</v>
      </c>
      <c r="B303" s="59">
        <v>401</v>
      </c>
      <c r="C303" s="34" t="s">
        <v>302</v>
      </c>
      <c r="D303" s="36">
        <v>17644</v>
      </c>
      <c r="E303" s="36">
        <v>165804</v>
      </c>
      <c r="F303" s="1"/>
      <c r="G303" s="3"/>
      <c r="H303" s="2"/>
      <c r="I303" s="3"/>
      <c r="J303" s="2"/>
    </row>
    <row r="304" spans="1:10" x14ac:dyDescent="0.2">
      <c r="A304">
        <v>2016</v>
      </c>
      <c r="B304" s="59">
        <v>402</v>
      </c>
      <c r="C304" s="34" t="s">
        <v>574</v>
      </c>
      <c r="D304" s="36">
        <v>71165</v>
      </c>
      <c r="E304" s="36">
        <v>448263</v>
      </c>
      <c r="F304" s="1"/>
      <c r="G304" s="3"/>
      <c r="H304" s="2"/>
      <c r="I304" s="3"/>
      <c r="J304" s="2"/>
    </row>
    <row r="305" spans="1:10" x14ac:dyDescent="0.2">
      <c r="A305">
        <v>2016</v>
      </c>
      <c r="B305" s="59">
        <v>403</v>
      </c>
      <c r="C305" s="34" t="s">
        <v>575</v>
      </c>
      <c r="D305" s="36">
        <v>82289</v>
      </c>
      <c r="E305" s="36">
        <v>632379</v>
      </c>
      <c r="F305" s="1"/>
      <c r="G305" s="3"/>
      <c r="H305" s="2"/>
      <c r="I305" s="3"/>
      <c r="J305" s="2"/>
    </row>
    <row r="306" spans="1:10" x14ac:dyDescent="0.2">
      <c r="A306">
        <v>2016</v>
      </c>
      <c r="B306" s="59">
        <v>404</v>
      </c>
      <c r="C306" s="34" t="s">
        <v>576</v>
      </c>
      <c r="D306" s="36">
        <v>92403</v>
      </c>
      <c r="E306" s="36">
        <v>675167</v>
      </c>
      <c r="F306" s="1"/>
      <c r="G306" s="3"/>
      <c r="H306" s="2"/>
      <c r="I306" s="3"/>
      <c r="J306" s="2"/>
    </row>
    <row r="307" spans="1:10" x14ac:dyDescent="0.2">
      <c r="A307">
        <v>2016</v>
      </c>
      <c r="B307" s="59">
        <v>405</v>
      </c>
      <c r="C307" s="34" t="s">
        <v>577</v>
      </c>
      <c r="D307" s="36">
        <v>88040</v>
      </c>
      <c r="E307" s="36">
        <v>863323</v>
      </c>
      <c r="F307" s="1"/>
      <c r="G307" s="3"/>
      <c r="H307" s="2"/>
      <c r="I307" s="3"/>
      <c r="J307" s="2"/>
    </row>
    <row r="308" spans="1:10" x14ac:dyDescent="0.2">
      <c r="A308">
        <v>2016</v>
      </c>
      <c r="B308" s="59">
        <v>406</v>
      </c>
      <c r="C308" s="34" t="s">
        <v>578</v>
      </c>
      <c r="D308" s="36">
        <v>10157</v>
      </c>
      <c r="E308" s="36">
        <v>68189</v>
      </c>
      <c r="F308" s="1"/>
      <c r="G308" s="3"/>
      <c r="H308" s="2"/>
      <c r="I308" s="3"/>
      <c r="J308" s="2"/>
    </row>
    <row r="309" spans="1:10" x14ac:dyDescent="0.2">
      <c r="A309">
        <v>2016</v>
      </c>
      <c r="B309" s="59">
        <v>407</v>
      </c>
      <c r="C309" s="34" t="s">
        <v>579</v>
      </c>
      <c r="D309" s="36">
        <v>5090</v>
      </c>
      <c r="E309" s="36">
        <v>43076</v>
      </c>
      <c r="F309" s="1"/>
      <c r="G309" s="3"/>
      <c r="H309" s="2"/>
      <c r="I309" s="3"/>
      <c r="J309" s="2"/>
    </row>
    <row r="310" spans="1:10" x14ac:dyDescent="0.2">
      <c r="A310">
        <v>2016</v>
      </c>
      <c r="B310" s="59">
        <v>408</v>
      </c>
      <c r="C310" s="34" t="s">
        <v>580</v>
      </c>
      <c r="D310" s="36">
        <v>42333</v>
      </c>
      <c r="E310" s="36">
        <v>366446</v>
      </c>
      <c r="F310" s="1"/>
      <c r="G310" s="3"/>
      <c r="H310" s="2"/>
      <c r="I310" s="3"/>
      <c r="J310" s="2"/>
    </row>
    <row r="311" spans="1:10" x14ac:dyDescent="0.2">
      <c r="A311">
        <v>2016</v>
      </c>
      <c r="B311" s="59">
        <v>409</v>
      </c>
      <c r="C311" s="34" t="s">
        <v>581</v>
      </c>
      <c r="D311" s="36">
        <v>23460</v>
      </c>
      <c r="E311" s="36">
        <v>157019</v>
      </c>
      <c r="F311" s="1"/>
      <c r="G311" s="3"/>
      <c r="H311" s="2"/>
      <c r="I311" s="3"/>
      <c r="J311" s="2"/>
    </row>
    <row r="312" spans="1:10" x14ac:dyDescent="0.2">
      <c r="A312">
        <v>2016</v>
      </c>
      <c r="B312" s="59">
        <v>410</v>
      </c>
      <c r="C312" s="34" t="s">
        <v>582</v>
      </c>
      <c r="D312" s="36">
        <v>4859</v>
      </c>
      <c r="E312" s="36">
        <v>66497</v>
      </c>
      <c r="F312" s="1"/>
      <c r="G312" s="3"/>
      <c r="H312" s="2"/>
      <c r="I312" s="3"/>
      <c r="J312" s="2"/>
    </row>
    <row r="313" spans="1:10" x14ac:dyDescent="0.2">
      <c r="A313">
        <v>2016</v>
      </c>
      <c r="B313" s="59">
        <v>412</v>
      </c>
      <c r="C313" s="34" t="s">
        <v>583</v>
      </c>
      <c r="D313" s="36">
        <v>89412</v>
      </c>
      <c r="E313" s="36">
        <v>440535</v>
      </c>
      <c r="F313" s="1"/>
      <c r="G313" s="3"/>
      <c r="H313" s="2"/>
      <c r="I313" s="3"/>
      <c r="J313" s="2"/>
    </row>
    <row r="314" spans="1:10" x14ac:dyDescent="0.2">
      <c r="A314">
        <v>2016</v>
      </c>
      <c r="B314" s="59">
        <v>413</v>
      </c>
      <c r="C314" s="34" t="s">
        <v>584</v>
      </c>
      <c r="D314" s="36">
        <v>35658</v>
      </c>
      <c r="E314" s="36">
        <v>281642</v>
      </c>
      <c r="F314" s="1"/>
      <c r="G314" s="3"/>
      <c r="H314" s="2"/>
      <c r="I314" s="3"/>
      <c r="J314" s="2"/>
    </row>
    <row r="315" spans="1:10" x14ac:dyDescent="0.2">
      <c r="A315">
        <v>2016</v>
      </c>
      <c r="B315" s="59">
        <v>414</v>
      </c>
      <c r="C315" s="34" t="s">
        <v>585</v>
      </c>
      <c r="D315" s="36">
        <v>8297</v>
      </c>
      <c r="E315" s="36">
        <v>34240</v>
      </c>
      <c r="F315" s="1"/>
      <c r="G315" s="3"/>
      <c r="H315" s="2"/>
      <c r="I315" s="3"/>
      <c r="J315" s="2"/>
    </row>
    <row r="316" spans="1:10" x14ac:dyDescent="0.2">
      <c r="A316">
        <v>2016</v>
      </c>
      <c r="B316" s="59">
        <v>415</v>
      </c>
      <c r="C316" s="34" t="s">
        <v>586</v>
      </c>
      <c r="D316" s="36">
        <v>7140</v>
      </c>
      <c r="E316" s="36">
        <v>42055</v>
      </c>
      <c r="F316" s="1"/>
      <c r="G316" s="3"/>
      <c r="H316" s="2"/>
      <c r="I316" s="3"/>
      <c r="J316" s="2"/>
    </row>
    <row r="317" spans="1:10" x14ac:dyDescent="0.2">
      <c r="A317">
        <v>2016</v>
      </c>
      <c r="B317" s="59">
        <v>416</v>
      </c>
      <c r="C317" s="34" t="s">
        <v>587</v>
      </c>
      <c r="D317" s="36">
        <v>15059</v>
      </c>
      <c r="E317" s="36">
        <v>147013</v>
      </c>
      <c r="F317" s="1"/>
      <c r="G317" s="3"/>
      <c r="H317" s="2"/>
      <c r="I317" s="3"/>
      <c r="J317" s="2"/>
    </row>
    <row r="318" spans="1:10" x14ac:dyDescent="0.2">
      <c r="A318">
        <v>2016</v>
      </c>
      <c r="B318" s="59">
        <v>417</v>
      </c>
      <c r="C318" s="34" t="s">
        <v>588</v>
      </c>
      <c r="D318" s="36">
        <v>37234</v>
      </c>
      <c r="E318" s="36">
        <v>257807</v>
      </c>
      <c r="F318" s="1"/>
      <c r="G318" s="3"/>
      <c r="H318" s="2"/>
      <c r="I318" s="3"/>
      <c r="J318" s="2"/>
    </row>
    <row r="319" spans="1:10" x14ac:dyDescent="0.2">
      <c r="A319">
        <v>2016</v>
      </c>
      <c r="B319" s="59">
        <v>418</v>
      </c>
      <c r="C319" s="34" t="s">
        <v>589</v>
      </c>
      <c r="D319" s="36">
        <v>108101</v>
      </c>
      <c r="E319" s="36">
        <v>799871</v>
      </c>
      <c r="F319" s="1"/>
      <c r="G319" s="3"/>
      <c r="H319" s="2"/>
      <c r="I319" s="3"/>
      <c r="J319" s="2"/>
    </row>
    <row r="320" spans="1:10" x14ac:dyDescent="0.2">
      <c r="A320">
        <v>2016</v>
      </c>
      <c r="B320" s="59">
        <v>419</v>
      </c>
      <c r="C320" s="34" t="s">
        <v>590</v>
      </c>
      <c r="D320" s="36">
        <v>60106</v>
      </c>
      <c r="E320" s="36">
        <v>403308</v>
      </c>
      <c r="F320" s="1"/>
      <c r="G320" s="3"/>
      <c r="H320" s="2"/>
      <c r="I320" s="3"/>
      <c r="J320" s="2"/>
    </row>
    <row r="321" spans="1:10" x14ac:dyDescent="0.2">
      <c r="A321">
        <v>2016</v>
      </c>
      <c r="B321" s="59">
        <v>420</v>
      </c>
      <c r="C321" s="34" t="s">
        <v>591</v>
      </c>
      <c r="D321" s="36">
        <v>123885</v>
      </c>
      <c r="E321" s="36">
        <v>876894</v>
      </c>
      <c r="F321" s="1"/>
      <c r="G321" s="3"/>
      <c r="H321" s="2"/>
      <c r="I321" s="3"/>
      <c r="J321" s="2"/>
    </row>
    <row r="322" spans="1:10" x14ac:dyDescent="0.2">
      <c r="A322">
        <v>2016</v>
      </c>
      <c r="B322" s="59">
        <v>421</v>
      </c>
      <c r="C322" s="34" t="s">
        <v>592</v>
      </c>
      <c r="D322" s="36">
        <v>199348</v>
      </c>
      <c r="E322" s="36">
        <v>1270987</v>
      </c>
      <c r="F322" s="1"/>
      <c r="G322" s="3"/>
      <c r="H322" s="2"/>
      <c r="I322" s="3"/>
      <c r="J322" s="2"/>
    </row>
    <row r="323" spans="1:10" x14ac:dyDescent="0.2">
      <c r="A323">
        <v>2016</v>
      </c>
      <c r="B323" s="59">
        <v>422</v>
      </c>
      <c r="C323" s="34" t="s">
        <v>593</v>
      </c>
      <c r="D323" s="36">
        <v>26367</v>
      </c>
      <c r="E323" s="36">
        <v>146000</v>
      </c>
      <c r="F323" s="1"/>
      <c r="G323" s="3"/>
      <c r="H323" s="2"/>
      <c r="I323" s="3"/>
      <c r="J323" s="2"/>
    </row>
    <row r="324" spans="1:10" x14ac:dyDescent="0.2">
      <c r="A324">
        <v>2016</v>
      </c>
      <c r="B324" s="59">
        <v>423</v>
      </c>
      <c r="C324" s="34" t="s">
        <v>594</v>
      </c>
      <c r="D324" s="36">
        <v>27170</v>
      </c>
      <c r="E324" s="36">
        <v>199639</v>
      </c>
      <c r="F324" s="1"/>
      <c r="G324" s="3"/>
      <c r="H324" s="2"/>
      <c r="I324" s="3"/>
      <c r="J324" s="2"/>
    </row>
    <row r="325" spans="1:10" x14ac:dyDescent="0.2">
      <c r="A325">
        <v>2016</v>
      </c>
      <c r="B325" s="59">
        <v>424</v>
      </c>
      <c r="C325" s="34" t="s">
        <v>595</v>
      </c>
      <c r="D325" s="36">
        <v>64746</v>
      </c>
      <c r="E325" s="36">
        <v>507397</v>
      </c>
      <c r="F325" s="1"/>
      <c r="G325" s="3"/>
      <c r="H325" s="2"/>
      <c r="I325" s="3"/>
      <c r="J325" s="2"/>
    </row>
    <row r="326" spans="1:10" x14ac:dyDescent="0.2">
      <c r="A326">
        <v>2016</v>
      </c>
      <c r="B326" s="59">
        <v>425</v>
      </c>
      <c r="C326" s="34" t="s">
        <v>596</v>
      </c>
      <c r="D326" s="36">
        <v>491446</v>
      </c>
      <c r="E326" s="36">
        <v>2681412</v>
      </c>
      <c r="F326" s="1"/>
      <c r="G326" s="3"/>
      <c r="H326" s="2"/>
      <c r="I326" s="3"/>
      <c r="J326" s="2"/>
    </row>
    <row r="327" spans="1:10" x14ac:dyDescent="0.2">
      <c r="A327">
        <v>2016</v>
      </c>
      <c r="B327" s="59">
        <v>426</v>
      </c>
      <c r="C327" s="34" t="s">
        <v>597</v>
      </c>
      <c r="D327" s="36">
        <v>124081</v>
      </c>
      <c r="E327" s="36">
        <v>978471</v>
      </c>
      <c r="F327" s="1"/>
      <c r="G327" s="3"/>
      <c r="H327" s="2"/>
      <c r="I327" s="3"/>
      <c r="J327" s="2"/>
    </row>
    <row r="328" spans="1:10" x14ac:dyDescent="0.2">
      <c r="A328">
        <v>2016</v>
      </c>
      <c r="B328" s="59">
        <v>427</v>
      </c>
      <c r="C328" s="34" t="s">
        <v>598</v>
      </c>
      <c r="D328" s="36">
        <v>148777</v>
      </c>
      <c r="E328" s="36">
        <v>877458</v>
      </c>
      <c r="F328" s="1"/>
      <c r="G328" s="3"/>
      <c r="H328" s="2"/>
      <c r="I328" s="3"/>
      <c r="J328" s="2"/>
    </row>
    <row r="329" spans="1:10" x14ac:dyDescent="0.2">
      <c r="A329">
        <v>2016</v>
      </c>
      <c r="B329" s="59">
        <v>428</v>
      </c>
      <c r="C329" s="34" t="s">
        <v>599</v>
      </c>
      <c r="D329" s="36">
        <v>12144</v>
      </c>
      <c r="E329" s="36">
        <v>104706</v>
      </c>
      <c r="F329" s="1"/>
      <c r="G329" s="3"/>
      <c r="H329" s="2"/>
      <c r="I329" s="3"/>
      <c r="J329" s="2"/>
    </row>
    <row r="330" spans="1:10" x14ac:dyDescent="0.2">
      <c r="A330">
        <v>2016</v>
      </c>
      <c r="B330" s="59">
        <v>429</v>
      </c>
      <c r="C330" s="34" t="s">
        <v>600</v>
      </c>
      <c r="D330" s="36">
        <v>24928</v>
      </c>
      <c r="E330" s="36">
        <v>210951</v>
      </c>
      <c r="F330" s="1"/>
      <c r="G330" s="3"/>
      <c r="H330" s="2"/>
      <c r="I330" s="3"/>
      <c r="J330" s="2"/>
    </row>
    <row r="331" spans="1:10" x14ac:dyDescent="0.2">
      <c r="A331">
        <v>2016</v>
      </c>
      <c r="B331" s="59">
        <v>430</v>
      </c>
      <c r="C331" s="34" t="s">
        <v>601</v>
      </c>
      <c r="D331" s="36">
        <v>129410</v>
      </c>
      <c r="E331" s="36">
        <v>1157367</v>
      </c>
      <c r="F331" s="1"/>
      <c r="G331" s="3"/>
      <c r="H331" s="2"/>
      <c r="I331" s="3"/>
      <c r="J331" s="2"/>
    </row>
    <row r="332" spans="1:10" x14ac:dyDescent="0.2">
      <c r="A332">
        <v>2016</v>
      </c>
      <c r="B332" s="59">
        <v>431</v>
      </c>
      <c r="C332" s="34" t="s">
        <v>602</v>
      </c>
      <c r="D332" s="36">
        <v>21546</v>
      </c>
      <c r="E332" s="36">
        <v>162971</v>
      </c>
      <c r="F332" s="1"/>
      <c r="G332" s="3"/>
      <c r="H332" s="2"/>
      <c r="I332" s="3"/>
      <c r="J332" s="2"/>
    </row>
    <row r="333" spans="1:10" x14ac:dyDescent="0.2">
      <c r="A333">
        <v>2016</v>
      </c>
      <c r="B333" s="59">
        <v>432</v>
      </c>
      <c r="C333" s="34" t="s">
        <v>603</v>
      </c>
      <c r="D333" s="36">
        <v>16632</v>
      </c>
      <c r="E333" s="36">
        <v>177306</v>
      </c>
      <c r="F333" s="1"/>
      <c r="G333" s="3"/>
      <c r="H333" s="2"/>
      <c r="I333" s="3"/>
      <c r="J333" s="2"/>
    </row>
    <row r="334" spans="1:10" x14ac:dyDescent="0.2">
      <c r="A334">
        <v>2016</v>
      </c>
      <c r="B334" s="59">
        <v>433</v>
      </c>
      <c r="C334" s="34" t="s">
        <v>604</v>
      </c>
      <c r="D334" s="36">
        <v>25249</v>
      </c>
      <c r="E334" s="36">
        <v>195969</v>
      </c>
      <c r="F334" s="1"/>
      <c r="G334" s="3"/>
      <c r="H334" s="2"/>
      <c r="I334" s="3"/>
      <c r="J334" s="2"/>
    </row>
    <row r="335" spans="1:10" x14ac:dyDescent="0.2">
      <c r="A335">
        <v>2016</v>
      </c>
      <c r="B335" s="59">
        <v>434</v>
      </c>
      <c r="C335" s="34" t="s">
        <v>605</v>
      </c>
      <c r="D335" s="36">
        <v>30388</v>
      </c>
      <c r="E335" s="36">
        <v>171587</v>
      </c>
      <c r="F335" s="1"/>
      <c r="G335" s="3"/>
      <c r="H335" s="2"/>
      <c r="I335" s="3"/>
      <c r="J335" s="2"/>
    </row>
    <row r="336" spans="1:10" x14ac:dyDescent="0.2">
      <c r="A336">
        <v>2016</v>
      </c>
      <c r="B336" s="59">
        <v>435</v>
      </c>
      <c r="C336" s="34" t="s">
        <v>606</v>
      </c>
      <c r="D336" s="36">
        <v>9042</v>
      </c>
      <c r="E336" s="36">
        <v>150740</v>
      </c>
      <c r="F336" s="1"/>
      <c r="G336" s="3"/>
      <c r="H336" s="2"/>
      <c r="I336" s="3"/>
      <c r="J336" s="2"/>
    </row>
    <row r="337" spans="1:11" x14ac:dyDescent="0.2">
      <c r="A337">
        <v>2016</v>
      </c>
      <c r="B337" s="59">
        <v>436</v>
      </c>
      <c r="C337" s="34" t="s">
        <v>607</v>
      </c>
      <c r="D337" s="36">
        <v>25601</v>
      </c>
      <c r="E337" s="36">
        <v>143437</v>
      </c>
      <c r="F337" s="1"/>
      <c r="G337" s="3"/>
      <c r="H337" s="2"/>
      <c r="I337" s="3"/>
      <c r="J337" s="2"/>
    </row>
    <row r="338" spans="1:11" x14ac:dyDescent="0.2">
      <c r="A338">
        <v>2016</v>
      </c>
      <c r="B338" s="59">
        <v>437</v>
      </c>
      <c r="C338" s="34" t="s">
        <v>608</v>
      </c>
      <c r="D338" s="36">
        <v>44516</v>
      </c>
      <c r="E338" s="36">
        <v>439888</v>
      </c>
      <c r="F338" s="1"/>
      <c r="G338" s="3"/>
      <c r="H338" s="2"/>
      <c r="I338" s="3"/>
      <c r="J338" s="2"/>
    </row>
    <row r="339" spans="1:11" x14ac:dyDescent="0.2">
      <c r="A339">
        <v>2016</v>
      </c>
      <c r="B339" s="59">
        <v>438</v>
      </c>
      <c r="C339" s="34" t="s">
        <v>609</v>
      </c>
      <c r="D339" s="36">
        <v>23479</v>
      </c>
      <c r="E339" s="36">
        <v>177671</v>
      </c>
      <c r="F339" s="1"/>
      <c r="G339" s="3"/>
      <c r="H339" s="2"/>
      <c r="I339" s="3"/>
      <c r="J339" s="2"/>
    </row>
    <row r="340" spans="1:11" x14ac:dyDescent="0.2">
      <c r="A340">
        <v>2016</v>
      </c>
      <c r="B340" s="59">
        <v>439</v>
      </c>
      <c r="C340" s="34" t="s">
        <v>610</v>
      </c>
      <c r="D340" s="36">
        <v>65774</v>
      </c>
      <c r="E340" s="36">
        <v>488098</v>
      </c>
      <c r="F340" s="1"/>
      <c r="G340" s="3"/>
      <c r="H340" s="2"/>
      <c r="I340" s="3"/>
      <c r="J340" s="2"/>
    </row>
    <row r="341" spans="1:11" x14ac:dyDescent="0.2">
      <c r="A341">
        <v>2016</v>
      </c>
      <c r="B341" s="59">
        <v>440</v>
      </c>
      <c r="C341" s="34" t="s">
        <v>611</v>
      </c>
      <c r="D341" s="36">
        <v>19544</v>
      </c>
      <c r="E341" s="36">
        <v>156034</v>
      </c>
      <c r="F341" s="1"/>
      <c r="G341" s="3"/>
      <c r="H341" s="2"/>
      <c r="I341" s="3"/>
      <c r="J341" s="2"/>
    </row>
    <row r="342" spans="1:11" x14ac:dyDescent="0.2">
      <c r="A342">
        <v>2016</v>
      </c>
      <c r="B342" s="59">
        <v>441</v>
      </c>
      <c r="C342" s="34" t="s">
        <v>612</v>
      </c>
      <c r="D342" s="36">
        <v>51951</v>
      </c>
      <c r="E342" s="36">
        <v>368493</v>
      </c>
      <c r="F342" s="1"/>
      <c r="G342" s="3"/>
      <c r="H342" s="2"/>
      <c r="I342" s="3"/>
      <c r="J342" s="2"/>
    </row>
    <row r="343" spans="1:11" x14ac:dyDescent="0.2">
      <c r="A343">
        <v>2016</v>
      </c>
      <c r="B343" s="59">
        <v>442</v>
      </c>
      <c r="C343" s="34" t="s">
        <v>613</v>
      </c>
      <c r="D343" s="36">
        <v>61161</v>
      </c>
      <c r="E343" s="36">
        <v>494422</v>
      </c>
      <c r="F343" s="1"/>
      <c r="G343" s="3"/>
      <c r="H343" s="2"/>
      <c r="I343" s="3"/>
      <c r="J343" s="2"/>
    </row>
    <row r="344" spans="1:11" x14ac:dyDescent="0.2">
      <c r="A344">
        <v>2016</v>
      </c>
      <c r="B344" s="59">
        <v>443</v>
      </c>
      <c r="C344" s="34" t="s">
        <v>614</v>
      </c>
      <c r="D344" s="36">
        <v>4653</v>
      </c>
      <c r="E344" s="36">
        <v>41974</v>
      </c>
      <c r="F344" s="1"/>
      <c r="G344" s="3"/>
      <c r="H344" s="2"/>
      <c r="I344" s="3"/>
      <c r="J344" s="2"/>
    </row>
    <row r="345" spans="1:11" x14ac:dyDescent="0.2">
      <c r="A345">
        <v>2016</v>
      </c>
      <c r="B345" s="59">
        <v>444</v>
      </c>
      <c r="C345" s="34" t="s">
        <v>615</v>
      </c>
      <c r="D345" s="36">
        <v>38642</v>
      </c>
      <c r="E345" s="36">
        <v>210946</v>
      </c>
      <c r="F345" s="1"/>
      <c r="G345" s="3"/>
      <c r="H345" s="2"/>
      <c r="I345" s="3"/>
      <c r="J345" s="2"/>
    </row>
    <row r="346" spans="1:11" x14ac:dyDescent="0.2">
      <c r="A346">
        <v>2016</v>
      </c>
      <c r="B346" s="59">
        <v>445</v>
      </c>
      <c r="C346" s="34" t="s">
        <v>616</v>
      </c>
      <c r="D346" s="36">
        <v>43329</v>
      </c>
      <c r="E346" s="36">
        <v>258045</v>
      </c>
      <c r="F346" s="1"/>
      <c r="G346" s="3"/>
      <c r="H346" s="2"/>
      <c r="I346" s="3"/>
      <c r="J346" s="2"/>
    </row>
    <row r="347" spans="1:11" x14ac:dyDescent="0.2">
      <c r="A347">
        <v>2016</v>
      </c>
      <c r="B347" s="34">
        <v>446</v>
      </c>
      <c r="C347" s="34" t="s">
        <v>617</v>
      </c>
      <c r="D347" s="36">
        <v>69549</v>
      </c>
      <c r="E347" s="36">
        <v>397787</v>
      </c>
      <c r="F347" s="1"/>
      <c r="G347" s="1"/>
      <c r="H347" s="3"/>
      <c r="I347" s="2"/>
      <c r="J347" s="3"/>
      <c r="K347" s="2"/>
    </row>
    <row r="348" spans="1:11" x14ac:dyDescent="0.2">
      <c r="A348">
        <v>2016</v>
      </c>
      <c r="B348" s="34">
        <v>447</v>
      </c>
      <c r="C348" s="34" t="s">
        <v>618</v>
      </c>
      <c r="D348" s="36">
        <v>22123</v>
      </c>
      <c r="E348" s="36">
        <v>151553</v>
      </c>
      <c r="F348" s="1"/>
      <c r="G348" s="1"/>
      <c r="H348" s="3"/>
      <c r="I348" s="2"/>
      <c r="J348" s="3"/>
      <c r="K348" s="2"/>
    </row>
    <row r="349" spans="1:11" x14ac:dyDescent="0.2">
      <c r="A349">
        <v>2016</v>
      </c>
      <c r="B349" s="34">
        <v>448</v>
      </c>
      <c r="C349" s="34" t="s">
        <v>619</v>
      </c>
      <c r="D349" s="36">
        <v>27813</v>
      </c>
      <c r="E349" s="36">
        <v>172955</v>
      </c>
      <c r="F349" s="1"/>
      <c r="G349" s="1"/>
      <c r="H349" s="3"/>
      <c r="I349" s="2"/>
      <c r="J349" s="3"/>
      <c r="K349" s="2"/>
    </row>
    <row r="350" spans="1:11" x14ac:dyDescent="0.2">
      <c r="A350">
        <v>2016</v>
      </c>
      <c r="B350" s="34">
        <v>449</v>
      </c>
      <c r="C350" s="34" t="s">
        <v>620</v>
      </c>
      <c r="D350" s="36">
        <v>63029</v>
      </c>
      <c r="E350" s="36">
        <v>479834</v>
      </c>
      <c r="F350" s="1"/>
      <c r="G350" s="1"/>
      <c r="H350" s="3"/>
      <c r="I350" s="2"/>
      <c r="J350" s="3"/>
      <c r="K350" s="2"/>
    </row>
    <row r="351" spans="1:11" x14ac:dyDescent="0.2">
      <c r="A351">
        <v>2016</v>
      </c>
      <c r="B351" s="34">
        <v>450</v>
      </c>
      <c r="C351" s="34" t="s">
        <v>621</v>
      </c>
      <c r="D351" s="36">
        <v>13937</v>
      </c>
      <c r="E351" s="36">
        <v>97310</v>
      </c>
      <c r="F351" s="1"/>
      <c r="G351" s="1"/>
      <c r="H351" s="3"/>
      <c r="I351" s="2"/>
      <c r="J351" s="3"/>
      <c r="K351" s="2"/>
    </row>
    <row r="352" spans="1:11" x14ac:dyDescent="0.2">
      <c r="A352">
        <v>2016</v>
      </c>
      <c r="B352" s="34">
        <v>451</v>
      </c>
      <c r="C352" s="34" t="s">
        <v>622</v>
      </c>
      <c r="D352" s="36">
        <v>15907</v>
      </c>
      <c r="E352" s="36">
        <v>153406</v>
      </c>
      <c r="F352" s="1"/>
      <c r="G352" s="1"/>
      <c r="H352" s="3"/>
      <c r="I352" s="2"/>
      <c r="J352" s="3"/>
      <c r="K352" s="2"/>
    </row>
    <row r="353" spans="1:11" x14ac:dyDescent="0.2">
      <c r="A353">
        <v>2016</v>
      </c>
      <c r="B353" s="34">
        <v>452</v>
      </c>
      <c r="C353" s="34" t="s">
        <v>623</v>
      </c>
      <c r="D353" s="36">
        <v>20488</v>
      </c>
      <c r="E353" s="36">
        <v>408256</v>
      </c>
      <c r="F353" s="1"/>
      <c r="G353" s="1"/>
      <c r="H353" s="3"/>
      <c r="I353" s="2"/>
      <c r="J353" s="3"/>
      <c r="K353" s="2"/>
    </row>
    <row r="354" spans="1:11" x14ac:dyDescent="0.2">
      <c r="A354">
        <v>2016</v>
      </c>
      <c r="B354" s="34">
        <v>453</v>
      </c>
      <c r="C354" s="34" t="s">
        <v>624</v>
      </c>
      <c r="D354" s="36">
        <v>18171</v>
      </c>
      <c r="E354" s="36">
        <v>153806</v>
      </c>
      <c r="F354" s="1"/>
      <c r="G354" s="1"/>
      <c r="H354" s="3"/>
      <c r="I354" s="2"/>
      <c r="J354" s="3"/>
      <c r="K354" s="2"/>
    </row>
    <row r="355" spans="1:11" x14ac:dyDescent="0.2">
      <c r="A355">
        <v>2016</v>
      </c>
      <c r="B355" s="34">
        <v>454</v>
      </c>
      <c r="C355" s="34" t="s">
        <v>625</v>
      </c>
      <c r="D355" s="36">
        <v>79352</v>
      </c>
      <c r="E355" s="36">
        <v>628479</v>
      </c>
      <c r="F355" s="1"/>
      <c r="G355" s="1"/>
      <c r="H355" s="3"/>
      <c r="I355" s="2"/>
      <c r="J355" s="3"/>
      <c r="K355" s="2"/>
    </row>
    <row r="356" spans="1:11" x14ac:dyDescent="0.2">
      <c r="A356">
        <v>2016</v>
      </c>
      <c r="B356" s="34">
        <v>455</v>
      </c>
      <c r="C356" s="34" t="s">
        <v>626</v>
      </c>
      <c r="D356" s="36">
        <v>225769</v>
      </c>
      <c r="E356" s="36">
        <v>1588890</v>
      </c>
      <c r="F356" s="1"/>
      <c r="G356" s="1"/>
      <c r="H356" s="3"/>
      <c r="I356" s="2"/>
      <c r="J356" s="3"/>
      <c r="K356" s="2"/>
    </row>
    <row r="357" spans="1:11" x14ac:dyDescent="0.2">
      <c r="A357">
        <v>2016</v>
      </c>
      <c r="B357" s="34">
        <v>462</v>
      </c>
      <c r="C357" s="34" t="s">
        <v>627</v>
      </c>
      <c r="D357" s="36">
        <v>10915</v>
      </c>
      <c r="E357" s="36">
        <v>85284</v>
      </c>
      <c r="F357" s="1"/>
      <c r="G357" s="1"/>
      <c r="H357" s="3"/>
      <c r="I357" s="2"/>
      <c r="J357" s="3"/>
      <c r="K357" s="2"/>
    </row>
    <row r="358" spans="1:11" x14ac:dyDescent="0.2">
      <c r="A358">
        <v>2016</v>
      </c>
      <c r="B358" s="34">
        <v>467</v>
      </c>
      <c r="C358" s="34" t="s">
        <v>628</v>
      </c>
      <c r="D358" s="36">
        <v>32288</v>
      </c>
      <c r="E358" s="36">
        <v>265459</v>
      </c>
      <c r="F358" s="1"/>
      <c r="G358" s="1"/>
      <c r="H358" s="3"/>
      <c r="I358" s="2"/>
      <c r="J358" s="3"/>
      <c r="K358" s="2"/>
    </row>
    <row r="359" spans="1:11" x14ac:dyDescent="0.2">
      <c r="A359">
        <v>2016</v>
      </c>
      <c r="B359" s="34">
        <v>468</v>
      </c>
      <c r="C359" s="34" t="s">
        <v>629</v>
      </c>
      <c r="D359" s="36">
        <v>28494</v>
      </c>
      <c r="E359" s="36">
        <v>217731</v>
      </c>
      <c r="F359" s="1"/>
      <c r="G359" s="1"/>
      <c r="H359" s="3"/>
      <c r="I359" s="2"/>
      <c r="J359" s="3"/>
      <c r="K359" s="2"/>
    </row>
    <row r="360" spans="1:11" x14ac:dyDescent="0.2">
      <c r="A360">
        <v>2016</v>
      </c>
      <c r="B360" s="34">
        <v>469</v>
      </c>
      <c r="C360" s="34" t="s">
        <v>630</v>
      </c>
      <c r="D360" s="36">
        <v>45872</v>
      </c>
      <c r="E360" s="36">
        <v>375691</v>
      </c>
      <c r="F360" s="1"/>
      <c r="G360" s="1"/>
      <c r="H360" s="3"/>
      <c r="I360" s="2"/>
      <c r="J360" s="3"/>
      <c r="K360" s="2"/>
    </row>
    <row r="361" spans="1:11" x14ac:dyDescent="0.2">
      <c r="A361">
        <v>2016</v>
      </c>
      <c r="B361" s="34">
        <v>470</v>
      </c>
      <c r="C361" s="34" t="s">
        <v>631</v>
      </c>
      <c r="D361" s="36">
        <v>40384</v>
      </c>
      <c r="E361" s="36">
        <v>255178</v>
      </c>
      <c r="F361" s="1"/>
      <c r="G361" s="1"/>
      <c r="H361" s="3"/>
      <c r="I361" s="2"/>
      <c r="J361" s="3"/>
      <c r="K361" s="2"/>
    </row>
    <row r="362" spans="1:11" x14ac:dyDescent="0.2">
      <c r="A362">
        <v>2016</v>
      </c>
      <c r="B362" s="34">
        <v>471</v>
      </c>
      <c r="C362" s="34" t="s">
        <v>632</v>
      </c>
      <c r="D362" s="36">
        <v>26262</v>
      </c>
      <c r="E362" s="36">
        <v>143183</v>
      </c>
      <c r="F362" s="1"/>
      <c r="G362" s="1"/>
      <c r="H362" s="3"/>
      <c r="I362" s="2"/>
      <c r="J362" s="3"/>
      <c r="K362" s="2"/>
    </row>
    <row r="363" spans="1:11" x14ac:dyDescent="0.2">
      <c r="A363">
        <v>2016</v>
      </c>
      <c r="B363" s="34">
        <v>472</v>
      </c>
      <c r="C363" s="34" t="s">
        <v>633</v>
      </c>
      <c r="D363" s="36">
        <v>468328</v>
      </c>
      <c r="E363" s="36">
        <v>2947908</v>
      </c>
      <c r="F363" s="1"/>
      <c r="G363" s="1"/>
      <c r="H363" s="3"/>
      <c r="I363" s="2"/>
      <c r="J363" s="3"/>
      <c r="K363" s="2"/>
    </row>
    <row r="364" spans="1:11" x14ac:dyDescent="0.2">
      <c r="A364">
        <v>2016</v>
      </c>
      <c r="B364" s="34">
        <v>476</v>
      </c>
      <c r="C364" s="34" t="s">
        <v>634</v>
      </c>
      <c r="D364" s="36">
        <v>151954</v>
      </c>
      <c r="E364" s="36">
        <v>1126412</v>
      </c>
      <c r="F364" s="1"/>
      <c r="G364" s="1"/>
      <c r="H364" s="3"/>
      <c r="I364" s="2"/>
      <c r="J364" s="3"/>
      <c r="K364" s="2"/>
    </row>
    <row r="365" spans="1:11" x14ac:dyDescent="0.2">
      <c r="A365">
        <v>2016</v>
      </c>
      <c r="B365" s="34">
        <v>477</v>
      </c>
      <c r="C365" s="34" t="s">
        <v>635</v>
      </c>
      <c r="D365" s="36">
        <v>48387</v>
      </c>
      <c r="E365" s="36">
        <v>270397</v>
      </c>
      <c r="F365" s="1"/>
      <c r="G365" s="1"/>
      <c r="H365" s="3"/>
      <c r="I365" s="2"/>
      <c r="J365" s="3"/>
      <c r="K365" s="2"/>
    </row>
    <row r="366" spans="1:11" x14ac:dyDescent="0.2">
      <c r="A366">
        <v>2016</v>
      </c>
      <c r="B366" s="34">
        <v>478</v>
      </c>
      <c r="C366" s="34" t="s">
        <v>636</v>
      </c>
      <c r="D366" s="36">
        <v>27764</v>
      </c>
      <c r="E366" s="36">
        <v>125025</v>
      </c>
      <c r="F366" s="1"/>
      <c r="G366" s="1"/>
      <c r="H366" s="3"/>
      <c r="I366" s="2"/>
      <c r="J366" s="3"/>
      <c r="K366" s="2"/>
    </row>
    <row r="367" spans="1:11" x14ac:dyDescent="0.2">
      <c r="A367">
        <v>2016</v>
      </c>
      <c r="B367" s="34">
        <v>479</v>
      </c>
      <c r="C367" s="34" t="s">
        <v>637</v>
      </c>
      <c r="D367" s="36">
        <v>396443</v>
      </c>
      <c r="E367" s="36">
        <v>2955156</v>
      </c>
      <c r="F367" s="1"/>
      <c r="G367" s="1"/>
      <c r="H367" s="3"/>
      <c r="I367" s="2"/>
      <c r="J367" s="3"/>
      <c r="K367" s="2"/>
    </row>
    <row r="368" spans="1:11" x14ac:dyDescent="0.2">
      <c r="A368">
        <v>2016</v>
      </c>
      <c r="B368" s="34">
        <v>485</v>
      </c>
      <c r="C368" s="34" t="s">
        <v>638</v>
      </c>
      <c r="D368" s="36">
        <v>105265</v>
      </c>
      <c r="E368" s="36">
        <v>741982</v>
      </c>
      <c r="F368" s="1"/>
      <c r="G368" s="1"/>
      <c r="H368" s="3"/>
      <c r="I368" s="2"/>
      <c r="J368" s="3"/>
      <c r="K368" s="2"/>
    </row>
    <row r="369" spans="1:11" x14ac:dyDescent="0.2">
      <c r="A369">
        <v>2016</v>
      </c>
      <c r="B369" s="34">
        <v>486</v>
      </c>
      <c r="C369" s="34" t="s">
        <v>639</v>
      </c>
      <c r="D369" s="36">
        <v>73264</v>
      </c>
      <c r="E369" s="36">
        <v>493956</v>
      </c>
      <c r="F369" s="1"/>
      <c r="G369" s="1"/>
      <c r="H369" s="3"/>
      <c r="I369" s="2"/>
      <c r="J369" s="3"/>
      <c r="K369" s="2"/>
    </row>
    <row r="370" spans="1:11" x14ac:dyDescent="0.2">
      <c r="A370">
        <v>2016</v>
      </c>
      <c r="B370" s="34">
        <v>487</v>
      </c>
      <c r="C370" s="34" t="s">
        <v>640</v>
      </c>
      <c r="D370" s="36">
        <v>76541</v>
      </c>
      <c r="E370" s="36">
        <v>435308</v>
      </c>
      <c r="F370" s="1"/>
      <c r="G370" s="1"/>
      <c r="H370" s="3"/>
      <c r="I370" s="2"/>
      <c r="J370" s="3"/>
      <c r="K370" s="2"/>
    </row>
    <row r="371" spans="1:11" x14ac:dyDescent="0.2">
      <c r="A371">
        <v>2016</v>
      </c>
      <c r="B371" s="34">
        <v>489</v>
      </c>
      <c r="C371" s="34" t="s">
        <v>641</v>
      </c>
      <c r="D371" s="36">
        <v>6354</v>
      </c>
      <c r="E371" s="36">
        <v>52859</v>
      </c>
      <c r="F371" s="1"/>
      <c r="G371" s="1"/>
      <c r="H371" s="3"/>
      <c r="I371" s="2"/>
      <c r="J371" s="3"/>
      <c r="K371" s="2"/>
    </row>
    <row r="372" spans="1:11" x14ac:dyDescent="0.2">
      <c r="A372">
        <v>2016</v>
      </c>
      <c r="B372" s="34">
        <v>490</v>
      </c>
      <c r="C372" s="34" t="s">
        <v>642</v>
      </c>
      <c r="D372" s="36">
        <v>53352</v>
      </c>
      <c r="E372" s="36">
        <v>442037</v>
      </c>
      <c r="F372" s="1"/>
      <c r="G372" s="1"/>
      <c r="H372" s="3"/>
      <c r="I372" s="2"/>
      <c r="J372" s="3"/>
      <c r="K372" s="2"/>
    </row>
    <row r="373" spans="1:11" x14ac:dyDescent="0.2">
      <c r="A373">
        <v>2016</v>
      </c>
      <c r="B373" s="34">
        <v>491</v>
      </c>
      <c r="C373" s="34" t="s">
        <v>643</v>
      </c>
      <c r="D373" s="36">
        <v>82258</v>
      </c>
      <c r="E373" s="36">
        <v>647421</v>
      </c>
      <c r="F373" s="1"/>
      <c r="G373" s="1"/>
      <c r="H373" s="3"/>
      <c r="I373" s="2"/>
      <c r="J373" s="3"/>
      <c r="K373" s="2"/>
    </row>
    <row r="374" spans="1:11" x14ac:dyDescent="0.2">
      <c r="A374">
        <v>2016</v>
      </c>
      <c r="B374" s="34">
        <v>492</v>
      </c>
      <c r="C374" s="34" t="s">
        <v>644</v>
      </c>
      <c r="D374" s="36">
        <v>437626</v>
      </c>
      <c r="E374" s="36">
        <v>3189722</v>
      </c>
      <c r="F374" s="1"/>
      <c r="G374" s="1"/>
      <c r="H374" s="3"/>
      <c r="I374" s="2"/>
      <c r="J374" s="3"/>
      <c r="K374" s="2"/>
    </row>
    <row r="375" spans="1:11" x14ac:dyDescent="0.2">
      <c r="A375">
        <v>2016</v>
      </c>
      <c r="B375" s="34">
        <v>493</v>
      </c>
      <c r="C375" s="34" t="s">
        <v>645</v>
      </c>
      <c r="D375" s="36">
        <v>1661201</v>
      </c>
      <c r="E375" s="36">
        <v>8752688</v>
      </c>
      <c r="F375" s="1"/>
      <c r="G375" s="1"/>
      <c r="H375" s="3"/>
      <c r="I375" s="2"/>
      <c r="J375" s="3"/>
      <c r="K375" s="2"/>
    </row>
    <row r="376" spans="1:11" x14ac:dyDescent="0.2">
      <c r="A376">
        <v>2016</v>
      </c>
      <c r="B376" s="34">
        <v>494</v>
      </c>
      <c r="C376" s="34" t="s">
        <v>646</v>
      </c>
      <c r="D376" s="36">
        <v>240036</v>
      </c>
      <c r="E376" s="36">
        <v>1773731</v>
      </c>
      <c r="F376" s="1"/>
      <c r="G376" s="1"/>
      <c r="H376" s="3"/>
      <c r="I376" s="2"/>
      <c r="J376" s="3"/>
      <c r="K376" s="2"/>
    </row>
    <row r="377" spans="1:11" x14ac:dyDescent="0.2">
      <c r="A377">
        <v>2016</v>
      </c>
      <c r="B377" s="34">
        <v>495</v>
      </c>
      <c r="C377" s="34" t="s">
        <v>647</v>
      </c>
      <c r="D377" s="36">
        <v>77403</v>
      </c>
      <c r="E377" s="36">
        <v>405401</v>
      </c>
      <c r="F377" s="1"/>
      <c r="G377" s="1"/>
      <c r="H377" s="3"/>
      <c r="I377" s="2"/>
      <c r="J377" s="3"/>
      <c r="K377" s="2"/>
    </row>
    <row r="378" spans="1:11" x14ac:dyDescent="0.2">
      <c r="A378">
        <v>2016</v>
      </c>
      <c r="B378" s="34">
        <v>496</v>
      </c>
      <c r="C378" s="34" t="s">
        <v>648</v>
      </c>
      <c r="D378" s="36">
        <v>32374</v>
      </c>
      <c r="E378" s="36">
        <v>162075</v>
      </c>
      <c r="F378" s="1"/>
      <c r="G378" s="1"/>
      <c r="H378" s="3"/>
      <c r="I378" s="2"/>
      <c r="J378" s="3"/>
      <c r="K378" s="2"/>
    </row>
    <row r="379" spans="1:11" x14ac:dyDescent="0.2">
      <c r="A379">
        <v>2016</v>
      </c>
      <c r="B379" s="34">
        <v>497</v>
      </c>
      <c r="C379" s="34" t="s">
        <v>649</v>
      </c>
      <c r="D379" s="36">
        <v>32084</v>
      </c>
      <c r="E379" s="36">
        <v>232071</v>
      </c>
      <c r="F379" s="1"/>
      <c r="G379" s="1"/>
      <c r="H379" s="3"/>
      <c r="I379" s="2"/>
      <c r="J379" s="3"/>
      <c r="K379" s="2"/>
    </row>
    <row r="380" spans="1:11" x14ac:dyDescent="0.2">
      <c r="A380">
        <v>2016</v>
      </c>
      <c r="B380" s="34">
        <v>498</v>
      </c>
      <c r="C380" s="34" t="s">
        <v>650</v>
      </c>
      <c r="D380" s="36">
        <v>64795</v>
      </c>
      <c r="E380" s="36">
        <v>344583</v>
      </c>
      <c r="F380" s="1"/>
      <c r="G380" s="1"/>
      <c r="H380" s="3"/>
      <c r="I380" s="2"/>
      <c r="J380" s="3"/>
      <c r="K380" s="2"/>
    </row>
    <row r="381" spans="1:11" x14ac:dyDescent="0.2">
      <c r="A381">
        <v>2016</v>
      </c>
      <c r="B381" s="34">
        <v>499</v>
      </c>
      <c r="C381" s="34" t="s">
        <v>651</v>
      </c>
      <c r="D381" s="36">
        <v>65824</v>
      </c>
      <c r="E381" s="36">
        <v>508292</v>
      </c>
      <c r="F381" s="1"/>
      <c r="G381" s="1"/>
      <c r="H381" s="3"/>
      <c r="I381" s="2"/>
      <c r="J381" s="3"/>
      <c r="K381" s="2"/>
    </row>
    <row r="382" spans="1:11" x14ac:dyDescent="0.2">
      <c r="A382">
        <v>2016</v>
      </c>
      <c r="B382" s="34">
        <v>500</v>
      </c>
      <c r="C382" s="34" t="s">
        <v>652</v>
      </c>
      <c r="D382" s="36">
        <v>102002</v>
      </c>
      <c r="E382" s="36">
        <v>639972</v>
      </c>
      <c r="F382" s="1"/>
      <c r="G382" s="1"/>
      <c r="H382" s="3"/>
      <c r="I382" s="2"/>
      <c r="J382" s="3"/>
      <c r="K382" s="2"/>
    </row>
    <row r="383" spans="1:11" x14ac:dyDescent="0.2">
      <c r="A383">
        <v>2016</v>
      </c>
      <c r="B383" s="34">
        <v>501</v>
      </c>
      <c r="C383" s="34" t="s">
        <v>653</v>
      </c>
      <c r="D383" s="36">
        <v>55660</v>
      </c>
      <c r="E383" s="36">
        <v>337951</v>
      </c>
      <c r="F383" s="1"/>
      <c r="G383" s="1"/>
      <c r="H383" s="3"/>
      <c r="I383" s="2"/>
      <c r="J383" s="3"/>
      <c r="K383" s="2"/>
    </row>
    <row r="384" spans="1:11" x14ac:dyDescent="0.2">
      <c r="A384">
        <v>2016</v>
      </c>
      <c r="B384" s="34">
        <v>502</v>
      </c>
      <c r="C384" s="34" t="s">
        <v>654</v>
      </c>
      <c r="D384" s="36">
        <v>4397</v>
      </c>
      <c r="E384" s="36">
        <v>34692</v>
      </c>
      <c r="F384" s="1"/>
      <c r="G384" s="1"/>
      <c r="H384" s="3"/>
      <c r="I384" s="2"/>
      <c r="J384" s="3"/>
      <c r="K384" s="2"/>
    </row>
    <row r="385" spans="1:11" x14ac:dyDescent="0.2">
      <c r="A385">
        <v>2016</v>
      </c>
      <c r="B385" s="34">
        <v>503</v>
      </c>
      <c r="C385" s="34" t="s">
        <v>655</v>
      </c>
      <c r="D385" s="36">
        <v>60179</v>
      </c>
      <c r="E385" s="36">
        <v>383053</v>
      </c>
      <c r="F385" s="1"/>
      <c r="G385" s="1"/>
      <c r="H385" s="3"/>
      <c r="I385" s="2"/>
      <c r="J385" s="3"/>
      <c r="K385" s="2"/>
    </row>
    <row r="386" spans="1:11" x14ac:dyDescent="0.2">
      <c r="A386">
        <v>2016</v>
      </c>
      <c r="B386" s="34">
        <v>504</v>
      </c>
      <c r="C386" s="34" t="s">
        <v>656</v>
      </c>
      <c r="D386" s="36">
        <v>94719</v>
      </c>
      <c r="E386" s="36">
        <v>479958</v>
      </c>
      <c r="F386" s="1"/>
      <c r="G386" s="1"/>
      <c r="H386" s="3"/>
      <c r="I386" s="2"/>
      <c r="J386" s="3"/>
      <c r="K386" s="2"/>
    </row>
    <row r="387" spans="1:11" x14ac:dyDescent="0.2">
      <c r="A387">
        <v>2016</v>
      </c>
      <c r="B387" s="34">
        <v>505</v>
      </c>
      <c r="C387" s="34" t="s">
        <v>657</v>
      </c>
      <c r="D387" s="36">
        <v>774921</v>
      </c>
      <c r="E387" s="36">
        <v>4528284</v>
      </c>
      <c r="F387" s="1"/>
      <c r="G387" s="1"/>
      <c r="H387" s="3"/>
      <c r="I387" s="2"/>
      <c r="J387" s="3"/>
      <c r="K387" s="2"/>
    </row>
    <row r="388" spans="1:11" x14ac:dyDescent="0.2">
      <c r="A388">
        <v>2016</v>
      </c>
      <c r="B388" s="34">
        <v>507</v>
      </c>
      <c r="C388" s="34" t="s">
        <v>658</v>
      </c>
      <c r="D388" s="36">
        <v>70727</v>
      </c>
      <c r="E388" s="36">
        <v>473277</v>
      </c>
      <c r="F388" s="1"/>
      <c r="G388" s="1"/>
      <c r="H388" s="3"/>
      <c r="I388" s="2"/>
      <c r="J388" s="3"/>
      <c r="K388" s="2"/>
    </row>
    <row r="389" spans="1:11" x14ac:dyDescent="0.2">
      <c r="A389">
        <v>2016</v>
      </c>
      <c r="B389" s="34">
        <v>509</v>
      </c>
      <c r="C389" s="34" t="s">
        <v>659</v>
      </c>
      <c r="D389" s="36">
        <v>45198</v>
      </c>
      <c r="E389" s="36">
        <v>446460</v>
      </c>
      <c r="F389" s="1"/>
      <c r="G389" s="1"/>
      <c r="H389" s="3"/>
      <c r="I389" s="2"/>
      <c r="J389" s="3"/>
      <c r="K389" s="2"/>
    </row>
    <row r="390" spans="1:11" x14ac:dyDescent="0.2">
      <c r="A390">
        <v>2016</v>
      </c>
      <c r="B390" s="34">
        <v>510</v>
      </c>
      <c r="C390" s="34" t="s">
        <v>660</v>
      </c>
      <c r="D390" s="36">
        <v>89691</v>
      </c>
      <c r="E390" s="36">
        <v>600304</v>
      </c>
      <c r="F390" s="1"/>
      <c r="G390" s="1"/>
      <c r="H390" s="3"/>
      <c r="I390" s="2"/>
      <c r="J390" s="3"/>
      <c r="K390" s="2"/>
    </row>
    <row r="391" spans="1:11" x14ac:dyDescent="0.2">
      <c r="A391">
        <v>2016</v>
      </c>
      <c r="B391" s="34">
        <v>511</v>
      </c>
      <c r="C391" s="34" t="s">
        <v>479</v>
      </c>
      <c r="D391" s="36">
        <v>36884</v>
      </c>
      <c r="E391" s="36">
        <v>271295</v>
      </c>
      <c r="F391" s="1"/>
      <c r="G391" s="1"/>
      <c r="H391" s="3"/>
      <c r="I391" s="2"/>
      <c r="J391" s="3"/>
      <c r="K391" s="2"/>
    </row>
    <row r="392" spans="1:11" x14ac:dyDescent="0.2">
      <c r="A392">
        <v>2016</v>
      </c>
      <c r="B392" s="34">
        <v>512</v>
      </c>
      <c r="C392" s="34" t="s">
        <v>480</v>
      </c>
      <c r="D392" s="36">
        <v>23233</v>
      </c>
      <c r="E392" s="36">
        <v>113556</v>
      </c>
      <c r="F392" s="1"/>
      <c r="G392" s="1"/>
      <c r="H392" s="3"/>
      <c r="I392" s="2"/>
      <c r="J392" s="3"/>
      <c r="K392" s="2"/>
    </row>
    <row r="393" spans="1:11" x14ac:dyDescent="0.2">
      <c r="A393">
        <v>2016</v>
      </c>
      <c r="B393" s="34">
        <v>514</v>
      </c>
      <c r="C393" s="34" t="s">
        <v>481</v>
      </c>
      <c r="D393" s="36">
        <v>23759</v>
      </c>
      <c r="E393" s="36">
        <v>150229</v>
      </c>
      <c r="F393" s="1"/>
      <c r="G393" s="1"/>
      <c r="H393" s="3"/>
      <c r="I393" s="2"/>
      <c r="J393" s="3"/>
      <c r="K393" s="2"/>
    </row>
    <row r="394" spans="1:11" x14ac:dyDescent="0.2">
      <c r="A394">
        <v>2016</v>
      </c>
      <c r="B394" s="34">
        <v>516</v>
      </c>
      <c r="C394" s="34" t="s">
        <v>482</v>
      </c>
      <c r="D394" s="36">
        <v>217106</v>
      </c>
      <c r="E394" s="36">
        <v>1656699</v>
      </c>
      <c r="F394" s="1"/>
      <c r="G394" s="1"/>
      <c r="H394" s="3"/>
      <c r="I394" s="2"/>
      <c r="J394" s="3"/>
      <c r="K394" s="2"/>
    </row>
    <row r="395" spans="1:11" x14ac:dyDescent="0.2">
      <c r="A395">
        <v>2016</v>
      </c>
      <c r="B395" s="34">
        <v>522</v>
      </c>
      <c r="C395" s="34" t="s">
        <v>483</v>
      </c>
      <c r="D395" s="36">
        <v>34047</v>
      </c>
      <c r="E395" s="36">
        <v>226816</v>
      </c>
      <c r="F395" s="1"/>
      <c r="G395" s="1"/>
      <c r="H395" s="3"/>
      <c r="I395" s="2"/>
      <c r="J395" s="3"/>
      <c r="K395" s="2"/>
    </row>
    <row r="396" spans="1:11" x14ac:dyDescent="0.2">
      <c r="A396">
        <v>2016</v>
      </c>
      <c r="B396" s="34">
        <v>523</v>
      </c>
      <c r="C396" s="34" t="s">
        <v>484</v>
      </c>
      <c r="D396" s="36">
        <v>67756</v>
      </c>
      <c r="E396" s="36">
        <v>776953</v>
      </c>
      <c r="F396" s="1"/>
      <c r="G396" s="1"/>
      <c r="H396" s="3"/>
      <c r="I396" s="2"/>
      <c r="J396" s="3"/>
      <c r="K396" s="2"/>
    </row>
    <row r="397" spans="1:11" x14ac:dyDescent="0.2">
      <c r="A397">
        <v>2016</v>
      </c>
      <c r="B397" s="34">
        <v>524</v>
      </c>
      <c r="C397" s="34" t="s">
        <v>485</v>
      </c>
      <c r="D397" s="36">
        <v>95656</v>
      </c>
      <c r="E397" s="36">
        <v>960315</v>
      </c>
      <c r="F397" s="1"/>
      <c r="G397" s="1"/>
      <c r="H397" s="3"/>
      <c r="I397" s="2"/>
      <c r="J397" s="3"/>
      <c r="K397" s="2"/>
    </row>
    <row r="398" spans="1:11" x14ac:dyDescent="0.2">
      <c r="A398">
        <v>2016</v>
      </c>
      <c r="B398" s="34">
        <v>525</v>
      </c>
      <c r="C398" s="34" t="s">
        <v>486</v>
      </c>
      <c r="D398" s="36">
        <v>22183</v>
      </c>
      <c r="E398" s="36">
        <v>177273</v>
      </c>
      <c r="F398" s="1"/>
      <c r="G398" s="1"/>
      <c r="H398" s="3"/>
      <c r="I398" s="2"/>
      <c r="J398" s="3"/>
      <c r="K398" s="2"/>
    </row>
    <row r="399" spans="1:11" x14ac:dyDescent="0.2">
      <c r="A399">
        <v>2016</v>
      </c>
      <c r="B399" s="34">
        <v>526</v>
      </c>
      <c r="C399" s="34" t="s">
        <v>661</v>
      </c>
      <c r="D399" s="36">
        <v>8780</v>
      </c>
      <c r="E399" s="36">
        <v>58472</v>
      </c>
      <c r="F399" s="1"/>
      <c r="G399" s="1"/>
      <c r="H399" s="3"/>
      <c r="I399" s="2"/>
      <c r="J399" s="3"/>
      <c r="K399" s="2"/>
    </row>
    <row r="400" spans="1:11" x14ac:dyDescent="0.2">
      <c r="A400">
        <v>2016</v>
      </c>
      <c r="B400" s="34">
        <v>527</v>
      </c>
      <c r="C400" s="34" t="s">
        <v>662</v>
      </c>
      <c r="D400" s="36">
        <v>46272</v>
      </c>
      <c r="E400" s="36">
        <v>297204</v>
      </c>
      <c r="F400" s="1"/>
      <c r="G400" s="1"/>
      <c r="H400" s="3"/>
      <c r="I400" s="2"/>
      <c r="J400" s="3"/>
      <c r="K400" s="2"/>
    </row>
    <row r="401" spans="1:11" x14ac:dyDescent="0.2">
      <c r="A401">
        <v>2016</v>
      </c>
      <c r="B401" s="34">
        <v>528</v>
      </c>
      <c r="C401" s="34" t="s">
        <v>489</v>
      </c>
      <c r="D401" s="36">
        <v>35441</v>
      </c>
      <c r="E401" s="36">
        <v>202678</v>
      </c>
      <c r="F401" s="1"/>
      <c r="G401" s="1"/>
      <c r="H401" s="3"/>
      <c r="I401" s="2"/>
      <c r="J401" s="3"/>
      <c r="K401" s="2"/>
    </row>
    <row r="402" spans="1:11" x14ac:dyDescent="0.2">
      <c r="A402">
        <v>2016</v>
      </c>
      <c r="B402" s="34">
        <v>529</v>
      </c>
      <c r="C402" s="34" t="s">
        <v>490</v>
      </c>
      <c r="D402" s="36">
        <v>61410</v>
      </c>
      <c r="E402" s="36">
        <v>348517</v>
      </c>
      <c r="F402" s="1"/>
      <c r="G402" s="1"/>
      <c r="H402" s="3"/>
      <c r="I402" s="2"/>
      <c r="J402" s="3"/>
      <c r="K402" s="2"/>
    </row>
    <row r="403" spans="1:11" x14ac:dyDescent="0.2">
      <c r="A403">
        <v>2016</v>
      </c>
      <c r="B403" s="34">
        <v>532</v>
      </c>
      <c r="C403" s="34" t="s">
        <v>663</v>
      </c>
      <c r="D403" s="36">
        <v>141284</v>
      </c>
      <c r="E403" s="36">
        <v>959861</v>
      </c>
      <c r="F403" s="1"/>
      <c r="G403" s="1"/>
      <c r="H403" s="3"/>
      <c r="I403" s="2"/>
      <c r="J403" s="3"/>
      <c r="K403" s="2"/>
    </row>
    <row r="404" spans="1:11" x14ac:dyDescent="0.2">
      <c r="A404">
        <v>2016</v>
      </c>
      <c r="B404" s="34">
        <v>533</v>
      </c>
      <c r="C404" s="34" t="s">
        <v>664</v>
      </c>
      <c r="D404" s="36">
        <v>28478</v>
      </c>
      <c r="E404" s="36">
        <v>227430</v>
      </c>
      <c r="F404" s="1"/>
      <c r="G404" s="1"/>
      <c r="H404" s="3"/>
      <c r="I404" s="2"/>
      <c r="J404" s="3"/>
      <c r="K404" s="2"/>
    </row>
    <row r="405" spans="1:11" x14ac:dyDescent="0.2">
      <c r="A405">
        <v>2016</v>
      </c>
      <c r="B405" s="34">
        <v>534</v>
      </c>
      <c r="C405" s="34" t="s">
        <v>493</v>
      </c>
      <c r="D405" s="36">
        <v>13721</v>
      </c>
      <c r="E405" s="36">
        <v>62042</v>
      </c>
      <c r="F405" s="1"/>
      <c r="G405" s="1"/>
      <c r="H405" s="3"/>
      <c r="I405" s="2"/>
      <c r="J405" s="3"/>
      <c r="K405" s="2"/>
    </row>
    <row r="406" spans="1:11" x14ac:dyDescent="0.2">
      <c r="A406">
        <v>2016</v>
      </c>
      <c r="B406" s="34">
        <v>535</v>
      </c>
      <c r="C406" s="34" t="s">
        <v>494</v>
      </c>
      <c r="D406" s="36">
        <v>23007</v>
      </c>
      <c r="E406" s="36">
        <v>119497</v>
      </c>
      <c r="F406" s="1"/>
      <c r="G406" s="1"/>
      <c r="H406" s="3"/>
      <c r="I406" s="2"/>
      <c r="J406" s="3"/>
      <c r="K406" s="2"/>
    </row>
    <row r="407" spans="1:11" x14ac:dyDescent="0.2">
      <c r="A407">
        <v>2016</v>
      </c>
      <c r="B407" s="34">
        <v>536</v>
      </c>
      <c r="C407" s="34" t="s">
        <v>495</v>
      </c>
      <c r="D407" s="36">
        <v>2437908</v>
      </c>
      <c r="E407" s="36">
        <v>14291940</v>
      </c>
      <c r="F407" s="1"/>
      <c r="G407" s="1"/>
      <c r="H407" s="3"/>
      <c r="I407" s="2"/>
      <c r="J407" s="3"/>
      <c r="K407" s="2"/>
    </row>
    <row r="408" spans="1:11" x14ac:dyDescent="0.2">
      <c r="A408">
        <v>2016</v>
      </c>
      <c r="B408" s="34">
        <v>537</v>
      </c>
      <c r="C408" s="34" t="s">
        <v>496</v>
      </c>
      <c r="D408" s="36">
        <v>1818813</v>
      </c>
      <c r="E408" s="36">
        <v>15218211</v>
      </c>
      <c r="F408" s="1"/>
      <c r="G408" s="1"/>
      <c r="H408" s="3"/>
      <c r="I408" s="2"/>
      <c r="J408" s="3"/>
      <c r="K408" s="2"/>
    </row>
    <row r="409" spans="1:11" x14ac:dyDescent="0.2">
      <c r="A409">
        <v>2016</v>
      </c>
      <c r="B409" s="34">
        <v>538</v>
      </c>
      <c r="C409" s="34" t="s">
        <v>497</v>
      </c>
      <c r="D409" s="36">
        <v>1854212</v>
      </c>
      <c r="E409" s="36">
        <v>11049586</v>
      </c>
      <c r="F409" s="1"/>
      <c r="G409" s="1"/>
      <c r="H409" s="3"/>
      <c r="I409" s="2"/>
      <c r="J409" s="3"/>
      <c r="K409" s="2"/>
    </row>
    <row r="410" spans="1:11" x14ac:dyDescent="0.2">
      <c r="A410">
        <v>2016</v>
      </c>
      <c r="B410" s="34">
        <v>539</v>
      </c>
      <c r="C410" s="34" t="s">
        <v>498</v>
      </c>
      <c r="D410" s="36">
        <v>277974</v>
      </c>
      <c r="E410" s="36">
        <v>1446582</v>
      </c>
      <c r="F410" s="1"/>
      <c r="G410" s="1"/>
      <c r="H410" s="3"/>
      <c r="I410" s="2"/>
      <c r="J410" s="3"/>
      <c r="K410" s="2"/>
    </row>
    <row r="411" spans="1:11" x14ac:dyDescent="0.2">
      <c r="A411">
        <v>2016</v>
      </c>
      <c r="B411" s="34">
        <v>540</v>
      </c>
      <c r="C411" s="34" t="s">
        <v>499</v>
      </c>
      <c r="D411" s="36">
        <v>717496</v>
      </c>
      <c r="E411" s="36">
        <v>4915631</v>
      </c>
      <c r="F411" s="1"/>
      <c r="G411" s="1"/>
      <c r="H411" s="3"/>
      <c r="I411" s="2"/>
      <c r="J411" s="3"/>
      <c r="K411" s="2"/>
    </row>
    <row r="412" spans="1:11" x14ac:dyDescent="0.2">
      <c r="A412">
        <v>2016</v>
      </c>
      <c r="B412" s="34">
        <v>541</v>
      </c>
      <c r="C412" s="34" t="s">
        <v>500</v>
      </c>
      <c r="D412" s="36">
        <v>34987</v>
      </c>
      <c r="E412" s="36">
        <v>231686</v>
      </c>
      <c r="F412" s="1"/>
      <c r="G412" s="1"/>
      <c r="H412" s="3"/>
      <c r="I412" s="2"/>
      <c r="J412" s="3"/>
      <c r="K412" s="2"/>
    </row>
    <row r="413" spans="1:11" x14ac:dyDescent="0.2">
      <c r="A413">
        <v>2016</v>
      </c>
      <c r="B413" s="34">
        <v>542</v>
      </c>
      <c r="C413" s="34" t="s">
        <v>501</v>
      </c>
      <c r="D413" s="36">
        <v>5689</v>
      </c>
      <c r="E413" s="36">
        <v>36400</v>
      </c>
      <c r="F413" s="1"/>
      <c r="G413" s="1"/>
      <c r="H413" s="3"/>
      <c r="I413" s="2"/>
      <c r="J413" s="3"/>
      <c r="K413" s="2"/>
    </row>
    <row r="414" spans="1:11" x14ac:dyDescent="0.2">
      <c r="A414">
        <v>2016</v>
      </c>
      <c r="B414" s="34">
        <v>544</v>
      </c>
      <c r="C414" s="34" t="s">
        <v>502</v>
      </c>
      <c r="D414" s="36">
        <v>36463</v>
      </c>
      <c r="E414" s="36">
        <v>261065</v>
      </c>
      <c r="F414" s="1"/>
      <c r="G414" s="1"/>
      <c r="H414" s="3"/>
      <c r="I414" s="2"/>
      <c r="J414" s="3"/>
      <c r="K414" s="2"/>
    </row>
    <row r="415" spans="1:11" x14ac:dyDescent="0.2">
      <c r="A415">
        <v>2016</v>
      </c>
      <c r="B415" s="34">
        <v>545</v>
      </c>
      <c r="C415" s="34" t="s">
        <v>503</v>
      </c>
      <c r="D415" s="36">
        <v>38310</v>
      </c>
      <c r="E415" s="36">
        <v>318394</v>
      </c>
      <c r="F415" s="1"/>
      <c r="G415" s="1"/>
      <c r="H415" s="3"/>
      <c r="I415" s="2"/>
      <c r="J415" s="3"/>
      <c r="K415" s="2"/>
    </row>
    <row r="416" spans="1:11" x14ac:dyDescent="0.2">
      <c r="A416">
        <v>2016</v>
      </c>
      <c r="B416" s="34">
        <v>546</v>
      </c>
      <c r="C416" s="34" t="s">
        <v>665</v>
      </c>
      <c r="D416" s="36">
        <v>322603</v>
      </c>
      <c r="E416" s="36">
        <v>2051042</v>
      </c>
      <c r="F416" s="1"/>
      <c r="G416" s="1"/>
      <c r="H416" s="3"/>
      <c r="I416" s="2"/>
      <c r="J416" s="3"/>
      <c r="K416" s="2"/>
    </row>
    <row r="417" spans="1:11" x14ac:dyDescent="0.2">
      <c r="A417">
        <v>2016</v>
      </c>
      <c r="B417" s="34">
        <v>547</v>
      </c>
      <c r="C417" s="34" t="s">
        <v>505</v>
      </c>
      <c r="D417" s="36">
        <v>219170</v>
      </c>
      <c r="E417" s="36">
        <v>1542007</v>
      </c>
      <c r="F417" s="1"/>
      <c r="G417" s="1"/>
      <c r="H417" s="3"/>
      <c r="I417" s="2"/>
      <c r="J417" s="3"/>
      <c r="K417" s="2"/>
    </row>
    <row r="418" spans="1:11" x14ac:dyDescent="0.2">
      <c r="A418">
        <v>2016</v>
      </c>
      <c r="B418" s="34">
        <v>548</v>
      </c>
      <c r="C418" s="34" t="s">
        <v>506</v>
      </c>
      <c r="D418" s="36">
        <v>98610</v>
      </c>
      <c r="E418" s="36">
        <v>721508</v>
      </c>
      <c r="F418" s="1"/>
      <c r="G418" s="1"/>
      <c r="H418" s="3"/>
      <c r="I418" s="2"/>
      <c r="J418" s="3"/>
      <c r="K418" s="2"/>
    </row>
    <row r="419" spans="1:11" x14ac:dyDescent="0.2">
      <c r="A419">
        <v>2016</v>
      </c>
      <c r="B419" s="34">
        <v>549</v>
      </c>
      <c r="C419" s="34" t="s">
        <v>507</v>
      </c>
      <c r="D419" s="36">
        <v>56002</v>
      </c>
      <c r="E419" s="36">
        <v>382042</v>
      </c>
      <c r="F419" s="1"/>
      <c r="G419" s="1"/>
      <c r="H419" s="3"/>
      <c r="I419" s="2"/>
      <c r="J419" s="3"/>
      <c r="K419" s="2"/>
    </row>
    <row r="420" spans="1:11" x14ac:dyDescent="0.2">
      <c r="A420">
        <v>2016</v>
      </c>
      <c r="B420" s="34">
        <v>550</v>
      </c>
      <c r="C420" s="34" t="s">
        <v>508</v>
      </c>
      <c r="D420" s="36">
        <v>381031</v>
      </c>
      <c r="E420" s="36">
        <v>2573638</v>
      </c>
      <c r="F420" s="1"/>
      <c r="G420" s="1"/>
      <c r="H420" s="3"/>
      <c r="I420" s="2"/>
      <c r="J420" s="3"/>
      <c r="K420" s="2"/>
    </row>
    <row r="421" spans="1:11" x14ac:dyDescent="0.2">
      <c r="A421">
        <v>2016</v>
      </c>
      <c r="B421" s="34">
        <v>557</v>
      </c>
      <c r="C421" s="34" t="s">
        <v>509</v>
      </c>
      <c r="D421" s="36">
        <v>205189</v>
      </c>
      <c r="E421" s="36">
        <v>1614677</v>
      </c>
      <c r="F421" s="1"/>
      <c r="G421" s="1"/>
      <c r="H421" s="3"/>
      <c r="I421" s="2"/>
      <c r="J421" s="3"/>
      <c r="K421" s="2"/>
    </row>
    <row r="422" spans="1:11" x14ac:dyDescent="0.2">
      <c r="A422">
        <v>2016</v>
      </c>
      <c r="B422" s="34">
        <v>559</v>
      </c>
      <c r="C422" s="34" t="s">
        <v>666</v>
      </c>
      <c r="D422" s="36">
        <v>2413133</v>
      </c>
      <c r="E422" s="36">
        <v>14805664</v>
      </c>
      <c r="F422" s="1"/>
      <c r="G422" s="1"/>
      <c r="H422" s="3"/>
      <c r="I422" s="2"/>
      <c r="J422" s="3"/>
      <c r="K422" s="2"/>
    </row>
    <row r="423" spans="1:11" x14ac:dyDescent="0.2">
      <c r="A423">
        <v>2016</v>
      </c>
      <c r="B423" s="34">
        <v>560</v>
      </c>
      <c r="C423" s="34" t="s">
        <v>667</v>
      </c>
      <c r="D423" s="36">
        <v>1668184</v>
      </c>
      <c r="E423" s="36">
        <v>9207386</v>
      </c>
      <c r="F423" s="1"/>
      <c r="G423" s="1"/>
      <c r="H423" s="3"/>
      <c r="I423" s="2"/>
      <c r="J423" s="3"/>
      <c r="K423" s="2"/>
    </row>
    <row r="424" spans="1:11" x14ac:dyDescent="0.2">
      <c r="A424">
        <v>2016</v>
      </c>
      <c r="B424" s="34">
        <v>561</v>
      </c>
      <c r="C424" s="34" t="s">
        <v>512</v>
      </c>
      <c r="D424" s="36">
        <v>1185170</v>
      </c>
      <c r="E424" s="36">
        <v>5903779</v>
      </c>
      <c r="F424" s="1"/>
      <c r="G424" s="1"/>
      <c r="H424" s="3"/>
      <c r="I424" s="2"/>
      <c r="J424" s="3"/>
      <c r="K424" s="2"/>
    </row>
    <row r="425" spans="1:11" x14ac:dyDescent="0.2">
      <c r="A425">
        <v>2016</v>
      </c>
      <c r="B425" s="34">
        <v>562</v>
      </c>
      <c r="C425" s="34" t="s">
        <v>513</v>
      </c>
      <c r="D425" s="36">
        <v>2420725</v>
      </c>
      <c r="E425" s="36">
        <v>17472925</v>
      </c>
      <c r="F425" s="1"/>
      <c r="G425" s="1"/>
      <c r="H425" s="3"/>
      <c r="I425" s="2"/>
      <c r="J425" s="3"/>
      <c r="K425" s="2"/>
    </row>
    <row r="426" spans="1:11" x14ac:dyDescent="0.2">
      <c r="A426">
        <v>2016</v>
      </c>
      <c r="B426" s="34">
        <v>563</v>
      </c>
      <c r="C426" s="34" t="s">
        <v>514</v>
      </c>
      <c r="D426" s="36">
        <v>776520</v>
      </c>
      <c r="E426" s="36">
        <v>5732262</v>
      </c>
      <c r="F426" s="1"/>
      <c r="G426" s="1"/>
      <c r="H426" s="3"/>
      <c r="I426" s="2"/>
      <c r="J426" s="3"/>
      <c r="K426" s="2"/>
    </row>
    <row r="427" spans="1:11" x14ac:dyDescent="0.2">
      <c r="A427">
        <v>2016</v>
      </c>
      <c r="B427" s="34">
        <v>564</v>
      </c>
      <c r="C427" s="34" t="s">
        <v>515</v>
      </c>
      <c r="D427" s="36">
        <v>616699</v>
      </c>
      <c r="E427" s="36">
        <v>4834261</v>
      </c>
      <c r="F427" s="1"/>
      <c r="G427" s="1"/>
      <c r="H427" s="3"/>
      <c r="I427" s="2"/>
      <c r="J427" s="3"/>
      <c r="K427" s="2"/>
    </row>
    <row r="428" spans="1:11" x14ac:dyDescent="0.2">
      <c r="A428">
        <v>2016</v>
      </c>
      <c r="B428" s="34">
        <v>565</v>
      </c>
      <c r="C428" s="34" t="s">
        <v>516</v>
      </c>
      <c r="D428" s="36">
        <v>1040758</v>
      </c>
      <c r="E428" s="36">
        <v>7286814</v>
      </c>
      <c r="F428" s="1"/>
      <c r="G428" s="1"/>
      <c r="H428" s="3"/>
      <c r="I428" s="2"/>
      <c r="J428" s="3"/>
      <c r="K428" s="2"/>
    </row>
    <row r="429" spans="1:11" x14ac:dyDescent="0.2">
      <c r="A429">
        <v>2016</v>
      </c>
      <c r="B429" s="34">
        <v>566</v>
      </c>
      <c r="C429" s="34" t="s">
        <v>517</v>
      </c>
      <c r="D429" s="36">
        <v>295178</v>
      </c>
      <c r="E429" s="36">
        <v>2085219</v>
      </c>
      <c r="F429" s="1"/>
      <c r="G429" s="1"/>
      <c r="H429" s="3"/>
      <c r="I429" s="2"/>
      <c r="J429" s="3"/>
      <c r="K429" s="2"/>
    </row>
    <row r="430" spans="1:11" x14ac:dyDescent="0.2">
      <c r="A430">
        <v>2016</v>
      </c>
      <c r="B430" s="34">
        <v>567</v>
      </c>
      <c r="C430" s="34" t="s">
        <v>518</v>
      </c>
      <c r="D430" s="36">
        <v>111140</v>
      </c>
      <c r="E430" s="36">
        <v>1160629</v>
      </c>
      <c r="F430" s="1"/>
      <c r="G430" s="1"/>
      <c r="H430" s="3"/>
      <c r="I430" s="2"/>
      <c r="J430" s="3"/>
      <c r="K430" s="2"/>
    </row>
    <row r="431" spans="1:11" x14ac:dyDescent="0.2">
      <c r="A431">
        <v>2016</v>
      </c>
      <c r="B431" s="34">
        <v>569</v>
      </c>
      <c r="C431" s="34" t="s">
        <v>519</v>
      </c>
      <c r="D431" s="36">
        <v>172188</v>
      </c>
      <c r="E431" s="36">
        <v>1045551</v>
      </c>
      <c r="F431" s="1"/>
      <c r="G431" s="1"/>
      <c r="H431" s="3"/>
      <c r="I431" s="2"/>
      <c r="J431" s="3"/>
      <c r="K431" s="2"/>
    </row>
    <row r="432" spans="1:11" x14ac:dyDescent="0.2">
      <c r="A432">
        <v>2016</v>
      </c>
      <c r="B432" s="34">
        <v>570</v>
      </c>
      <c r="C432" s="34" t="s">
        <v>520</v>
      </c>
      <c r="D432" s="36">
        <v>542557</v>
      </c>
      <c r="E432" s="36">
        <v>3631138</v>
      </c>
      <c r="F432" s="1"/>
      <c r="G432" s="1"/>
      <c r="H432" s="3"/>
      <c r="I432" s="2"/>
      <c r="J432" s="3"/>
      <c r="K432" s="2"/>
    </row>
    <row r="433" spans="1:11" x14ac:dyDescent="0.2">
      <c r="A433">
        <v>2016</v>
      </c>
      <c r="B433" s="34">
        <v>571</v>
      </c>
      <c r="C433" s="34" t="s">
        <v>389</v>
      </c>
      <c r="D433" s="36">
        <v>136872</v>
      </c>
      <c r="E433" s="36">
        <v>1247268</v>
      </c>
      <c r="F433" s="1"/>
      <c r="G433" s="1"/>
      <c r="H433" s="3"/>
      <c r="I433" s="2"/>
      <c r="J433" s="3"/>
      <c r="K433" s="2"/>
    </row>
    <row r="434" spans="1:11" x14ac:dyDescent="0.2">
      <c r="A434">
        <v>2016</v>
      </c>
      <c r="B434" s="34">
        <v>572</v>
      </c>
      <c r="C434" s="34" t="s">
        <v>390</v>
      </c>
      <c r="D434" s="36">
        <v>304807</v>
      </c>
      <c r="E434" s="36">
        <v>2017603</v>
      </c>
      <c r="F434" s="1"/>
      <c r="G434" s="1"/>
      <c r="H434" s="3"/>
      <c r="I434" s="2"/>
      <c r="J434" s="3"/>
      <c r="K434" s="2"/>
    </row>
    <row r="435" spans="1:11" x14ac:dyDescent="0.2">
      <c r="A435">
        <v>2016</v>
      </c>
      <c r="B435" s="34">
        <v>574</v>
      </c>
      <c r="C435" s="34" t="s">
        <v>391</v>
      </c>
      <c r="D435" s="36">
        <v>225229</v>
      </c>
      <c r="E435" s="36">
        <v>1157255</v>
      </c>
      <c r="F435" s="1"/>
      <c r="G435" s="1"/>
      <c r="H435" s="3"/>
      <c r="I435" s="2"/>
      <c r="J435" s="3"/>
      <c r="K435" s="2"/>
    </row>
    <row r="436" spans="1:11" x14ac:dyDescent="0.2">
      <c r="A436">
        <v>2016</v>
      </c>
      <c r="B436" s="34">
        <v>575</v>
      </c>
      <c r="C436" s="34" t="s">
        <v>668</v>
      </c>
      <c r="D436" s="36">
        <v>387457</v>
      </c>
      <c r="E436" s="36">
        <v>2388032</v>
      </c>
      <c r="F436" s="1"/>
      <c r="G436" s="1"/>
      <c r="H436" s="3"/>
      <c r="I436" s="2"/>
      <c r="J436" s="3"/>
      <c r="K436" s="2"/>
    </row>
    <row r="437" spans="1:11" x14ac:dyDescent="0.2">
      <c r="A437">
        <v>2016</v>
      </c>
      <c r="B437" s="34">
        <v>576</v>
      </c>
      <c r="C437" s="34" t="s">
        <v>393</v>
      </c>
      <c r="D437" s="36">
        <v>524995</v>
      </c>
      <c r="E437" s="36">
        <v>4884904</v>
      </c>
      <c r="F437" s="1"/>
      <c r="G437" s="1"/>
      <c r="H437" s="3"/>
      <c r="I437" s="2"/>
      <c r="J437" s="3"/>
      <c r="K437" s="2"/>
    </row>
    <row r="438" spans="1:11" x14ac:dyDescent="0.2">
      <c r="A438">
        <v>2016</v>
      </c>
      <c r="B438" s="34">
        <v>577</v>
      </c>
      <c r="C438" s="34" t="s">
        <v>394</v>
      </c>
      <c r="D438" s="36">
        <v>709368</v>
      </c>
      <c r="E438" s="36">
        <v>3623470</v>
      </c>
      <c r="F438" s="1"/>
      <c r="G438" s="1"/>
      <c r="H438" s="3"/>
      <c r="I438" s="2"/>
      <c r="J438" s="3"/>
      <c r="K438" s="2"/>
    </row>
    <row r="439" spans="1:11" x14ac:dyDescent="0.2">
      <c r="A439">
        <v>2016</v>
      </c>
      <c r="B439" s="34">
        <v>578</v>
      </c>
      <c r="C439" s="34" t="s">
        <v>395</v>
      </c>
      <c r="D439" s="36">
        <v>110591</v>
      </c>
      <c r="E439" s="36">
        <v>979266</v>
      </c>
      <c r="F439" s="1"/>
      <c r="G439" s="1"/>
      <c r="H439" s="3"/>
      <c r="I439" s="2"/>
      <c r="J439" s="3"/>
      <c r="K439" s="2"/>
    </row>
    <row r="440" spans="1:11" x14ac:dyDescent="0.2">
      <c r="A440">
        <v>2016</v>
      </c>
      <c r="B440" s="34">
        <v>580</v>
      </c>
      <c r="C440" s="34" t="s">
        <v>396</v>
      </c>
      <c r="D440" s="36">
        <v>401059</v>
      </c>
      <c r="E440" s="36">
        <v>2623990</v>
      </c>
      <c r="F440" s="1"/>
      <c r="G440" s="1"/>
      <c r="H440" s="3"/>
      <c r="I440" s="2"/>
      <c r="J440" s="3"/>
      <c r="K440" s="2"/>
    </row>
    <row r="441" spans="1:11" x14ac:dyDescent="0.2">
      <c r="A441">
        <v>2016</v>
      </c>
      <c r="B441" s="34">
        <v>581</v>
      </c>
      <c r="C441" s="34" t="s">
        <v>397</v>
      </c>
      <c r="D441" s="36">
        <v>544948</v>
      </c>
      <c r="E441" s="36">
        <v>4226026</v>
      </c>
      <c r="F441" s="1"/>
      <c r="G441" s="1"/>
      <c r="H441" s="3"/>
      <c r="I441" s="2"/>
      <c r="J441" s="3"/>
      <c r="K441" s="2"/>
    </row>
    <row r="442" spans="1:11" x14ac:dyDescent="0.2">
      <c r="A442">
        <v>2016</v>
      </c>
      <c r="B442" s="34">
        <v>582</v>
      </c>
      <c r="C442" s="34" t="s">
        <v>398</v>
      </c>
      <c r="D442" s="36">
        <v>414839</v>
      </c>
      <c r="E442" s="36">
        <v>4388795</v>
      </c>
      <c r="F442" s="1"/>
      <c r="G442" s="1"/>
      <c r="H442" s="3"/>
      <c r="I442" s="2"/>
      <c r="J442" s="3"/>
      <c r="K442" s="2"/>
    </row>
    <row r="443" spans="1:11" x14ac:dyDescent="0.2">
      <c r="A443">
        <v>2016</v>
      </c>
      <c r="B443" s="34">
        <v>583</v>
      </c>
      <c r="C443" s="34" t="s">
        <v>399</v>
      </c>
      <c r="D443" s="36">
        <v>2606166</v>
      </c>
      <c r="E443" s="36">
        <v>17084375</v>
      </c>
      <c r="F443" s="1"/>
      <c r="G443" s="1"/>
      <c r="H443" s="3"/>
      <c r="I443" s="2"/>
      <c r="J443" s="3"/>
      <c r="K443" s="2"/>
    </row>
    <row r="444" spans="1:11" x14ac:dyDescent="0.2">
      <c r="A444">
        <v>2016</v>
      </c>
      <c r="B444" s="34">
        <v>584</v>
      </c>
      <c r="C444" s="34" t="s">
        <v>400</v>
      </c>
      <c r="D444" s="36">
        <v>6487321</v>
      </c>
      <c r="E444" s="36">
        <v>27319780</v>
      </c>
      <c r="F444" s="1"/>
      <c r="G444" s="1"/>
      <c r="H444" s="3"/>
      <c r="I444" s="2"/>
      <c r="J444" s="3"/>
      <c r="K444" s="2"/>
    </row>
    <row r="445" spans="1:11" x14ac:dyDescent="0.2">
      <c r="A445">
        <v>2016</v>
      </c>
      <c r="B445" s="34">
        <v>586</v>
      </c>
      <c r="C445" s="34" t="s">
        <v>401</v>
      </c>
      <c r="D445" s="36">
        <v>9140</v>
      </c>
      <c r="E445" s="36">
        <v>63014</v>
      </c>
      <c r="F445" s="1"/>
      <c r="G445" s="1"/>
      <c r="H445" s="3"/>
      <c r="I445" s="2"/>
      <c r="J445" s="3"/>
      <c r="K445" s="2"/>
    </row>
    <row r="446" spans="1:11" x14ac:dyDescent="0.2">
      <c r="A446">
        <v>2016</v>
      </c>
      <c r="B446" s="34">
        <v>588</v>
      </c>
      <c r="C446" s="34" t="s">
        <v>402</v>
      </c>
      <c r="D446" s="36">
        <v>5674</v>
      </c>
      <c r="E446" s="36">
        <v>36935</v>
      </c>
      <c r="F446" s="1"/>
      <c r="G446" s="1"/>
      <c r="H446" s="3"/>
      <c r="I446" s="2"/>
      <c r="J446" s="3"/>
      <c r="K446" s="2"/>
    </row>
    <row r="447" spans="1:11" x14ac:dyDescent="0.2">
      <c r="A447">
        <v>2016</v>
      </c>
      <c r="B447" s="34">
        <v>589</v>
      </c>
      <c r="C447" s="34" t="s">
        <v>403</v>
      </c>
      <c r="D447" s="36">
        <v>8786</v>
      </c>
      <c r="E447" s="36">
        <v>114341</v>
      </c>
      <c r="F447" s="1"/>
      <c r="G447" s="1"/>
      <c r="H447" s="3"/>
      <c r="I447" s="2"/>
      <c r="J447" s="3"/>
      <c r="K447" s="2"/>
    </row>
    <row r="448" spans="1:11" x14ac:dyDescent="0.2">
      <c r="A448">
        <v>2016</v>
      </c>
      <c r="B448" s="34">
        <v>590</v>
      </c>
      <c r="C448" s="34" t="s">
        <v>669</v>
      </c>
      <c r="D448" s="36">
        <v>25834</v>
      </c>
      <c r="E448" s="36">
        <v>286160</v>
      </c>
      <c r="F448" s="1"/>
      <c r="G448" s="1"/>
      <c r="H448" s="3"/>
      <c r="I448" s="2"/>
      <c r="J448" s="3"/>
      <c r="K448" s="2"/>
    </row>
    <row r="449" spans="1:11" x14ac:dyDescent="0.2">
      <c r="A449">
        <v>2016</v>
      </c>
      <c r="B449" s="34">
        <v>592</v>
      </c>
      <c r="C449" s="34" t="s">
        <v>404</v>
      </c>
      <c r="D449" s="36">
        <v>7772</v>
      </c>
      <c r="E449" s="36">
        <v>41633</v>
      </c>
      <c r="F449" s="1"/>
      <c r="G449" s="1"/>
      <c r="H449" s="3"/>
      <c r="I449" s="2"/>
      <c r="J449" s="3"/>
      <c r="K449" s="2"/>
    </row>
    <row r="450" spans="1:11" x14ac:dyDescent="0.2">
      <c r="A450">
        <v>2016</v>
      </c>
      <c r="B450" s="34">
        <v>596</v>
      </c>
      <c r="C450" s="34" t="s">
        <v>405</v>
      </c>
      <c r="D450" s="36">
        <v>4530</v>
      </c>
      <c r="E450" s="36">
        <v>30994</v>
      </c>
      <c r="F450" s="1"/>
      <c r="G450" s="1"/>
      <c r="H450" s="3"/>
      <c r="I450" s="2"/>
      <c r="J450" s="3"/>
      <c r="K450" s="2"/>
    </row>
    <row r="451" spans="1:11" x14ac:dyDescent="0.2">
      <c r="A451">
        <v>2016</v>
      </c>
      <c r="B451" s="34">
        <v>597</v>
      </c>
      <c r="C451" s="34" t="s">
        <v>406</v>
      </c>
      <c r="D451" s="36">
        <v>209931</v>
      </c>
      <c r="E451" s="36">
        <v>1636782</v>
      </c>
      <c r="F451" s="1"/>
      <c r="G451" s="1"/>
      <c r="H451" s="3"/>
      <c r="I451" s="2"/>
      <c r="J451" s="3"/>
      <c r="K451" s="2"/>
    </row>
    <row r="452" spans="1:11" x14ac:dyDescent="0.2">
      <c r="A452">
        <v>2016</v>
      </c>
      <c r="B452" s="34">
        <v>598</v>
      </c>
      <c r="C452" s="34" t="s">
        <v>407</v>
      </c>
      <c r="D452" s="36">
        <v>40706</v>
      </c>
      <c r="E452" s="36">
        <v>234151</v>
      </c>
      <c r="F452" s="1"/>
      <c r="G452" s="1"/>
      <c r="H452" s="3"/>
      <c r="I452" s="2"/>
      <c r="J452" s="3"/>
      <c r="K452" s="2"/>
    </row>
    <row r="453" spans="1:11" x14ac:dyDescent="0.2">
      <c r="A453">
        <v>2016</v>
      </c>
      <c r="B453" s="34">
        <v>601</v>
      </c>
      <c r="C453" s="34" t="s">
        <v>408</v>
      </c>
      <c r="D453" s="36">
        <v>43580</v>
      </c>
      <c r="E453" s="36">
        <v>410153</v>
      </c>
      <c r="F453" s="1"/>
      <c r="G453" s="1"/>
      <c r="H453" s="3"/>
      <c r="I453" s="2"/>
      <c r="J453" s="3"/>
      <c r="K453" s="2"/>
    </row>
    <row r="454" spans="1:11" x14ac:dyDescent="0.2">
      <c r="A454">
        <v>2016</v>
      </c>
      <c r="B454" s="34">
        <v>602</v>
      </c>
      <c r="C454" s="34" t="s">
        <v>409</v>
      </c>
      <c r="D454" s="36">
        <v>72034</v>
      </c>
      <c r="E454" s="36">
        <v>398682</v>
      </c>
      <c r="F454" s="1"/>
      <c r="G454" s="1"/>
      <c r="H454" s="3"/>
      <c r="I454" s="2"/>
      <c r="J454" s="3"/>
      <c r="K454" s="2"/>
    </row>
    <row r="455" spans="1:11" x14ac:dyDescent="0.2">
      <c r="A455">
        <v>2016</v>
      </c>
      <c r="B455" s="34">
        <v>603</v>
      </c>
      <c r="C455" s="34" t="s">
        <v>410</v>
      </c>
      <c r="D455" s="34">
        <v>0</v>
      </c>
      <c r="E455" s="34" t="s">
        <v>551</v>
      </c>
      <c r="F455" s="1"/>
      <c r="G455" s="1"/>
      <c r="H455" s="1"/>
      <c r="I455" s="2"/>
      <c r="J455" s="1"/>
      <c r="K455" s="2"/>
    </row>
    <row r="456" spans="1:11" x14ac:dyDescent="0.2">
      <c r="A456">
        <v>2016</v>
      </c>
      <c r="B456" s="34">
        <v>607</v>
      </c>
      <c r="C456" s="34" t="s">
        <v>411</v>
      </c>
      <c r="D456" s="36">
        <v>63350</v>
      </c>
      <c r="E456" s="36">
        <v>583051</v>
      </c>
      <c r="F456" s="1"/>
      <c r="G456" s="1"/>
      <c r="H456" s="3"/>
      <c r="I456" s="2"/>
      <c r="J456" s="3"/>
      <c r="K456" s="2"/>
    </row>
    <row r="457" spans="1:11" x14ac:dyDescent="0.2">
      <c r="A457">
        <v>2016</v>
      </c>
      <c r="B457" s="34">
        <v>608</v>
      </c>
      <c r="C457" s="34" t="s">
        <v>412</v>
      </c>
      <c r="D457" s="36">
        <v>40983</v>
      </c>
      <c r="E457" s="36">
        <v>353309</v>
      </c>
      <c r="F457" s="1"/>
      <c r="G457" s="1"/>
      <c r="H457" s="3"/>
      <c r="I457" s="2"/>
      <c r="J457" s="3"/>
      <c r="K457" s="2"/>
    </row>
    <row r="458" spans="1:11" x14ac:dyDescent="0.2">
      <c r="A458">
        <v>2016</v>
      </c>
      <c r="B458" s="34">
        <v>609</v>
      </c>
      <c r="C458" s="34" t="s">
        <v>413</v>
      </c>
      <c r="D458" s="36">
        <v>17995</v>
      </c>
      <c r="E458" s="36">
        <v>222792</v>
      </c>
      <c r="F458" s="1"/>
      <c r="G458" s="1"/>
      <c r="H458" s="3"/>
      <c r="I458" s="2"/>
      <c r="J458" s="3"/>
      <c r="K458" s="2"/>
    </row>
    <row r="459" spans="1:11" x14ac:dyDescent="0.2">
      <c r="A459">
        <v>2016</v>
      </c>
      <c r="B459" s="34">
        <v>610</v>
      </c>
      <c r="C459" s="34" t="s">
        <v>414</v>
      </c>
      <c r="D459" s="36">
        <v>62100</v>
      </c>
      <c r="E459" s="36">
        <v>578892</v>
      </c>
      <c r="F459" s="1"/>
      <c r="G459" s="1"/>
      <c r="H459" s="3"/>
      <c r="I459" s="2"/>
      <c r="J459" s="3"/>
      <c r="K459" s="2"/>
    </row>
    <row r="460" spans="1:11" x14ac:dyDescent="0.2">
      <c r="A460">
        <v>2016</v>
      </c>
      <c r="B460" s="34">
        <v>611</v>
      </c>
      <c r="C460" s="34" t="s">
        <v>415</v>
      </c>
      <c r="D460" s="36">
        <v>27671</v>
      </c>
      <c r="E460" s="36">
        <v>303782</v>
      </c>
      <c r="F460" s="1"/>
      <c r="G460" s="1"/>
      <c r="H460" s="3"/>
      <c r="I460" s="2"/>
      <c r="J460" s="3"/>
      <c r="K460" s="2"/>
    </row>
    <row r="461" spans="1:11" x14ac:dyDescent="0.2">
      <c r="A461">
        <v>2016</v>
      </c>
      <c r="B461" s="34">
        <v>612</v>
      </c>
      <c r="C461" s="34" t="s">
        <v>416</v>
      </c>
      <c r="D461" s="36">
        <v>280896</v>
      </c>
      <c r="E461" s="36">
        <v>2329656</v>
      </c>
      <c r="F461" s="1"/>
      <c r="G461" s="1"/>
      <c r="H461" s="3"/>
      <c r="I461" s="2"/>
      <c r="J461" s="3"/>
      <c r="K461" s="2"/>
    </row>
    <row r="462" spans="1:11" x14ac:dyDescent="0.2">
      <c r="A462">
        <v>2016</v>
      </c>
      <c r="B462" s="34">
        <v>613</v>
      </c>
      <c r="C462" s="34" t="s">
        <v>417</v>
      </c>
      <c r="D462" s="36">
        <v>8138</v>
      </c>
      <c r="E462" s="36">
        <v>83664</v>
      </c>
      <c r="F462" s="1"/>
      <c r="G462" s="1"/>
      <c r="H462" s="3"/>
      <c r="I462" s="2"/>
      <c r="J462" s="3"/>
      <c r="K462" s="2"/>
    </row>
    <row r="463" spans="1:11" x14ac:dyDescent="0.2">
      <c r="A463">
        <v>2016</v>
      </c>
      <c r="B463" s="34">
        <v>614</v>
      </c>
      <c r="C463" s="34" t="s">
        <v>418</v>
      </c>
      <c r="D463" s="36">
        <v>33065</v>
      </c>
      <c r="E463" s="36">
        <v>171245</v>
      </c>
      <c r="F463" s="1"/>
      <c r="G463" s="1"/>
      <c r="H463" s="3"/>
      <c r="I463" s="2"/>
      <c r="J463" s="3"/>
      <c r="K463" s="2"/>
    </row>
    <row r="464" spans="1:11" x14ac:dyDescent="0.2">
      <c r="A464">
        <v>2016</v>
      </c>
      <c r="B464" s="34">
        <v>615</v>
      </c>
      <c r="C464" s="34" t="s">
        <v>419</v>
      </c>
      <c r="D464" s="36">
        <v>59115</v>
      </c>
      <c r="E464" s="36">
        <v>309858</v>
      </c>
      <c r="F464" s="1"/>
      <c r="G464" s="1"/>
      <c r="H464" s="3"/>
      <c r="I464" s="2"/>
      <c r="J464" s="3"/>
      <c r="K464" s="2"/>
    </row>
    <row r="465" spans="1:11" x14ac:dyDescent="0.2">
      <c r="A465">
        <v>2016</v>
      </c>
      <c r="B465" s="34">
        <v>617</v>
      </c>
      <c r="C465" s="34" t="s">
        <v>420</v>
      </c>
      <c r="D465" s="36">
        <v>89485</v>
      </c>
      <c r="E465" s="36">
        <v>451790</v>
      </c>
      <c r="F465" s="1"/>
      <c r="G465" s="1"/>
      <c r="H465" s="3"/>
      <c r="I465" s="2"/>
      <c r="J465" s="3"/>
      <c r="K465" s="2"/>
    </row>
    <row r="466" spans="1:11" x14ac:dyDescent="0.2">
      <c r="A466">
        <v>2016</v>
      </c>
      <c r="B466" s="34">
        <v>618</v>
      </c>
      <c r="C466" s="34" t="s">
        <v>421</v>
      </c>
      <c r="D466" s="36">
        <v>29567</v>
      </c>
      <c r="E466" s="36">
        <v>226736</v>
      </c>
      <c r="F466" s="1"/>
      <c r="G466" s="1"/>
      <c r="H466" s="3"/>
      <c r="I466" s="2"/>
      <c r="J466" s="3"/>
      <c r="K466" s="2"/>
    </row>
    <row r="467" spans="1:11" x14ac:dyDescent="0.2">
      <c r="A467">
        <v>2016</v>
      </c>
      <c r="B467" s="34">
        <v>619</v>
      </c>
      <c r="C467" s="34" t="s">
        <v>422</v>
      </c>
      <c r="D467" s="36">
        <v>39482</v>
      </c>
      <c r="E467" s="36">
        <v>211066</v>
      </c>
      <c r="F467" s="1"/>
      <c r="G467" s="1"/>
      <c r="H467" s="3"/>
      <c r="I467" s="2"/>
      <c r="J467" s="3"/>
      <c r="K467" s="2"/>
    </row>
    <row r="468" spans="1:11" x14ac:dyDescent="0.2">
      <c r="A468">
        <v>2016</v>
      </c>
      <c r="B468" s="34">
        <v>620</v>
      </c>
      <c r="C468" s="34" t="s">
        <v>423</v>
      </c>
      <c r="D468" s="36">
        <v>26170</v>
      </c>
      <c r="E468" s="36">
        <v>180398</v>
      </c>
      <c r="F468" s="1"/>
      <c r="G468" s="1"/>
      <c r="H468" s="3"/>
      <c r="I468" s="2"/>
      <c r="J468" s="3"/>
      <c r="K468" s="2"/>
    </row>
    <row r="469" spans="1:11" x14ac:dyDescent="0.2">
      <c r="A469">
        <v>2016</v>
      </c>
      <c r="B469" s="34">
        <v>621</v>
      </c>
      <c r="C469" s="34" t="s">
        <v>424</v>
      </c>
      <c r="D469" s="36">
        <v>22073</v>
      </c>
      <c r="E469" s="36">
        <v>266395</v>
      </c>
      <c r="F469" s="1"/>
      <c r="G469" s="1"/>
      <c r="H469" s="3"/>
      <c r="I469" s="2"/>
      <c r="J469" s="3"/>
      <c r="K469" s="2"/>
    </row>
    <row r="470" spans="1:11" x14ac:dyDescent="0.2">
      <c r="A470">
        <v>2016</v>
      </c>
      <c r="B470" s="34">
        <v>622</v>
      </c>
      <c r="C470" s="34" t="s">
        <v>425</v>
      </c>
      <c r="D470" s="36">
        <v>70840</v>
      </c>
      <c r="E470" s="36">
        <v>488654</v>
      </c>
      <c r="F470" s="1"/>
      <c r="G470" s="1"/>
      <c r="H470" s="3"/>
      <c r="I470" s="2"/>
      <c r="J470" s="3"/>
      <c r="K470" s="2"/>
    </row>
    <row r="471" spans="1:11" x14ac:dyDescent="0.2">
      <c r="A471">
        <v>2016</v>
      </c>
      <c r="B471" s="34">
        <v>623</v>
      </c>
      <c r="C471" s="34" t="s">
        <v>426</v>
      </c>
      <c r="D471" s="36">
        <v>136710</v>
      </c>
      <c r="E471" s="36">
        <v>1367221</v>
      </c>
      <c r="F471" s="1"/>
      <c r="G471" s="1"/>
      <c r="H471" s="3"/>
      <c r="I471" s="2"/>
      <c r="J471" s="3"/>
      <c r="K471" s="2"/>
    </row>
    <row r="472" spans="1:11" x14ac:dyDescent="0.2">
      <c r="A472">
        <v>2016</v>
      </c>
      <c r="B472" s="34">
        <v>624</v>
      </c>
      <c r="C472" s="34" t="s">
        <v>427</v>
      </c>
      <c r="D472" s="36">
        <v>36569</v>
      </c>
      <c r="E472" s="36">
        <v>338184</v>
      </c>
      <c r="F472" s="1"/>
      <c r="G472" s="1"/>
      <c r="H472" s="3"/>
      <c r="I472" s="2"/>
      <c r="J472" s="3"/>
      <c r="K472" s="2"/>
    </row>
    <row r="473" spans="1:11" x14ac:dyDescent="0.2">
      <c r="A473">
        <v>2016</v>
      </c>
      <c r="B473" s="34">
        <v>625</v>
      </c>
      <c r="C473" s="34" t="s">
        <v>428</v>
      </c>
      <c r="D473" s="36">
        <v>52848</v>
      </c>
      <c r="E473" s="36">
        <v>390805</v>
      </c>
      <c r="F473" s="1"/>
      <c r="G473" s="1"/>
      <c r="H473" s="3"/>
      <c r="I473" s="2"/>
      <c r="J473" s="3"/>
      <c r="K473" s="2"/>
    </row>
    <row r="474" spans="1:11" x14ac:dyDescent="0.2">
      <c r="A474">
        <v>2016</v>
      </c>
      <c r="B474" s="34">
        <v>626</v>
      </c>
      <c r="C474" s="34" t="s">
        <v>429</v>
      </c>
      <c r="D474" s="36">
        <v>26952</v>
      </c>
      <c r="E474" s="36">
        <v>162614</v>
      </c>
      <c r="F474" s="1"/>
      <c r="G474" s="1"/>
      <c r="H474" s="3"/>
      <c r="I474" s="2"/>
      <c r="J474" s="3"/>
      <c r="K474" s="2"/>
    </row>
    <row r="475" spans="1:11" x14ac:dyDescent="0.2">
      <c r="A475">
        <v>2016</v>
      </c>
      <c r="B475" s="34">
        <v>627</v>
      </c>
      <c r="C475" s="34" t="s">
        <v>430</v>
      </c>
      <c r="D475" s="36">
        <v>46471</v>
      </c>
      <c r="E475" s="36">
        <v>333323</v>
      </c>
      <c r="F475" s="1"/>
      <c r="G475" s="1"/>
      <c r="H475" s="3"/>
      <c r="I475" s="2"/>
      <c r="J475" s="3"/>
      <c r="K475" s="2"/>
    </row>
    <row r="476" spans="1:11" x14ac:dyDescent="0.2">
      <c r="A476">
        <v>2016</v>
      </c>
      <c r="B476" s="34">
        <v>628</v>
      </c>
      <c r="C476" s="34" t="s">
        <v>431</v>
      </c>
      <c r="D476" s="36">
        <v>57394</v>
      </c>
      <c r="E476" s="36">
        <v>383068</v>
      </c>
      <c r="F476" s="1"/>
      <c r="G476" s="1"/>
      <c r="H476" s="3"/>
      <c r="I476" s="2"/>
      <c r="J476" s="3"/>
      <c r="K476" s="2"/>
    </row>
    <row r="477" spans="1:11" x14ac:dyDescent="0.2">
      <c r="A477">
        <v>2016</v>
      </c>
      <c r="B477" s="34">
        <v>629</v>
      </c>
      <c r="C477" s="34" t="s">
        <v>432</v>
      </c>
      <c r="D477" s="36">
        <v>235997</v>
      </c>
      <c r="E477" s="36">
        <v>1414906</v>
      </c>
      <c r="F477" s="1"/>
      <c r="G477" s="1"/>
      <c r="H477" s="3"/>
      <c r="I477" s="2"/>
      <c r="J477" s="3"/>
      <c r="K477" s="2"/>
    </row>
    <row r="478" spans="1:11" x14ac:dyDescent="0.2">
      <c r="A478">
        <v>2016</v>
      </c>
      <c r="B478" s="34">
        <v>630</v>
      </c>
      <c r="C478" s="34" t="s">
        <v>433</v>
      </c>
      <c r="D478" s="36">
        <v>102253</v>
      </c>
      <c r="E478" s="36">
        <v>536510</v>
      </c>
      <c r="F478" s="1"/>
      <c r="G478" s="1"/>
      <c r="H478" s="3"/>
      <c r="I478" s="2"/>
      <c r="J478" s="3"/>
      <c r="K478" s="2"/>
    </row>
    <row r="479" spans="1:11" x14ac:dyDescent="0.2">
      <c r="A479">
        <v>2016</v>
      </c>
      <c r="B479" s="34">
        <v>631</v>
      </c>
      <c r="C479" s="34" t="s">
        <v>434</v>
      </c>
      <c r="D479" s="36">
        <v>32597</v>
      </c>
      <c r="E479" s="36">
        <v>219319</v>
      </c>
      <c r="F479" s="1"/>
      <c r="G479" s="1"/>
      <c r="H479" s="3"/>
      <c r="I479" s="2"/>
      <c r="J479" s="3"/>
      <c r="K479" s="2"/>
    </row>
    <row r="480" spans="1:11" x14ac:dyDescent="0.2">
      <c r="A480">
        <v>2016</v>
      </c>
      <c r="B480" s="34">
        <v>632</v>
      </c>
      <c r="C480" s="34" t="s">
        <v>435</v>
      </c>
      <c r="D480" s="36">
        <v>15692</v>
      </c>
      <c r="E480" s="36">
        <v>115801</v>
      </c>
      <c r="F480" s="1"/>
      <c r="G480" s="1"/>
      <c r="H480" s="3"/>
      <c r="I480" s="2"/>
      <c r="J480" s="3"/>
      <c r="K480" s="2"/>
    </row>
    <row r="481" spans="1:11" x14ac:dyDescent="0.2">
      <c r="A481">
        <v>2016</v>
      </c>
      <c r="B481" s="34">
        <v>633</v>
      </c>
      <c r="C481" s="34" t="s">
        <v>436</v>
      </c>
      <c r="D481" s="36">
        <v>60985</v>
      </c>
      <c r="E481" s="36">
        <v>441152</v>
      </c>
      <c r="F481" s="1"/>
      <c r="G481" s="1"/>
      <c r="H481" s="3"/>
      <c r="I481" s="2"/>
      <c r="J481" s="3"/>
      <c r="K481" s="2"/>
    </row>
    <row r="482" spans="1:11" x14ac:dyDescent="0.2">
      <c r="A482">
        <v>2016</v>
      </c>
      <c r="B482" s="34">
        <v>634</v>
      </c>
      <c r="C482" s="34" t="s">
        <v>437</v>
      </c>
      <c r="D482" s="36">
        <v>22259</v>
      </c>
      <c r="E482" s="36">
        <v>172383</v>
      </c>
      <c r="F482" s="1"/>
      <c r="G482" s="1"/>
      <c r="H482" s="3"/>
      <c r="I482" s="2"/>
      <c r="J482" s="3"/>
      <c r="K482" s="2"/>
    </row>
    <row r="483" spans="1:11" x14ac:dyDescent="0.2">
      <c r="A483">
        <v>2016</v>
      </c>
      <c r="B483" s="34">
        <v>635</v>
      </c>
      <c r="C483" s="34" t="s">
        <v>438</v>
      </c>
      <c r="D483" s="36">
        <v>22595</v>
      </c>
      <c r="E483" s="36">
        <v>119930</v>
      </c>
      <c r="F483" s="1"/>
      <c r="G483" s="1"/>
      <c r="H483" s="3"/>
      <c r="I483" s="2"/>
      <c r="J483" s="3"/>
      <c r="K483" s="2"/>
    </row>
    <row r="484" spans="1:11" x14ac:dyDescent="0.2">
      <c r="A484">
        <v>2016</v>
      </c>
      <c r="B484" s="34">
        <v>636</v>
      </c>
      <c r="C484" s="34" t="s">
        <v>439</v>
      </c>
      <c r="D484" s="36">
        <v>107479</v>
      </c>
      <c r="E484" s="36">
        <v>757387</v>
      </c>
      <c r="F484" s="1"/>
      <c r="G484" s="1"/>
      <c r="H484" s="3"/>
      <c r="I484" s="2"/>
      <c r="J484" s="3"/>
      <c r="K484" s="2"/>
    </row>
    <row r="485" spans="1:11" x14ac:dyDescent="0.2">
      <c r="A485">
        <v>2016</v>
      </c>
      <c r="B485" s="34">
        <v>637</v>
      </c>
      <c r="C485" s="34" t="s">
        <v>440</v>
      </c>
      <c r="D485" s="36">
        <v>569079</v>
      </c>
      <c r="E485" s="36">
        <v>2939310</v>
      </c>
      <c r="F485" s="1"/>
      <c r="G485" s="1"/>
      <c r="H485" s="3"/>
      <c r="I485" s="2"/>
      <c r="J485" s="3"/>
      <c r="K485" s="2"/>
    </row>
    <row r="486" spans="1:11" x14ac:dyDescent="0.2">
      <c r="A486">
        <v>2016</v>
      </c>
      <c r="B486" s="34">
        <v>638</v>
      </c>
      <c r="C486" s="34" t="s">
        <v>441</v>
      </c>
      <c r="D486" s="36">
        <v>186096</v>
      </c>
      <c r="E486" s="36">
        <v>963049</v>
      </c>
      <c r="F486" s="1"/>
      <c r="G486" s="1"/>
      <c r="H486" s="3"/>
      <c r="I486" s="2"/>
      <c r="J486" s="3"/>
      <c r="K486" s="2"/>
    </row>
    <row r="487" spans="1:11" x14ac:dyDescent="0.2">
      <c r="A487">
        <v>2016</v>
      </c>
      <c r="B487" s="34">
        <v>639</v>
      </c>
      <c r="C487" s="34" t="s">
        <v>442</v>
      </c>
      <c r="D487" s="36">
        <v>36549</v>
      </c>
      <c r="E487" s="36">
        <v>208598</v>
      </c>
      <c r="F487" s="1"/>
      <c r="G487" s="1"/>
      <c r="H487" s="3"/>
      <c r="I487" s="2"/>
      <c r="J487" s="3"/>
      <c r="K487" s="2"/>
    </row>
    <row r="488" spans="1:11" x14ac:dyDescent="0.2">
      <c r="A488">
        <v>2016</v>
      </c>
      <c r="B488" s="34">
        <v>641</v>
      </c>
      <c r="C488" s="34" t="s">
        <v>443</v>
      </c>
      <c r="D488" s="36">
        <v>8569</v>
      </c>
      <c r="E488" s="36">
        <v>36840</v>
      </c>
      <c r="F488" s="1"/>
      <c r="G488" s="1"/>
      <c r="H488" s="3"/>
      <c r="I488" s="2"/>
      <c r="J488" s="3"/>
      <c r="K488" s="2"/>
    </row>
    <row r="489" spans="1:11" x14ac:dyDescent="0.2">
      <c r="A489">
        <v>2016</v>
      </c>
      <c r="B489" s="34">
        <v>643</v>
      </c>
      <c r="C489" s="34" t="s">
        <v>444</v>
      </c>
      <c r="D489" s="36">
        <v>107525</v>
      </c>
      <c r="E489" s="36">
        <v>764802</v>
      </c>
      <c r="F489" s="1"/>
      <c r="G489" s="1"/>
      <c r="H489" s="3"/>
      <c r="I489" s="2"/>
      <c r="J489" s="3"/>
      <c r="K489" s="2"/>
    </row>
    <row r="490" spans="1:11" x14ac:dyDescent="0.2">
      <c r="A490">
        <v>2016</v>
      </c>
      <c r="B490" s="34">
        <v>644</v>
      </c>
      <c r="C490" s="34" t="s">
        <v>445</v>
      </c>
      <c r="D490" s="36">
        <v>23525</v>
      </c>
      <c r="E490" s="36">
        <v>257558</v>
      </c>
      <c r="F490" s="1"/>
      <c r="G490" s="1"/>
      <c r="H490" s="3"/>
      <c r="I490" s="2"/>
      <c r="J490" s="3"/>
      <c r="K490" s="2"/>
    </row>
    <row r="491" spans="1:11" x14ac:dyDescent="0.2">
      <c r="A491">
        <v>2016</v>
      </c>
      <c r="B491" s="34">
        <v>645</v>
      </c>
      <c r="C491" s="34" t="s">
        <v>446</v>
      </c>
      <c r="D491" s="36">
        <v>76758</v>
      </c>
      <c r="E491" s="36">
        <v>475029</v>
      </c>
      <c r="F491" s="1"/>
      <c r="G491" s="1"/>
      <c r="H491" s="3"/>
      <c r="I491" s="2"/>
      <c r="J491" s="3"/>
      <c r="K491" s="2"/>
    </row>
    <row r="492" spans="1:11" x14ac:dyDescent="0.2">
      <c r="A492">
        <v>2016</v>
      </c>
      <c r="B492" s="34">
        <v>646</v>
      </c>
      <c r="C492" s="34" t="s">
        <v>447</v>
      </c>
      <c r="D492" s="36">
        <v>51648</v>
      </c>
      <c r="E492" s="36">
        <v>329614</v>
      </c>
      <c r="F492" s="1"/>
      <c r="G492" s="1"/>
      <c r="H492" s="3"/>
      <c r="I492" s="2"/>
      <c r="J492" s="3"/>
      <c r="K492" s="2"/>
    </row>
    <row r="493" spans="1:11" x14ac:dyDescent="0.2">
      <c r="A493">
        <v>2016</v>
      </c>
      <c r="B493" s="34">
        <v>647</v>
      </c>
      <c r="C493" s="34" t="s">
        <v>448</v>
      </c>
      <c r="D493" s="36">
        <v>11664</v>
      </c>
      <c r="E493" s="36">
        <v>67323</v>
      </c>
      <c r="F493" s="1"/>
      <c r="G493" s="1"/>
      <c r="H493" s="3"/>
      <c r="I493" s="2"/>
      <c r="J493" s="3"/>
      <c r="K493" s="2"/>
    </row>
    <row r="494" spans="1:11" x14ac:dyDescent="0.2">
      <c r="A494">
        <v>2016</v>
      </c>
      <c r="B494" s="34">
        <v>648</v>
      </c>
      <c r="C494" s="34" t="s">
        <v>449</v>
      </c>
      <c r="D494" s="36">
        <v>29970</v>
      </c>
      <c r="E494" s="36">
        <v>98273</v>
      </c>
      <c r="F494" s="1"/>
      <c r="G494" s="1"/>
      <c r="H494" s="3"/>
      <c r="I494" s="2"/>
      <c r="J494" s="3"/>
      <c r="K494" s="2"/>
    </row>
    <row r="495" spans="1:11" x14ac:dyDescent="0.2">
      <c r="A495">
        <v>2016</v>
      </c>
      <c r="B495" s="34">
        <v>649</v>
      </c>
      <c r="C495" s="34" t="s">
        <v>450</v>
      </c>
      <c r="D495" s="36">
        <v>75882</v>
      </c>
      <c r="E495" s="36">
        <v>459195</v>
      </c>
      <c r="F495" s="1"/>
      <c r="G495" s="1"/>
      <c r="H495" s="3"/>
      <c r="I495" s="2"/>
      <c r="J495" s="3"/>
      <c r="K495" s="2"/>
    </row>
    <row r="496" spans="1:11" x14ac:dyDescent="0.2">
      <c r="A496">
        <v>2016</v>
      </c>
      <c r="B496" s="34">
        <v>653</v>
      </c>
      <c r="C496" s="34" t="s">
        <v>451</v>
      </c>
      <c r="D496" s="36">
        <v>21481</v>
      </c>
      <c r="E496" s="36">
        <v>146424</v>
      </c>
      <c r="F496" s="1"/>
      <c r="G496" s="1"/>
      <c r="H496" s="3"/>
      <c r="I496" s="2"/>
      <c r="J496" s="3"/>
      <c r="K496" s="2"/>
    </row>
    <row r="497" spans="1:11" x14ac:dyDescent="0.2">
      <c r="A497">
        <v>2016</v>
      </c>
      <c r="B497" s="34">
        <v>656</v>
      </c>
      <c r="C497" s="34" t="s">
        <v>452</v>
      </c>
      <c r="D497" s="36">
        <v>230331</v>
      </c>
      <c r="E497" s="36">
        <v>1793727</v>
      </c>
      <c r="F497" s="1"/>
      <c r="G497" s="1"/>
      <c r="H497" s="3"/>
      <c r="I497" s="2"/>
      <c r="J497" s="3"/>
      <c r="K497" s="2"/>
    </row>
    <row r="498" spans="1:11" x14ac:dyDescent="0.2">
      <c r="A498">
        <v>2016</v>
      </c>
      <c r="B498" s="34">
        <v>657</v>
      </c>
      <c r="C498" s="34" t="s">
        <v>453</v>
      </c>
      <c r="D498" s="36">
        <v>15554</v>
      </c>
      <c r="E498" s="36">
        <v>116295</v>
      </c>
      <c r="F498" s="1"/>
      <c r="G498" s="1"/>
      <c r="H498" s="3"/>
      <c r="I498" s="2"/>
      <c r="J498" s="3"/>
      <c r="K498" s="2"/>
    </row>
    <row r="499" spans="1:11" x14ac:dyDescent="0.2">
      <c r="A499">
        <v>2016</v>
      </c>
      <c r="B499" s="34">
        <v>658</v>
      </c>
      <c r="C499" s="34" t="s">
        <v>454</v>
      </c>
      <c r="D499" s="36">
        <v>14405</v>
      </c>
      <c r="E499" s="36">
        <v>142768</v>
      </c>
      <c r="F499" s="1"/>
      <c r="G499" s="1"/>
      <c r="H499" s="3"/>
      <c r="I499" s="2"/>
      <c r="J499" s="3"/>
      <c r="K499" s="2"/>
    </row>
    <row r="500" spans="1:11" x14ac:dyDescent="0.2">
      <c r="A500">
        <v>2016</v>
      </c>
      <c r="B500" s="34">
        <v>659</v>
      </c>
      <c r="C500" s="34" t="s">
        <v>455</v>
      </c>
      <c r="D500" s="36">
        <v>169770</v>
      </c>
      <c r="E500" s="36">
        <v>1065900</v>
      </c>
      <c r="F500" s="1"/>
      <c r="G500" s="1"/>
      <c r="H500" s="3"/>
      <c r="I500" s="2"/>
      <c r="J500" s="3"/>
      <c r="K500" s="2"/>
    </row>
    <row r="501" spans="1:11" x14ac:dyDescent="0.2">
      <c r="A501">
        <v>2016</v>
      </c>
      <c r="B501" s="34">
        <v>660</v>
      </c>
      <c r="C501" s="34" t="s">
        <v>456</v>
      </c>
      <c r="D501" s="36">
        <v>372235</v>
      </c>
      <c r="E501" s="36">
        <v>2196391</v>
      </c>
      <c r="F501" s="1"/>
      <c r="G501" s="1"/>
      <c r="H501" s="3"/>
      <c r="I501" s="2"/>
      <c r="J501" s="3"/>
      <c r="K501" s="2"/>
    </row>
    <row r="502" spans="1:11" x14ac:dyDescent="0.2">
      <c r="A502">
        <v>2016</v>
      </c>
      <c r="B502" s="34">
        <v>661</v>
      </c>
      <c r="C502" s="34" t="s">
        <v>457</v>
      </c>
      <c r="D502" s="36">
        <v>194760</v>
      </c>
      <c r="E502" s="36">
        <v>1586548</v>
      </c>
      <c r="F502" s="1"/>
      <c r="G502" s="1"/>
      <c r="H502" s="3"/>
      <c r="I502" s="2"/>
      <c r="J502" s="3"/>
      <c r="K502" s="2"/>
    </row>
    <row r="503" spans="1:11" x14ac:dyDescent="0.2">
      <c r="A503">
        <v>2016</v>
      </c>
      <c r="B503" s="34">
        <v>662</v>
      </c>
      <c r="C503" s="34" t="s">
        <v>458</v>
      </c>
      <c r="D503" s="36">
        <v>37564</v>
      </c>
      <c r="E503" s="36">
        <v>282210</v>
      </c>
      <c r="F503" s="1"/>
      <c r="G503" s="1"/>
      <c r="H503" s="3"/>
      <c r="I503" s="2"/>
      <c r="J503" s="3"/>
      <c r="K503" s="2"/>
    </row>
    <row r="504" spans="1:11" x14ac:dyDescent="0.2">
      <c r="A504">
        <v>2016</v>
      </c>
      <c r="B504" s="34">
        <v>663</v>
      </c>
      <c r="C504" s="34" t="s">
        <v>459</v>
      </c>
      <c r="D504" s="36">
        <v>21908</v>
      </c>
      <c r="E504" s="36">
        <v>115562</v>
      </c>
      <c r="F504" s="1"/>
      <c r="G504" s="1"/>
      <c r="H504" s="3"/>
      <c r="I504" s="2"/>
      <c r="J504" s="3"/>
      <c r="K504" s="2"/>
    </row>
    <row r="505" spans="1:11" x14ac:dyDescent="0.2">
      <c r="A505">
        <v>2016</v>
      </c>
      <c r="B505" s="34">
        <v>666</v>
      </c>
      <c r="C505" s="34" t="s">
        <v>460</v>
      </c>
      <c r="D505" s="36">
        <v>97975</v>
      </c>
      <c r="E505" s="36">
        <v>536128</v>
      </c>
      <c r="F505" s="1"/>
      <c r="G505" s="1"/>
      <c r="H505" s="3"/>
      <c r="I505" s="2"/>
      <c r="J505" s="3"/>
      <c r="K505" s="2"/>
    </row>
    <row r="506" spans="1:11" x14ac:dyDescent="0.2">
      <c r="A506">
        <v>2016</v>
      </c>
      <c r="B506" s="34">
        <v>667</v>
      </c>
      <c r="C506" s="34" t="s">
        <v>461</v>
      </c>
      <c r="D506" s="36">
        <v>111493</v>
      </c>
      <c r="E506" s="36">
        <v>623630</v>
      </c>
      <c r="F506" s="1"/>
      <c r="G506" s="1"/>
      <c r="H506" s="3"/>
      <c r="I506" s="2"/>
      <c r="J506" s="3"/>
      <c r="K506" s="2"/>
    </row>
    <row r="507" spans="1:11" x14ac:dyDescent="0.2">
      <c r="A507">
        <v>2016</v>
      </c>
      <c r="B507" s="34">
        <v>668</v>
      </c>
      <c r="C507" s="34" t="s">
        <v>462</v>
      </c>
      <c r="D507" s="36">
        <v>64585</v>
      </c>
      <c r="E507" s="36">
        <v>481538</v>
      </c>
      <c r="F507" s="1"/>
      <c r="G507" s="1"/>
      <c r="H507" s="3"/>
      <c r="I507" s="2"/>
      <c r="J507" s="3"/>
      <c r="K507" s="2"/>
    </row>
    <row r="508" spans="1:11" x14ac:dyDescent="0.2">
      <c r="A508">
        <v>2016</v>
      </c>
      <c r="B508" s="34">
        <v>673</v>
      </c>
      <c r="C508" s="34" t="s">
        <v>463</v>
      </c>
      <c r="D508" s="36">
        <v>173863</v>
      </c>
      <c r="E508" s="36">
        <v>1823887</v>
      </c>
      <c r="F508" s="1"/>
      <c r="G508" s="1"/>
      <c r="H508" s="3"/>
      <c r="I508" s="2"/>
      <c r="J508" s="3"/>
      <c r="K508" s="2"/>
    </row>
    <row r="509" spans="1:11" x14ac:dyDescent="0.2">
      <c r="A509">
        <v>2016</v>
      </c>
      <c r="B509" s="34">
        <v>674</v>
      </c>
      <c r="C509" s="34" t="s">
        <v>464</v>
      </c>
      <c r="D509" s="36">
        <v>63995</v>
      </c>
      <c r="E509" s="36">
        <v>538215</v>
      </c>
      <c r="F509" s="1"/>
      <c r="G509" s="1"/>
      <c r="H509" s="3"/>
      <c r="I509" s="2"/>
      <c r="J509" s="3"/>
      <c r="K509" s="2"/>
    </row>
    <row r="510" spans="1:11" x14ac:dyDescent="0.2">
      <c r="A510">
        <v>2016</v>
      </c>
      <c r="B510" s="34">
        <v>675</v>
      </c>
      <c r="C510" s="34" t="s">
        <v>465</v>
      </c>
      <c r="D510" s="36">
        <v>63253</v>
      </c>
      <c r="E510" s="36">
        <v>390164</v>
      </c>
      <c r="F510" s="1"/>
      <c r="G510" s="1"/>
      <c r="H510" s="3"/>
      <c r="I510" s="2"/>
      <c r="J510" s="3"/>
      <c r="K510" s="2"/>
    </row>
    <row r="511" spans="1:11" x14ac:dyDescent="0.2">
      <c r="A511">
        <v>2016</v>
      </c>
      <c r="B511" s="34">
        <v>676</v>
      </c>
      <c r="C511" s="34" t="s">
        <v>466</v>
      </c>
      <c r="D511" s="36">
        <v>26172</v>
      </c>
      <c r="E511" s="36">
        <v>178092</v>
      </c>
      <c r="F511" s="1"/>
      <c r="G511" s="1"/>
      <c r="H511" s="3"/>
      <c r="I511" s="2"/>
      <c r="J511" s="3"/>
      <c r="K511" s="2"/>
    </row>
    <row r="512" spans="1:11" x14ac:dyDescent="0.2">
      <c r="A512">
        <v>2016</v>
      </c>
      <c r="B512" s="34">
        <v>677</v>
      </c>
      <c r="C512" s="34" t="s">
        <v>467</v>
      </c>
      <c r="D512" s="36">
        <v>30373</v>
      </c>
      <c r="E512" s="36">
        <v>240508</v>
      </c>
      <c r="F512" s="1"/>
      <c r="G512" s="1"/>
      <c r="H512" s="3"/>
      <c r="I512" s="2"/>
      <c r="J512" s="3"/>
      <c r="K512" s="2"/>
    </row>
    <row r="513" spans="1:11" x14ac:dyDescent="0.2">
      <c r="A513">
        <v>2016</v>
      </c>
      <c r="B513" s="34">
        <v>680</v>
      </c>
      <c r="C513" s="34" t="s">
        <v>468</v>
      </c>
      <c r="D513" s="36">
        <v>40879</v>
      </c>
      <c r="E513" s="36">
        <v>281514</v>
      </c>
      <c r="F513" s="1"/>
      <c r="G513" s="1"/>
      <c r="H513" s="3"/>
      <c r="I513" s="2"/>
      <c r="J513" s="3"/>
      <c r="K513" s="2"/>
    </row>
    <row r="514" spans="1:11" x14ac:dyDescent="0.2">
      <c r="A514">
        <v>2016</v>
      </c>
      <c r="B514" s="34">
        <v>681</v>
      </c>
      <c r="C514" s="34" t="s">
        <v>469</v>
      </c>
      <c r="D514" s="36">
        <v>60475</v>
      </c>
      <c r="E514" s="36">
        <v>467315</v>
      </c>
      <c r="F514" s="1"/>
      <c r="G514" s="1"/>
      <c r="H514" s="3"/>
      <c r="I514" s="2"/>
      <c r="J514" s="3"/>
      <c r="K514" s="2"/>
    </row>
    <row r="515" spans="1:11" x14ac:dyDescent="0.2">
      <c r="A515">
        <v>2016</v>
      </c>
      <c r="B515" s="34">
        <v>682</v>
      </c>
      <c r="C515" s="34" t="s">
        <v>470</v>
      </c>
      <c r="D515" s="36">
        <v>119752</v>
      </c>
      <c r="E515" s="36">
        <v>892535</v>
      </c>
      <c r="F515" s="1"/>
      <c r="G515" s="1"/>
      <c r="H515" s="3"/>
      <c r="I515" s="2"/>
      <c r="J515" s="3"/>
      <c r="K515" s="2"/>
    </row>
    <row r="516" spans="1:11" x14ac:dyDescent="0.2">
      <c r="A516">
        <v>2016</v>
      </c>
      <c r="B516" s="34">
        <v>683</v>
      </c>
      <c r="C516" s="34" t="s">
        <v>471</v>
      </c>
      <c r="D516" s="36">
        <v>49784</v>
      </c>
      <c r="E516" s="36">
        <v>442723</v>
      </c>
      <c r="F516" s="1"/>
      <c r="G516" s="1"/>
      <c r="H516" s="3"/>
      <c r="I516" s="2"/>
      <c r="J516" s="3"/>
      <c r="K516" s="2"/>
    </row>
    <row r="517" spans="1:11" x14ac:dyDescent="0.2">
      <c r="A517">
        <v>2016</v>
      </c>
      <c r="B517" s="34">
        <v>684</v>
      </c>
      <c r="C517" s="34" t="s">
        <v>472</v>
      </c>
      <c r="D517" s="36">
        <v>5017</v>
      </c>
      <c r="E517" s="36">
        <v>54503</v>
      </c>
      <c r="F517" s="1"/>
      <c r="G517" s="1"/>
      <c r="H517" s="3"/>
      <c r="I517" s="2"/>
      <c r="J517" s="3"/>
      <c r="K517" s="2"/>
    </row>
    <row r="518" spans="1:11" x14ac:dyDescent="0.2">
      <c r="A518">
        <v>2016</v>
      </c>
      <c r="B518" s="34">
        <v>699</v>
      </c>
      <c r="C518" s="34" t="s">
        <v>473</v>
      </c>
      <c r="D518" s="36">
        <v>35362</v>
      </c>
      <c r="E518" s="36">
        <v>497850</v>
      </c>
      <c r="F518" s="1"/>
      <c r="G518" s="1"/>
      <c r="H518" s="3"/>
      <c r="I518" s="2"/>
      <c r="J518" s="3"/>
      <c r="K518" s="2"/>
    </row>
    <row r="519" spans="1:11" x14ac:dyDescent="0.2">
      <c r="A519">
        <v>2016</v>
      </c>
      <c r="B519" s="34">
        <v>701</v>
      </c>
      <c r="C519" s="34" t="s">
        <v>670</v>
      </c>
      <c r="D519" s="34">
        <v>0</v>
      </c>
      <c r="E519" s="36">
        <v>170600</v>
      </c>
      <c r="F519" s="1"/>
      <c r="G519" s="1"/>
      <c r="H519" s="3"/>
      <c r="I519" s="2"/>
      <c r="J519" s="1"/>
      <c r="K519" s="2"/>
    </row>
    <row r="520" spans="1:11" x14ac:dyDescent="0.2">
      <c r="A520">
        <v>2016</v>
      </c>
      <c r="B520" s="34">
        <v>702</v>
      </c>
      <c r="C520" s="34" t="s">
        <v>671</v>
      </c>
      <c r="D520" s="34">
        <v>0</v>
      </c>
      <c r="E520" s="36">
        <v>125328</v>
      </c>
      <c r="F520" s="1"/>
      <c r="G520" s="1"/>
      <c r="H520" s="3"/>
      <c r="I520" s="2"/>
      <c r="J520" s="1"/>
      <c r="K520" s="2"/>
    </row>
    <row r="521" spans="1:11" x14ac:dyDescent="0.2">
      <c r="A521">
        <v>2016</v>
      </c>
      <c r="B521" s="34">
        <v>704</v>
      </c>
      <c r="C521" s="34" t="s">
        <v>672</v>
      </c>
      <c r="D521" s="34">
        <v>0</v>
      </c>
      <c r="E521" s="36">
        <v>98711</v>
      </c>
      <c r="F521" s="1"/>
      <c r="G521" s="1"/>
      <c r="H521" s="3"/>
      <c r="I521" s="2"/>
      <c r="J521" s="1"/>
      <c r="K521" s="2"/>
    </row>
    <row r="522" spans="1:11" x14ac:dyDescent="0.2">
      <c r="A522">
        <v>2016</v>
      </c>
      <c r="B522" s="34">
        <v>708</v>
      </c>
      <c r="C522" s="34" t="s">
        <v>673</v>
      </c>
      <c r="D522" s="34">
        <v>0</v>
      </c>
      <c r="E522" s="36">
        <v>10289</v>
      </c>
      <c r="F522" s="1"/>
      <c r="G522" s="1"/>
      <c r="H522" s="3"/>
      <c r="I522" s="2"/>
      <c r="J522" s="1"/>
      <c r="K522" s="2"/>
    </row>
    <row r="523" spans="1:11" x14ac:dyDescent="0.2">
      <c r="A523">
        <v>2016</v>
      </c>
      <c r="B523" s="34">
        <v>711</v>
      </c>
      <c r="C523" s="34" t="s">
        <v>674</v>
      </c>
      <c r="D523" s="36">
        <v>201973</v>
      </c>
      <c r="E523" s="36">
        <v>233559</v>
      </c>
      <c r="F523" s="1"/>
      <c r="G523" s="1"/>
      <c r="H523" s="3"/>
      <c r="I523" s="2"/>
      <c r="J523" s="3"/>
      <c r="K523" s="2"/>
    </row>
    <row r="524" spans="1:11" x14ac:dyDescent="0.2">
      <c r="A524">
        <v>2016</v>
      </c>
      <c r="B524" s="34">
        <v>714</v>
      </c>
      <c r="C524" s="34" t="s">
        <v>675</v>
      </c>
      <c r="D524" s="36">
        <v>36966</v>
      </c>
      <c r="F524" s="1"/>
      <c r="G524" s="1"/>
      <c r="H524" s="1"/>
      <c r="I524" s="2"/>
      <c r="J524" s="3"/>
      <c r="K524" s="2"/>
    </row>
    <row r="525" spans="1:11" x14ac:dyDescent="0.2">
      <c r="A525">
        <v>2016</v>
      </c>
      <c r="B525" s="34">
        <v>750</v>
      </c>
      <c r="C525" s="34" t="s">
        <v>676</v>
      </c>
      <c r="D525" s="36">
        <v>74705</v>
      </c>
      <c r="E525" s="36">
        <v>372476</v>
      </c>
      <c r="F525" s="1"/>
      <c r="G525" s="1"/>
      <c r="H525" s="3"/>
      <c r="I525" s="2"/>
      <c r="J525" s="3"/>
      <c r="K525" s="2"/>
    </row>
    <row r="526" spans="1:11" x14ac:dyDescent="0.2">
      <c r="A526">
        <v>2016</v>
      </c>
      <c r="B526" s="34">
        <v>801</v>
      </c>
      <c r="C526" s="34" t="s">
        <v>474</v>
      </c>
      <c r="D526" s="36">
        <v>120377</v>
      </c>
      <c r="E526" s="36">
        <v>1280952</v>
      </c>
      <c r="F526" s="1"/>
      <c r="G526" s="1"/>
      <c r="H526" s="3"/>
      <c r="I526" s="2"/>
      <c r="J526" s="3"/>
      <c r="K526" s="2"/>
    </row>
    <row r="527" spans="1:11" x14ac:dyDescent="0.2">
      <c r="A527">
        <v>2016</v>
      </c>
      <c r="B527" s="34">
        <v>802</v>
      </c>
      <c r="C527" s="34" t="s">
        <v>677</v>
      </c>
      <c r="D527" s="36">
        <v>205400</v>
      </c>
      <c r="E527" s="36">
        <v>1214804</v>
      </c>
      <c r="F527" s="1"/>
      <c r="G527" s="1"/>
      <c r="H527" s="3"/>
      <c r="I527" s="2"/>
      <c r="J527" s="3"/>
      <c r="K527" s="2"/>
    </row>
    <row r="528" spans="1:11" x14ac:dyDescent="0.2">
      <c r="A528">
        <v>2016</v>
      </c>
      <c r="B528" s="34">
        <v>803</v>
      </c>
      <c r="C528" s="34" t="s">
        <v>475</v>
      </c>
      <c r="D528" s="36">
        <v>2040287</v>
      </c>
      <c r="E528" s="36">
        <v>4242915</v>
      </c>
      <c r="F528" s="1"/>
      <c r="G528" s="1"/>
      <c r="H528" s="3"/>
      <c r="I528" s="2"/>
      <c r="J528" s="3"/>
      <c r="K528" s="2"/>
    </row>
    <row r="529" spans="1:11" x14ac:dyDescent="0.2">
      <c r="A529">
        <v>2016</v>
      </c>
      <c r="B529" s="34">
        <v>805</v>
      </c>
      <c r="C529" s="34" t="s">
        <v>678</v>
      </c>
      <c r="D529" s="36">
        <v>467630</v>
      </c>
      <c r="E529" s="36">
        <v>1772351</v>
      </c>
      <c r="F529" s="1"/>
      <c r="G529" s="1"/>
      <c r="H529" s="3"/>
      <c r="I529" s="2"/>
      <c r="J529" s="3"/>
      <c r="K529" s="2"/>
    </row>
    <row r="530" spans="1:11" x14ac:dyDescent="0.2">
      <c r="A530">
        <v>2016</v>
      </c>
      <c r="B530" s="34">
        <v>806</v>
      </c>
      <c r="C530" s="34" t="s">
        <v>476</v>
      </c>
      <c r="D530" s="36">
        <v>232807</v>
      </c>
      <c r="E530" s="36">
        <v>1973261</v>
      </c>
      <c r="F530" s="1"/>
      <c r="G530" s="1"/>
      <c r="H530" s="3"/>
      <c r="I530" s="2"/>
      <c r="J530" s="3"/>
      <c r="K530" s="2"/>
    </row>
    <row r="531" spans="1:11" x14ac:dyDescent="0.2">
      <c r="A531">
        <v>2016</v>
      </c>
      <c r="B531" s="34">
        <v>807</v>
      </c>
      <c r="C531" s="34" t="s">
        <v>679</v>
      </c>
      <c r="D531" s="36">
        <v>191515</v>
      </c>
      <c r="E531" s="36">
        <v>1535662</v>
      </c>
      <c r="F531" s="1"/>
      <c r="G531" s="1"/>
      <c r="H531" s="3"/>
      <c r="I531" s="2"/>
      <c r="J531" s="3"/>
      <c r="K531" s="2"/>
    </row>
    <row r="532" spans="1:11" x14ac:dyDescent="0.2">
      <c r="A532">
        <v>2016</v>
      </c>
      <c r="B532" s="34">
        <v>808</v>
      </c>
      <c r="C532" s="34" t="s">
        <v>680</v>
      </c>
      <c r="D532" s="36">
        <v>271536</v>
      </c>
      <c r="E532" s="36">
        <v>1350140</v>
      </c>
      <c r="F532" s="1"/>
      <c r="G532" s="1"/>
      <c r="H532" s="3"/>
      <c r="I532" s="2"/>
      <c r="J532" s="3"/>
      <c r="K532" s="2"/>
    </row>
    <row r="533" spans="1:11" x14ac:dyDescent="0.2">
      <c r="A533">
        <v>2016</v>
      </c>
      <c r="B533" s="34">
        <v>809</v>
      </c>
      <c r="C533" s="34" t="s">
        <v>681</v>
      </c>
      <c r="D533" s="36">
        <v>232182</v>
      </c>
      <c r="E533" s="36">
        <v>1227331</v>
      </c>
      <c r="F533" s="1"/>
      <c r="G533" s="1"/>
      <c r="H533" s="3"/>
      <c r="I533" s="2"/>
      <c r="J533" s="3"/>
      <c r="K533" s="2"/>
    </row>
    <row r="534" spans="1:11" x14ac:dyDescent="0.2">
      <c r="A534">
        <v>2016</v>
      </c>
      <c r="B534" s="34">
        <v>810</v>
      </c>
      <c r="C534" s="34" t="s">
        <v>682</v>
      </c>
      <c r="D534" s="34">
        <v>0</v>
      </c>
      <c r="E534" s="36">
        <v>9102507</v>
      </c>
      <c r="F534" s="1"/>
      <c r="G534" s="1"/>
      <c r="H534" s="3"/>
      <c r="I534" s="2"/>
      <c r="J534" s="1"/>
      <c r="K534" s="2"/>
    </row>
    <row r="535" spans="1:11" x14ac:dyDescent="0.2">
      <c r="A535">
        <v>2016</v>
      </c>
      <c r="B535" s="34">
        <v>811</v>
      </c>
      <c r="C535" s="34" t="s">
        <v>477</v>
      </c>
      <c r="D535" s="36">
        <v>242661</v>
      </c>
      <c r="E535" s="36">
        <v>510335</v>
      </c>
      <c r="F535" s="1"/>
      <c r="G535" s="1"/>
      <c r="H535" s="3"/>
      <c r="I535" s="2"/>
      <c r="J535" s="3"/>
      <c r="K535" s="2"/>
    </row>
    <row r="536" spans="1:11" x14ac:dyDescent="0.2">
      <c r="A536">
        <v>2016</v>
      </c>
      <c r="B536" s="34">
        <v>812</v>
      </c>
      <c r="C536" s="34" t="s">
        <v>683</v>
      </c>
      <c r="D536" s="36">
        <v>763136</v>
      </c>
      <c r="E536" s="36">
        <v>2185629</v>
      </c>
      <c r="F536" s="1"/>
      <c r="G536" s="1"/>
      <c r="H536" s="3"/>
      <c r="I536" s="2"/>
      <c r="J536" s="3"/>
      <c r="K536" s="2"/>
    </row>
    <row r="537" spans="1:11" x14ac:dyDescent="0.2">
      <c r="A537">
        <v>2016</v>
      </c>
      <c r="B537" s="34">
        <v>813</v>
      </c>
      <c r="C537" s="34" t="s">
        <v>684</v>
      </c>
      <c r="D537" s="36">
        <v>577903</v>
      </c>
      <c r="E537" s="36">
        <v>3613045</v>
      </c>
      <c r="F537" s="1"/>
      <c r="G537" s="1"/>
      <c r="H537" s="3"/>
      <c r="I537" s="2"/>
      <c r="J537" s="3"/>
      <c r="K537" s="2"/>
    </row>
    <row r="539" spans="1:11" x14ac:dyDescent="0.2">
      <c r="D539" s="60">
        <f>SUM(D2:D537)</f>
        <v>105934385</v>
      </c>
      <c r="E539" s="36">
        <f>SUM(E2:E537)</f>
        <v>669858142</v>
      </c>
      <c r="F539"/>
      <c r="G539"/>
    </row>
    <row r="540" spans="1:11" x14ac:dyDescent="0.2">
      <c r="F540"/>
      <c r="G540"/>
    </row>
    <row r="541" spans="1:11" x14ac:dyDescent="0.2">
      <c r="D541" s="60">
        <v>105934385</v>
      </c>
      <c r="E541" s="60">
        <v>669858142</v>
      </c>
      <c r="F541"/>
      <c r="G541"/>
    </row>
    <row r="542" spans="1:11" x14ac:dyDescent="0.2">
      <c r="F542"/>
      <c r="G542"/>
    </row>
    <row r="543" spans="1:11" x14ac:dyDescent="0.2">
      <c r="C543" s="61" t="s">
        <v>685</v>
      </c>
      <c r="D543" s="62">
        <f>D539-D541</f>
        <v>0</v>
      </c>
      <c r="E543" s="62">
        <f>E539-E541</f>
        <v>0</v>
      </c>
      <c r="F543"/>
      <c r="G5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9B0E-C8FD-AA49-8397-2ED3C235BC62}">
  <sheetPr>
    <tabColor rgb="FFFFFF00"/>
  </sheetPr>
  <dimension ref="A1:O543"/>
  <sheetViews>
    <sheetView topLeftCell="B513" workbookViewId="0">
      <selection activeCell="E537" sqref="E2:E537"/>
    </sheetView>
  </sheetViews>
  <sheetFormatPr baseColWidth="10" defaultRowHeight="16" x14ac:dyDescent="0.2"/>
  <cols>
    <col min="2" max="2" width="11" style="34" bestFit="1" customWidth="1"/>
    <col min="3" max="3" width="35.1640625" style="34" bestFit="1" customWidth="1"/>
    <col min="4" max="4" width="12.5" style="34" bestFit="1" customWidth="1"/>
    <col min="5" max="5" width="11.1640625" style="34" bestFit="1" customWidth="1"/>
  </cols>
  <sheetData>
    <row r="1" spans="1:15" x14ac:dyDescent="0.2">
      <c r="A1" t="s">
        <v>729</v>
      </c>
      <c r="B1" s="33" t="s">
        <v>521</v>
      </c>
      <c r="C1" s="39" t="s">
        <v>522</v>
      </c>
      <c r="D1" s="63" t="s">
        <v>523</v>
      </c>
    </row>
    <row r="2" spans="1:15" x14ac:dyDescent="0.2">
      <c r="A2">
        <v>2017</v>
      </c>
      <c r="B2" s="34">
        <v>1</v>
      </c>
      <c r="C2" s="34" t="s">
        <v>0</v>
      </c>
      <c r="D2" s="36">
        <v>28306</v>
      </c>
      <c r="E2" s="36">
        <v>172583</v>
      </c>
      <c r="F2" s="57"/>
      <c r="G2" s="57"/>
      <c r="H2" s="11"/>
      <c r="I2" s="57"/>
      <c r="J2" s="11"/>
      <c r="K2" s="64"/>
      <c r="L2" s="11"/>
      <c r="M2" s="57"/>
      <c r="N2" s="11"/>
      <c r="O2" s="64"/>
    </row>
    <row r="3" spans="1:15" x14ac:dyDescent="0.2">
      <c r="A3">
        <v>2017</v>
      </c>
      <c r="B3" s="34">
        <v>2</v>
      </c>
      <c r="C3" s="34" t="s">
        <v>1</v>
      </c>
      <c r="D3" s="36">
        <v>20124</v>
      </c>
      <c r="E3" s="36">
        <v>159244</v>
      </c>
      <c r="F3" s="57"/>
      <c r="G3" s="57"/>
      <c r="H3" s="11"/>
      <c r="I3" s="65"/>
      <c r="J3" s="11"/>
      <c r="K3" s="64"/>
      <c r="L3" s="11"/>
      <c r="M3" s="65"/>
      <c r="N3" s="11"/>
      <c r="O3" s="64"/>
    </row>
    <row r="4" spans="1:15" x14ac:dyDescent="0.2">
      <c r="A4">
        <v>2017</v>
      </c>
      <c r="B4" s="34">
        <v>3</v>
      </c>
      <c r="C4" s="34" t="s">
        <v>2</v>
      </c>
      <c r="D4" s="36">
        <v>295371</v>
      </c>
      <c r="E4" s="36">
        <v>1831402</v>
      </c>
      <c r="F4" s="57"/>
      <c r="G4" s="57"/>
      <c r="H4" s="11"/>
      <c r="I4" s="65"/>
      <c r="J4" s="11"/>
      <c r="K4" s="64"/>
      <c r="L4" s="11"/>
      <c r="M4" s="65"/>
      <c r="N4" s="11"/>
      <c r="O4" s="64"/>
    </row>
    <row r="5" spans="1:15" x14ac:dyDescent="0.2">
      <c r="A5">
        <v>2017</v>
      </c>
      <c r="B5" s="34">
        <v>4</v>
      </c>
      <c r="C5" s="34" t="s">
        <v>3</v>
      </c>
      <c r="D5" s="36">
        <v>192455</v>
      </c>
      <c r="E5" s="36">
        <v>1480018</v>
      </c>
      <c r="F5" s="57"/>
      <c r="G5" s="57"/>
      <c r="H5" s="11"/>
      <c r="I5" s="65"/>
      <c r="J5" s="11"/>
      <c r="K5" s="64"/>
      <c r="L5" s="11"/>
      <c r="M5" s="65"/>
      <c r="N5" s="11"/>
      <c r="O5" s="64"/>
    </row>
    <row r="6" spans="1:15" x14ac:dyDescent="0.2">
      <c r="A6">
        <v>2017</v>
      </c>
      <c r="B6" s="34">
        <v>5</v>
      </c>
      <c r="C6" s="34" t="s">
        <v>4</v>
      </c>
      <c r="D6" s="36">
        <v>32087</v>
      </c>
      <c r="E6" s="36">
        <v>271813</v>
      </c>
      <c r="F6" s="57"/>
      <c r="G6" s="57"/>
      <c r="H6" s="11"/>
      <c r="I6" s="65"/>
      <c r="J6" s="11"/>
      <c r="K6" s="64"/>
      <c r="L6" s="11"/>
      <c r="M6" s="65"/>
      <c r="N6" s="11"/>
      <c r="O6" s="64"/>
    </row>
    <row r="7" spans="1:15" x14ac:dyDescent="0.2">
      <c r="A7">
        <v>2017</v>
      </c>
      <c r="B7" s="34">
        <v>6</v>
      </c>
      <c r="C7" s="34" t="s">
        <v>5</v>
      </c>
      <c r="D7" s="36">
        <v>21011</v>
      </c>
      <c r="E7" s="36">
        <v>108409</v>
      </c>
      <c r="F7" s="57"/>
      <c r="G7" s="57"/>
      <c r="H7" s="11"/>
      <c r="I7" s="65"/>
      <c r="J7" s="11"/>
      <c r="K7" s="64"/>
      <c r="L7" s="11"/>
      <c r="M7" s="65"/>
      <c r="N7" s="11"/>
      <c r="O7" s="64"/>
    </row>
    <row r="8" spans="1:15" x14ac:dyDescent="0.2">
      <c r="A8">
        <v>2017</v>
      </c>
      <c r="B8" s="34">
        <v>8</v>
      </c>
      <c r="C8" s="34" t="s">
        <v>6</v>
      </c>
      <c r="D8" s="36">
        <v>41860</v>
      </c>
      <c r="E8" s="36">
        <v>338978</v>
      </c>
      <c r="F8" s="57"/>
      <c r="G8" s="57"/>
      <c r="H8" s="11"/>
      <c r="I8" s="65"/>
      <c r="J8" s="11"/>
      <c r="K8" s="64"/>
      <c r="L8" s="11"/>
      <c r="M8" s="65"/>
      <c r="N8" s="11"/>
      <c r="O8" s="64"/>
    </row>
    <row r="9" spans="1:15" x14ac:dyDescent="0.2">
      <c r="A9">
        <v>2017</v>
      </c>
      <c r="B9" s="34">
        <v>9</v>
      </c>
      <c r="C9" s="34" t="s">
        <v>7</v>
      </c>
      <c r="D9" s="36">
        <v>35107</v>
      </c>
      <c r="E9" s="36">
        <v>299436</v>
      </c>
      <c r="F9" s="57"/>
      <c r="G9" s="57"/>
      <c r="H9" s="11"/>
      <c r="I9" s="65"/>
      <c r="J9" s="11"/>
      <c r="K9" s="64"/>
      <c r="L9" s="11"/>
      <c r="M9" s="65"/>
      <c r="N9" s="11"/>
      <c r="O9" s="64"/>
    </row>
    <row r="10" spans="1:15" x14ac:dyDescent="0.2">
      <c r="A10">
        <v>2017</v>
      </c>
      <c r="B10" s="34">
        <v>10</v>
      </c>
      <c r="C10" s="34" t="s">
        <v>8</v>
      </c>
      <c r="D10" s="36">
        <v>10380</v>
      </c>
      <c r="E10" s="36">
        <v>144831</v>
      </c>
      <c r="F10" s="57"/>
      <c r="G10" s="57"/>
      <c r="H10" s="11"/>
      <c r="I10" s="65"/>
      <c r="J10" s="11"/>
      <c r="K10" s="64"/>
      <c r="L10" s="11"/>
      <c r="M10" s="65"/>
      <c r="N10" s="11"/>
      <c r="O10" s="64"/>
    </row>
    <row r="11" spans="1:15" x14ac:dyDescent="0.2">
      <c r="A11">
        <v>2017</v>
      </c>
      <c r="B11" s="34">
        <v>12</v>
      </c>
      <c r="C11" s="34" t="s">
        <v>9</v>
      </c>
      <c r="D11" s="36">
        <v>60887</v>
      </c>
      <c r="E11" s="36">
        <v>392581</v>
      </c>
      <c r="F11" s="57"/>
      <c r="G11" s="57"/>
      <c r="H11" s="11"/>
      <c r="I11" s="65"/>
      <c r="J11" s="11"/>
      <c r="K11" s="64"/>
      <c r="L11" s="11"/>
      <c r="M11" s="65"/>
      <c r="N11" s="11"/>
      <c r="O11" s="64"/>
    </row>
    <row r="12" spans="1:15" x14ac:dyDescent="0.2">
      <c r="A12">
        <v>2017</v>
      </c>
      <c r="B12" s="34">
        <v>14</v>
      </c>
      <c r="C12" s="34" t="s">
        <v>10</v>
      </c>
      <c r="D12" s="36">
        <v>35536</v>
      </c>
      <c r="E12" s="36">
        <v>218020</v>
      </c>
      <c r="F12" s="57"/>
      <c r="G12" s="57"/>
      <c r="H12" s="11"/>
      <c r="I12" s="65"/>
      <c r="J12" s="11"/>
      <c r="K12" s="64"/>
      <c r="L12" s="11"/>
      <c r="M12" s="65"/>
      <c r="N12" s="11"/>
      <c r="O12" s="64"/>
    </row>
    <row r="13" spans="1:15" x14ac:dyDescent="0.2">
      <c r="A13">
        <v>2017</v>
      </c>
      <c r="B13" s="34">
        <v>15</v>
      </c>
      <c r="C13" s="34" t="s">
        <v>11</v>
      </c>
      <c r="D13" s="36">
        <v>269163</v>
      </c>
      <c r="E13" s="36">
        <v>1592178</v>
      </c>
      <c r="F13" s="57"/>
      <c r="G13" s="57"/>
      <c r="H13" s="11"/>
      <c r="I13" s="65"/>
      <c r="J13" s="11"/>
      <c r="K13" s="64"/>
      <c r="L13" s="11"/>
      <c r="M13" s="65"/>
      <c r="N13" s="11"/>
      <c r="O13" s="64"/>
    </row>
    <row r="14" spans="1:15" x14ac:dyDescent="0.2">
      <c r="A14">
        <v>2017</v>
      </c>
      <c r="B14" s="34">
        <v>19</v>
      </c>
      <c r="C14" s="34" t="s">
        <v>540</v>
      </c>
      <c r="D14" s="36">
        <v>185142</v>
      </c>
      <c r="E14" s="36">
        <v>1725976</v>
      </c>
      <c r="F14" s="57"/>
      <c r="G14" s="57"/>
      <c r="H14" s="11"/>
      <c r="I14" s="65"/>
      <c r="J14" s="11"/>
      <c r="K14" s="64"/>
      <c r="L14" s="11"/>
      <c r="M14" s="65"/>
      <c r="N14" s="11"/>
      <c r="O14" s="64"/>
    </row>
    <row r="15" spans="1:15" x14ac:dyDescent="0.2">
      <c r="A15">
        <v>2017</v>
      </c>
      <c r="B15" s="34">
        <v>20</v>
      </c>
      <c r="C15" s="34" t="s">
        <v>13</v>
      </c>
      <c r="D15" s="36">
        <v>62282</v>
      </c>
      <c r="E15" s="36">
        <v>420740</v>
      </c>
      <c r="F15" s="57"/>
      <c r="G15" s="57"/>
      <c r="H15" s="11"/>
      <c r="I15" s="65"/>
      <c r="J15" s="11"/>
      <c r="K15" s="64"/>
      <c r="L15" s="11"/>
      <c r="M15" s="65"/>
      <c r="N15" s="11"/>
      <c r="O15" s="64"/>
    </row>
    <row r="16" spans="1:15" x14ac:dyDescent="0.2">
      <c r="A16">
        <v>2017</v>
      </c>
      <c r="B16" s="34">
        <v>21</v>
      </c>
      <c r="C16" s="34" t="s">
        <v>14</v>
      </c>
      <c r="D16" s="36">
        <v>44279</v>
      </c>
      <c r="E16" s="36">
        <v>254705</v>
      </c>
      <c r="F16" s="57"/>
      <c r="G16" s="57"/>
      <c r="H16" s="11"/>
      <c r="I16" s="65"/>
      <c r="J16" s="11"/>
      <c r="K16" s="64"/>
      <c r="L16" s="11"/>
      <c r="M16" s="65"/>
      <c r="N16" s="11"/>
      <c r="O16" s="64"/>
    </row>
    <row r="17" spans="1:15" x14ac:dyDescent="0.2">
      <c r="A17">
        <v>2017</v>
      </c>
      <c r="B17" s="34">
        <v>22</v>
      </c>
      <c r="C17" s="34" t="s">
        <v>15</v>
      </c>
      <c r="D17" s="36">
        <v>192795</v>
      </c>
      <c r="E17" s="36">
        <v>1227036</v>
      </c>
      <c r="F17" s="57"/>
      <c r="G17" s="57"/>
      <c r="H17" s="11"/>
      <c r="I17" s="65"/>
      <c r="J17" s="11"/>
      <c r="K17" s="64"/>
      <c r="L17" s="11"/>
      <c r="M17" s="65"/>
      <c r="N17" s="11"/>
      <c r="O17" s="64"/>
    </row>
    <row r="18" spans="1:15" x14ac:dyDescent="0.2">
      <c r="A18">
        <v>2017</v>
      </c>
      <c r="B18" s="34">
        <v>23</v>
      </c>
      <c r="C18" s="34" t="s">
        <v>16</v>
      </c>
      <c r="D18" s="36">
        <v>73684</v>
      </c>
      <c r="E18" s="36">
        <v>500541</v>
      </c>
      <c r="F18" s="57"/>
      <c r="G18" s="57"/>
      <c r="H18" s="11"/>
      <c r="I18" s="65"/>
      <c r="J18" s="11"/>
      <c r="K18" s="64"/>
      <c r="L18" s="11"/>
      <c r="M18" s="65"/>
      <c r="N18" s="11"/>
      <c r="O18" s="64"/>
    </row>
    <row r="19" spans="1:15" x14ac:dyDescent="0.2">
      <c r="A19">
        <v>2017</v>
      </c>
      <c r="B19" s="34">
        <v>24</v>
      </c>
      <c r="C19" s="34" t="s">
        <v>17</v>
      </c>
      <c r="D19" s="36">
        <v>41525</v>
      </c>
      <c r="E19" s="36">
        <v>194702</v>
      </c>
      <c r="F19" s="57"/>
      <c r="G19" s="57"/>
      <c r="H19" s="11"/>
      <c r="I19" s="65"/>
      <c r="J19" s="11"/>
      <c r="K19" s="64"/>
      <c r="L19" s="11"/>
      <c r="M19" s="65"/>
      <c r="N19" s="11"/>
      <c r="O19" s="64"/>
    </row>
    <row r="20" spans="1:15" x14ac:dyDescent="0.2">
      <c r="A20">
        <v>2017</v>
      </c>
      <c r="B20" s="34">
        <v>28</v>
      </c>
      <c r="C20" s="34" t="s">
        <v>18</v>
      </c>
      <c r="D20" s="36">
        <v>48365</v>
      </c>
      <c r="E20" s="36">
        <v>175316</v>
      </c>
      <c r="F20" s="57"/>
      <c r="G20" s="57"/>
      <c r="H20" s="11"/>
      <c r="I20" s="65"/>
      <c r="J20" s="11"/>
      <c r="K20" s="64"/>
      <c r="L20" s="11"/>
      <c r="M20" s="65"/>
      <c r="N20" s="11"/>
      <c r="O20" s="64"/>
    </row>
    <row r="21" spans="1:15" x14ac:dyDescent="0.2">
      <c r="A21">
        <v>2017</v>
      </c>
      <c r="B21" s="34">
        <v>31</v>
      </c>
      <c r="C21" s="34" t="s">
        <v>541</v>
      </c>
      <c r="D21" s="36">
        <v>116407</v>
      </c>
      <c r="E21" s="36">
        <v>910745</v>
      </c>
      <c r="F21" s="57"/>
      <c r="G21" s="57"/>
      <c r="H21" s="11"/>
      <c r="I21" s="65"/>
      <c r="J21" s="11"/>
      <c r="K21" s="64"/>
      <c r="L21" s="11"/>
      <c r="M21" s="65"/>
      <c r="N21" s="11"/>
      <c r="O21" s="64"/>
    </row>
    <row r="22" spans="1:15" x14ac:dyDescent="0.2">
      <c r="A22">
        <v>2017</v>
      </c>
      <c r="B22" s="34">
        <v>32</v>
      </c>
      <c r="C22" s="34" t="s">
        <v>542</v>
      </c>
      <c r="D22" s="36">
        <v>40763</v>
      </c>
      <c r="E22" s="36">
        <v>288154</v>
      </c>
      <c r="F22" s="57"/>
      <c r="G22" s="57"/>
      <c r="H22" s="11"/>
      <c r="I22" s="65"/>
      <c r="J22" s="11"/>
      <c r="K22" s="64"/>
      <c r="L22" s="11"/>
      <c r="M22" s="65"/>
      <c r="N22" s="11"/>
      <c r="O22" s="64"/>
    </row>
    <row r="23" spans="1:15" x14ac:dyDescent="0.2">
      <c r="A23">
        <v>2017</v>
      </c>
      <c r="B23" s="34">
        <v>33</v>
      </c>
      <c r="C23" s="34" t="s">
        <v>21</v>
      </c>
      <c r="D23" s="36">
        <v>19791</v>
      </c>
      <c r="E23" s="36">
        <v>161799</v>
      </c>
      <c r="F23" s="57"/>
      <c r="G23" s="57"/>
      <c r="H23" s="11"/>
      <c r="I23" s="65"/>
      <c r="J23" s="11"/>
      <c r="K23" s="64"/>
      <c r="L23" s="11"/>
      <c r="M23" s="65"/>
      <c r="N23" s="11"/>
      <c r="O23" s="64"/>
    </row>
    <row r="24" spans="1:15" x14ac:dyDescent="0.2">
      <c r="A24">
        <v>2017</v>
      </c>
      <c r="B24" s="34">
        <v>34</v>
      </c>
      <c r="C24" s="34" t="s">
        <v>22</v>
      </c>
      <c r="D24" s="36">
        <v>25677</v>
      </c>
      <c r="E24" s="36">
        <v>138987</v>
      </c>
      <c r="F24" s="57"/>
      <c r="G24" s="57"/>
      <c r="H24" s="11"/>
      <c r="I24" s="65"/>
      <c r="J24" s="11"/>
      <c r="K24" s="64"/>
      <c r="L24" s="11"/>
      <c r="M24" s="65"/>
      <c r="N24" s="11"/>
      <c r="O24" s="64"/>
    </row>
    <row r="25" spans="1:15" x14ac:dyDescent="0.2">
      <c r="A25">
        <v>2017</v>
      </c>
      <c r="B25" s="34">
        <v>35</v>
      </c>
      <c r="C25" s="34" t="s">
        <v>543</v>
      </c>
      <c r="D25" s="36">
        <v>11947</v>
      </c>
      <c r="E25" s="36">
        <v>122195</v>
      </c>
      <c r="F25" s="57"/>
      <c r="G25" s="57"/>
      <c r="H25" s="11"/>
      <c r="I25" s="65"/>
      <c r="J25" s="11"/>
      <c r="K25" s="64"/>
      <c r="L25" s="11"/>
      <c r="M25" s="65"/>
      <c r="N25" s="11"/>
      <c r="O25" s="64"/>
    </row>
    <row r="26" spans="1:15" x14ac:dyDescent="0.2">
      <c r="A26">
        <v>2017</v>
      </c>
      <c r="B26" s="34">
        <v>36</v>
      </c>
      <c r="C26" s="34" t="s">
        <v>24</v>
      </c>
      <c r="D26" s="36">
        <v>53959</v>
      </c>
      <c r="E26" s="36">
        <v>462454</v>
      </c>
      <c r="F26" s="57"/>
      <c r="G26" s="57"/>
      <c r="H26" s="11"/>
      <c r="I26" s="65"/>
      <c r="J26" s="11"/>
      <c r="K26" s="64"/>
      <c r="L26" s="11"/>
      <c r="M26" s="65"/>
      <c r="N26" s="11"/>
      <c r="O26" s="64"/>
    </row>
    <row r="27" spans="1:15" x14ac:dyDescent="0.2">
      <c r="A27">
        <v>2017</v>
      </c>
      <c r="B27" s="34">
        <v>37</v>
      </c>
      <c r="C27" s="34" t="s">
        <v>25</v>
      </c>
      <c r="D27" s="36">
        <v>28681</v>
      </c>
      <c r="E27" s="36">
        <v>250564</v>
      </c>
      <c r="F27" s="57"/>
      <c r="G27" s="57"/>
      <c r="H27" s="11"/>
      <c r="I27" s="65"/>
      <c r="J27" s="11"/>
      <c r="K27" s="64"/>
      <c r="L27" s="11"/>
      <c r="M27" s="65"/>
      <c r="N27" s="11"/>
      <c r="O27" s="64"/>
    </row>
    <row r="28" spans="1:15" x14ac:dyDescent="0.2">
      <c r="A28">
        <v>2017</v>
      </c>
      <c r="B28" s="34">
        <v>38</v>
      </c>
      <c r="C28" s="34" t="s">
        <v>26</v>
      </c>
      <c r="D28" s="36">
        <v>73734</v>
      </c>
      <c r="E28" s="36">
        <v>662887</v>
      </c>
      <c r="F28" s="57"/>
      <c r="G28" s="57"/>
      <c r="H28" s="11"/>
      <c r="I28" s="65"/>
      <c r="J28" s="11"/>
      <c r="K28" s="64"/>
      <c r="L28" s="11"/>
      <c r="M28" s="65"/>
      <c r="N28" s="11"/>
      <c r="O28" s="64"/>
    </row>
    <row r="29" spans="1:15" x14ac:dyDescent="0.2">
      <c r="A29">
        <v>2017</v>
      </c>
      <c r="B29" s="34">
        <v>39</v>
      </c>
      <c r="C29" s="34" t="s">
        <v>27</v>
      </c>
      <c r="D29" s="36">
        <v>16222</v>
      </c>
      <c r="E29" s="36">
        <v>121063</v>
      </c>
      <c r="F29" s="57"/>
      <c r="G29" s="57"/>
      <c r="H29" s="11"/>
      <c r="I29" s="65"/>
      <c r="J29" s="11"/>
      <c r="K29" s="64"/>
      <c r="L29" s="11"/>
      <c r="M29" s="65"/>
      <c r="N29" s="11"/>
      <c r="O29" s="64"/>
    </row>
    <row r="30" spans="1:15" x14ac:dyDescent="0.2">
      <c r="A30">
        <v>2017</v>
      </c>
      <c r="B30" s="34">
        <v>40</v>
      </c>
      <c r="C30" s="34" t="s">
        <v>28</v>
      </c>
      <c r="D30" s="36">
        <v>4452</v>
      </c>
      <c r="E30" s="36">
        <v>26075</v>
      </c>
      <c r="F30" s="57"/>
      <c r="G30" s="57"/>
      <c r="H30" s="11"/>
      <c r="I30" s="65"/>
      <c r="J30" s="11"/>
      <c r="K30" s="64"/>
      <c r="L30" s="11"/>
      <c r="M30" s="65"/>
      <c r="N30" s="11"/>
      <c r="O30" s="64"/>
    </row>
    <row r="31" spans="1:15" x14ac:dyDescent="0.2">
      <c r="A31">
        <v>2017</v>
      </c>
      <c r="B31" s="34">
        <v>41</v>
      </c>
      <c r="C31" s="34" t="s">
        <v>544</v>
      </c>
      <c r="D31" s="36">
        <v>58569</v>
      </c>
      <c r="E31" s="36">
        <v>443130</v>
      </c>
      <c r="F31" s="57"/>
      <c r="G31" s="57"/>
      <c r="H31" s="11"/>
      <c r="I31" s="65"/>
      <c r="J31" s="11"/>
      <c r="K31" s="64"/>
      <c r="L31" s="11"/>
      <c r="M31" s="65"/>
      <c r="N31" s="11"/>
      <c r="O31" s="64"/>
    </row>
    <row r="32" spans="1:15" x14ac:dyDescent="0.2">
      <c r="A32">
        <v>2017</v>
      </c>
      <c r="B32" s="34">
        <v>42</v>
      </c>
      <c r="C32" s="34" t="s">
        <v>545</v>
      </c>
      <c r="D32" s="36">
        <v>48560</v>
      </c>
      <c r="E32" s="36">
        <v>328134</v>
      </c>
      <c r="F32" s="57"/>
      <c r="G32" s="57"/>
      <c r="H32" s="11"/>
      <c r="I32" s="65"/>
      <c r="J32" s="11"/>
      <c r="K32" s="64"/>
      <c r="L32" s="11"/>
      <c r="M32" s="65"/>
      <c r="N32" s="11"/>
      <c r="O32" s="64"/>
    </row>
    <row r="33" spans="1:15" x14ac:dyDescent="0.2">
      <c r="A33">
        <v>2017</v>
      </c>
      <c r="B33" s="34">
        <v>43</v>
      </c>
      <c r="C33" s="34" t="s">
        <v>31</v>
      </c>
      <c r="D33" s="36">
        <v>138070</v>
      </c>
      <c r="E33" s="36">
        <v>817570</v>
      </c>
      <c r="F33" s="57"/>
      <c r="G33" s="57"/>
      <c r="H33" s="11"/>
      <c r="I33" s="65"/>
      <c r="J33" s="11"/>
      <c r="K33" s="64"/>
      <c r="L33" s="11"/>
      <c r="M33" s="65"/>
      <c r="N33" s="11"/>
      <c r="O33" s="64"/>
    </row>
    <row r="34" spans="1:15" x14ac:dyDescent="0.2">
      <c r="A34">
        <v>2017</v>
      </c>
      <c r="B34" s="34">
        <v>46</v>
      </c>
      <c r="C34" s="34" t="s">
        <v>32</v>
      </c>
      <c r="D34" s="36">
        <v>58514</v>
      </c>
      <c r="E34" s="36">
        <v>308682</v>
      </c>
      <c r="F34" s="57"/>
      <c r="G34" s="57"/>
      <c r="H34" s="11"/>
      <c r="I34" s="65"/>
      <c r="J34" s="11"/>
      <c r="K34" s="64"/>
      <c r="L34" s="11"/>
      <c r="M34" s="65"/>
      <c r="N34" s="11"/>
      <c r="O34" s="64"/>
    </row>
    <row r="35" spans="1:15" x14ac:dyDescent="0.2">
      <c r="A35">
        <v>2017</v>
      </c>
      <c r="B35" s="34">
        <v>47</v>
      </c>
      <c r="C35" s="34" t="s">
        <v>33</v>
      </c>
      <c r="D35" s="36">
        <v>13444</v>
      </c>
      <c r="E35" s="36">
        <v>125485</v>
      </c>
      <c r="F35" s="57"/>
      <c r="G35" s="57"/>
      <c r="H35" s="11"/>
      <c r="I35" s="65"/>
      <c r="J35" s="11"/>
      <c r="K35" s="64"/>
      <c r="L35" s="11"/>
      <c r="M35" s="65"/>
      <c r="N35" s="11"/>
      <c r="O35" s="64"/>
    </row>
    <row r="36" spans="1:15" x14ac:dyDescent="0.2">
      <c r="A36">
        <v>2017</v>
      </c>
      <c r="B36" s="34">
        <v>48</v>
      </c>
      <c r="C36" s="34" t="s">
        <v>34</v>
      </c>
      <c r="D36" s="36">
        <v>76094</v>
      </c>
      <c r="E36" s="36">
        <v>565277</v>
      </c>
      <c r="F36" s="57"/>
      <c r="G36" s="57"/>
      <c r="H36" s="11"/>
      <c r="I36" s="65"/>
      <c r="J36" s="11"/>
      <c r="K36" s="64"/>
      <c r="L36" s="11"/>
      <c r="M36" s="65"/>
      <c r="N36" s="11"/>
      <c r="O36" s="64"/>
    </row>
    <row r="37" spans="1:15" x14ac:dyDescent="0.2">
      <c r="A37">
        <v>2017</v>
      </c>
      <c r="B37" s="34">
        <v>49</v>
      </c>
      <c r="C37" s="34" t="s">
        <v>35</v>
      </c>
      <c r="D37" s="36">
        <v>24261</v>
      </c>
      <c r="E37" s="36">
        <v>148686</v>
      </c>
      <c r="F37" s="57"/>
      <c r="G37" s="57"/>
      <c r="H37" s="11"/>
      <c r="I37" s="65"/>
      <c r="J37" s="11"/>
      <c r="K37" s="64"/>
      <c r="L37" s="11"/>
      <c r="M37" s="65"/>
      <c r="N37" s="11"/>
      <c r="O37" s="64"/>
    </row>
    <row r="38" spans="1:15" x14ac:dyDescent="0.2">
      <c r="A38">
        <v>2017</v>
      </c>
      <c r="B38" s="34">
        <v>50</v>
      </c>
      <c r="C38" s="34" t="s">
        <v>36</v>
      </c>
      <c r="D38" s="36">
        <v>117468</v>
      </c>
      <c r="E38" s="36">
        <v>1065057</v>
      </c>
      <c r="F38" s="57"/>
      <c r="G38" s="57"/>
      <c r="H38" s="11"/>
      <c r="I38" s="65"/>
      <c r="J38" s="11"/>
      <c r="K38" s="64"/>
      <c r="L38" s="11"/>
      <c r="M38" s="65"/>
      <c r="N38" s="11"/>
      <c r="O38" s="64"/>
    </row>
    <row r="39" spans="1:15" x14ac:dyDescent="0.2">
      <c r="A39">
        <v>2017</v>
      </c>
      <c r="B39" s="34">
        <v>52</v>
      </c>
      <c r="C39" s="34" t="s">
        <v>37</v>
      </c>
      <c r="D39" s="36">
        <v>89451</v>
      </c>
      <c r="E39" s="36">
        <v>837344</v>
      </c>
      <c r="F39" s="57"/>
      <c r="G39" s="57"/>
      <c r="H39" s="11"/>
      <c r="I39" s="65"/>
      <c r="J39" s="11"/>
      <c r="K39" s="64"/>
      <c r="L39" s="11"/>
      <c r="M39" s="65"/>
      <c r="N39" s="11"/>
      <c r="O39" s="64"/>
    </row>
    <row r="40" spans="1:15" x14ac:dyDescent="0.2">
      <c r="A40">
        <v>2017</v>
      </c>
      <c r="B40" s="34">
        <v>53</v>
      </c>
      <c r="C40" s="34" t="s">
        <v>38</v>
      </c>
      <c r="D40" s="36">
        <v>58066</v>
      </c>
      <c r="E40" s="36">
        <v>312819</v>
      </c>
      <c r="F40" s="57"/>
      <c r="G40" s="57"/>
      <c r="H40" s="11"/>
      <c r="I40" s="65"/>
      <c r="J40" s="11"/>
      <c r="K40" s="64"/>
      <c r="L40" s="11"/>
      <c r="M40" s="65"/>
      <c r="N40" s="11"/>
      <c r="O40" s="64"/>
    </row>
    <row r="41" spans="1:15" x14ac:dyDescent="0.2">
      <c r="A41">
        <v>2017</v>
      </c>
      <c r="B41" s="34">
        <v>54</v>
      </c>
      <c r="C41" s="34" t="s">
        <v>39</v>
      </c>
      <c r="D41" s="36">
        <v>90341</v>
      </c>
      <c r="E41" s="36">
        <v>888816</v>
      </c>
      <c r="F41" s="57"/>
      <c r="G41" s="57"/>
      <c r="H41" s="11"/>
      <c r="I41" s="65"/>
      <c r="J41" s="11"/>
      <c r="K41" s="64"/>
      <c r="L41" s="11"/>
      <c r="M41" s="65"/>
      <c r="N41" s="11"/>
      <c r="O41" s="64"/>
    </row>
    <row r="42" spans="1:15" x14ac:dyDescent="0.2">
      <c r="A42">
        <v>2017</v>
      </c>
      <c r="B42" s="34">
        <v>55</v>
      </c>
      <c r="C42" s="34" t="s">
        <v>40</v>
      </c>
      <c r="D42" s="36">
        <v>35559</v>
      </c>
      <c r="E42" s="36">
        <v>359783</v>
      </c>
      <c r="F42" s="57"/>
      <c r="G42" s="57"/>
      <c r="H42" s="11"/>
      <c r="I42" s="65"/>
      <c r="J42" s="11"/>
      <c r="K42" s="64"/>
      <c r="L42" s="11"/>
      <c r="M42" s="65"/>
      <c r="N42" s="11"/>
      <c r="O42" s="64"/>
    </row>
    <row r="43" spans="1:15" x14ac:dyDescent="0.2">
      <c r="A43">
        <v>2017</v>
      </c>
      <c r="B43" s="34">
        <v>57</v>
      </c>
      <c r="C43" s="34" t="s">
        <v>41</v>
      </c>
      <c r="D43" s="36">
        <v>2533135</v>
      </c>
      <c r="E43" s="36">
        <v>15271845</v>
      </c>
      <c r="F43" s="57"/>
      <c r="G43" s="57"/>
      <c r="H43" s="11"/>
      <c r="I43" s="65"/>
      <c r="J43" s="11"/>
      <c r="K43" s="64"/>
      <c r="L43" s="11"/>
      <c r="M43" s="65"/>
      <c r="N43" s="11"/>
      <c r="O43" s="64"/>
    </row>
    <row r="44" spans="1:15" x14ac:dyDescent="0.2">
      <c r="A44">
        <v>2017</v>
      </c>
      <c r="B44" s="34">
        <v>63</v>
      </c>
      <c r="C44" s="34" t="s">
        <v>42</v>
      </c>
      <c r="D44" s="36">
        <v>42293</v>
      </c>
      <c r="E44" s="36">
        <v>261335</v>
      </c>
      <c r="F44" s="57"/>
      <c r="G44" s="57"/>
      <c r="H44" s="11"/>
      <c r="I44" s="65"/>
      <c r="J44" s="11"/>
      <c r="K44" s="64"/>
      <c r="L44" s="11"/>
      <c r="M44" s="65"/>
      <c r="N44" s="11"/>
      <c r="O44" s="64"/>
    </row>
    <row r="45" spans="1:15" x14ac:dyDescent="0.2">
      <c r="A45">
        <v>2017</v>
      </c>
      <c r="B45" s="34">
        <v>64</v>
      </c>
      <c r="C45" s="34" t="s">
        <v>43</v>
      </c>
      <c r="D45" s="36">
        <v>62348</v>
      </c>
      <c r="E45" s="36">
        <v>475525</v>
      </c>
      <c r="F45" s="57"/>
      <c r="G45" s="57"/>
      <c r="H45" s="11"/>
      <c r="I45" s="65"/>
      <c r="J45" s="11"/>
      <c r="K45" s="64"/>
      <c r="L45" s="11"/>
      <c r="M45" s="65"/>
      <c r="N45" s="11"/>
      <c r="O45" s="64"/>
    </row>
    <row r="46" spans="1:15" x14ac:dyDescent="0.2">
      <c r="A46">
        <v>2017</v>
      </c>
      <c r="B46" s="34">
        <v>65</v>
      </c>
      <c r="C46" s="34" t="s">
        <v>44</v>
      </c>
      <c r="D46" s="36">
        <v>59038</v>
      </c>
      <c r="E46" s="36">
        <v>532407</v>
      </c>
      <c r="F46" s="57"/>
      <c r="G46" s="57"/>
      <c r="H46" s="65"/>
      <c r="I46" s="64"/>
      <c r="J46" s="65"/>
      <c r="K46" s="64"/>
    </row>
    <row r="47" spans="1:15" x14ac:dyDescent="0.2">
      <c r="A47">
        <v>2017</v>
      </c>
      <c r="B47" s="34">
        <v>66</v>
      </c>
      <c r="C47" s="34" t="s">
        <v>45</v>
      </c>
      <c r="D47" s="36">
        <v>1588123</v>
      </c>
      <c r="E47" s="36">
        <v>8673782</v>
      </c>
      <c r="F47" s="57"/>
      <c r="G47" s="57"/>
      <c r="H47" s="65"/>
      <c r="I47" s="64"/>
      <c r="J47" s="65"/>
      <c r="K47" s="64"/>
    </row>
    <row r="48" spans="1:15" x14ac:dyDescent="0.2">
      <c r="A48">
        <v>2017</v>
      </c>
      <c r="B48" s="34">
        <v>67</v>
      </c>
      <c r="C48" s="34" t="s">
        <v>546</v>
      </c>
      <c r="D48" s="36">
        <v>536527</v>
      </c>
      <c r="E48" s="36">
        <v>3275400</v>
      </c>
      <c r="F48" s="57"/>
      <c r="G48" s="57"/>
      <c r="H48" s="65"/>
      <c r="I48" s="64"/>
      <c r="J48" s="65"/>
      <c r="K48" s="64"/>
    </row>
    <row r="49" spans="1:11" x14ac:dyDescent="0.2">
      <c r="A49">
        <v>2017</v>
      </c>
      <c r="B49" s="34">
        <v>68</v>
      </c>
      <c r="C49" s="34" t="s">
        <v>47</v>
      </c>
      <c r="D49" s="36">
        <v>54256</v>
      </c>
      <c r="E49" s="36">
        <v>432506</v>
      </c>
      <c r="F49" s="57"/>
      <c r="G49" s="57"/>
      <c r="H49" s="65"/>
      <c r="I49" s="64"/>
      <c r="J49" s="65"/>
      <c r="K49" s="64"/>
    </row>
    <row r="50" spans="1:11" x14ac:dyDescent="0.2">
      <c r="A50">
        <v>2017</v>
      </c>
      <c r="B50" s="34">
        <v>69</v>
      </c>
      <c r="C50" s="34" t="s">
        <v>48</v>
      </c>
      <c r="D50" s="36">
        <v>116474</v>
      </c>
      <c r="E50" s="36">
        <v>623799</v>
      </c>
      <c r="F50" s="57"/>
      <c r="G50" s="57"/>
      <c r="H50" s="65"/>
      <c r="I50" s="64"/>
      <c r="J50" s="65"/>
      <c r="K50" s="64"/>
    </row>
    <row r="51" spans="1:11" x14ac:dyDescent="0.2">
      <c r="A51">
        <v>2017</v>
      </c>
      <c r="B51" s="34">
        <v>74</v>
      </c>
      <c r="C51" s="34" t="s">
        <v>49</v>
      </c>
      <c r="D51" s="36">
        <v>13505</v>
      </c>
      <c r="E51" s="36">
        <v>90436</v>
      </c>
      <c r="F51" s="57"/>
      <c r="G51" s="57"/>
      <c r="H51" s="65"/>
      <c r="I51" s="64"/>
      <c r="J51" s="65"/>
      <c r="K51" s="64"/>
    </row>
    <row r="52" spans="1:11" x14ac:dyDescent="0.2">
      <c r="A52">
        <v>2017</v>
      </c>
      <c r="B52" s="34">
        <v>75</v>
      </c>
      <c r="C52" s="34" t="s">
        <v>50</v>
      </c>
      <c r="D52" s="36">
        <v>59416</v>
      </c>
      <c r="E52" s="36">
        <v>488898</v>
      </c>
      <c r="F52" s="57"/>
      <c r="G52" s="57"/>
      <c r="H52" s="65"/>
      <c r="I52" s="64"/>
      <c r="J52" s="65"/>
      <c r="K52" s="64"/>
    </row>
    <row r="53" spans="1:11" x14ac:dyDescent="0.2">
      <c r="A53">
        <v>2017</v>
      </c>
      <c r="B53" s="34">
        <v>76</v>
      </c>
      <c r="C53" s="34" t="s">
        <v>51</v>
      </c>
      <c r="D53" s="36">
        <v>1646</v>
      </c>
      <c r="E53" s="36">
        <v>28596</v>
      </c>
      <c r="F53" s="57"/>
      <c r="G53" s="57"/>
      <c r="H53" s="65"/>
      <c r="I53" s="64"/>
      <c r="J53" s="65"/>
      <c r="K53" s="64"/>
    </row>
    <row r="54" spans="1:11" x14ac:dyDescent="0.2">
      <c r="A54">
        <v>2017</v>
      </c>
      <c r="B54" s="34">
        <v>77</v>
      </c>
      <c r="C54" s="34" t="s">
        <v>52</v>
      </c>
      <c r="D54" s="36">
        <v>7529</v>
      </c>
      <c r="E54" s="36">
        <v>37936</v>
      </c>
      <c r="F54" s="57"/>
      <c r="G54" s="57"/>
      <c r="H54" s="65"/>
      <c r="I54" s="64"/>
      <c r="J54" s="65"/>
      <c r="K54" s="64"/>
    </row>
    <row r="55" spans="1:11" x14ac:dyDescent="0.2">
      <c r="A55">
        <v>2017</v>
      </c>
      <c r="B55" s="34">
        <v>78</v>
      </c>
      <c r="C55" s="34" t="s">
        <v>53</v>
      </c>
      <c r="D55" s="36">
        <v>36517</v>
      </c>
      <c r="E55" s="36">
        <v>318002</v>
      </c>
      <c r="F55" s="57"/>
      <c r="G55" s="57"/>
      <c r="H55" s="65"/>
      <c r="I55" s="64"/>
      <c r="J55" s="65"/>
      <c r="K55" s="64"/>
    </row>
    <row r="56" spans="1:11" x14ac:dyDescent="0.2">
      <c r="A56">
        <v>2017</v>
      </c>
      <c r="B56" s="34">
        <v>79</v>
      </c>
      <c r="C56" s="34" t="s">
        <v>54</v>
      </c>
      <c r="D56" s="36">
        <v>6030</v>
      </c>
      <c r="E56" s="36">
        <v>42734</v>
      </c>
      <c r="F56" s="57"/>
      <c r="G56" s="57"/>
      <c r="H56" s="65"/>
      <c r="I56" s="64"/>
      <c r="J56" s="65"/>
      <c r="K56" s="64"/>
    </row>
    <row r="57" spans="1:11" x14ac:dyDescent="0.2">
      <c r="A57">
        <v>2017</v>
      </c>
      <c r="B57" s="34">
        <v>80</v>
      </c>
      <c r="C57" s="34" t="s">
        <v>55</v>
      </c>
      <c r="D57" s="36">
        <v>26958</v>
      </c>
      <c r="E57" s="36">
        <v>209011</v>
      </c>
      <c r="F57" s="57"/>
      <c r="G57" s="57"/>
      <c r="H57" s="65"/>
      <c r="I57" s="64"/>
      <c r="J57" s="65"/>
      <c r="K57" s="64"/>
    </row>
    <row r="58" spans="1:11" x14ac:dyDescent="0.2">
      <c r="A58">
        <v>2017</v>
      </c>
      <c r="B58" s="34">
        <v>82</v>
      </c>
      <c r="C58" s="34" t="s">
        <v>56</v>
      </c>
      <c r="D58" s="36">
        <v>3031</v>
      </c>
      <c r="E58" s="36">
        <v>37902</v>
      </c>
      <c r="F58" s="57"/>
      <c r="G58" s="57"/>
      <c r="H58" s="65"/>
      <c r="I58" s="64"/>
      <c r="J58" s="65"/>
      <c r="K58" s="64"/>
    </row>
    <row r="59" spans="1:11" x14ac:dyDescent="0.2">
      <c r="A59">
        <v>2017</v>
      </c>
      <c r="B59" s="34">
        <v>83</v>
      </c>
      <c r="C59" s="34" t="s">
        <v>547</v>
      </c>
      <c r="D59" s="36">
        <v>85686</v>
      </c>
      <c r="E59" s="36">
        <v>711879</v>
      </c>
      <c r="F59" s="57"/>
      <c r="G59" s="57"/>
      <c r="H59" s="65"/>
      <c r="I59" s="64"/>
      <c r="J59" s="65"/>
      <c r="K59" s="64"/>
    </row>
    <row r="60" spans="1:11" x14ac:dyDescent="0.2">
      <c r="A60">
        <v>2017</v>
      </c>
      <c r="B60" s="34">
        <v>84</v>
      </c>
      <c r="C60" s="34" t="s">
        <v>85</v>
      </c>
      <c r="D60" s="36">
        <v>110572</v>
      </c>
      <c r="E60" s="36">
        <v>652459</v>
      </c>
      <c r="F60" s="57"/>
      <c r="G60" s="57"/>
      <c r="H60" s="65"/>
      <c r="I60" s="64"/>
      <c r="J60" s="65"/>
      <c r="K60" s="64"/>
    </row>
    <row r="61" spans="1:11" x14ac:dyDescent="0.2">
      <c r="A61">
        <v>2017</v>
      </c>
      <c r="B61" s="34">
        <v>85</v>
      </c>
      <c r="C61" s="34" t="s">
        <v>58</v>
      </c>
      <c r="D61" s="36">
        <v>48298</v>
      </c>
      <c r="E61" s="36">
        <v>390755</v>
      </c>
      <c r="F61" s="57"/>
      <c r="G61" s="57"/>
      <c r="H61" s="65"/>
      <c r="I61" s="64"/>
      <c r="J61" s="65"/>
      <c r="K61" s="64"/>
    </row>
    <row r="62" spans="1:11" x14ac:dyDescent="0.2">
      <c r="A62">
        <v>2017</v>
      </c>
      <c r="B62" s="34">
        <v>86</v>
      </c>
      <c r="C62" s="34" t="s">
        <v>59</v>
      </c>
      <c r="D62" s="36">
        <v>255064</v>
      </c>
      <c r="E62" s="36">
        <v>1383044</v>
      </c>
      <c r="F62" s="57"/>
      <c r="G62" s="57"/>
      <c r="H62" s="65"/>
      <c r="I62" s="64"/>
      <c r="J62" s="65"/>
      <c r="K62" s="64"/>
    </row>
    <row r="63" spans="1:11" x14ac:dyDescent="0.2">
      <c r="A63">
        <v>2017</v>
      </c>
      <c r="B63" s="34">
        <v>93</v>
      </c>
      <c r="C63" s="34" t="s">
        <v>60</v>
      </c>
      <c r="D63" s="36">
        <v>50545</v>
      </c>
      <c r="E63" s="36">
        <v>284054</v>
      </c>
      <c r="F63" s="57"/>
      <c r="G63" s="57"/>
      <c r="H63" s="65"/>
      <c r="I63" s="64"/>
      <c r="J63" s="65"/>
      <c r="K63" s="64"/>
    </row>
    <row r="64" spans="1:11" x14ac:dyDescent="0.2">
      <c r="A64">
        <v>2017</v>
      </c>
      <c r="B64" s="34">
        <v>94</v>
      </c>
      <c r="C64" s="34" t="s">
        <v>61</v>
      </c>
      <c r="D64" s="36">
        <v>522607</v>
      </c>
      <c r="E64" s="36">
        <v>3297901</v>
      </c>
      <c r="F64" s="57"/>
      <c r="G64" s="57"/>
      <c r="H64" s="65"/>
      <c r="I64" s="64"/>
      <c r="J64" s="65"/>
      <c r="K64" s="64"/>
    </row>
    <row r="65" spans="1:11" x14ac:dyDescent="0.2">
      <c r="A65">
        <v>2017</v>
      </c>
      <c r="B65" s="34">
        <v>95</v>
      </c>
      <c r="C65" s="34" t="s">
        <v>62</v>
      </c>
      <c r="D65" s="36">
        <v>39351</v>
      </c>
      <c r="E65" s="36">
        <v>195145</v>
      </c>
      <c r="F65" s="57"/>
      <c r="G65" s="57"/>
      <c r="H65" s="65"/>
      <c r="I65" s="64"/>
      <c r="J65" s="65"/>
      <c r="K65" s="64"/>
    </row>
    <row r="66" spans="1:11" x14ac:dyDescent="0.2">
      <c r="A66">
        <v>2017</v>
      </c>
      <c r="B66" s="34">
        <v>96</v>
      </c>
      <c r="C66" s="34" t="s">
        <v>63</v>
      </c>
      <c r="D66" s="36">
        <v>32441</v>
      </c>
      <c r="E66" s="36">
        <v>251172</v>
      </c>
      <c r="F66" s="57"/>
      <c r="G66" s="57"/>
      <c r="H66" s="65"/>
      <c r="I66" s="64"/>
      <c r="J66" s="65"/>
      <c r="K66" s="64"/>
    </row>
    <row r="67" spans="1:11" x14ac:dyDescent="0.2">
      <c r="A67">
        <v>2017</v>
      </c>
      <c r="B67" s="34">
        <v>97</v>
      </c>
      <c r="C67" s="34" t="s">
        <v>548</v>
      </c>
      <c r="D67" s="36">
        <v>558323</v>
      </c>
      <c r="E67" s="36">
        <v>2898688</v>
      </c>
      <c r="F67" s="57"/>
      <c r="G67" s="57"/>
      <c r="H67" s="65"/>
      <c r="I67" s="64"/>
      <c r="J67" s="65"/>
      <c r="K67" s="64"/>
    </row>
    <row r="68" spans="1:11" x14ac:dyDescent="0.2">
      <c r="A68">
        <v>2017</v>
      </c>
      <c r="B68" s="34">
        <v>98</v>
      </c>
      <c r="C68" s="34" t="s">
        <v>65</v>
      </c>
      <c r="D68" s="36">
        <v>21756</v>
      </c>
      <c r="E68" s="36">
        <v>226338</v>
      </c>
      <c r="F68" s="57"/>
      <c r="G68" s="57"/>
      <c r="H68" s="65"/>
      <c r="I68" s="64"/>
      <c r="J68" s="65"/>
      <c r="K68" s="64"/>
    </row>
    <row r="69" spans="1:11" x14ac:dyDescent="0.2">
      <c r="A69">
        <v>2017</v>
      </c>
      <c r="B69" s="34">
        <v>99</v>
      </c>
      <c r="C69" s="34" t="s">
        <v>66</v>
      </c>
      <c r="D69" s="36">
        <v>23944</v>
      </c>
      <c r="E69" s="36">
        <v>222627</v>
      </c>
      <c r="F69" s="57"/>
      <c r="G69" s="57"/>
      <c r="H69" s="65"/>
      <c r="I69" s="64"/>
      <c r="J69" s="65"/>
      <c r="K69" s="64"/>
    </row>
    <row r="70" spans="1:11" x14ac:dyDescent="0.2">
      <c r="A70">
        <v>2017</v>
      </c>
      <c r="B70" s="34">
        <v>100</v>
      </c>
      <c r="C70" s="34" t="s">
        <v>67</v>
      </c>
      <c r="D70" s="36">
        <v>32397</v>
      </c>
      <c r="E70" s="36">
        <v>252540</v>
      </c>
      <c r="F70" s="57"/>
      <c r="G70" s="57"/>
      <c r="H70" s="65"/>
      <c r="I70" s="64"/>
      <c r="J70" s="65"/>
      <c r="K70" s="64"/>
    </row>
    <row r="71" spans="1:11" x14ac:dyDescent="0.2">
      <c r="A71">
        <v>2017</v>
      </c>
      <c r="B71" s="34">
        <v>101</v>
      </c>
      <c r="C71" s="34" t="s">
        <v>68</v>
      </c>
      <c r="D71" s="36">
        <v>471106</v>
      </c>
      <c r="E71" s="36">
        <v>3188459</v>
      </c>
      <c r="F71" s="57"/>
      <c r="G71" s="57"/>
      <c r="H71" s="65"/>
      <c r="I71" s="64"/>
      <c r="J71" s="65"/>
      <c r="K71" s="64"/>
    </row>
    <row r="72" spans="1:11" x14ac:dyDescent="0.2">
      <c r="A72">
        <v>2017</v>
      </c>
      <c r="B72" s="34">
        <v>103</v>
      </c>
      <c r="C72" s="34" t="s">
        <v>69</v>
      </c>
      <c r="D72" s="36">
        <v>8867</v>
      </c>
      <c r="E72" s="36">
        <v>135554</v>
      </c>
      <c r="F72" s="57"/>
      <c r="G72" s="57"/>
      <c r="H72" s="65"/>
      <c r="I72" s="64"/>
      <c r="J72" s="65"/>
      <c r="K72" s="64"/>
    </row>
    <row r="73" spans="1:11" x14ac:dyDescent="0.2">
      <c r="A73">
        <v>2017</v>
      </c>
      <c r="B73" s="34">
        <v>104</v>
      </c>
      <c r="C73" s="34" t="s">
        <v>549</v>
      </c>
      <c r="D73" s="36">
        <v>13987</v>
      </c>
      <c r="E73" s="36">
        <v>148179</v>
      </c>
      <c r="F73" s="57"/>
      <c r="G73" s="57"/>
      <c r="H73" s="65"/>
      <c r="I73" s="64"/>
      <c r="J73" s="65"/>
      <c r="K73" s="64"/>
    </row>
    <row r="74" spans="1:11" x14ac:dyDescent="0.2">
      <c r="A74">
        <v>2017</v>
      </c>
      <c r="B74" s="34">
        <v>106</v>
      </c>
      <c r="C74" s="34" t="s">
        <v>71</v>
      </c>
      <c r="D74" s="36">
        <v>8336</v>
      </c>
      <c r="E74" s="36">
        <v>97836</v>
      </c>
      <c r="F74" s="57"/>
      <c r="G74" s="57"/>
      <c r="H74" s="65"/>
      <c r="I74" s="64"/>
      <c r="J74" s="65"/>
      <c r="K74" s="64"/>
    </row>
    <row r="75" spans="1:11" x14ac:dyDescent="0.2">
      <c r="A75">
        <v>2017</v>
      </c>
      <c r="B75" s="34">
        <v>107</v>
      </c>
      <c r="C75" s="34" t="s">
        <v>72</v>
      </c>
      <c r="D75" s="36">
        <v>106462</v>
      </c>
      <c r="E75" s="36">
        <v>683117</v>
      </c>
      <c r="F75" s="57"/>
      <c r="G75" s="57"/>
      <c r="H75" s="65"/>
      <c r="I75" s="64"/>
      <c r="J75" s="65"/>
      <c r="K75" s="64"/>
    </row>
    <row r="76" spans="1:11" x14ac:dyDescent="0.2">
      <c r="A76">
        <v>2017</v>
      </c>
      <c r="B76" s="34">
        <v>108</v>
      </c>
      <c r="C76" s="34" t="s">
        <v>73</v>
      </c>
      <c r="D76" s="36">
        <v>23147</v>
      </c>
      <c r="E76" s="36">
        <v>167466</v>
      </c>
      <c r="F76" s="57"/>
      <c r="G76" s="57"/>
      <c r="H76" s="65"/>
      <c r="I76" s="64"/>
      <c r="J76" s="65"/>
      <c r="K76" s="64"/>
    </row>
    <row r="77" spans="1:11" x14ac:dyDescent="0.2">
      <c r="A77">
        <v>2017</v>
      </c>
      <c r="B77" s="34">
        <v>110</v>
      </c>
      <c r="C77" s="34" t="s">
        <v>74</v>
      </c>
      <c r="D77" s="36">
        <v>76626</v>
      </c>
      <c r="E77" s="36">
        <v>318325</v>
      </c>
      <c r="F77" s="57"/>
      <c r="G77" s="57"/>
      <c r="H77" s="65"/>
      <c r="I77" s="64"/>
      <c r="J77" s="65"/>
      <c r="K77" s="64"/>
    </row>
    <row r="78" spans="1:11" x14ac:dyDescent="0.2">
      <c r="A78">
        <v>2017</v>
      </c>
      <c r="B78" s="34">
        <v>111</v>
      </c>
      <c r="C78" s="34" t="s">
        <v>86</v>
      </c>
      <c r="D78" s="36">
        <v>60075</v>
      </c>
      <c r="E78" s="36">
        <v>411936</v>
      </c>
      <c r="F78" s="57"/>
      <c r="G78" s="57"/>
      <c r="H78" s="65"/>
      <c r="I78" s="64"/>
      <c r="J78" s="65"/>
      <c r="K78" s="64"/>
    </row>
    <row r="79" spans="1:11" x14ac:dyDescent="0.2">
      <c r="A79">
        <v>2017</v>
      </c>
      <c r="B79" s="34">
        <v>112</v>
      </c>
      <c r="C79" s="34" t="s">
        <v>550</v>
      </c>
      <c r="D79" s="36">
        <v>51762</v>
      </c>
      <c r="E79" s="36">
        <v>373295</v>
      </c>
      <c r="F79" s="57"/>
      <c r="G79" s="57"/>
      <c r="H79" s="65"/>
      <c r="I79" s="64"/>
      <c r="J79" s="65"/>
      <c r="K79" s="64"/>
    </row>
    <row r="80" spans="1:11" x14ac:dyDescent="0.2">
      <c r="A80">
        <v>2017</v>
      </c>
      <c r="B80" s="34">
        <v>113</v>
      </c>
      <c r="C80" s="34" t="s">
        <v>77</v>
      </c>
      <c r="D80" s="36">
        <v>618981</v>
      </c>
      <c r="E80" s="36">
        <v>4141748</v>
      </c>
      <c r="F80" s="57"/>
      <c r="G80" s="57"/>
      <c r="H80" s="65"/>
      <c r="I80" s="64"/>
      <c r="J80" s="65"/>
      <c r="K80" s="64"/>
    </row>
    <row r="81" spans="1:11" x14ac:dyDescent="0.2">
      <c r="A81">
        <v>2017</v>
      </c>
      <c r="B81" s="34">
        <v>114</v>
      </c>
      <c r="C81" s="34" t="s">
        <v>78</v>
      </c>
      <c r="D81" s="36">
        <v>159912</v>
      </c>
      <c r="E81" s="36">
        <v>1382191</v>
      </c>
      <c r="F81" s="57"/>
      <c r="G81" s="57"/>
      <c r="H81" s="65"/>
      <c r="I81" s="64"/>
      <c r="J81" s="65"/>
      <c r="K81" s="64"/>
    </row>
    <row r="82" spans="1:11" x14ac:dyDescent="0.2">
      <c r="A82">
        <v>2017</v>
      </c>
      <c r="B82" s="34">
        <v>115</v>
      </c>
      <c r="C82" s="34" t="s">
        <v>87</v>
      </c>
      <c r="D82" s="36">
        <v>30666</v>
      </c>
      <c r="E82" s="36">
        <v>268275</v>
      </c>
      <c r="F82" s="57"/>
      <c r="G82" s="57"/>
      <c r="H82" s="65"/>
      <c r="I82" s="64"/>
      <c r="J82" s="65"/>
      <c r="K82" s="64"/>
    </row>
    <row r="83" spans="1:11" x14ac:dyDescent="0.2">
      <c r="A83">
        <v>2017</v>
      </c>
      <c r="B83" s="34">
        <v>116</v>
      </c>
      <c r="C83" s="34" t="s">
        <v>79</v>
      </c>
      <c r="D83" s="36">
        <v>32214</v>
      </c>
      <c r="E83" s="36">
        <v>378556</v>
      </c>
      <c r="F83" s="57"/>
      <c r="G83" s="57"/>
      <c r="H83" s="65"/>
      <c r="I83" s="64"/>
      <c r="J83" s="65"/>
      <c r="K83" s="64"/>
    </row>
    <row r="84" spans="1:11" x14ac:dyDescent="0.2">
      <c r="A84">
        <v>2017</v>
      </c>
      <c r="B84" s="34">
        <v>117</v>
      </c>
      <c r="C84" s="34" t="s">
        <v>80</v>
      </c>
      <c r="D84" s="36">
        <v>86746</v>
      </c>
      <c r="E84" s="36">
        <v>528702</v>
      </c>
      <c r="F84" s="57"/>
      <c r="G84" s="57"/>
      <c r="H84" s="65"/>
      <c r="I84" s="64"/>
      <c r="J84" s="65"/>
      <c r="K84" s="64"/>
    </row>
    <row r="85" spans="1:11" x14ac:dyDescent="0.2">
      <c r="A85">
        <v>2017</v>
      </c>
      <c r="B85" s="34">
        <v>118</v>
      </c>
      <c r="C85" s="34" t="s">
        <v>81</v>
      </c>
      <c r="D85" s="36">
        <v>241565</v>
      </c>
      <c r="E85" s="36">
        <v>1868597</v>
      </c>
      <c r="F85" s="57"/>
      <c r="G85" s="57"/>
      <c r="H85" s="65"/>
      <c r="I85" s="64"/>
      <c r="J85" s="65"/>
      <c r="K85" s="64"/>
    </row>
    <row r="86" spans="1:11" x14ac:dyDescent="0.2">
      <c r="A86">
        <v>2017</v>
      </c>
      <c r="B86" s="34">
        <v>119</v>
      </c>
      <c r="C86" s="34" t="s">
        <v>82</v>
      </c>
      <c r="D86" s="36">
        <v>11092</v>
      </c>
      <c r="E86" s="36">
        <v>88462</v>
      </c>
      <c r="F86" s="57"/>
      <c r="G86" s="57"/>
      <c r="H86" s="65"/>
      <c r="I86" s="64"/>
      <c r="J86" s="65"/>
      <c r="K86" s="64"/>
    </row>
    <row r="87" spans="1:11" x14ac:dyDescent="0.2">
      <c r="A87">
        <v>2017</v>
      </c>
      <c r="B87" s="34">
        <v>120</v>
      </c>
      <c r="C87" s="34" t="s">
        <v>83</v>
      </c>
      <c r="D87" s="36">
        <v>533354</v>
      </c>
      <c r="E87" s="36">
        <v>3455436</v>
      </c>
      <c r="F87" s="57"/>
      <c r="G87" s="57"/>
      <c r="H87" s="65"/>
      <c r="I87" s="64"/>
      <c r="J87" s="65"/>
      <c r="K87" s="64"/>
    </row>
    <row r="88" spans="1:11" x14ac:dyDescent="0.2">
      <c r="A88">
        <v>2017</v>
      </c>
      <c r="B88" s="34">
        <v>125</v>
      </c>
      <c r="C88" s="34" t="s">
        <v>84</v>
      </c>
      <c r="D88" s="36">
        <v>17098</v>
      </c>
      <c r="E88" s="36">
        <v>123094</v>
      </c>
      <c r="F88" s="57"/>
      <c r="G88" s="57"/>
      <c r="H88" s="65"/>
      <c r="I88" s="64"/>
      <c r="J88" s="65"/>
      <c r="K88" s="64"/>
    </row>
    <row r="89" spans="1:11" x14ac:dyDescent="0.2">
      <c r="A89">
        <v>2017</v>
      </c>
      <c r="B89" s="34">
        <v>129</v>
      </c>
      <c r="C89" s="34" t="s">
        <v>129</v>
      </c>
      <c r="D89" s="36">
        <v>78454</v>
      </c>
      <c r="E89" s="36">
        <v>645241</v>
      </c>
      <c r="F89" s="57"/>
      <c r="G89" s="57"/>
      <c r="H89" s="65"/>
      <c r="I89" s="64"/>
      <c r="J89" s="65"/>
      <c r="K89" s="64"/>
    </row>
    <row r="90" spans="1:11" x14ac:dyDescent="0.2">
      <c r="A90">
        <v>2017</v>
      </c>
      <c r="B90" s="34">
        <v>130</v>
      </c>
      <c r="C90" s="34" t="s">
        <v>88</v>
      </c>
      <c r="D90" s="36">
        <v>97239</v>
      </c>
      <c r="E90" s="36">
        <v>783773</v>
      </c>
      <c r="F90" s="57"/>
      <c r="G90" s="57"/>
      <c r="H90" s="65"/>
      <c r="I90" s="64"/>
      <c r="J90" s="65"/>
      <c r="K90" s="64"/>
    </row>
    <row r="91" spans="1:11" x14ac:dyDescent="0.2">
      <c r="A91">
        <v>2017</v>
      </c>
      <c r="B91" s="34">
        <v>131</v>
      </c>
      <c r="C91" s="34" t="s">
        <v>89</v>
      </c>
      <c r="D91" s="36">
        <v>18213</v>
      </c>
      <c r="E91" s="36">
        <v>153490</v>
      </c>
      <c r="F91" s="57"/>
      <c r="G91" s="57"/>
      <c r="H91" s="65"/>
      <c r="I91" s="64"/>
      <c r="J91" s="65"/>
      <c r="K91" s="64"/>
    </row>
    <row r="92" spans="1:11" x14ac:dyDescent="0.2">
      <c r="A92">
        <v>2017</v>
      </c>
      <c r="B92" s="34">
        <v>132</v>
      </c>
      <c r="C92" s="34" t="s">
        <v>90</v>
      </c>
      <c r="D92" s="36">
        <v>34924</v>
      </c>
      <c r="E92" s="36">
        <v>215092</v>
      </c>
      <c r="F92" s="57"/>
      <c r="G92" s="57"/>
      <c r="H92" s="65"/>
      <c r="I92" s="64"/>
      <c r="J92" s="65"/>
      <c r="K92" s="64"/>
    </row>
    <row r="93" spans="1:11" x14ac:dyDescent="0.2">
      <c r="A93">
        <v>2017</v>
      </c>
      <c r="B93" s="34">
        <v>133</v>
      </c>
      <c r="C93" s="34" t="s">
        <v>91</v>
      </c>
      <c r="D93" s="36">
        <v>22173</v>
      </c>
      <c r="E93" s="36">
        <v>130216</v>
      </c>
      <c r="F93" s="57"/>
      <c r="G93" s="57"/>
      <c r="H93" s="65"/>
      <c r="I93" s="64"/>
      <c r="J93" s="65"/>
      <c r="K93" s="64"/>
    </row>
    <row r="94" spans="1:11" x14ac:dyDescent="0.2">
      <c r="A94">
        <v>2017</v>
      </c>
      <c r="B94" s="34">
        <v>134</v>
      </c>
      <c r="C94" s="34" t="s">
        <v>92</v>
      </c>
      <c r="D94" s="36">
        <v>61411</v>
      </c>
      <c r="E94" s="36">
        <v>350624</v>
      </c>
      <c r="F94" s="57"/>
      <c r="G94" s="57"/>
      <c r="H94" s="65"/>
      <c r="I94" s="64"/>
      <c r="J94" s="65"/>
      <c r="K94" s="64"/>
    </row>
    <row r="95" spans="1:11" x14ac:dyDescent="0.2">
      <c r="A95">
        <v>2017</v>
      </c>
      <c r="B95" s="34">
        <v>137</v>
      </c>
      <c r="C95" s="34" t="s">
        <v>93</v>
      </c>
      <c r="D95" s="36">
        <v>28739</v>
      </c>
      <c r="E95" s="36">
        <v>154075</v>
      </c>
      <c r="F95" s="57"/>
      <c r="G95" s="57"/>
      <c r="H95" s="65"/>
      <c r="I95" s="64"/>
      <c r="J95" s="65"/>
      <c r="K95" s="64"/>
    </row>
    <row r="96" spans="1:11" x14ac:dyDescent="0.2">
      <c r="A96">
        <v>2017</v>
      </c>
      <c r="B96" s="34">
        <v>138</v>
      </c>
      <c r="C96" s="34" t="s">
        <v>94</v>
      </c>
      <c r="D96" s="36">
        <v>427756</v>
      </c>
      <c r="E96" s="36">
        <v>4142804</v>
      </c>
      <c r="F96" s="57"/>
      <c r="G96" s="57"/>
      <c r="H96" s="65"/>
      <c r="I96" s="64"/>
      <c r="J96" s="65"/>
      <c r="K96" s="64"/>
    </row>
    <row r="97" spans="1:11" x14ac:dyDescent="0.2">
      <c r="A97">
        <v>2017</v>
      </c>
      <c r="B97" s="34">
        <v>139</v>
      </c>
      <c r="C97" s="34" t="s">
        <v>95</v>
      </c>
      <c r="D97" s="36">
        <v>71008</v>
      </c>
      <c r="E97" s="36">
        <v>469276</v>
      </c>
      <c r="F97" s="57"/>
      <c r="G97" s="57"/>
      <c r="H97" s="65"/>
      <c r="I97" s="64"/>
      <c r="J97" s="65"/>
      <c r="K97" s="64"/>
    </row>
    <row r="98" spans="1:11" x14ac:dyDescent="0.2">
      <c r="A98">
        <v>2017</v>
      </c>
      <c r="B98" s="34">
        <v>140</v>
      </c>
      <c r="C98" s="34" t="s">
        <v>96</v>
      </c>
      <c r="D98" s="36">
        <v>30466</v>
      </c>
      <c r="E98" s="36">
        <v>259877</v>
      </c>
      <c r="F98" s="57"/>
      <c r="G98" s="57"/>
      <c r="H98" s="65"/>
      <c r="I98" s="64"/>
      <c r="J98" s="65"/>
      <c r="K98" s="64"/>
    </row>
    <row r="99" spans="1:11" x14ac:dyDescent="0.2">
      <c r="A99">
        <v>2017</v>
      </c>
      <c r="B99" s="34">
        <v>141</v>
      </c>
      <c r="C99" s="34" t="s">
        <v>97</v>
      </c>
      <c r="D99" s="36">
        <v>88020</v>
      </c>
      <c r="E99" s="36">
        <v>713273</v>
      </c>
      <c r="F99" s="57"/>
      <c r="G99" s="57"/>
      <c r="H99" s="65"/>
      <c r="I99" s="64"/>
      <c r="J99" s="65"/>
      <c r="K99" s="64"/>
    </row>
    <row r="100" spans="1:11" x14ac:dyDescent="0.2">
      <c r="A100">
        <v>2017</v>
      </c>
      <c r="B100" s="34">
        <v>142</v>
      </c>
      <c r="C100" s="34" t="s">
        <v>98</v>
      </c>
      <c r="D100" s="36">
        <v>521831</v>
      </c>
      <c r="E100" s="36">
        <v>3967130</v>
      </c>
      <c r="F100" s="57"/>
      <c r="G100" s="57"/>
      <c r="H100" s="65"/>
      <c r="I100" s="64"/>
      <c r="J100" s="65"/>
      <c r="K100" s="64"/>
    </row>
    <row r="101" spans="1:11" x14ac:dyDescent="0.2">
      <c r="A101">
        <v>2017</v>
      </c>
      <c r="B101" s="34">
        <v>143</v>
      </c>
      <c r="C101" s="34" t="s">
        <v>99</v>
      </c>
      <c r="D101" s="36">
        <v>51505</v>
      </c>
      <c r="E101" s="36">
        <v>543416</v>
      </c>
      <c r="F101" s="57"/>
      <c r="G101" s="57"/>
      <c r="H101" s="65"/>
      <c r="I101" s="64"/>
      <c r="J101" s="65"/>
      <c r="K101" s="64"/>
    </row>
    <row r="102" spans="1:11" x14ac:dyDescent="0.2">
      <c r="A102">
        <v>2017</v>
      </c>
      <c r="B102" s="34">
        <v>144</v>
      </c>
      <c r="C102" s="34" t="s">
        <v>100</v>
      </c>
      <c r="D102" s="36">
        <v>82934</v>
      </c>
      <c r="E102" s="36">
        <v>686909</v>
      </c>
      <c r="F102" s="57"/>
      <c r="G102" s="57"/>
      <c r="H102" s="65"/>
      <c r="I102" s="64"/>
      <c r="J102" s="65"/>
      <c r="K102" s="64"/>
    </row>
    <row r="103" spans="1:11" x14ac:dyDescent="0.2">
      <c r="A103">
        <v>2017</v>
      </c>
      <c r="B103" s="34">
        <v>149</v>
      </c>
      <c r="C103" s="34" t="s">
        <v>101</v>
      </c>
      <c r="F103" s="57"/>
      <c r="G103" s="57"/>
      <c r="H103" s="57"/>
      <c r="I103" s="64"/>
      <c r="J103" s="57"/>
      <c r="K103" s="64"/>
    </row>
    <row r="104" spans="1:11" x14ac:dyDescent="0.2">
      <c r="A104">
        <v>2017</v>
      </c>
      <c r="B104" s="34">
        <v>151</v>
      </c>
      <c r="C104" s="34" t="s">
        <v>102</v>
      </c>
      <c r="D104" s="36">
        <v>292279</v>
      </c>
      <c r="E104" s="36">
        <v>2565384</v>
      </c>
      <c r="F104" s="57"/>
      <c r="G104" s="57"/>
      <c r="H104" s="65"/>
      <c r="I104" s="64"/>
      <c r="J104" s="65"/>
      <c r="K104" s="64"/>
    </row>
    <row r="105" spans="1:11" x14ac:dyDescent="0.2">
      <c r="A105">
        <v>2017</v>
      </c>
      <c r="B105" s="34">
        <v>152</v>
      </c>
      <c r="C105" s="34" t="s">
        <v>103</v>
      </c>
      <c r="D105" s="36">
        <v>225707</v>
      </c>
      <c r="E105" s="36">
        <v>1817156</v>
      </c>
      <c r="F105" s="57"/>
      <c r="G105" s="57"/>
      <c r="H105" s="65"/>
      <c r="I105" s="64"/>
      <c r="J105" s="65"/>
      <c r="K105" s="64"/>
    </row>
    <row r="106" spans="1:11" x14ac:dyDescent="0.2">
      <c r="A106">
        <v>2017</v>
      </c>
      <c r="B106" s="34">
        <v>154</v>
      </c>
      <c r="C106" s="34" t="s">
        <v>104</v>
      </c>
      <c r="D106" s="36">
        <v>295949</v>
      </c>
      <c r="E106" s="36">
        <v>1954845</v>
      </c>
      <c r="F106" s="57"/>
      <c r="G106" s="57"/>
      <c r="H106" s="65"/>
      <c r="I106" s="64"/>
      <c r="J106" s="65"/>
      <c r="K106" s="64"/>
    </row>
    <row r="107" spans="1:11" x14ac:dyDescent="0.2">
      <c r="A107">
        <v>2017</v>
      </c>
      <c r="B107" s="34">
        <v>155</v>
      </c>
      <c r="C107" s="34" t="s">
        <v>105</v>
      </c>
      <c r="D107" s="36">
        <v>1713938</v>
      </c>
      <c r="E107" s="36">
        <v>8837739</v>
      </c>
      <c r="F107" s="57"/>
      <c r="G107" s="57"/>
      <c r="H107" s="65"/>
      <c r="I107" s="64"/>
      <c r="J107" s="65"/>
      <c r="K107" s="64"/>
    </row>
    <row r="108" spans="1:11" x14ac:dyDescent="0.2">
      <c r="A108">
        <v>2017</v>
      </c>
      <c r="B108" s="34">
        <v>156</v>
      </c>
      <c r="C108" s="34" t="s">
        <v>106</v>
      </c>
      <c r="D108" s="36">
        <v>3138926</v>
      </c>
      <c r="E108" s="36">
        <v>15992950</v>
      </c>
      <c r="F108" s="57"/>
      <c r="G108" s="57"/>
      <c r="H108" s="65"/>
      <c r="I108" s="64"/>
      <c r="J108" s="65"/>
      <c r="K108" s="64"/>
    </row>
    <row r="109" spans="1:11" x14ac:dyDescent="0.2">
      <c r="A109">
        <v>2017</v>
      </c>
      <c r="B109" s="34">
        <v>165</v>
      </c>
      <c r="C109" s="34" t="s">
        <v>107</v>
      </c>
      <c r="D109" s="36">
        <v>3776</v>
      </c>
      <c r="E109" s="36">
        <v>20988</v>
      </c>
      <c r="F109" s="57"/>
      <c r="G109" s="57"/>
      <c r="H109" s="65"/>
      <c r="I109" s="64"/>
      <c r="J109" s="65"/>
      <c r="K109" s="64"/>
    </row>
    <row r="110" spans="1:11" x14ac:dyDescent="0.2">
      <c r="A110">
        <v>2017</v>
      </c>
      <c r="B110" s="34">
        <v>167</v>
      </c>
      <c r="C110" s="34" t="s">
        <v>108</v>
      </c>
      <c r="D110" s="36">
        <v>147264</v>
      </c>
      <c r="E110" s="36">
        <v>1115040</v>
      </c>
      <c r="F110" s="57"/>
      <c r="G110" s="57"/>
      <c r="H110" s="65"/>
      <c r="I110" s="64"/>
      <c r="J110" s="65"/>
      <c r="K110" s="64"/>
    </row>
    <row r="111" spans="1:11" x14ac:dyDescent="0.2">
      <c r="A111">
        <v>2017</v>
      </c>
      <c r="B111" s="34">
        <v>168</v>
      </c>
      <c r="C111" s="34" t="s">
        <v>109</v>
      </c>
      <c r="D111" s="36">
        <v>78928</v>
      </c>
      <c r="E111" s="36">
        <v>711392</v>
      </c>
      <c r="F111" s="57"/>
      <c r="G111" s="57"/>
      <c r="H111" s="65"/>
      <c r="I111" s="64"/>
      <c r="J111" s="65"/>
      <c r="K111" s="64"/>
    </row>
    <row r="112" spans="1:11" x14ac:dyDescent="0.2">
      <c r="A112">
        <v>2017</v>
      </c>
      <c r="B112" s="34">
        <v>169</v>
      </c>
      <c r="C112" s="34" t="s">
        <v>110</v>
      </c>
      <c r="D112" s="36">
        <v>27229</v>
      </c>
      <c r="E112" s="36">
        <v>496130</v>
      </c>
      <c r="F112" s="57"/>
      <c r="G112" s="57"/>
      <c r="H112" s="65"/>
      <c r="I112" s="64"/>
      <c r="J112" s="65"/>
      <c r="K112" s="64"/>
    </row>
    <row r="113" spans="1:11" x14ac:dyDescent="0.2">
      <c r="A113">
        <v>2017</v>
      </c>
      <c r="B113" s="34">
        <v>170</v>
      </c>
      <c r="C113" s="34" t="s">
        <v>111</v>
      </c>
      <c r="D113" s="36">
        <v>48091</v>
      </c>
      <c r="E113" s="36">
        <v>364926</v>
      </c>
      <c r="F113" s="57"/>
      <c r="G113" s="57"/>
      <c r="H113" s="65"/>
      <c r="I113" s="64"/>
      <c r="J113" s="65"/>
      <c r="K113" s="64"/>
    </row>
    <row r="114" spans="1:11" x14ac:dyDescent="0.2">
      <c r="A114">
        <v>2017</v>
      </c>
      <c r="B114" s="34">
        <v>171</v>
      </c>
      <c r="C114" s="34" t="s">
        <v>112</v>
      </c>
      <c r="D114" s="36">
        <v>80623</v>
      </c>
      <c r="E114" s="36">
        <v>698695</v>
      </c>
      <c r="F114" s="57"/>
      <c r="G114" s="57"/>
      <c r="H114" s="65"/>
      <c r="I114" s="64"/>
      <c r="J114" s="65"/>
      <c r="K114" s="64"/>
    </row>
    <row r="115" spans="1:11" x14ac:dyDescent="0.2">
      <c r="A115">
        <v>2017</v>
      </c>
      <c r="B115" s="34">
        <v>173</v>
      </c>
      <c r="C115" s="34" t="s">
        <v>552</v>
      </c>
      <c r="D115" s="36">
        <v>42268</v>
      </c>
      <c r="E115" s="36">
        <v>384035</v>
      </c>
      <c r="F115" s="57"/>
      <c r="G115" s="57"/>
      <c r="H115" s="65"/>
      <c r="I115" s="64"/>
      <c r="J115" s="65"/>
      <c r="K115" s="64"/>
    </row>
    <row r="116" spans="1:11" x14ac:dyDescent="0.2">
      <c r="A116">
        <v>2017</v>
      </c>
      <c r="B116" s="34">
        <v>174</v>
      </c>
      <c r="C116" s="34" t="s">
        <v>113</v>
      </c>
      <c r="D116" s="36">
        <v>983278</v>
      </c>
      <c r="E116" s="36">
        <v>6359344</v>
      </c>
      <c r="F116" s="57"/>
      <c r="G116" s="57"/>
      <c r="H116" s="65"/>
      <c r="I116" s="64"/>
      <c r="J116" s="65"/>
      <c r="K116" s="64"/>
    </row>
    <row r="117" spans="1:11" x14ac:dyDescent="0.2">
      <c r="A117">
        <v>2017</v>
      </c>
      <c r="B117" s="34">
        <v>175</v>
      </c>
      <c r="C117" s="34" t="s">
        <v>114</v>
      </c>
      <c r="D117" s="36">
        <v>121135</v>
      </c>
      <c r="E117" s="36">
        <v>1103441</v>
      </c>
      <c r="F117" s="57"/>
      <c r="G117" s="57"/>
      <c r="H117" s="65"/>
      <c r="I117" s="64"/>
      <c r="J117" s="65"/>
      <c r="K117" s="64"/>
    </row>
    <row r="118" spans="1:11" x14ac:dyDescent="0.2">
      <c r="A118">
        <v>2017</v>
      </c>
      <c r="B118" s="34">
        <v>176</v>
      </c>
      <c r="C118" s="34" t="s">
        <v>115</v>
      </c>
      <c r="D118" s="36">
        <v>7690</v>
      </c>
      <c r="E118" s="36">
        <v>84020</v>
      </c>
      <c r="F118" s="57"/>
      <c r="G118" s="57"/>
      <c r="H118" s="65"/>
      <c r="I118" s="64"/>
      <c r="J118" s="65"/>
      <c r="K118" s="64"/>
    </row>
    <row r="119" spans="1:11" x14ac:dyDescent="0.2">
      <c r="A119">
        <v>2017</v>
      </c>
      <c r="B119" s="34">
        <v>177</v>
      </c>
      <c r="C119" s="34" t="s">
        <v>116</v>
      </c>
      <c r="D119" s="36">
        <v>17701</v>
      </c>
      <c r="E119" s="36">
        <v>114717</v>
      </c>
      <c r="F119" s="57"/>
      <c r="G119" s="57"/>
      <c r="H119" s="65"/>
      <c r="I119" s="64"/>
      <c r="J119" s="65"/>
      <c r="K119" s="64"/>
    </row>
    <row r="120" spans="1:11" x14ac:dyDescent="0.2">
      <c r="A120">
        <v>2017</v>
      </c>
      <c r="B120" s="34">
        <v>178</v>
      </c>
      <c r="C120" s="34" t="s">
        <v>117</v>
      </c>
      <c r="D120" s="36">
        <v>14975</v>
      </c>
      <c r="E120" s="36">
        <v>135329</v>
      </c>
      <c r="F120" s="57"/>
      <c r="G120" s="57"/>
      <c r="H120" s="65"/>
      <c r="I120" s="64"/>
      <c r="J120" s="65"/>
      <c r="K120" s="64"/>
    </row>
    <row r="121" spans="1:11" x14ac:dyDescent="0.2">
      <c r="A121">
        <v>2017</v>
      </c>
      <c r="B121" s="34">
        <v>179</v>
      </c>
      <c r="C121" s="34" t="s">
        <v>118</v>
      </c>
      <c r="D121" s="36">
        <v>31898</v>
      </c>
      <c r="E121" s="36">
        <v>154948</v>
      </c>
      <c r="F121" s="57"/>
      <c r="G121" s="57"/>
      <c r="H121" s="65"/>
      <c r="I121" s="64"/>
      <c r="J121" s="65"/>
      <c r="K121" s="64"/>
    </row>
    <row r="122" spans="1:11" x14ac:dyDescent="0.2">
      <c r="A122">
        <v>2017</v>
      </c>
      <c r="B122" s="34">
        <v>180</v>
      </c>
      <c r="C122" s="34" t="s">
        <v>119</v>
      </c>
      <c r="D122" s="36">
        <v>30943</v>
      </c>
      <c r="E122" s="36">
        <v>193765</v>
      </c>
      <c r="F122" s="57"/>
      <c r="G122" s="57"/>
      <c r="H122" s="65"/>
      <c r="I122" s="64"/>
      <c r="J122" s="65"/>
      <c r="K122" s="64"/>
    </row>
    <row r="123" spans="1:11" x14ac:dyDescent="0.2">
      <c r="A123">
        <v>2017</v>
      </c>
      <c r="B123" s="34">
        <v>181</v>
      </c>
      <c r="C123" s="34" t="s">
        <v>120</v>
      </c>
      <c r="D123" s="36">
        <v>67333</v>
      </c>
      <c r="E123" s="36">
        <v>578902</v>
      </c>
      <c r="F123" s="57"/>
      <c r="G123" s="57"/>
      <c r="H123" s="65"/>
      <c r="I123" s="64"/>
      <c r="J123" s="65"/>
      <c r="K123" s="64"/>
    </row>
    <row r="124" spans="1:11" x14ac:dyDescent="0.2">
      <c r="A124">
        <v>2017</v>
      </c>
      <c r="B124" s="34">
        <v>182</v>
      </c>
      <c r="C124" s="34" t="s">
        <v>121</v>
      </c>
      <c r="D124" s="36">
        <v>149069</v>
      </c>
      <c r="E124" s="36">
        <v>970734</v>
      </c>
      <c r="F124" s="57"/>
      <c r="G124" s="57"/>
      <c r="H124" s="65"/>
      <c r="I124" s="64"/>
      <c r="J124" s="65"/>
      <c r="K124" s="64"/>
    </row>
    <row r="125" spans="1:11" x14ac:dyDescent="0.2">
      <c r="A125">
        <v>2017</v>
      </c>
      <c r="B125" s="34">
        <v>183</v>
      </c>
      <c r="C125" s="34" t="s">
        <v>122</v>
      </c>
      <c r="D125" s="36">
        <v>83245</v>
      </c>
      <c r="E125" s="36">
        <v>529363</v>
      </c>
      <c r="F125" s="57"/>
      <c r="G125" s="57"/>
      <c r="H125" s="65"/>
      <c r="I125" s="64"/>
      <c r="J125" s="65"/>
      <c r="K125" s="64"/>
    </row>
    <row r="126" spans="1:11" x14ac:dyDescent="0.2">
      <c r="A126">
        <v>2017</v>
      </c>
      <c r="B126" s="34">
        <v>184</v>
      </c>
      <c r="C126" s="34" t="s">
        <v>123</v>
      </c>
      <c r="D126" s="36">
        <v>30447</v>
      </c>
      <c r="E126" s="36">
        <v>243641</v>
      </c>
      <c r="F126" s="57"/>
      <c r="G126" s="57"/>
      <c r="H126" s="65"/>
      <c r="I126" s="64"/>
      <c r="J126" s="65"/>
      <c r="K126" s="64"/>
    </row>
    <row r="127" spans="1:11" x14ac:dyDescent="0.2">
      <c r="A127">
        <v>2017</v>
      </c>
      <c r="B127" s="34">
        <v>185</v>
      </c>
      <c r="C127" s="34" t="s">
        <v>124</v>
      </c>
      <c r="D127" s="36">
        <v>8312</v>
      </c>
      <c r="E127" s="36">
        <v>122388</v>
      </c>
      <c r="F127" s="57"/>
      <c r="G127" s="57"/>
      <c r="H127" s="65"/>
      <c r="I127" s="64"/>
      <c r="J127" s="65"/>
      <c r="K127" s="64"/>
    </row>
    <row r="128" spans="1:11" x14ac:dyDescent="0.2">
      <c r="A128">
        <v>2017</v>
      </c>
      <c r="B128" s="34">
        <v>186</v>
      </c>
      <c r="C128" s="34" t="s">
        <v>125</v>
      </c>
      <c r="D128" s="36">
        <v>15342</v>
      </c>
      <c r="E128" s="36">
        <v>134363</v>
      </c>
      <c r="F128" s="57"/>
      <c r="G128" s="57"/>
      <c r="H128" s="65"/>
      <c r="I128" s="64"/>
      <c r="J128" s="65"/>
      <c r="K128" s="64"/>
    </row>
    <row r="129" spans="1:11" x14ac:dyDescent="0.2">
      <c r="A129">
        <v>2017</v>
      </c>
      <c r="B129" s="34">
        <v>187</v>
      </c>
      <c r="C129" s="34" t="s">
        <v>126</v>
      </c>
      <c r="D129" s="36">
        <v>49005</v>
      </c>
      <c r="E129" s="36">
        <v>299257</v>
      </c>
      <c r="F129" s="57"/>
      <c r="G129" s="57"/>
      <c r="H129" s="65"/>
      <c r="I129" s="64"/>
      <c r="J129" s="65"/>
      <c r="K129" s="64"/>
    </row>
    <row r="130" spans="1:11" x14ac:dyDescent="0.2">
      <c r="A130">
        <v>2017</v>
      </c>
      <c r="B130" s="34">
        <v>188</v>
      </c>
      <c r="C130" s="34" t="s">
        <v>127</v>
      </c>
      <c r="D130" s="36">
        <v>175089</v>
      </c>
      <c r="E130" s="36">
        <v>1040085</v>
      </c>
      <c r="F130" s="57"/>
      <c r="G130" s="57"/>
      <c r="H130" s="65"/>
      <c r="I130" s="64"/>
      <c r="J130" s="65"/>
      <c r="K130" s="64"/>
    </row>
    <row r="131" spans="1:11" x14ac:dyDescent="0.2">
      <c r="A131">
        <v>2017</v>
      </c>
      <c r="B131" s="34">
        <v>191</v>
      </c>
      <c r="C131" s="34" t="s">
        <v>128</v>
      </c>
      <c r="D131" s="36">
        <v>17687</v>
      </c>
      <c r="E131" s="36">
        <v>166786</v>
      </c>
      <c r="F131" s="57"/>
      <c r="G131" s="57"/>
      <c r="H131" s="65"/>
      <c r="I131" s="64"/>
      <c r="J131" s="65"/>
      <c r="K131" s="64"/>
    </row>
    <row r="132" spans="1:11" x14ac:dyDescent="0.2">
      <c r="A132">
        <v>2017</v>
      </c>
      <c r="B132" s="34">
        <v>192</v>
      </c>
      <c r="C132" s="34" t="s">
        <v>130</v>
      </c>
      <c r="D132" s="36">
        <v>11863</v>
      </c>
      <c r="E132" s="36">
        <v>91955</v>
      </c>
      <c r="F132" s="57"/>
      <c r="G132" s="57"/>
      <c r="H132" s="65"/>
      <c r="I132" s="64"/>
      <c r="J132" s="65"/>
      <c r="K132" s="64"/>
    </row>
    <row r="133" spans="1:11" x14ac:dyDescent="0.2">
      <c r="A133">
        <v>2017</v>
      </c>
      <c r="B133" s="34">
        <v>193</v>
      </c>
      <c r="C133" s="34" t="s">
        <v>131</v>
      </c>
      <c r="D133" s="36">
        <v>58682</v>
      </c>
      <c r="E133" s="36">
        <v>416417</v>
      </c>
      <c r="F133" s="57"/>
      <c r="G133" s="57"/>
      <c r="H133" s="65"/>
      <c r="I133" s="64"/>
      <c r="J133" s="65"/>
      <c r="K133" s="64"/>
    </row>
    <row r="134" spans="1:11" x14ac:dyDescent="0.2">
      <c r="A134">
        <v>2017</v>
      </c>
      <c r="B134" s="34">
        <v>194</v>
      </c>
      <c r="C134" s="34" t="s">
        <v>132</v>
      </c>
      <c r="D134" s="36">
        <v>12687</v>
      </c>
      <c r="E134" s="36">
        <v>171420</v>
      </c>
      <c r="F134" s="57"/>
      <c r="G134" s="57"/>
      <c r="H134" s="65"/>
      <c r="I134" s="64"/>
      <c r="J134" s="65"/>
      <c r="K134" s="64"/>
    </row>
    <row r="135" spans="1:11" x14ac:dyDescent="0.2">
      <c r="A135">
        <v>2017</v>
      </c>
      <c r="B135" s="34">
        <v>195</v>
      </c>
      <c r="C135" s="34" t="s">
        <v>133</v>
      </c>
      <c r="D135" s="36">
        <v>26355</v>
      </c>
      <c r="E135" s="36">
        <v>165793</v>
      </c>
      <c r="F135" s="57"/>
      <c r="G135" s="57"/>
      <c r="H135" s="65"/>
      <c r="I135" s="64"/>
      <c r="J135" s="65"/>
      <c r="K135" s="64"/>
    </row>
    <row r="136" spans="1:11" x14ac:dyDescent="0.2">
      <c r="A136">
        <v>2017</v>
      </c>
      <c r="B136" s="34">
        <v>196</v>
      </c>
      <c r="C136" s="34" t="s">
        <v>134</v>
      </c>
      <c r="D136" s="36">
        <v>7714</v>
      </c>
      <c r="E136" s="36">
        <v>132602</v>
      </c>
      <c r="F136" s="57"/>
      <c r="G136" s="57"/>
      <c r="H136" s="65"/>
      <c r="I136" s="64"/>
      <c r="J136" s="65"/>
      <c r="K136" s="64"/>
    </row>
    <row r="137" spans="1:11" x14ac:dyDescent="0.2">
      <c r="A137">
        <v>2017</v>
      </c>
      <c r="B137" s="34">
        <v>197</v>
      </c>
      <c r="C137" s="34" t="s">
        <v>135</v>
      </c>
      <c r="D137" s="36">
        <v>34873</v>
      </c>
      <c r="E137" s="36">
        <v>388244</v>
      </c>
      <c r="F137" s="57"/>
      <c r="G137" s="57"/>
      <c r="H137" s="65"/>
      <c r="I137" s="64"/>
      <c r="J137" s="65"/>
      <c r="K137" s="64"/>
    </row>
    <row r="138" spans="1:11" x14ac:dyDescent="0.2">
      <c r="A138">
        <v>2017</v>
      </c>
      <c r="B138" s="34">
        <v>198</v>
      </c>
      <c r="C138" s="34" t="s">
        <v>136</v>
      </c>
      <c r="D138" s="36">
        <v>16594</v>
      </c>
      <c r="E138" s="36">
        <v>140541</v>
      </c>
      <c r="F138" s="57"/>
      <c r="G138" s="57"/>
      <c r="H138" s="65"/>
      <c r="I138" s="64"/>
      <c r="J138" s="65"/>
      <c r="K138" s="64"/>
    </row>
    <row r="139" spans="1:11" x14ac:dyDescent="0.2">
      <c r="A139">
        <v>2017</v>
      </c>
      <c r="B139" s="34">
        <v>200</v>
      </c>
      <c r="C139" s="34" t="s">
        <v>137</v>
      </c>
      <c r="D139" s="36">
        <v>17608</v>
      </c>
      <c r="E139" s="36">
        <v>163289</v>
      </c>
      <c r="F139" s="57"/>
      <c r="G139" s="57"/>
      <c r="H139" s="65"/>
      <c r="I139" s="64"/>
      <c r="J139" s="65"/>
      <c r="K139" s="64"/>
    </row>
    <row r="140" spans="1:11" x14ac:dyDescent="0.2">
      <c r="A140">
        <v>2017</v>
      </c>
      <c r="B140" s="34">
        <v>201</v>
      </c>
      <c r="C140" s="34" t="s">
        <v>138</v>
      </c>
      <c r="D140" s="36">
        <v>13046</v>
      </c>
      <c r="E140" s="36">
        <v>88103</v>
      </c>
      <c r="F140" s="57"/>
      <c r="G140" s="57"/>
      <c r="H140" s="65"/>
      <c r="I140" s="64"/>
      <c r="J140" s="65"/>
      <c r="K140" s="64"/>
    </row>
    <row r="141" spans="1:11" x14ac:dyDescent="0.2">
      <c r="A141">
        <v>2017</v>
      </c>
      <c r="B141" s="34">
        <v>202</v>
      </c>
      <c r="C141" s="34" t="s">
        <v>139</v>
      </c>
      <c r="D141" s="36">
        <v>20667</v>
      </c>
      <c r="E141" s="36">
        <v>97869</v>
      </c>
      <c r="F141" s="57"/>
      <c r="G141" s="57"/>
      <c r="H141" s="65"/>
      <c r="I141" s="64"/>
      <c r="J141" s="65"/>
      <c r="K141" s="64"/>
    </row>
    <row r="142" spans="1:11" x14ac:dyDescent="0.2">
      <c r="A142">
        <v>2017</v>
      </c>
      <c r="B142" s="34">
        <v>203</v>
      </c>
      <c r="C142" s="34" t="s">
        <v>140</v>
      </c>
      <c r="D142" s="36">
        <v>22931</v>
      </c>
      <c r="E142" s="36">
        <v>176065</v>
      </c>
      <c r="F142" s="57"/>
      <c r="G142" s="57"/>
      <c r="H142" s="65"/>
      <c r="I142" s="64"/>
      <c r="J142" s="65"/>
      <c r="K142" s="64"/>
    </row>
    <row r="143" spans="1:11" x14ac:dyDescent="0.2">
      <c r="A143">
        <v>2017</v>
      </c>
      <c r="B143" s="34">
        <v>204</v>
      </c>
      <c r="C143" s="34" t="s">
        <v>141</v>
      </c>
      <c r="D143" s="36">
        <v>18672</v>
      </c>
      <c r="E143" s="36">
        <v>131934</v>
      </c>
      <c r="F143" s="57"/>
      <c r="G143" s="57"/>
      <c r="H143" s="65"/>
      <c r="I143" s="64"/>
      <c r="J143" s="65"/>
      <c r="K143" s="64"/>
    </row>
    <row r="144" spans="1:11" x14ac:dyDescent="0.2">
      <c r="A144">
        <v>2017</v>
      </c>
      <c r="B144" s="34">
        <v>205</v>
      </c>
      <c r="C144" s="34" t="s">
        <v>142</v>
      </c>
      <c r="D144" s="36">
        <v>132683</v>
      </c>
      <c r="E144" s="36">
        <v>846525</v>
      </c>
      <c r="F144" s="57"/>
      <c r="G144" s="57"/>
      <c r="H144" s="65"/>
      <c r="I144" s="64"/>
      <c r="J144" s="65"/>
      <c r="K144" s="64"/>
    </row>
    <row r="145" spans="1:11" x14ac:dyDescent="0.2">
      <c r="A145">
        <v>2017</v>
      </c>
      <c r="B145" s="34">
        <v>206</v>
      </c>
      <c r="C145" s="34" t="s">
        <v>553</v>
      </c>
      <c r="D145" s="36">
        <v>123924</v>
      </c>
      <c r="E145" s="36">
        <v>788248</v>
      </c>
      <c r="F145" s="57"/>
      <c r="G145" s="57"/>
      <c r="H145" s="65"/>
      <c r="I145" s="64"/>
      <c r="J145" s="65"/>
      <c r="K145" s="64"/>
    </row>
    <row r="146" spans="1:11" x14ac:dyDescent="0.2">
      <c r="A146">
        <v>2017</v>
      </c>
      <c r="B146" s="34">
        <v>207</v>
      </c>
      <c r="C146" s="34" t="s">
        <v>144</v>
      </c>
      <c r="D146" s="36">
        <v>14349</v>
      </c>
      <c r="E146" s="36">
        <v>71515</v>
      </c>
      <c r="F146" s="57"/>
      <c r="G146" s="57"/>
      <c r="H146" s="65"/>
      <c r="I146" s="64"/>
      <c r="J146" s="65"/>
      <c r="K146" s="64"/>
    </row>
    <row r="147" spans="1:11" x14ac:dyDescent="0.2">
      <c r="A147">
        <v>2017</v>
      </c>
      <c r="B147" s="34">
        <v>208</v>
      </c>
      <c r="C147" s="34" t="s">
        <v>145</v>
      </c>
      <c r="D147" s="36">
        <v>14002</v>
      </c>
      <c r="E147" s="36">
        <v>67313</v>
      </c>
      <c r="F147" s="57"/>
      <c r="G147" s="57"/>
      <c r="H147" s="65"/>
      <c r="I147" s="64"/>
      <c r="J147" s="65"/>
      <c r="K147" s="64"/>
    </row>
    <row r="148" spans="1:11" x14ac:dyDescent="0.2">
      <c r="A148">
        <v>2017</v>
      </c>
      <c r="B148" s="34">
        <v>209</v>
      </c>
      <c r="C148" s="34" t="s">
        <v>146</v>
      </c>
      <c r="D148" s="36">
        <v>117597</v>
      </c>
      <c r="E148" s="36">
        <v>662861</v>
      </c>
      <c r="F148" s="57"/>
      <c r="G148" s="57"/>
      <c r="H148" s="65"/>
      <c r="I148" s="64"/>
      <c r="J148" s="65"/>
      <c r="K148" s="64"/>
    </row>
    <row r="149" spans="1:11" x14ac:dyDescent="0.2">
      <c r="A149">
        <v>2017</v>
      </c>
      <c r="B149" s="34">
        <v>210</v>
      </c>
      <c r="C149" s="34" t="s">
        <v>147</v>
      </c>
      <c r="D149" s="36">
        <v>56325</v>
      </c>
      <c r="E149" s="36">
        <v>374970</v>
      </c>
      <c r="F149" s="57"/>
      <c r="G149" s="57"/>
      <c r="H149" s="65"/>
      <c r="I149" s="64"/>
      <c r="J149" s="65"/>
      <c r="K149" s="64"/>
    </row>
    <row r="150" spans="1:11" x14ac:dyDescent="0.2">
      <c r="A150">
        <v>2017</v>
      </c>
      <c r="B150" s="34">
        <v>211</v>
      </c>
      <c r="C150" s="34" t="s">
        <v>148</v>
      </c>
      <c r="D150" s="36">
        <v>44972</v>
      </c>
      <c r="E150" s="36">
        <v>336129</v>
      </c>
      <c r="F150" s="57"/>
      <c r="G150" s="57"/>
      <c r="H150" s="65"/>
      <c r="I150" s="64"/>
      <c r="J150" s="65"/>
      <c r="K150" s="64"/>
    </row>
    <row r="151" spans="1:11" x14ac:dyDescent="0.2">
      <c r="A151">
        <v>2017</v>
      </c>
      <c r="B151" s="34">
        <v>212</v>
      </c>
      <c r="C151" s="34" t="s">
        <v>149</v>
      </c>
      <c r="D151" s="36">
        <v>29781</v>
      </c>
      <c r="E151" s="36">
        <v>203232</v>
      </c>
      <c r="F151" s="57"/>
      <c r="G151" s="57"/>
      <c r="H151" s="65"/>
      <c r="I151" s="64"/>
      <c r="J151" s="65"/>
      <c r="K151" s="64"/>
    </row>
    <row r="152" spans="1:11" x14ac:dyDescent="0.2">
      <c r="A152">
        <v>2017</v>
      </c>
      <c r="B152" s="34">
        <v>213</v>
      </c>
      <c r="C152" s="34" t="s">
        <v>150</v>
      </c>
      <c r="D152" s="36">
        <v>70844</v>
      </c>
      <c r="E152" s="36">
        <v>495693</v>
      </c>
      <c r="F152" s="57"/>
      <c r="G152" s="57"/>
      <c r="H152" s="65"/>
      <c r="I152" s="64"/>
      <c r="J152" s="65"/>
      <c r="K152" s="64"/>
    </row>
    <row r="153" spans="1:11" x14ac:dyDescent="0.2">
      <c r="A153">
        <v>2017</v>
      </c>
      <c r="B153" s="34">
        <v>214</v>
      </c>
      <c r="C153" s="34" t="s">
        <v>151</v>
      </c>
      <c r="D153" s="36">
        <v>37117</v>
      </c>
      <c r="E153" s="36">
        <v>178134</v>
      </c>
      <c r="F153" s="57"/>
      <c r="G153" s="57"/>
      <c r="H153" s="65"/>
      <c r="I153" s="64"/>
      <c r="J153" s="65"/>
      <c r="K153" s="64"/>
    </row>
    <row r="154" spans="1:11" x14ac:dyDescent="0.2">
      <c r="A154">
        <v>2017</v>
      </c>
      <c r="B154" s="34">
        <v>215</v>
      </c>
      <c r="C154" s="34" t="s">
        <v>152</v>
      </c>
      <c r="D154" s="36">
        <v>148310</v>
      </c>
      <c r="E154" s="36">
        <v>1342910</v>
      </c>
      <c r="F154" s="57"/>
      <c r="G154" s="57"/>
      <c r="H154" s="65"/>
      <c r="I154" s="64"/>
      <c r="J154" s="65"/>
      <c r="K154" s="64"/>
    </row>
    <row r="155" spans="1:11" x14ac:dyDescent="0.2">
      <c r="A155">
        <v>2017</v>
      </c>
      <c r="B155" s="34">
        <v>216</v>
      </c>
      <c r="C155" s="34" t="s">
        <v>153</v>
      </c>
      <c r="D155" s="36">
        <v>20210</v>
      </c>
      <c r="E155" s="36">
        <v>113477</v>
      </c>
      <c r="F155" s="57"/>
      <c r="G155" s="57"/>
      <c r="H155" s="65"/>
      <c r="I155" s="64"/>
      <c r="J155" s="65"/>
      <c r="K155" s="64"/>
    </row>
    <row r="156" spans="1:11" x14ac:dyDescent="0.2">
      <c r="A156">
        <v>2017</v>
      </c>
      <c r="B156" s="34">
        <v>217</v>
      </c>
      <c r="C156" s="34" t="s">
        <v>154</v>
      </c>
      <c r="D156" s="36">
        <v>413764</v>
      </c>
      <c r="E156" s="36">
        <v>2371547</v>
      </c>
      <c r="F156" s="57"/>
      <c r="G156" s="57"/>
      <c r="H156" s="65"/>
      <c r="I156" s="64"/>
      <c r="J156" s="65"/>
      <c r="K156" s="64"/>
    </row>
    <row r="157" spans="1:11" x14ac:dyDescent="0.2">
      <c r="A157">
        <v>2017</v>
      </c>
      <c r="B157" s="34">
        <v>218</v>
      </c>
      <c r="C157" s="34" t="s">
        <v>155</v>
      </c>
      <c r="D157" s="36">
        <v>264078</v>
      </c>
      <c r="E157" s="36">
        <v>2086399</v>
      </c>
      <c r="F157" s="57"/>
      <c r="G157" s="57"/>
      <c r="H157" s="65"/>
      <c r="I157" s="64"/>
      <c r="J157" s="65"/>
      <c r="K157" s="64"/>
    </row>
    <row r="158" spans="1:11" x14ac:dyDescent="0.2">
      <c r="A158">
        <v>2017</v>
      </c>
      <c r="B158" s="34">
        <v>219</v>
      </c>
      <c r="C158" s="34" t="s">
        <v>156</v>
      </c>
      <c r="D158" s="36">
        <v>240549</v>
      </c>
      <c r="E158" s="36">
        <v>1558450</v>
      </c>
      <c r="F158" s="57"/>
      <c r="G158" s="57"/>
      <c r="H158" s="65"/>
      <c r="I158" s="64"/>
      <c r="J158" s="65"/>
      <c r="K158" s="64"/>
    </row>
    <row r="159" spans="1:11" x14ac:dyDescent="0.2">
      <c r="A159">
        <v>2017</v>
      </c>
      <c r="B159" s="34">
        <v>220</v>
      </c>
      <c r="C159" s="34" t="s">
        <v>157</v>
      </c>
      <c r="D159" s="36">
        <v>42707</v>
      </c>
      <c r="E159" s="36">
        <v>224377</v>
      </c>
      <c r="F159" s="57"/>
      <c r="G159" s="57"/>
      <c r="H159" s="65"/>
      <c r="I159" s="64"/>
      <c r="J159" s="65"/>
      <c r="K159" s="64"/>
    </row>
    <row r="160" spans="1:11" x14ac:dyDescent="0.2">
      <c r="A160">
        <v>2017</v>
      </c>
      <c r="B160" s="34">
        <v>221</v>
      </c>
      <c r="C160" s="34" t="s">
        <v>554</v>
      </c>
      <c r="D160" s="36">
        <v>16612</v>
      </c>
      <c r="E160" s="36">
        <v>170768</v>
      </c>
      <c r="F160" s="57"/>
      <c r="G160" s="57"/>
      <c r="H160" s="65"/>
      <c r="I160" s="64"/>
      <c r="J160" s="65"/>
      <c r="K160" s="64"/>
    </row>
    <row r="161" spans="1:11" x14ac:dyDescent="0.2">
      <c r="A161">
        <v>2017</v>
      </c>
      <c r="B161" s="34">
        <v>222</v>
      </c>
      <c r="C161" s="34" t="s">
        <v>159</v>
      </c>
      <c r="D161" s="36">
        <v>6737</v>
      </c>
      <c r="E161" s="36">
        <v>57090</v>
      </c>
      <c r="F161" s="57"/>
      <c r="G161" s="57"/>
      <c r="H161" s="65"/>
      <c r="I161" s="64"/>
      <c r="J161" s="65"/>
      <c r="K161" s="64"/>
    </row>
    <row r="162" spans="1:11" x14ac:dyDescent="0.2">
      <c r="A162">
        <v>2017</v>
      </c>
      <c r="B162" s="34">
        <v>223</v>
      </c>
      <c r="C162" s="34" t="s">
        <v>160</v>
      </c>
      <c r="D162" s="36">
        <v>177554</v>
      </c>
      <c r="E162" s="36">
        <v>1511050</v>
      </c>
      <c r="F162" s="57"/>
      <c r="G162" s="57"/>
      <c r="H162" s="65"/>
      <c r="I162" s="64"/>
      <c r="J162" s="65"/>
      <c r="K162" s="64"/>
    </row>
    <row r="163" spans="1:11" x14ac:dyDescent="0.2">
      <c r="A163">
        <v>2017</v>
      </c>
      <c r="B163" s="34">
        <v>224</v>
      </c>
      <c r="C163" s="34" t="s">
        <v>161</v>
      </c>
      <c r="D163" s="36">
        <v>467873</v>
      </c>
      <c r="E163" s="36">
        <v>3091334</v>
      </c>
      <c r="F163" s="57"/>
      <c r="G163" s="57"/>
      <c r="H163" s="65"/>
      <c r="I163" s="64"/>
      <c r="J163" s="65"/>
      <c r="K163" s="64"/>
    </row>
    <row r="164" spans="1:11" x14ac:dyDescent="0.2">
      <c r="A164">
        <v>2017</v>
      </c>
      <c r="B164" s="34">
        <v>225</v>
      </c>
      <c r="C164" s="34" t="s">
        <v>162</v>
      </c>
      <c r="D164" s="36">
        <v>61454</v>
      </c>
      <c r="E164" s="36">
        <v>340935</v>
      </c>
      <c r="F164" s="57"/>
      <c r="G164" s="57"/>
      <c r="H164" s="65"/>
      <c r="I164" s="64"/>
      <c r="J164" s="65"/>
      <c r="K164" s="64"/>
    </row>
    <row r="165" spans="1:11" x14ac:dyDescent="0.2">
      <c r="A165">
        <v>2017</v>
      </c>
      <c r="B165" s="34">
        <v>229</v>
      </c>
      <c r="C165" s="34" t="s">
        <v>163</v>
      </c>
      <c r="D165" s="36">
        <v>81780</v>
      </c>
      <c r="E165" s="36">
        <v>652783</v>
      </c>
      <c r="F165" s="57"/>
      <c r="G165" s="57"/>
      <c r="H165" s="65"/>
      <c r="I165" s="64"/>
      <c r="J165" s="65"/>
      <c r="K165" s="64"/>
    </row>
    <row r="166" spans="1:11" x14ac:dyDescent="0.2">
      <c r="A166">
        <v>2017</v>
      </c>
      <c r="B166" s="34">
        <v>230</v>
      </c>
      <c r="C166" s="34" t="s">
        <v>164</v>
      </c>
      <c r="D166" s="36">
        <v>176073</v>
      </c>
      <c r="E166" s="36">
        <v>1118790</v>
      </c>
      <c r="F166" s="57"/>
      <c r="G166" s="57"/>
      <c r="H166" s="65"/>
      <c r="I166" s="64"/>
      <c r="J166" s="65"/>
      <c r="K166" s="64"/>
    </row>
    <row r="167" spans="1:11" x14ac:dyDescent="0.2">
      <c r="A167">
        <v>2017</v>
      </c>
      <c r="B167" s="34">
        <v>232</v>
      </c>
      <c r="C167" s="34" t="s">
        <v>165</v>
      </c>
      <c r="D167" s="36">
        <v>33830</v>
      </c>
      <c r="E167" s="36">
        <v>301164</v>
      </c>
      <c r="F167" s="57"/>
      <c r="G167" s="57"/>
      <c r="H167" s="65"/>
      <c r="I167" s="64"/>
      <c r="J167" s="65"/>
      <c r="K167" s="64"/>
    </row>
    <row r="168" spans="1:11" x14ac:dyDescent="0.2">
      <c r="A168">
        <v>2017</v>
      </c>
      <c r="B168" s="34">
        <v>233</v>
      </c>
      <c r="C168" s="34" t="s">
        <v>166</v>
      </c>
      <c r="D168" s="36">
        <v>23767</v>
      </c>
      <c r="E168" s="36">
        <v>248629</v>
      </c>
      <c r="F168" s="57"/>
      <c r="G168" s="57"/>
      <c r="H168" s="65"/>
      <c r="I168" s="64"/>
      <c r="J168" s="65"/>
      <c r="K168" s="64"/>
    </row>
    <row r="169" spans="1:11" x14ac:dyDescent="0.2">
      <c r="A169">
        <v>2017</v>
      </c>
      <c r="B169" s="34">
        <v>234</v>
      </c>
      <c r="C169" s="34" t="s">
        <v>167</v>
      </c>
      <c r="D169" s="36">
        <v>37816</v>
      </c>
      <c r="E169" s="36">
        <v>296220</v>
      </c>
      <c r="F169" s="57"/>
      <c r="G169" s="57"/>
      <c r="H169" s="65"/>
      <c r="I169" s="64"/>
      <c r="J169" s="65"/>
      <c r="K169" s="64"/>
    </row>
    <row r="170" spans="1:11" x14ac:dyDescent="0.2">
      <c r="A170">
        <v>2017</v>
      </c>
      <c r="B170" s="34">
        <v>235</v>
      </c>
      <c r="C170" s="34" t="s">
        <v>168</v>
      </c>
      <c r="D170" s="36">
        <v>476313</v>
      </c>
      <c r="E170" s="36">
        <v>3063038</v>
      </c>
      <c r="F170" s="57"/>
      <c r="G170" s="57"/>
      <c r="H170" s="65"/>
      <c r="I170" s="64"/>
      <c r="J170" s="65"/>
      <c r="K170" s="64"/>
    </row>
    <row r="171" spans="1:11" x14ac:dyDescent="0.2">
      <c r="A171">
        <v>2017</v>
      </c>
      <c r="B171" s="34">
        <v>236</v>
      </c>
      <c r="C171" s="34" t="s">
        <v>169</v>
      </c>
      <c r="D171" s="36">
        <v>481135</v>
      </c>
      <c r="E171" s="36">
        <v>3200638</v>
      </c>
      <c r="F171" s="57"/>
      <c r="G171" s="57"/>
      <c r="H171" s="65"/>
      <c r="I171" s="64"/>
      <c r="J171" s="65"/>
      <c r="K171" s="64"/>
    </row>
    <row r="172" spans="1:11" x14ac:dyDescent="0.2">
      <c r="A172">
        <v>2017</v>
      </c>
      <c r="B172" s="34">
        <v>237</v>
      </c>
      <c r="C172" s="34" t="s">
        <v>170</v>
      </c>
      <c r="D172" s="36">
        <v>54194</v>
      </c>
      <c r="E172" s="36">
        <v>408828</v>
      </c>
      <c r="F172" s="57"/>
      <c r="G172" s="57"/>
      <c r="H172" s="65"/>
      <c r="I172" s="64"/>
      <c r="J172" s="65"/>
      <c r="K172" s="64"/>
    </row>
    <row r="173" spans="1:11" x14ac:dyDescent="0.2">
      <c r="A173">
        <v>2017</v>
      </c>
      <c r="B173" s="34">
        <v>238</v>
      </c>
      <c r="C173" s="34" t="s">
        <v>171</v>
      </c>
      <c r="D173" s="36">
        <v>17415</v>
      </c>
      <c r="E173" s="36">
        <v>185675</v>
      </c>
      <c r="F173" s="57"/>
      <c r="G173" s="57"/>
      <c r="H173" s="65"/>
      <c r="I173" s="64"/>
      <c r="J173" s="65"/>
      <c r="K173" s="64"/>
    </row>
    <row r="174" spans="1:11" x14ac:dyDescent="0.2">
      <c r="A174">
        <v>2017</v>
      </c>
      <c r="B174" s="34">
        <v>239</v>
      </c>
      <c r="C174" s="34" t="s">
        <v>172</v>
      </c>
      <c r="D174" s="36">
        <v>134142</v>
      </c>
      <c r="E174" s="36">
        <v>807125</v>
      </c>
      <c r="F174" s="57"/>
      <c r="G174" s="57"/>
      <c r="H174" s="65"/>
      <c r="I174" s="64"/>
      <c r="J174" s="65"/>
      <c r="K174" s="64"/>
    </row>
    <row r="175" spans="1:11" x14ac:dyDescent="0.2">
      <c r="A175">
        <v>2017</v>
      </c>
      <c r="B175" s="34">
        <v>240</v>
      </c>
      <c r="C175" s="34" t="s">
        <v>216</v>
      </c>
      <c r="D175" s="36">
        <v>277000</v>
      </c>
      <c r="E175" s="36">
        <v>1377723</v>
      </c>
      <c r="F175" s="57"/>
      <c r="G175" s="57"/>
      <c r="H175" s="65"/>
      <c r="I175" s="64"/>
      <c r="J175" s="65"/>
      <c r="K175" s="64"/>
    </row>
    <row r="176" spans="1:11" x14ac:dyDescent="0.2">
      <c r="A176">
        <v>2017</v>
      </c>
      <c r="B176" s="34">
        <v>241</v>
      </c>
      <c r="C176" s="34" t="s">
        <v>173</v>
      </c>
      <c r="D176" s="36">
        <v>91498</v>
      </c>
      <c r="E176" s="36">
        <v>639256</v>
      </c>
      <c r="F176" s="57"/>
      <c r="G176" s="57"/>
      <c r="H176" s="65"/>
      <c r="I176" s="64"/>
      <c r="J176" s="65"/>
      <c r="K176" s="64"/>
    </row>
    <row r="177" spans="1:11" x14ac:dyDescent="0.2">
      <c r="A177">
        <v>2017</v>
      </c>
      <c r="B177" s="34">
        <v>242</v>
      </c>
      <c r="C177" s="34" t="s">
        <v>174</v>
      </c>
      <c r="D177" s="36">
        <v>3218514</v>
      </c>
      <c r="E177" s="36">
        <v>17810745</v>
      </c>
      <c r="F177" s="57"/>
      <c r="G177" s="57"/>
      <c r="H177" s="65"/>
      <c r="I177" s="64"/>
      <c r="J177" s="65"/>
      <c r="K177" s="64"/>
    </row>
    <row r="178" spans="1:11" x14ac:dyDescent="0.2">
      <c r="A178">
        <v>2017</v>
      </c>
      <c r="B178" s="34">
        <v>243</v>
      </c>
      <c r="C178" s="34" t="s">
        <v>175</v>
      </c>
      <c r="D178" s="36">
        <v>6627</v>
      </c>
      <c r="E178" s="36">
        <v>40287</v>
      </c>
      <c r="F178" s="57"/>
      <c r="G178" s="57"/>
      <c r="H178" s="65"/>
      <c r="I178" s="64"/>
      <c r="J178" s="65"/>
      <c r="K178" s="64"/>
    </row>
    <row r="179" spans="1:11" x14ac:dyDescent="0.2">
      <c r="A179">
        <v>2017</v>
      </c>
      <c r="B179" s="34">
        <v>244</v>
      </c>
      <c r="C179" s="34" t="s">
        <v>176</v>
      </c>
      <c r="D179" s="36">
        <v>32004</v>
      </c>
      <c r="E179" s="36">
        <v>163307</v>
      </c>
      <c r="F179" s="57"/>
      <c r="G179" s="57"/>
      <c r="H179" s="65"/>
      <c r="I179" s="64"/>
      <c r="J179" s="65"/>
      <c r="K179" s="64"/>
    </row>
    <row r="180" spans="1:11" x14ac:dyDescent="0.2">
      <c r="A180">
        <v>2017</v>
      </c>
      <c r="B180" s="34">
        <v>245</v>
      </c>
      <c r="C180" s="34" t="s">
        <v>177</v>
      </c>
      <c r="D180" s="36">
        <v>18543</v>
      </c>
      <c r="E180" s="36">
        <v>83458</v>
      </c>
      <c r="F180" s="57"/>
      <c r="G180" s="57"/>
      <c r="H180" s="65"/>
      <c r="I180" s="64"/>
      <c r="J180" s="65"/>
      <c r="K180" s="64"/>
    </row>
    <row r="181" spans="1:11" x14ac:dyDescent="0.2">
      <c r="A181">
        <v>2017</v>
      </c>
      <c r="B181" s="34">
        <v>246</v>
      </c>
      <c r="C181" s="34" t="s">
        <v>178</v>
      </c>
      <c r="D181" s="36">
        <v>10301</v>
      </c>
      <c r="E181" s="36">
        <v>51805</v>
      </c>
      <c r="F181" s="57"/>
      <c r="G181" s="57"/>
      <c r="H181" s="65"/>
      <c r="I181" s="64"/>
      <c r="J181" s="65"/>
      <c r="K181" s="64"/>
    </row>
    <row r="182" spans="1:11" x14ac:dyDescent="0.2">
      <c r="A182">
        <v>2017</v>
      </c>
      <c r="B182" s="34">
        <v>247</v>
      </c>
      <c r="C182" s="34" t="s">
        <v>179</v>
      </c>
      <c r="D182" s="36">
        <v>101347</v>
      </c>
      <c r="E182" s="36">
        <v>815535</v>
      </c>
      <c r="F182" s="57"/>
      <c r="G182" s="57"/>
      <c r="H182" s="65"/>
      <c r="I182" s="64"/>
      <c r="J182" s="65"/>
      <c r="K182" s="64"/>
    </row>
    <row r="183" spans="1:11" x14ac:dyDescent="0.2">
      <c r="A183">
        <v>2017</v>
      </c>
      <c r="B183" s="34">
        <v>248</v>
      </c>
      <c r="C183" s="34" t="s">
        <v>180</v>
      </c>
      <c r="D183" s="36">
        <v>20602</v>
      </c>
      <c r="E183" s="36">
        <v>79718</v>
      </c>
      <c r="F183" s="57"/>
      <c r="G183" s="57"/>
      <c r="H183" s="65"/>
      <c r="I183" s="64"/>
      <c r="J183" s="65"/>
      <c r="K183" s="64"/>
    </row>
    <row r="184" spans="1:11" x14ac:dyDescent="0.2">
      <c r="A184">
        <v>2017</v>
      </c>
      <c r="B184" s="34">
        <v>249</v>
      </c>
      <c r="C184" s="34" t="s">
        <v>181</v>
      </c>
      <c r="D184" s="36">
        <v>82541</v>
      </c>
      <c r="E184" s="36">
        <v>585358</v>
      </c>
      <c r="F184" s="57"/>
      <c r="G184" s="57"/>
      <c r="H184" s="65"/>
      <c r="I184" s="64"/>
      <c r="J184" s="65"/>
      <c r="K184" s="64"/>
    </row>
    <row r="185" spans="1:11" x14ac:dyDescent="0.2">
      <c r="A185">
        <v>2017</v>
      </c>
      <c r="B185" s="34">
        <v>250</v>
      </c>
      <c r="C185" s="34" t="s">
        <v>182</v>
      </c>
      <c r="D185" s="36">
        <v>30618</v>
      </c>
      <c r="E185" s="36">
        <v>158021</v>
      </c>
      <c r="F185" s="57"/>
      <c r="G185" s="57"/>
      <c r="H185" s="65"/>
      <c r="I185" s="64"/>
      <c r="J185" s="65"/>
      <c r="K185" s="64"/>
    </row>
    <row r="186" spans="1:11" x14ac:dyDescent="0.2">
      <c r="A186">
        <v>2017</v>
      </c>
      <c r="B186" s="34">
        <v>251</v>
      </c>
      <c r="C186" s="34" t="s">
        <v>183</v>
      </c>
      <c r="D186" s="36">
        <v>17572</v>
      </c>
      <c r="E186" s="36">
        <v>108403</v>
      </c>
      <c r="F186" s="57"/>
      <c r="G186" s="57"/>
      <c r="H186" s="65"/>
      <c r="I186" s="64"/>
      <c r="J186" s="65"/>
      <c r="K186" s="64"/>
    </row>
    <row r="187" spans="1:11" x14ac:dyDescent="0.2">
      <c r="A187">
        <v>2017</v>
      </c>
      <c r="B187" s="34">
        <v>252</v>
      </c>
      <c r="C187" s="34" t="s">
        <v>184</v>
      </c>
      <c r="D187" s="36">
        <v>16479</v>
      </c>
      <c r="E187" s="36">
        <v>75221</v>
      </c>
      <c r="F187" s="57"/>
      <c r="G187" s="57"/>
      <c r="H187" s="65"/>
      <c r="I187" s="64"/>
      <c r="J187" s="65"/>
      <c r="K187" s="64"/>
    </row>
    <row r="188" spans="1:11" x14ac:dyDescent="0.2">
      <c r="A188">
        <v>2017</v>
      </c>
      <c r="B188" s="34">
        <v>254</v>
      </c>
      <c r="C188" s="34" t="s">
        <v>185</v>
      </c>
      <c r="D188" s="36">
        <v>38012</v>
      </c>
      <c r="E188" s="36">
        <v>455474</v>
      </c>
      <c r="F188" s="57"/>
      <c r="G188" s="57"/>
      <c r="H188" s="65"/>
      <c r="I188" s="64"/>
      <c r="J188" s="65"/>
      <c r="K188" s="64"/>
    </row>
    <row r="189" spans="1:11" x14ac:dyDescent="0.2">
      <c r="A189">
        <v>2017</v>
      </c>
      <c r="B189" s="34">
        <v>256</v>
      </c>
      <c r="C189" s="34" t="s">
        <v>186</v>
      </c>
      <c r="D189" s="36">
        <v>5296</v>
      </c>
      <c r="E189" s="36">
        <v>53087</v>
      </c>
      <c r="F189" s="57"/>
      <c r="G189" s="57"/>
      <c r="H189" s="65"/>
      <c r="I189" s="64"/>
      <c r="J189" s="65"/>
      <c r="K189" s="64"/>
    </row>
    <row r="190" spans="1:11" x14ac:dyDescent="0.2">
      <c r="A190">
        <v>2017</v>
      </c>
      <c r="B190" s="34">
        <v>258</v>
      </c>
      <c r="C190" s="34" t="s">
        <v>187</v>
      </c>
      <c r="D190" s="36">
        <v>61843</v>
      </c>
      <c r="E190" s="36">
        <v>128823</v>
      </c>
      <c r="F190" s="57"/>
      <c r="G190" s="57"/>
      <c r="H190" s="65"/>
      <c r="I190" s="64"/>
      <c r="J190" s="65"/>
      <c r="K190" s="64"/>
    </row>
    <row r="191" spans="1:11" x14ac:dyDescent="0.2">
      <c r="A191">
        <v>2017</v>
      </c>
      <c r="B191" s="34">
        <v>259</v>
      </c>
      <c r="C191" s="34" t="s">
        <v>188</v>
      </c>
      <c r="D191" s="36">
        <v>8849</v>
      </c>
      <c r="E191" s="36">
        <v>57287</v>
      </c>
      <c r="F191" s="57"/>
      <c r="G191" s="57"/>
      <c r="H191" s="65"/>
      <c r="I191" s="64"/>
      <c r="J191" s="65"/>
      <c r="K191" s="64"/>
    </row>
    <row r="192" spans="1:11" x14ac:dyDescent="0.2">
      <c r="A192">
        <v>2017</v>
      </c>
      <c r="B192" s="34">
        <v>260</v>
      </c>
      <c r="C192" s="34" t="s">
        <v>189</v>
      </c>
      <c r="D192" s="36">
        <v>6721</v>
      </c>
      <c r="E192" s="36">
        <v>47486</v>
      </c>
      <c r="F192" s="57"/>
      <c r="G192" s="57"/>
      <c r="H192" s="65"/>
      <c r="I192" s="64"/>
      <c r="J192" s="65"/>
      <c r="K192" s="64"/>
    </row>
    <row r="193" spans="1:11" x14ac:dyDescent="0.2">
      <c r="A193">
        <v>2017</v>
      </c>
      <c r="B193" s="34">
        <v>261</v>
      </c>
      <c r="C193" s="34" t="s">
        <v>190</v>
      </c>
      <c r="D193" s="36">
        <v>10184</v>
      </c>
      <c r="E193" s="36">
        <v>84516</v>
      </c>
      <c r="F193" s="57"/>
      <c r="G193" s="57"/>
      <c r="H193" s="65"/>
      <c r="I193" s="64"/>
      <c r="J193" s="65"/>
      <c r="K193" s="64"/>
    </row>
    <row r="194" spans="1:11" x14ac:dyDescent="0.2">
      <c r="A194">
        <v>2017</v>
      </c>
      <c r="B194" s="34">
        <v>264</v>
      </c>
      <c r="C194" s="34" t="s">
        <v>191</v>
      </c>
      <c r="D194" s="36">
        <v>89816</v>
      </c>
      <c r="E194" s="36">
        <v>1241468</v>
      </c>
      <c r="F194" s="57"/>
      <c r="G194" s="57"/>
      <c r="H194" s="65"/>
      <c r="I194" s="64"/>
      <c r="J194" s="65"/>
      <c r="K194" s="64"/>
    </row>
    <row r="195" spans="1:11" x14ac:dyDescent="0.2">
      <c r="A195">
        <v>2017</v>
      </c>
      <c r="B195" s="34">
        <v>266</v>
      </c>
      <c r="C195" s="34" t="s">
        <v>192</v>
      </c>
      <c r="D195" s="36">
        <v>69511</v>
      </c>
      <c r="E195" s="36">
        <v>452069</v>
      </c>
      <c r="F195" s="57"/>
      <c r="G195" s="57"/>
      <c r="H195" s="65"/>
      <c r="I195" s="64"/>
      <c r="J195" s="65"/>
      <c r="K195" s="64"/>
    </row>
    <row r="196" spans="1:11" x14ac:dyDescent="0.2">
      <c r="A196">
        <v>2017</v>
      </c>
      <c r="B196" s="34">
        <v>267</v>
      </c>
      <c r="C196" s="34" t="s">
        <v>193</v>
      </c>
      <c r="D196" s="36">
        <v>37367</v>
      </c>
      <c r="E196" s="36">
        <v>199697</v>
      </c>
      <c r="F196" s="57"/>
      <c r="G196" s="57"/>
      <c r="H196" s="65"/>
      <c r="I196" s="64"/>
      <c r="J196" s="65"/>
      <c r="K196" s="64"/>
    </row>
    <row r="197" spans="1:11" x14ac:dyDescent="0.2">
      <c r="A197">
        <v>2017</v>
      </c>
      <c r="B197" s="34">
        <v>268</v>
      </c>
      <c r="C197" s="34" t="s">
        <v>194</v>
      </c>
      <c r="D197" s="36">
        <v>25393</v>
      </c>
      <c r="E197" s="36">
        <v>209803</v>
      </c>
      <c r="F197" s="57"/>
      <c r="G197" s="57"/>
      <c r="H197" s="65"/>
      <c r="I197" s="64"/>
      <c r="J197" s="65"/>
      <c r="K197" s="64"/>
    </row>
    <row r="198" spans="1:11" x14ac:dyDescent="0.2">
      <c r="A198">
        <v>2017</v>
      </c>
      <c r="B198" s="34">
        <v>269</v>
      </c>
      <c r="C198" s="34" t="s">
        <v>555</v>
      </c>
      <c r="D198" s="36">
        <v>41107</v>
      </c>
      <c r="E198" s="36">
        <v>198057</v>
      </c>
      <c r="F198" s="57"/>
      <c r="G198" s="57"/>
      <c r="H198" s="65"/>
      <c r="I198" s="64"/>
      <c r="J198" s="65"/>
      <c r="K198" s="64"/>
    </row>
    <row r="199" spans="1:11" x14ac:dyDescent="0.2">
      <c r="A199">
        <v>2017</v>
      </c>
      <c r="B199" s="34">
        <v>270</v>
      </c>
      <c r="C199" s="34" t="s">
        <v>196</v>
      </c>
      <c r="D199" s="36">
        <v>19347</v>
      </c>
      <c r="E199" s="36">
        <v>239169</v>
      </c>
      <c r="F199" s="57"/>
      <c r="G199" s="57"/>
      <c r="H199" s="65"/>
      <c r="I199" s="64"/>
      <c r="J199" s="65"/>
      <c r="K199" s="64"/>
    </row>
    <row r="200" spans="1:11" x14ac:dyDescent="0.2">
      <c r="A200">
        <v>2017</v>
      </c>
      <c r="B200" s="34">
        <v>271</v>
      </c>
      <c r="C200" s="34" t="s">
        <v>197</v>
      </c>
      <c r="D200" s="36">
        <v>30550</v>
      </c>
      <c r="E200" s="36">
        <v>210678</v>
      </c>
      <c r="F200" s="57"/>
      <c r="G200" s="57"/>
      <c r="H200" s="65"/>
      <c r="I200" s="64"/>
      <c r="J200" s="65"/>
      <c r="K200" s="64"/>
    </row>
    <row r="201" spans="1:11" x14ac:dyDescent="0.2">
      <c r="A201">
        <v>2017</v>
      </c>
      <c r="B201" s="34">
        <v>272</v>
      </c>
      <c r="C201" s="34" t="s">
        <v>198</v>
      </c>
      <c r="D201" s="36">
        <v>9349</v>
      </c>
      <c r="E201" s="36">
        <v>107041</v>
      </c>
      <c r="F201" s="57"/>
      <c r="G201" s="57"/>
      <c r="H201" s="65"/>
      <c r="I201" s="64"/>
      <c r="J201" s="65"/>
      <c r="K201" s="64"/>
    </row>
    <row r="202" spans="1:11" x14ac:dyDescent="0.2">
      <c r="A202">
        <v>2017</v>
      </c>
      <c r="B202" s="34">
        <v>273</v>
      </c>
      <c r="C202" s="34" t="s">
        <v>199</v>
      </c>
      <c r="D202" s="36">
        <v>41586</v>
      </c>
      <c r="E202" s="36">
        <v>291583</v>
      </c>
      <c r="F202" s="57"/>
      <c r="G202" s="57"/>
      <c r="H202" s="65"/>
      <c r="I202" s="64"/>
      <c r="J202" s="65"/>
      <c r="K202" s="64"/>
    </row>
    <row r="203" spans="1:11" x14ac:dyDescent="0.2">
      <c r="A203">
        <v>2017</v>
      </c>
      <c r="B203" s="34">
        <v>274</v>
      </c>
      <c r="C203" s="34" t="s">
        <v>200</v>
      </c>
      <c r="D203" s="36">
        <v>24621</v>
      </c>
      <c r="E203" s="36">
        <v>247446</v>
      </c>
      <c r="F203" s="57"/>
      <c r="G203" s="57"/>
      <c r="H203" s="65"/>
      <c r="I203" s="64"/>
      <c r="J203" s="65"/>
      <c r="K203" s="64"/>
    </row>
    <row r="204" spans="1:11" x14ac:dyDescent="0.2">
      <c r="A204">
        <v>2017</v>
      </c>
      <c r="B204" s="34">
        <v>275</v>
      </c>
      <c r="C204" s="34" t="s">
        <v>201</v>
      </c>
      <c r="D204" s="36">
        <v>49470</v>
      </c>
      <c r="E204" s="36">
        <v>449376</v>
      </c>
      <c r="F204" s="57"/>
      <c r="G204" s="57"/>
      <c r="H204" s="65"/>
      <c r="I204" s="64"/>
      <c r="J204" s="65"/>
      <c r="K204" s="64"/>
    </row>
    <row r="205" spans="1:11" x14ac:dyDescent="0.2">
      <c r="A205">
        <v>2017</v>
      </c>
      <c r="B205" s="34">
        <v>276</v>
      </c>
      <c r="C205" s="34" t="s">
        <v>202</v>
      </c>
      <c r="D205" s="36">
        <v>20919</v>
      </c>
      <c r="E205" s="36">
        <v>147074</v>
      </c>
      <c r="F205" s="57"/>
      <c r="G205" s="57"/>
      <c r="H205" s="65"/>
      <c r="I205" s="64"/>
      <c r="J205" s="65"/>
      <c r="K205" s="64"/>
    </row>
    <row r="206" spans="1:11" x14ac:dyDescent="0.2">
      <c r="A206">
        <v>2017</v>
      </c>
      <c r="B206" s="34">
        <v>277</v>
      </c>
      <c r="C206" s="34" t="s">
        <v>203</v>
      </c>
      <c r="D206" s="36">
        <v>95494</v>
      </c>
      <c r="E206" s="36">
        <v>707698</v>
      </c>
      <c r="F206" s="57"/>
      <c r="G206" s="57"/>
      <c r="H206" s="65"/>
      <c r="I206" s="64"/>
      <c r="J206" s="65"/>
      <c r="K206" s="64"/>
    </row>
    <row r="207" spans="1:11" x14ac:dyDescent="0.2">
      <c r="A207">
        <v>2017</v>
      </c>
      <c r="B207" s="34">
        <v>278</v>
      </c>
      <c r="C207" s="34" t="s">
        <v>204</v>
      </c>
      <c r="D207" s="36">
        <v>111738</v>
      </c>
      <c r="E207" s="36">
        <v>939318</v>
      </c>
      <c r="F207" s="57"/>
      <c r="G207" s="57"/>
      <c r="H207" s="65"/>
      <c r="I207" s="64"/>
      <c r="J207" s="65"/>
      <c r="K207" s="64"/>
    </row>
    <row r="208" spans="1:11" x14ac:dyDescent="0.2">
      <c r="A208">
        <v>2017</v>
      </c>
      <c r="B208" s="34">
        <v>279</v>
      </c>
      <c r="C208" s="34" t="s">
        <v>205</v>
      </c>
      <c r="D208" s="36">
        <v>29027</v>
      </c>
      <c r="E208" s="36">
        <v>226371</v>
      </c>
      <c r="F208" s="57"/>
      <c r="G208" s="57"/>
      <c r="H208" s="65"/>
      <c r="I208" s="64"/>
      <c r="J208" s="65"/>
      <c r="K208" s="64"/>
    </row>
    <row r="209" spans="1:11" x14ac:dyDescent="0.2">
      <c r="A209">
        <v>2017</v>
      </c>
      <c r="B209" s="34">
        <v>280</v>
      </c>
      <c r="C209" s="34" t="s">
        <v>206</v>
      </c>
      <c r="D209" s="36">
        <v>270054</v>
      </c>
      <c r="E209" s="36">
        <v>1753240</v>
      </c>
      <c r="F209" s="57"/>
      <c r="G209" s="57"/>
      <c r="H209" s="65"/>
      <c r="I209" s="64"/>
      <c r="J209" s="65"/>
      <c r="K209" s="64"/>
    </row>
    <row r="210" spans="1:11" x14ac:dyDescent="0.2">
      <c r="A210">
        <v>2017</v>
      </c>
      <c r="B210" s="34">
        <v>281</v>
      </c>
      <c r="C210" s="34" t="s">
        <v>207</v>
      </c>
      <c r="D210" s="36">
        <v>20429</v>
      </c>
      <c r="E210" s="36">
        <v>174855</v>
      </c>
      <c r="F210" s="57"/>
      <c r="G210" s="57"/>
      <c r="H210" s="65"/>
      <c r="I210" s="64"/>
      <c r="J210" s="65"/>
      <c r="K210" s="64"/>
    </row>
    <row r="211" spans="1:11" x14ac:dyDescent="0.2">
      <c r="A211">
        <v>2017</v>
      </c>
      <c r="B211" s="34">
        <v>282</v>
      </c>
      <c r="C211" s="34" t="s">
        <v>208</v>
      </c>
      <c r="D211" s="36">
        <v>41984</v>
      </c>
      <c r="E211" s="36">
        <v>327195</v>
      </c>
      <c r="F211" s="57"/>
      <c r="G211" s="57"/>
      <c r="H211" s="65"/>
      <c r="I211" s="64"/>
      <c r="J211" s="65"/>
      <c r="K211" s="64"/>
    </row>
    <row r="212" spans="1:11" x14ac:dyDescent="0.2">
      <c r="A212">
        <v>2017</v>
      </c>
      <c r="B212" s="34">
        <v>284</v>
      </c>
      <c r="C212" s="34" t="s">
        <v>209</v>
      </c>
      <c r="D212" s="36">
        <v>24575</v>
      </c>
      <c r="E212" s="36">
        <v>135382</v>
      </c>
      <c r="F212" s="57"/>
      <c r="G212" s="57"/>
      <c r="H212" s="65"/>
      <c r="I212" s="64"/>
      <c r="J212" s="65"/>
      <c r="K212" s="64"/>
    </row>
    <row r="213" spans="1:11" x14ac:dyDescent="0.2">
      <c r="A213">
        <v>2017</v>
      </c>
      <c r="B213" s="34">
        <v>285</v>
      </c>
      <c r="C213" s="34" t="s">
        <v>210</v>
      </c>
      <c r="D213" s="36">
        <v>34398</v>
      </c>
      <c r="E213" s="36">
        <v>218734</v>
      </c>
      <c r="F213" s="57"/>
      <c r="G213" s="57"/>
      <c r="H213" s="65"/>
      <c r="I213" s="64"/>
      <c r="J213" s="65"/>
      <c r="K213" s="64"/>
    </row>
    <row r="214" spans="1:11" x14ac:dyDescent="0.2">
      <c r="A214">
        <v>2017</v>
      </c>
      <c r="B214" s="34">
        <v>286</v>
      </c>
      <c r="C214" s="34" t="s">
        <v>211</v>
      </c>
      <c r="D214" s="36">
        <v>106019</v>
      </c>
      <c r="E214" s="36">
        <v>793024</v>
      </c>
      <c r="F214" s="57"/>
      <c r="G214" s="57"/>
      <c r="H214" s="65"/>
      <c r="I214" s="64"/>
      <c r="J214" s="65"/>
      <c r="K214" s="64"/>
    </row>
    <row r="215" spans="1:11" x14ac:dyDescent="0.2">
      <c r="A215">
        <v>2017</v>
      </c>
      <c r="B215" s="34">
        <v>287</v>
      </c>
      <c r="C215" s="34" t="s">
        <v>212</v>
      </c>
      <c r="D215" s="36">
        <v>17352</v>
      </c>
      <c r="E215" s="36">
        <v>81314</v>
      </c>
      <c r="F215" s="57"/>
      <c r="G215" s="57"/>
      <c r="H215" s="65"/>
      <c r="I215" s="64"/>
      <c r="J215" s="65"/>
      <c r="K215" s="64"/>
    </row>
    <row r="216" spans="1:11" x14ac:dyDescent="0.2">
      <c r="A216">
        <v>2017</v>
      </c>
      <c r="B216" s="34">
        <v>288</v>
      </c>
      <c r="C216" s="34" t="s">
        <v>213</v>
      </c>
      <c r="D216" s="36">
        <v>57037</v>
      </c>
      <c r="E216" s="36">
        <v>308304</v>
      </c>
      <c r="F216" s="57"/>
      <c r="G216" s="57"/>
      <c r="H216" s="65"/>
      <c r="I216" s="64"/>
      <c r="J216" s="65"/>
      <c r="K216" s="64"/>
    </row>
    <row r="217" spans="1:11" x14ac:dyDescent="0.2">
      <c r="A217">
        <v>2017</v>
      </c>
      <c r="B217" s="34">
        <v>289</v>
      </c>
      <c r="C217" s="34" t="s">
        <v>214</v>
      </c>
      <c r="D217" s="36">
        <v>751542</v>
      </c>
      <c r="E217" s="36">
        <v>3925170</v>
      </c>
      <c r="F217" s="57"/>
      <c r="G217" s="57"/>
      <c r="H217" s="65"/>
      <c r="I217" s="64"/>
      <c r="J217" s="65"/>
      <c r="K217" s="64"/>
    </row>
    <row r="218" spans="1:11" x14ac:dyDescent="0.2">
      <c r="A218">
        <v>2017</v>
      </c>
      <c r="B218" s="34">
        <v>290</v>
      </c>
      <c r="C218" s="34" t="s">
        <v>217</v>
      </c>
      <c r="D218" s="36">
        <v>1787958</v>
      </c>
      <c r="E218" s="36">
        <v>10735098</v>
      </c>
      <c r="F218" s="57"/>
      <c r="G218" s="57"/>
      <c r="H218" s="65"/>
      <c r="I218" s="64"/>
      <c r="J218" s="65"/>
      <c r="K218" s="64"/>
    </row>
    <row r="219" spans="1:11" x14ac:dyDescent="0.2">
      <c r="A219">
        <v>2017</v>
      </c>
      <c r="B219" s="34">
        <v>291</v>
      </c>
      <c r="C219" s="34" t="s">
        <v>218</v>
      </c>
      <c r="D219" s="36">
        <v>484143</v>
      </c>
      <c r="E219" s="36">
        <v>2964364</v>
      </c>
      <c r="F219" s="57"/>
      <c r="G219" s="57"/>
      <c r="H219" s="65"/>
      <c r="I219" s="64"/>
      <c r="J219" s="65"/>
      <c r="K219" s="64"/>
    </row>
    <row r="220" spans="1:11" x14ac:dyDescent="0.2">
      <c r="A220">
        <v>2017</v>
      </c>
      <c r="B220" s="34">
        <v>292</v>
      </c>
      <c r="C220" s="34" t="s">
        <v>219</v>
      </c>
      <c r="D220" s="36">
        <v>141154</v>
      </c>
      <c r="E220" s="36">
        <v>1411399</v>
      </c>
      <c r="F220" s="57"/>
      <c r="G220" s="57"/>
      <c r="H220" s="65"/>
      <c r="I220" s="64"/>
      <c r="J220" s="65"/>
      <c r="K220" s="64"/>
    </row>
    <row r="221" spans="1:11" x14ac:dyDescent="0.2">
      <c r="A221">
        <v>2017</v>
      </c>
      <c r="B221" s="34">
        <v>293</v>
      </c>
      <c r="C221" s="34" t="s">
        <v>220</v>
      </c>
      <c r="D221" s="36">
        <v>2869157</v>
      </c>
      <c r="E221" s="36">
        <v>14276795</v>
      </c>
      <c r="F221" s="57"/>
      <c r="G221" s="57"/>
      <c r="H221" s="65"/>
      <c r="I221" s="64"/>
      <c r="J221" s="65"/>
      <c r="K221" s="64"/>
    </row>
    <row r="222" spans="1:11" x14ac:dyDescent="0.2">
      <c r="A222">
        <v>2017</v>
      </c>
      <c r="B222" s="34">
        <v>294</v>
      </c>
      <c r="C222" s="34" t="s">
        <v>221</v>
      </c>
      <c r="D222" s="36">
        <v>879078</v>
      </c>
      <c r="E222" s="36">
        <v>4620007</v>
      </c>
      <c r="F222" s="57"/>
      <c r="G222" s="57"/>
      <c r="H222" s="65"/>
      <c r="I222" s="64"/>
      <c r="J222" s="65"/>
      <c r="K222" s="64"/>
    </row>
    <row r="223" spans="1:11" x14ac:dyDescent="0.2">
      <c r="A223">
        <v>2017</v>
      </c>
      <c r="B223" s="34">
        <v>295</v>
      </c>
      <c r="C223" s="34" t="s">
        <v>222</v>
      </c>
      <c r="D223" s="36">
        <v>1426657</v>
      </c>
      <c r="E223" s="36">
        <v>7099331</v>
      </c>
      <c r="F223" s="57"/>
      <c r="G223" s="57"/>
      <c r="H223" s="65"/>
      <c r="I223" s="64"/>
      <c r="J223" s="65"/>
      <c r="K223" s="64"/>
    </row>
    <row r="224" spans="1:11" x14ac:dyDescent="0.2">
      <c r="A224">
        <v>2017</v>
      </c>
      <c r="B224" s="34">
        <v>296</v>
      </c>
      <c r="C224" s="34" t="s">
        <v>223</v>
      </c>
      <c r="D224" s="36">
        <v>641723</v>
      </c>
      <c r="E224" s="36">
        <v>3634799</v>
      </c>
      <c r="F224" s="57"/>
      <c r="G224" s="57"/>
      <c r="H224" s="65"/>
      <c r="I224" s="64"/>
      <c r="J224" s="65"/>
      <c r="K224" s="64"/>
    </row>
    <row r="225" spans="1:11" x14ac:dyDescent="0.2">
      <c r="A225">
        <v>2017</v>
      </c>
      <c r="B225" s="34">
        <v>297</v>
      </c>
      <c r="C225" s="34" t="s">
        <v>224</v>
      </c>
      <c r="D225" s="36">
        <v>64061</v>
      </c>
      <c r="E225" s="36">
        <v>441181</v>
      </c>
      <c r="F225" s="57"/>
      <c r="G225" s="57"/>
      <c r="H225" s="65"/>
      <c r="I225" s="64"/>
      <c r="J225" s="65"/>
      <c r="K225" s="64"/>
    </row>
    <row r="226" spans="1:11" x14ac:dyDescent="0.2">
      <c r="A226">
        <v>2017</v>
      </c>
      <c r="B226" s="34">
        <v>298</v>
      </c>
      <c r="C226" s="34" t="s">
        <v>225</v>
      </c>
      <c r="D226" s="36">
        <v>2355134</v>
      </c>
      <c r="E226" s="36">
        <v>10582890</v>
      </c>
      <c r="F226" s="57"/>
      <c r="G226" s="57"/>
      <c r="H226" s="65"/>
      <c r="I226" s="64"/>
      <c r="J226" s="65"/>
      <c r="K226" s="64"/>
    </row>
    <row r="227" spans="1:11" x14ac:dyDescent="0.2">
      <c r="A227">
        <v>2017</v>
      </c>
      <c r="B227" s="34">
        <v>299</v>
      </c>
      <c r="C227" s="34" t="s">
        <v>226</v>
      </c>
      <c r="D227" s="36">
        <v>450508</v>
      </c>
      <c r="E227" s="36">
        <v>2351356</v>
      </c>
      <c r="F227" s="57"/>
      <c r="G227" s="57"/>
      <c r="H227" s="65"/>
      <c r="I227" s="64"/>
      <c r="J227" s="65"/>
      <c r="K227" s="64"/>
    </row>
    <row r="228" spans="1:11" x14ac:dyDescent="0.2">
      <c r="A228">
        <v>2017</v>
      </c>
      <c r="B228" s="34">
        <v>302</v>
      </c>
      <c r="C228" s="34" t="s">
        <v>227</v>
      </c>
      <c r="D228" s="36">
        <v>292958</v>
      </c>
      <c r="E228" s="36">
        <v>2112927</v>
      </c>
      <c r="F228" s="57"/>
      <c r="G228" s="57"/>
      <c r="H228" s="65"/>
      <c r="I228" s="64"/>
      <c r="J228" s="65"/>
      <c r="K228" s="64"/>
    </row>
    <row r="229" spans="1:11" x14ac:dyDescent="0.2">
      <c r="A229">
        <v>2017</v>
      </c>
      <c r="B229" s="34">
        <v>303</v>
      </c>
      <c r="C229" s="34" t="s">
        <v>556</v>
      </c>
      <c r="D229" s="36">
        <v>90218</v>
      </c>
      <c r="E229" s="36">
        <v>487130</v>
      </c>
      <c r="F229" s="57"/>
      <c r="G229" s="57"/>
      <c r="H229" s="65"/>
      <c r="I229" s="64"/>
      <c r="J229" s="65"/>
      <c r="K229" s="64"/>
    </row>
    <row r="230" spans="1:11" x14ac:dyDescent="0.2">
      <c r="A230">
        <v>2017</v>
      </c>
      <c r="B230" s="34">
        <v>304</v>
      </c>
      <c r="C230" s="34" t="s">
        <v>229</v>
      </c>
      <c r="D230" s="36">
        <v>29801</v>
      </c>
      <c r="E230" s="36">
        <v>278905</v>
      </c>
      <c r="F230" s="57"/>
      <c r="G230" s="57"/>
      <c r="H230" s="65"/>
      <c r="I230" s="64"/>
      <c r="J230" s="65"/>
      <c r="K230" s="64"/>
    </row>
    <row r="231" spans="1:11" x14ac:dyDescent="0.2">
      <c r="A231">
        <v>2017</v>
      </c>
      <c r="B231" s="34">
        <v>305</v>
      </c>
      <c r="C231" s="34" t="s">
        <v>230</v>
      </c>
      <c r="D231" s="36">
        <v>463783</v>
      </c>
      <c r="E231" s="36">
        <v>2581999</v>
      </c>
      <c r="F231" s="57"/>
      <c r="G231" s="57"/>
      <c r="H231" s="65"/>
      <c r="I231" s="64"/>
      <c r="J231" s="65"/>
      <c r="K231" s="64"/>
    </row>
    <row r="232" spans="1:11" x14ac:dyDescent="0.2">
      <c r="A232">
        <v>2017</v>
      </c>
      <c r="B232" s="34">
        <v>306</v>
      </c>
      <c r="C232" s="34" t="s">
        <v>231</v>
      </c>
      <c r="D232" s="36">
        <v>865462</v>
      </c>
      <c r="E232" s="36">
        <v>4669219</v>
      </c>
      <c r="F232" s="57"/>
      <c r="G232" s="57"/>
      <c r="H232" s="65"/>
      <c r="I232" s="64"/>
      <c r="J232" s="65"/>
      <c r="K232" s="64"/>
    </row>
    <row r="233" spans="1:11" x14ac:dyDescent="0.2">
      <c r="A233">
        <v>2017</v>
      </c>
      <c r="B233" s="34">
        <v>307</v>
      </c>
      <c r="C233" s="34" t="s">
        <v>232</v>
      </c>
      <c r="D233" s="36">
        <v>416304</v>
      </c>
      <c r="E233" s="36">
        <v>3073850</v>
      </c>
      <c r="F233" s="57"/>
      <c r="G233" s="57"/>
      <c r="H233" s="65"/>
      <c r="I233" s="64"/>
      <c r="J233" s="65"/>
      <c r="K233" s="64"/>
    </row>
    <row r="234" spans="1:11" x14ac:dyDescent="0.2">
      <c r="A234">
        <v>2017</v>
      </c>
      <c r="B234" s="34">
        <v>308</v>
      </c>
      <c r="C234" s="34" t="s">
        <v>233</v>
      </c>
      <c r="D234" s="36">
        <v>19081</v>
      </c>
      <c r="E234" s="36">
        <v>100200</v>
      </c>
      <c r="F234" s="57"/>
      <c r="G234" s="57"/>
      <c r="H234" s="65"/>
      <c r="I234" s="64"/>
      <c r="J234" s="65"/>
      <c r="K234" s="64"/>
    </row>
    <row r="235" spans="1:11" x14ac:dyDescent="0.2">
      <c r="A235">
        <v>2017</v>
      </c>
      <c r="B235" s="34">
        <v>313</v>
      </c>
      <c r="C235" s="34" t="s">
        <v>234</v>
      </c>
      <c r="D235" s="36">
        <v>596362</v>
      </c>
      <c r="E235" s="36">
        <v>4560968</v>
      </c>
      <c r="F235" s="57"/>
      <c r="G235" s="57"/>
      <c r="H235" s="65"/>
      <c r="I235" s="64"/>
      <c r="J235" s="65"/>
      <c r="K235" s="64"/>
    </row>
    <row r="236" spans="1:11" x14ac:dyDescent="0.2">
      <c r="A236">
        <v>2017</v>
      </c>
      <c r="B236" s="34">
        <v>314</v>
      </c>
      <c r="C236" s="34" t="s">
        <v>557</v>
      </c>
      <c r="D236" s="36">
        <v>78545</v>
      </c>
      <c r="E236" s="36">
        <v>497334</v>
      </c>
      <c r="F236" s="57"/>
      <c r="G236" s="57"/>
      <c r="H236" s="65"/>
      <c r="I236" s="64"/>
      <c r="J236" s="65"/>
      <c r="K236" s="64"/>
    </row>
    <row r="237" spans="1:11" x14ac:dyDescent="0.2">
      <c r="A237">
        <v>2017</v>
      </c>
      <c r="B237" s="34">
        <v>315</v>
      </c>
      <c r="C237" s="34" t="s">
        <v>236</v>
      </c>
      <c r="D237" s="36">
        <v>414658</v>
      </c>
      <c r="E237" s="36">
        <v>2363523</v>
      </c>
      <c r="F237" s="57"/>
      <c r="G237" s="57"/>
      <c r="H237" s="65"/>
      <c r="I237" s="64"/>
      <c r="J237" s="65"/>
      <c r="K237" s="64"/>
    </row>
    <row r="238" spans="1:11" x14ac:dyDescent="0.2">
      <c r="A238">
        <v>2017</v>
      </c>
      <c r="B238" s="34">
        <v>317</v>
      </c>
      <c r="C238" s="34" t="s">
        <v>237</v>
      </c>
      <c r="D238" s="36">
        <v>206353</v>
      </c>
      <c r="E238" s="36">
        <v>1185709</v>
      </c>
      <c r="F238" s="57"/>
      <c r="G238" s="57"/>
      <c r="H238" s="65"/>
      <c r="I238" s="64"/>
      <c r="J238" s="65"/>
      <c r="K238" s="64"/>
    </row>
    <row r="239" spans="1:11" x14ac:dyDescent="0.2">
      <c r="A239">
        <v>2017</v>
      </c>
      <c r="B239" s="34">
        <v>318</v>
      </c>
      <c r="C239" s="34" t="s">
        <v>238</v>
      </c>
      <c r="D239" s="36">
        <v>246197</v>
      </c>
      <c r="E239" s="36">
        <v>2089340</v>
      </c>
      <c r="F239" s="57"/>
      <c r="G239" s="57"/>
      <c r="H239" s="65"/>
      <c r="I239" s="64"/>
      <c r="J239" s="65"/>
      <c r="K239" s="64"/>
    </row>
    <row r="240" spans="1:11" x14ac:dyDescent="0.2">
      <c r="A240">
        <v>2017</v>
      </c>
      <c r="B240" s="34">
        <v>319</v>
      </c>
      <c r="C240" s="34" t="s">
        <v>239</v>
      </c>
      <c r="D240" s="36">
        <v>130679</v>
      </c>
      <c r="E240" s="36">
        <v>722436</v>
      </c>
      <c r="F240" s="57"/>
      <c r="G240" s="57"/>
      <c r="H240" s="65"/>
      <c r="I240" s="64"/>
      <c r="J240" s="65"/>
      <c r="K240" s="64"/>
    </row>
    <row r="241" spans="1:11" x14ac:dyDescent="0.2">
      <c r="A241">
        <v>2017</v>
      </c>
      <c r="B241" s="34">
        <v>321</v>
      </c>
      <c r="C241" s="34" t="s">
        <v>240</v>
      </c>
      <c r="D241" s="36">
        <v>35885</v>
      </c>
      <c r="E241" s="36">
        <v>225047</v>
      </c>
      <c r="F241" s="57"/>
      <c r="G241" s="57"/>
      <c r="H241" s="65"/>
      <c r="I241" s="64"/>
      <c r="J241" s="65"/>
      <c r="K241" s="64"/>
    </row>
    <row r="242" spans="1:11" x14ac:dyDescent="0.2">
      <c r="A242">
        <v>2017</v>
      </c>
      <c r="B242" s="34">
        <v>322</v>
      </c>
      <c r="C242" s="34" t="s">
        <v>241</v>
      </c>
      <c r="D242" s="36">
        <v>317670</v>
      </c>
      <c r="E242" s="36">
        <v>2066842</v>
      </c>
      <c r="F242" s="57"/>
      <c r="G242" s="57"/>
      <c r="H242" s="65"/>
      <c r="I242" s="64"/>
      <c r="J242" s="65"/>
      <c r="K242" s="64"/>
    </row>
    <row r="243" spans="1:11" x14ac:dyDescent="0.2">
      <c r="A243">
        <v>2017</v>
      </c>
      <c r="B243" s="34">
        <v>323</v>
      </c>
      <c r="C243" s="34" t="s">
        <v>242</v>
      </c>
      <c r="D243" s="36">
        <v>1116568</v>
      </c>
      <c r="E243" s="36">
        <v>9016495</v>
      </c>
      <c r="F243" s="57"/>
      <c r="G243" s="57"/>
      <c r="H243" s="65"/>
      <c r="I243" s="64"/>
      <c r="J243" s="65"/>
      <c r="K243" s="64"/>
    </row>
    <row r="244" spans="1:11" x14ac:dyDescent="0.2">
      <c r="A244">
        <v>2017</v>
      </c>
      <c r="B244" s="34">
        <v>324</v>
      </c>
      <c r="C244" s="34" t="s">
        <v>243</v>
      </c>
      <c r="D244" s="36">
        <v>38440</v>
      </c>
      <c r="E244" s="36">
        <v>421679</v>
      </c>
      <c r="F244" s="57"/>
      <c r="G244" s="57"/>
      <c r="H244" s="65"/>
      <c r="I244" s="64"/>
      <c r="J244" s="65"/>
      <c r="K244" s="64"/>
    </row>
    <row r="245" spans="1:11" x14ac:dyDescent="0.2">
      <c r="A245">
        <v>2017</v>
      </c>
      <c r="B245" s="34">
        <v>325</v>
      </c>
      <c r="C245" s="34" t="s">
        <v>244</v>
      </c>
      <c r="D245" s="36">
        <v>276888</v>
      </c>
      <c r="E245" s="36">
        <v>2057989</v>
      </c>
      <c r="F245" s="57"/>
      <c r="G245" s="57"/>
      <c r="H245" s="65"/>
      <c r="I245" s="64"/>
      <c r="J245" s="65"/>
      <c r="K245" s="64"/>
    </row>
    <row r="246" spans="1:11" x14ac:dyDescent="0.2">
      <c r="A246">
        <v>2017</v>
      </c>
      <c r="B246" s="34">
        <v>326</v>
      </c>
      <c r="C246" s="34" t="s">
        <v>245</v>
      </c>
      <c r="D246" s="36">
        <v>22857</v>
      </c>
      <c r="E246" s="36">
        <v>198516</v>
      </c>
      <c r="F246" s="57"/>
      <c r="G246" s="57"/>
      <c r="H246" s="65"/>
      <c r="I246" s="64"/>
      <c r="J246" s="65"/>
      <c r="K246" s="64"/>
    </row>
    <row r="247" spans="1:11" x14ac:dyDescent="0.2">
      <c r="A247">
        <v>2017</v>
      </c>
      <c r="B247" s="34">
        <v>328</v>
      </c>
      <c r="C247" s="34" t="s">
        <v>246</v>
      </c>
      <c r="D247" s="36">
        <v>67198</v>
      </c>
      <c r="E247" s="36">
        <v>833602</v>
      </c>
      <c r="F247" s="57"/>
      <c r="G247" s="57"/>
      <c r="H247" s="65"/>
      <c r="I247" s="64"/>
      <c r="J247" s="65"/>
      <c r="K247" s="64"/>
    </row>
    <row r="248" spans="1:11" x14ac:dyDescent="0.2">
      <c r="A248">
        <v>2017</v>
      </c>
      <c r="B248" s="34">
        <v>329</v>
      </c>
      <c r="C248" s="34" t="s">
        <v>247</v>
      </c>
      <c r="D248" s="36">
        <v>14386</v>
      </c>
      <c r="E248" s="36">
        <v>121764</v>
      </c>
      <c r="F248" s="57"/>
      <c r="G248" s="57"/>
      <c r="H248" s="65"/>
      <c r="I248" s="64"/>
      <c r="J248" s="65"/>
      <c r="K248" s="64"/>
    </row>
    <row r="249" spans="1:11" x14ac:dyDescent="0.2">
      <c r="A249">
        <v>2017</v>
      </c>
      <c r="B249" s="34">
        <v>330</v>
      </c>
      <c r="C249" s="34" t="s">
        <v>248</v>
      </c>
      <c r="D249" s="36">
        <v>27128</v>
      </c>
      <c r="E249" s="36">
        <v>374554</v>
      </c>
      <c r="F249" s="57"/>
      <c r="G249" s="57"/>
      <c r="H249" s="65"/>
      <c r="I249" s="64"/>
      <c r="J249" s="65"/>
      <c r="K249" s="64"/>
    </row>
    <row r="250" spans="1:11" x14ac:dyDescent="0.2">
      <c r="A250">
        <v>2017</v>
      </c>
      <c r="B250" s="34">
        <v>331</v>
      </c>
      <c r="C250" s="34" t="s">
        <v>249</v>
      </c>
      <c r="D250" s="36">
        <v>364662</v>
      </c>
      <c r="E250" s="36">
        <v>2395088</v>
      </c>
      <c r="F250" s="57"/>
      <c r="G250" s="57"/>
      <c r="H250" s="65"/>
      <c r="I250" s="64"/>
      <c r="J250" s="65"/>
      <c r="K250" s="64"/>
    </row>
    <row r="251" spans="1:11" x14ac:dyDescent="0.2">
      <c r="A251">
        <v>2017</v>
      </c>
      <c r="B251" s="34">
        <v>332</v>
      </c>
      <c r="C251" s="34" t="s">
        <v>250</v>
      </c>
      <c r="D251" s="36">
        <v>178150</v>
      </c>
      <c r="E251" s="36">
        <v>1110486</v>
      </c>
      <c r="F251" s="57"/>
      <c r="G251" s="57"/>
      <c r="H251" s="65"/>
      <c r="I251" s="64"/>
      <c r="J251" s="65"/>
      <c r="K251" s="64"/>
    </row>
    <row r="252" spans="1:11" x14ac:dyDescent="0.2">
      <c r="A252">
        <v>2017</v>
      </c>
      <c r="B252" s="34">
        <v>333</v>
      </c>
      <c r="C252" s="34" t="s">
        <v>251</v>
      </c>
      <c r="D252" s="36">
        <v>40988</v>
      </c>
      <c r="E252" s="36">
        <v>251023</v>
      </c>
      <c r="F252" s="57"/>
      <c r="G252" s="57"/>
      <c r="H252" s="65"/>
      <c r="I252" s="64"/>
      <c r="J252" s="65"/>
      <c r="K252" s="64"/>
    </row>
    <row r="253" spans="1:11" x14ac:dyDescent="0.2">
      <c r="A253">
        <v>2017</v>
      </c>
      <c r="B253" s="34">
        <v>335</v>
      </c>
      <c r="C253" s="34" t="s">
        <v>558</v>
      </c>
      <c r="D253" s="36">
        <v>66596</v>
      </c>
      <c r="E253" s="36">
        <v>323353</v>
      </c>
      <c r="F253" s="57"/>
      <c r="G253" s="57"/>
      <c r="H253" s="65"/>
      <c r="I253" s="64"/>
      <c r="J253" s="65"/>
      <c r="K253" s="64"/>
    </row>
    <row r="254" spans="1:11" x14ac:dyDescent="0.2">
      <c r="A254">
        <v>2017</v>
      </c>
      <c r="B254" s="34">
        <v>336</v>
      </c>
      <c r="C254" s="34" t="s">
        <v>559</v>
      </c>
      <c r="D254" s="36">
        <v>65131</v>
      </c>
      <c r="E254" s="36">
        <v>495130</v>
      </c>
      <c r="F254" s="57"/>
      <c r="G254" s="57"/>
      <c r="H254" s="65"/>
      <c r="I254" s="64"/>
      <c r="J254" s="65"/>
      <c r="K254" s="64"/>
    </row>
    <row r="255" spans="1:11" x14ac:dyDescent="0.2">
      <c r="A255">
        <v>2017</v>
      </c>
      <c r="B255" s="34">
        <v>337</v>
      </c>
      <c r="C255" s="34" t="s">
        <v>254</v>
      </c>
      <c r="D255" s="36">
        <v>529279</v>
      </c>
      <c r="E255" s="36">
        <v>2849717</v>
      </c>
      <c r="F255" s="57"/>
      <c r="G255" s="57"/>
      <c r="H255" s="65"/>
      <c r="I255" s="64"/>
      <c r="J255" s="65"/>
      <c r="K255" s="64"/>
    </row>
    <row r="256" spans="1:11" x14ac:dyDescent="0.2">
      <c r="A256">
        <v>2017</v>
      </c>
      <c r="B256" s="34">
        <v>339</v>
      </c>
      <c r="C256" s="34" t="s">
        <v>255</v>
      </c>
      <c r="D256" s="36">
        <v>10994</v>
      </c>
      <c r="E256" s="36">
        <v>49702</v>
      </c>
      <c r="F256" s="57"/>
      <c r="G256" s="57"/>
      <c r="H256" s="65"/>
      <c r="I256" s="64"/>
      <c r="J256" s="65"/>
      <c r="K256" s="64"/>
    </row>
    <row r="257" spans="1:11" x14ac:dyDescent="0.2">
      <c r="A257">
        <v>2017</v>
      </c>
      <c r="B257" s="34">
        <v>340</v>
      </c>
      <c r="C257" s="34" t="s">
        <v>256</v>
      </c>
      <c r="D257" s="36">
        <v>50229</v>
      </c>
      <c r="E257" s="36">
        <v>286911</v>
      </c>
      <c r="F257" s="57"/>
      <c r="G257" s="57"/>
      <c r="H257" s="65"/>
      <c r="I257" s="64"/>
      <c r="J257" s="65"/>
      <c r="K257" s="64"/>
    </row>
    <row r="258" spans="1:11" x14ac:dyDescent="0.2">
      <c r="A258">
        <v>2017</v>
      </c>
      <c r="B258" s="34">
        <v>351</v>
      </c>
      <c r="C258" s="34" t="s">
        <v>560</v>
      </c>
      <c r="D258" s="36">
        <v>33411</v>
      </c>
      <c r="E258" s="36">
        <v>324152</v>
      </c>
      <c r="F258" s="57"/>
      <c r="G258" s="57"/>
      <c r="H258" s="65"/>
      <c r="I258" s="64"/>
      <c r="J258" s="65"/>
      <c r="K258" s="64"/>
    </row>
    <row r="259" spans="1:11" x14ac:dyDescent="0.2">
      <c r="A259">
        <v>2017</v>
      </c>
      <c r="B259" s="34">
        <v>352</v>
      </c>
      <c r="C259" s="34" t="s">
        <v>258</v>
      </c>
      <c r="D259" s="36">
        <v>113216</v>
      </c>
      <c r="E259" s="36">
        <v>806977</v>
      </c>
      <c r="F259" s="57"/>
      <c r="G259" s="57"/>
      <c r="H259" s="65"/>
      <c r="I259" s="64"/>
      <c r="J259" s="65"/>
      <c r="K259" s="64"/>
    </row>
    <row r="260" spans="1:11" x14ac:dyDescent="0.2">
      <c r="A260">
        <v>2017</v>
      </c>
      <c r="B260" s="34">
        <v>353</v>
      </c>
      <c r="C260" s="34" t="s">
        <v>259</v>
      </c>
      <c r="D260" s="36">
        <v>158111</v>
      </c>
      <c r="E260" s="36">
        <v>1401885</v>
      </c>
      <c r="F260" s="57"/>
      <c r="G260" s="57"/>
      <c r="H260" s="65"/>
      <c r="I260" s="64"/>
      <c r="J260" s="65"/>
      <c r="K260" s="64"/>
    </row>
    <row r="261" spans="1:11" x14ac:dyDescent="0.2">
      <c r="A261">
        <v>2017</v>
      </c>
      <c r="B261" s="59">
        <v>354</v>
      </c>
      <c r="C261" s="34" t="s">
        <v>686</v>
      </c>
      <c r="D261" s="36">
        <v>30964</v>
      </c>
      <c r="E261" s="36">
        <v>302878</v>
      </c>
      <c r="F261" s="57"/>
      <c r="G261" s="65"/>
      <c r="H261" s="64"/>
      <c r="I261" s="65"/>
      <c r="J261" s="64"/>
    </row>
    <row r="262" spans="1:11" x14ac:dyDescent="0.2">
      <c r="A262">
        <v>2017</v>
      </c>
      <c r="B262" s="59">
        <v>355</v>
      </c>
      <c r="C262" s="34" t="s">
        <v>687</v>
      </c>
      <c r="D262" s="36">
        <v>30152</v>
      </c>
      <c r="E262" s="36">
        <v>313129</v>
      </c>
      <c r="F262" s="57"/>
      <c r="G262" s="65"/>
      <c r="H262" s="64"/>
      <c r="I262" s="65"/>
      <c r="J262" s="64"/>
    </row>
    <row r="263" spans="1:11" x14ac:dyDescent="0.2">
      <c r="A263">
        <v>2017</v>
      </c>
      <c r="B263" s="59">
        <v>356</v>
      </c>
      <c r="C263" s="34" t="s">
        <v>688</v>
      </c>
      <c r="D263" s="36">
        <v>75897</v>
      </c>
      <c r="E263" s="36">
        <v>703375</v>
      </c>
      <c r="F263" s="57"/>
      <c r="G263" s="65"/>
      <c r="H263" s="64"/>
      <c r="I263" s="65"/>
      <c r="J263" s="64"/>
    </row>
    <row r="264" spans="1:11" x14ac:dyDescent="0.2">
      <c r="A264">
        <v>2017</v>
      </c>
      <c r="B264" s="59">
        <v>357</v>
      </c>
      <c r="C264" s="34" t="s">
        <v>689</v>
      </c>
      <c r="D264" s="36">
        <v>53111</v>
      </c>
      <c r="E264" s="36">
        <v>310223</v>
      </c>
      <c r="F264" s="57"/>
      <c r="G264" s="65"/>
      <c r="H264" s="64"/>
      <c r="I264" s="65"/>
      <c r="J264" s="64"/>
    </row>
    <row r="265" spans="1:11" x14ac:dyDescent="0.2">
      <c r="A265">
        <v>2017</v>
      </c>
      <c r="B265" s="59">
        <v>358</v>
      </c>
      <c r="C265" s="34" t="s">
        <v>690</v>
      </c>
      <c r="D265" s="36">
        <v>97783</v>
      </c>
      <c r="E265" s="36">
        <v>958930</v>
      </c>
      <c r="F265" s="57"/>
      <c r="G265" s="65"/>
      <c r="H265" s="64"/>
      <c r="I265" s="65"/>
      <c r="J265" s="64"/>
    </row>
    <row r="266" spans="1:11" x14ac:dyDescent="0.2">
      <c r="A266">
        <v>2017</v>
      </c>
      <c r="B266" s="59">
        <v>359</v>
      </c>
      <c r="C266" s="34" t="s">
        <v>691</v>
      </c>
      <c r="D266" s="36">
        <v>51732</v>
      </c>
      <c r="E266" s="36">
        <v>421826</v>
      </c>
      <c r="F266" s="57"/>
      <c r="G266" s="65"/>
      <c r="H266" s="64"/>
      <c r="I266" s="65"/>
      <c r="J266" s="64"/>
    </row>
    <row r="267" spans="1:11" x14ac:dyDescent="0.2">
      <c r="A267">
        <v>2017</v>
      </c>
      <c r="B267" s="59">
        <v>360</v>
      </c>
      <c r="C267" s="34" t="s">
        <v>692</v>
      </c>
      <c r="D267" s="36">
        <v>36497</v>
      </c>
      <c r="E267" s="36">
        <v>295854</v>
      </c>
      <c r="F267" s="57"/>
      <c r="G267" s="65"/>
      <c r="H267" s="64"/>
      <c r="I267" s="65"/>
      <c r="J267" s="64"/>
    </row>
    <row r="268" spans="1:11" x14ac:dyDescent="0.2">
      <c r="A268">
        <v>2017</v>
      </c>
      <c r="B268" s="59">
        <v>361</v>
      </c>
      <c r="C268" s="34" t="s">
        <v>693</v>
      </c>
      <c r="D268" s="36">
        <v>118375</v>
      </c>
      <c r="E268" s="36">
        <v>1223491</v>
      </c>
      <c r="F268" s="57"/>
      <c r="G268" s="65"/>
      <c r="H268" s="64"/>
      <c r="I268" s="65"/>
      <c r="J268" s="64"/>
    </row>
    <row r="269" spans="1:11" x14ac:dyDescent="0.2">
      <c r="A269">
        <v>2017</v>
      </c>
      <c r="B269" s="59">
        <v>362</v>
      </c>
      <c r="C269" s="34" t="s">
        <v>694</v>
      </c>
      <c r="D269" s="36">
        <v>55356</v>
      </c>
      <c r="E269" s="36">
        <v>436625</v>
      </c>
      <c r="F269" s="57"/>
      <c r="G269" s="65"/>
      <c r="H269" s="64"/>
      <c r="I269" s="65"/>
      <c r="J269" s="64"/>
    </row>
    <row r="270" spans="1:11" x14ac:dyDescent="0.2">
      <c r="A270">
        <v>2017</v>
      </c>
      <c r="B270" s="59">
        <v>363</v>
      </c>
      <c r="C270" s="34" t="s">
        <v>695</v>
      </c>
      <c r="D270" s="36">
        <v>59354</v>
      </c>
      <c r="E270" s="36">
        <v>345531</v>
      </c>
      <c r="F270" s="57"/>
      <c r="G270" s="65"/>
      <c r="H270" s="64"/>
      <c r="I270" s="65"/>
      <c r="J270" s="64"/>
    </row>
    <row r="271" spans="1:11" x14ac:dyDescent="0.2">
      <c r="A271">
        <v>2017</v>
      </c>
      <c r="B271" s="59">
        <v>364</v>
      </c>
      <c r="C271" s="34" t="s">
        <v>696</v>
      </c>
      <c r="D271" s="36">
        <v>104116</v>
      </c>
      <c r="E271" s="36">
        <v>576418</v>
      </c>
      <c r="F271" s="57"/>
      <c r="G271" s="65"/>
      <c r="H271" s="64"/>
      <c r="I271" s="65"/>
      <c r="J271" s="64"/>
    </row>
    <row r="272" spans="1:11" x14ac:dyDescent="0.2">
      <c r="A272">
        <v>2017</v>
      </c>
      <c r="B272" s="59">
        <v>365</v>
      </c>
      <c r="C272" s="34" t="s">
        <v>697</v>
      </c>
      <c r="D272" s="36">
        <v>40659</v>
      </c>
      <c r="E272" s="36">
        <v>246760</v>
      </c>
      <c r="F272" s="57"/>
      <c r="G272" s="65"/>
      <c r="H272" s="64"/>
      <c r="I272" s="65"/>
      <c r="J272" s="64"/>
    </row>
    <row r="273" spans="1:10" x14ac:dyDescent="0.2">
      <c r="A273">
        <v>2017</v>
      </c>
      <c r="B273" s="59">
        <v>366</v>
      </c>
      <c r="C273" s="34" t="s">
        <v>698</v>
      </c>
      <c r="D273" s="36">
        <v>83334</v>
      </c>
      <c r="E273" s="36">
        <v>519782</v>
      </c>
      <c r="F273" s="57"/>
      <c r="G273" s="65"/>
      <c r="H273" s="64"/>
      <c r="I273" s="65"/>
      <c r="J273" s="64"/>
    </row>
    <row r="274" spans="1:10" x14ac:dyDescent="0.2">
      <c r="A274">
        <v>2017</v>
      </c>
      <c r="B274" s="59">
        <v>367</v>
      </c>
      <c r="C274" s="34" t="s">
        <v>699</v>
      </c>
      <c r="D274" s="36">
        <v>751727</v>
      </c>
      <c r="E274" s="36">
        <v>4170749</v>
      </c>
      <c r="F274" s="57"/>
      <c r="G274" s="65"/>
      <c r="H274" s="64"/>
      <c r="I274" s="65"/>
      <c r="J274" s="64"/>
    </row>
    <row r="275" spans="1:10" x14ac:dyDescent="0.2">
      <c r="A275">
        <v>2017</v>
      </c>
      <c r="B275" s="59">
        <v>368</v>
      </c>
      <c r="C275" s="34" t="s">
        <v>700</v>
      </c>
      <c r="D275" s="36">
        <v>159727</v>
      </c>
      <c r="E275" s="36">
        <v>929509</v>
      </c>
      <c r="F275" s="57"/>
      <c r="G275" s="65"/>
      <c r="H275" s="64"/>
      <c r="I275" s="65"/>
      <c r="J275" s="64"/>
    </row>
    <row r="276" spans="1:10" x14ac:dyDescent="0.2">
      <c r="A276">
        <v>2017</v>
      </c>
      <c r="B276" s="59">
        <v>369</v>
      </c>
      <c r="C276" s="34" t="s">
        <v>701</v>
      </c>
      <c r="D276" s="36">
        <v>20415</v>
      </c>
      <c r="E276" s="36">
        <v>179615</v>
      </c>
      <c r="F276" s="57"/>
      <c r="G276" s="65"/>
      <c r="H276" s="64"/>
      <c r="I276" s="65"/>
      <c r="J276" s="64"/>
    </row>
    <row r="277" spans="1:10" x14ac:dyDescent="0.2">
      <c r="A277">
        <v>2017</v>
      </c>
      <c r="B277" s="59">
        <v>370</v>
      </c>
      <c r="C277" s="34" t="s">
        <v>702</v>
      </c>
      <c r="D277" s="36">
        <v>28362</v>
      </c>
      <c r="E277" s="36">
        <v>105111</v>
      </c>
      <c r="F277" s="57"/>
      <c r="G277" s="65"/>
      <c r="H277" s="64"/>
      <c r="I277" s="65"/>
      <c r="J277" s="64"/>
    </row>
    <row r="278" spans="1:10" x14ac:dyDescent="0.2">
      <c r="A278">
        <v>2017</v>
      </c>
      <c r="B278" s="59">
        <v>371</v>
      </c>
      <c r="C278" s="34" t="s">
        <v>703</v>
      </c>
      <c r="D278" s="36">
        <v>94780</v>
      </c>
      <c r="E278" s="36">
        <v>698393</v>
      </c>
      <c r="F278" s="57"/>
      <c r="G278" s="65"/>
      <c r="H278" s="64"/>
      <c r="I278" s="65"/>
      <c r="J278" s="64"/>
    </row>
    <row r="279" spans="1:10" x14ac:dyDescent="0.2">
      <c r="A279">
        <v>2017</v>
      </c>
      <c r="B279" s="59">
        <v>372</v>
      </c>
      <c r="C279" s="34" t="s">
        <v>704</v>
      </c>
      <c r="D279" s="36">
        <v>21442</v>
      </c>
      <c r="E279" s="36">
        <v>146967</v>
      </c>
      <c r="F279" s="57"/>
      <c r="G279" s="65"/>
      <c r="H279" s="64"/>
      <c r="I279" s="65"/>
      <c r="J279" s="64"/>
    </row>
    <row r="280" spans="1:10" x14ac:dyDescent="0.2">
      <c r="A280">
        <v>2017</v>
      </c>
      <c r="B280" s="59">
        <v>373</v>
      </c>
      <c r="C280" s="34" t="s">
        <v>705</v>
      </c>
      <c r="D280" s="36">
        <v>57251</v>
      </c>
      <c r="E280" s="36">
        <v>463145</v>
      </c>
      <c r="F280" s="57"/>
      <c r="G280" s="65"/>
      <c r="H280" s="64"/>
      <c r="I280" s="65"/>
      <c r="J280" s="64"/>
    </row>
    <row r="281" spans="1:10" x14ac:dyDescent="0.2">
      <c r="A281">
        <v>2017</v>
      </c>
      <c r="B281" s="59">
        <v>374</v>
      </c>
      <c r="C281" s="34" t="s">
        <v>706</v>
      </c>
      <c r="D281" s="36">
        <v>8175</v>
      </c>
      <c r="E281" s="36">
        <v>128704</v>
      </c>
      <c r="F281" s="57"/>
      <c r="G281" s="65"/>
      <c r="H281" s="64"/>
      <c r="I281" s="65"/>
      <c r="J281" s="64"/>
    </row>
    <row r="282" spans="1:10" x14ac:dyDescent="0.2">
      <c r="A282">
        <v>2017</v>
      </c>
      <c r="B282" s="59">
        <v>375</v>
      </c>
      <c r="C282" s="34" t="s">
        <v>707</v>
      </c>
      <c r="D282" s="36">
        <v>176311</v>
      </c>
      <c r="E282" s="36">
        <v>1406788</v>
      </c>
      <c r="F282" s="57"/>
      <c r="G282" s="65"/>
      <c r="H282" s="64"/>
      <c r="I282" s="65"/>
      <c r="J282" s="64"/>
    </row>
    <row r="283" spans="1:10" x14ac:dyDescent="0.2">
      <c r="A283">
        <v>2017</v>
      </c>
      <c r="B283" s="59">
        <v>376</v>
      </c>
      <c r="C283" s="34" t="s">
        <v>708</v>
      </c>
      <c r="D283" s="36">
        <v>14901</v>
      </c>
      <c r="E283" s="36">
        <v>41595</v>
      </c>
      <c r="F283" s="57"/>
      <c r="G283" s="65"/>
      <c r="H283" s="64"/>
      <c r="I283" s="65"/>
      <c r="J283" s="64"/>
    </row>
    <row r="284" spans="1:10" x14ac:dyDescent="0.2">
      <c r="A284">
        <v>2017</v>
      </c>
      <c r="B284" s="59">
        <v>378</v>
      </c>
      <c r="C284" s="34" t="s">
        <v>709</v>
      </c>
      <c r="D284" s="36">
        <v>353565</v>
      </c>
      <c r="E284" s="36">
        <v>2371152</v>
      </c>
      <c r="F284" s="57"/>
      <c r="G284" s="65"/>
      <c r="H284" s="64"/>
      <c r="I284" s="65"/>
      <c r="J284" s="64"/>
    </row>
    <row r="285" spans="1:10" x14ac:dyDescent="0.2">
      <c r="A285">
        <v>2017</v>
      </c>
      <c r="B285" s="59">
        <v>379</v>
      </c>
      <c r="C285" s="34" t="s">
        <v>710</v>
      </c>
      <c r="D285" s="36">
        <v>138889</v>
      </c>
      <c r="E285" s="36">
        <v>948722</v>
      </c>
      <c r="F285" s="57"/>
      <c r="G285" s="65"/>
      <c r="H285" s="64"/>
      <c r="I285" s="65"/>
      <c r="J285" s="64"/>
    </row>
    <row r="286" spans="1:10" x14ac:dyDescent="0.2">
      <c r="A286">
        <v>2017</v>
      </c>
      <c r="B286" s="59">
        <v>380</v>
      </c>
      <c r="C286" s="34" t="s">
        <v>711</v>
      </c>
      <c r="D286" s="36">
        <v>36121</v>
      </c>
      <c r="E286" s="36">
        <v>262768</v>
      </c>
      <c r="F286" s="57"/>
      <c r="G286" s="65"/>
      <c r="H286" s="64"/>
      <c r="I286" s="65"/>
      <c r="J286" s="64"/>
    </row>
    <row r="287" spans="1:10" x14ac:dyDescent="0.2">
      <c r="A287">
        <v>2017</v>
      </c>
      <c r="B287" s="59">
        <v>381</v>
      </c>
      <c r="C287" s="34" t="s">
        <v>712</v>
      </c>
      <c r="D287" s="36">
        <v>17056</v>
      </c>
      <c r="E287" s="36">
        <v>99523</v>
      </c>
      <c r="F287" s="57"/>
      <c r="G287" s="65"/>
      <c r="H287" s="64"/>
      <c r="I287" s="65"/>
      <c r="J287" s="64"/>
    </row>
    <row r="288" spans="1:10" x14ac:dyDescent="0.2">
      <c r="A288">
        <v>2017</v>
      </c>
      <c r="B288" s="59">
        <v>383</v>
      </c>
      <c r="C288" s="34" t="s">
        <v>713</v>
      </c>
      <c r="D288" s="36">
        <v>24132</v>
      </c>
      <c r="E288" s="36">
        <v>148307</v>
      </c>
      <c r="F288" s="57"/>
      <c r="G288" s="65"/>
      <c r="H288" s="64"/>
      <c r="I288" s="65"/>
      <c r="J288" s="64"/>
    </row>
    <row r="289" spans="1:10" x14ac:dyDescent="0.2">
      <c r="A289">
        <v>2017</v>
      </c>
      <c r="B289" s="59">
        <v>384</v>
      </c>
      <c r="C289" s="34" t="s">
        <v>714</v>
      </c>
      <c r="D289" s="36">
        <v>12259</v>
      </c>
      <c r="E289" s="36">
        <v>161540</v>
      </c>
      <c r="F289" s="57"/>
      <c r="G289" s="65"/>
      <c r="H289" s="64"/>
      <c r="I289" s="65"/>
      <c r="J289" s="64"/>
    </row>
    <row r="290" spans="1:10" x14ac:dyDescent="0.2">
      <c r="A290">
        <v>2017</v>
      </c>
      <c r="B290" s="59">
        <v>386</v>
      </c>
      <c r="C290" s="34" t="s">
        <v>715</v>
      </c>
      <c r="D290" s="36">
        <v>7919</v>
      </c>
      <c r="E290" s="36">
        <v>52058</v>
      </c>
      <c r="F290" s="57"/>
      <c r="G290" s="65"/>
      <c r="H290" s="64"/>
      <c r="I290" s="65"/>
      <c r="J290" s="64"/>
    </row>
    <row r="291" spans="1:10" x14ac:dyDescent="0.2">
      <c r="A291">
        <v>2017</v>
      </c>
      <c r="B291" s="59">
        <v>388</v>
      </c>
      <c r="C291" s="34" t="s">
        <v>716</v>
      </c>
      <c r="D291" s="36">
        <v>204011</v>
      </c>
      <c r="E291" s="36">
        <v>1222745</v>
      </c>
      <c r="F291" s="57"/>
      <c r="G291" s="65"/>
      <c r="H291" s="64"/>
      <c r="I291" s="65"/>
      <c r="J291" s="64"/>
    </row>
    <row r="292" spans="1:10" x14ac:dyDescent="0.2">
      <c r="A292">
        <v>2017</v>
      </c>
      <c r="B292" s="59">
        <v>389</v>
      </c>
      <c r="C292" s="34" t="s">
        <v>717</v>
      </c>
      <c r="D292" s="36">
        <v>16593</v>
      </c>
      <c r="E292" s="36">
        <v>118210</v>
      </c>
      <c r="F292" s="57"/>
      <c r="G292" s="65"/>
      <c r="H292" s="64"/>
      <c r="I292" s="65"/>
      <c r="J292" s="64"/>
    </row>
    <row r="293" spans="1:10" x14ac:dyDescent="0.2">
      <c r="A293">
        <v>2017</v>
      </c>
      <c r="B293" s="59">
        <v>390</v>
      </c>
      <c r="C293" s="34" t="s">
        <v>718</v>
      </c>
      <c r="D293" s="36">
        <v>41384</v>
      </c>
      <c r="E293" s="36">
        <v>297542</v>
      </c>
      <c r="F293" s="57"/>
      <c r="G293" s="65"/>
      <c r="H293" s="64"/>
      <c r="I293" s="65"/>
      <c r="J293" s="64"/>
    </row>
    <row r="294" spans="1:10" x14ac:dyDescent="0.2">
      <c r="A294">
        <v>2017</v>
      </c>
      <c r="B294" s="59">
        <v>391</v>
      </c>
      <c r="C294" s="34" t="s">
        <v>719</v>
      </c>
      <c r="D294" s="36">
        <v>75488</v>
      </c>
      <c r="E294" s="36">
        <v>483003</v>
      </c>
      <c r="F294" s="57"/>
      <c r="G294" s="65"/>
      <c r="H294" s="64"/>
      <c r="I294" s="65"/>
      <c r="J294" s="64"/>
    </row>
    <row r="295" spans="1:10" x14ac:dyDescent="0.2">
      <c r="A295">
        <v>2017</v>
      </c>
      <c r="B295" s="59">
        <v>392</v>
      </c>
      <c r="C295" s="34" t="s">
        <v>720</v>
      </c>
      <c r="D295" s="36">
        <v>100556</v>
      </c>
      <c r="E295" s="36">
        <v>764297</v>
      </c>
      <c r="F295" s="57"/>
      <c r="G295" s="65"/>
      <c r="H295" s="64"/>
      <c r="I295" s="65"/>
      <c r="J295" s="64"/>
    </row>
    <row r="296" spans="1:10" x14ac:dyDescent="0.2">
      <c r="A296">
        <v>2017</v>
      </c>
      <c r="B296" s="59">
        <v>393</v>
      </c>
      <c r="C296" s="34" t="s">
        <v>721</v>
      </c>
      <c r="D296" s="36">
        <v>21734</v>
      </c>
      <c r="E296" s="36">
        <v>192228</v>
      </c>
      <c r="F296" s="57"/>
      <c r="G296" s="65"/>
      <c r="H296" s="64"/>
      <c r="I296" s="65"/>
      <c r="J296" s="64"/>
    </row>
    <row r="297" spans="1:10" x14ac:dyDescent="0.2">
      <c r="A297">
        <v>2017</v>
      </c>
      <c r="B297" s="59">
        <v>394</v>
      </c>
      <c r="C297" s="34" t="s">
        <v>722</v>
      </c>
      <c r="D297" s="36">
        <v>365975</v>
      </c>
      <c r="E297" s="36">
        <v>2488628</v>
      </c>
      <c r="F297" s="57"/>
      <c r="G297" s="65"/>
      <c r="H297" s="64"/>
      <c r="I297" s="65"/>
      <c r="J297" s="64"/>
    </row>
    <row r="298" spans="1:10" x14ac:dyDescent="0.2">
      <c r="A298">
        <v>2017</v>
      </c>
      <c r="B298" s="59">
        <v>395</v>
      </c>
      <c r="C298" s="34" t="s">
        <v>723</v>
      </c>
      <c r="D298" s="36">
        <v>22719</v>
      </c>
      <c r="E298" s="36">
        <v>169625</v>
      </c>
      <c r="F298" s="57"/>
      <c r="G298" s="65"/>
      <c r="H298" s="64"/>
      <c r="I298" s="65"/>
      <c r="J298" s="64"/>
    </row>
    <row r="299" spans="1:10" x14ac:dyDescent="0.2">
      <c r="A299">
        <v>2017</v>
      </c>
      <c r="B299" s="59">
        <v>397</v>
      </c>
      <c r="C299" s="34" t="s">
        <v>724</v>
      </c>
      <c r="D299" s="36">
        <v>43765</v>
      </c>
      <c r="E299" s="36">
        <v>297963</v>
      </c>
      <c r="F299" s="57"/>
      <c r="G299" s="65"/>
      <c r="H299" s="64"/>
      <c r="I299" s="65"/>
      <c r="J299" s="64"/>
    </row>
    <row r="300" spans="1:10" x14ac:dyDescent="0.2">
      <c r="A300">
        <v>2017</v>
      </c>
      <c r="B300" s="59">
        <v>398</v>
      </c>
      <c r="C300" s="34" t="s">
        <v>725</v>
      </c>
      <c r="D300" s="36">
        <v>226284</v>
      </c>
      <c r="E300" s="36">
        <v>1150383</v>
      </c>
      <c r="F300" s="57"/>
      <c r="G300" s="65"/>
      <c r="H300" s="64"/>
      <c r="I300" s="65"/>
      <c r="J300" s="64"/>
    </row>
    <row r="301" spans="1:10" x14ac:dyDescent="0.2">
      <c r="A301">
        <v>2017</v>
      </c>
      <c r="B301" s="59">
        <v>399</v>
      </c>
      <c r="C301" s="34" t="s">
        <v>726</v>
      </c>
      <c r="D301" s="36">
        <v>224935</v>
      </c>
      <c r="E301" s="36">
        <v>1420981</v>
      </c>
      <c r="F301" s="57"/>
      <c r="G301" s="65"/>
      <c r="H301" s="64"/>
      <c r="I301" s="65"/>
      <c r="J301" s="64"/>
    </row>
    <row r="302" spans="1:10" x14ac:dyDescent="0.2">
      <c r="A302">
        <v>2017</v>
      </c>
      <c r="B302" s="59">
        <v>400</v>
      </c>
      <c r="C302" s="34" t="s">
        <v>727</v>
      </c>
      <c r="D302" s="36">
        <v>23143</v>
      </c>
      <c r="E302" s="36">
        <v>166253</v>
      </c>
      <c r="F302" s="57"/>
      <c r="G302" s="65"/>
      <c r="H302" s="64"/>
      <c r="I302" s="65"/>
      <c r="J302" s="64"/>
    </row>
    <row r="303" spans="1:10" x14ac:dyDescent="0.2">
      <c r="A303">
        <v>2017</v>
      </c>
      <c r="B303" s="59">
        <v>401</v>
      </c>
      <c r="C303" s="34" t="s">
        <v>728</v>
      </c>
      <c r="D303" s="36">
        <v>19841</v>
      </c>
      <c r="E303" s="36">
        <v>164500</v>
      </c>
      <c r="F303" s="57"/>
      <c r="G303" s="65"/>
      <c r="H303" s="64"/>
      <c r="I303" s="65"/>
      <c r="J303" s="64"/>
    </row>
    <row r="304" spans="1:10" x14ac:dyDescent="0.2">
      <c r="A304">
        <v>2017</v>
      </c>
      <c r="B304" s="59">
        <v>402</v>
      </c>
      <c r="C304" s="34" t="s">
        <v>574</v>
      </c>
      <c r="D304" s="36">
        <v>73010</v>
      </c>
      <c r="E304" s="36">
        <v>461683</v>
      </c>
      <c r="F304" s="57"/>
      <c r="G304" s="65"/>
      <c r="H304" s="64"/>
      <c r="I304" s="65"/>
      <c r="J304" s="64"/>
    </row>
    <row r="305" spans="1:10" x14ac:dyDescent="0.2">
      <c r="A305">
        <v>2017</v>
      </c>
      <c r="B305" s="59">
        <v>403</v>
      </c>
      <c r="C305" s="34" t="s">
        <v>575</v>
      </c>
      <c r="D305" s="36">
        <v>82340</v>
      </c>
      <c r="E305" s="36">
        <v>622702</v>
      </c>
      <c r="F305" s="57"/>
      <c r="G305" s="65"/>
      <c r="H305" s="64"/>
      <c r="I305" s="65"/>
      <c r="J305" s="64"/>
    </row>
    <row r="306" spans="1:10" x14ac:dyDescent="0.2">
      <c r="A306">
        <v>2017</v>
      </c>
      <c r="B306" s="59">
        <v>404</v>
      </c>
      <c r="C306" s="34" t="s">
        <v>576</v>
      </c>
      <c r="D306" s="36">
        <v>98069</v>
      </c>
      <c r="E306" s="36">
        <v>688336</v>
      </c>
      <c r="F306" s="57"/>
      <c r="G306" s="65"/>
      <c r="H306" s="64"/>
      <c r="I306" s="65"/>
      <c r="J306" s="64"/>
    </row>
    <row r="307" spans="1:10" x14ac:dyDescent="0.2">
      <c r="A307">
        <v>2017</v>
      </c>
      <c r="B307" s="59">
        <v>405</v>
      </c>
      <c r="C307" s="34" t="s">
        <v>577</v>
      </c>
      <c r="D307" s="36">
        <v>90776</v>
      </c>
      <c r="E307" s="36">
        <v>871040</v>
      </c>
      <c r="F307" s="57"/>
      <c r="G307" s="65"/>
      <c r="H307" s="64"/>
      <c r="I307" s="65"/>
      <c r="J307" s="64"/>
    </row>
    <row r="308" spans="1:10" x14ac:dyDescent="0.2">
      <c r="A308">
        <v>2017</v>
      </c>
      <c r="B308" s="59">
        <v>406</v>
      </c>
      <c r="C308" s="34" t="s">
        <v>578</v>
      </c>
      <c r="D308" s="36">
        <v>13640</v>
      </c>
      <c r="E308" s="36">
        <v>69525</v>
      </c>
      <c r="F308" s="57"/>
      <c r="G308" s="65"/>
      <c r="H308" s="64"/>
      <c r="I308" s="65"/>
      <c r="J308" s="64"/>
    </row>
    <row r="309" spans="1:10" x14ac:dyDescent="0.2">
      <c r="A309">
        <v>2017</v>
      </c>
      <c r="B309" s="59">
        <v>407</v>
      </c>
      <c r="C309" s="34" t="s">
        <v>579</v>
      </c>
      <c r="D309" s="36">
        <v>5066</v>
      </c>
      <c r="E309" s="36">
        <v>44084</v>
      </c>
      <c r="F309" s="57"/>
      <c r="G309" s="65"/>
      <c r="H309" s="64"/>
      <c r="I309" s="65"/>
      <c r="J309" s="64"/>
    </row>
    <row r="310" spans="1:10" x14ac:dyDescent="0.2">
      <c r="A310">
        <v>2017</v>
      </c>
      <c r="B310" s="59">
        <v>408</v>
      </c>
      <c r="C310" s="34" t="s">
        <v>580</v>
      </c>
      <c r="D310" s="36">
        <v>40759</v>
      </c>
      <c r="E310" s="36">
        <v>365273</v>
      </c>
      <c r="F310" s="57"/>
      <c r="G310" s="65"/>
      <c r="H310" s="64"/>
      <c r="I310" s="65"/>
      <c r="J310" s="64"/>
    </row>
    <row r="311" spans="1:10" x14ac:dyDescent="0.2">
      <c r="A311">
        <v>2017</v>
      </c>
      <c r="B311" s="59">
        <v>409</v>
      </c>
      <c r="C311" s="34" t="s">
        <v>581</v>
      </c>
      <c r="D311" s="36">
        <v>24307</v>
      </c>
      <c r="E311" s="36">
        <v>157547</v>
      </c>
      <c r="F311" s="57"/>
      <c r="G311" s="65"/>
      <c r="H311" s="64"/>
      <c r="I311" s="65"/>
      <c r="J311" s="64"/>
    </row>
    <row r="312" spans="1:10" x14ac:dyDescent="0.2">
      <c r="A312">
        <v>2017</v>
      </c>
      <c r="B312" s="59">
        <v>410</v>
      </c>
      <c r="C312" s="34" t="s">
        <v>582</v>
      </c>
      <c r="D312" s="36">
        <v>5126</v>
      </c>
      <c r="E312" s="36">
        <v>68912</v>
      </c>
      <c r="F312" s="57"/>
      <c r="G312" s="65"/>
      <c r="H312" s="64"/>
      <c r="I312" s="65"/>
      <c r="J312" s="64"/>
    </row>
    <row r="313" spans="1:10" x14ac:dyDescent="0.2">
      <c r="A313">
        <v>2017</v>
      </c>
      <c r="B313" s="59">
        <v>412</v>
      </c>
      <c r="C313" s="34" t="s">
        <v>583</v>
      </c>
      <c r="D313" s="36">
        <v>91294</v>
      </c>
      <c r="E313" s="36">
        <v>454181</v>
      </c>
      <c r="F313" s="57"/>
      <c r="G313" s="65"/>
      <c r="H313" s="64"/>
      <c r="I313" s="65"/>
      <c r="J313" s="64"/>
    </row>
    <row r="314" spans="1:10" x14ac:dyDescent="0.2">
      <c r="A314">
        <v>2017</v>
      </c>
      <c r="B314" s="59">
        <v>413</v>
      </c>
      <c r="C314" s="34" t="s">
        <v>584</v>
      </c>
      <c r="D314" s="36">
        <v>36720</v>
      </c>
      <c r="E314" s="36">
        <v>289654</v>
      </c>
      <c r="F314" s="57"/>
      <c r="G314" s="65"/>
      <c r="H314" s="64"/>
      <c r="I314" s="65"/>
      <c r="J314" s="64"/>
    </row>
    <row r="315" spans="1:10" x14ac:dyDescent="0.2">
      <c r="A315">
        <v>2017</v>
      </c>
      <c r="B315" s="59">
        <v>414</v>
      </c>
      <c r="C315" s="34" t="s">
        <v>585</v>
      </c>
      <c r="D315" s="36">
        <v>8548</v>
      </c>
      <c r="E315" s="36">
        <v>35317</v>
      </c>
      <c r="F315" s="57"/>
      <c r="G315" s="65"/>
      <c r="H315" s="64"/>
      <c r="I315" s="65"/>
      <c r="J315" s="64"/>
    </row>
    <row r="316" spans="1:10" x14ac:dyDescent="0.2">
      <c r="A316">
        <v>2017</v>
      </c>
      <c r="B316" s="59">
        <v>415</v>
      </c>
      <c r="C316" s="34" t="s">
        <v>586</v>
      </c>
      <c r="D316" s="36">
        <v>7892</v>
      </c>
      <c r="E316" s="36">
        <v>44448</v>
      </c>
      <c r="F316" s="57"/>
      <c r="G316" s="65"/>
      <c r="H316" s="64"/>
      <c r="I316" s="65"/>
      <c r="J316" s="64"/>
    </row>
    <row r="317" spans="1:10" x14ac:dyDescent="0.2">
      <c r="A317">
        <v>2017</v>
      </c>
      <c r="B317" s="59">
        <v>416</v>
      </c>
      <c r="C317" s="34" t="s">
        <v>587</v>
      </c>
      <c r="D317" s="36">
        <v>17037</v>
      </c>
      <c r="E317" s="36">
        <v>147332</v>
      </c>
      <c r="F317" s="57"/>
      <c r="G317" s="65"/>
      <c r="H317" s="64"/>
      <c r="I317" s="65"/>
      <c r="J317" s="64"/>
    </row>
    <row r="318" spans="1:10" x14ac:dyDescent="0.2">
      <c r="A318">
        <v>2017</v>
      </c>
      <c r="B318" s="59">
        <v>417</v>
      </c>
      <c r="C318" s="34" t="s">
        <v>588</v>
      </c>
      <c r="D318" s="36">
        <v>39574</v>
      </c>
      <c r="E318" s="36">
        <v>261336</v>
      </c>
      <c r="F318" s="57"/>
      <c r="G318" s="65"/>
      <c r="H318" s="64"/>
      <c r="I318" s="65"/>
      <c r="J318" s="64"/>
    </row>
    <row r="319" spans="1:10" x14ac:dyDescent="0.2">
      <c r="A319">
        <v>2017</v>
      </c>
      <c r="B319" s="59">
        <v>418</v>
      </c>
      <c r="C319" s="34" t="s">
        <v>589</v>
      </c>
      <c r="D319" s="36">
        <v>114432</v>
      </c>
      <c r="E319" s="36">
        <v>812539</v>
      </c>
      <c r="F319" s="57"/>
      <c r="G319" s="65"/>
      <c r="H319" s="64"/>
      <c r="I319" s="65"/>
      <c r="J319" s="64"/>
    </row>
    <row r="320" spans="1:10" x14ac:dyDescent="0.2">
      <c r="A320">
        <v>2017</v>
      </c>
      <c r="B320" s="59">
        <v>419</v>
      </c>
      <c r="C320" s="34" t="s">
        <v>590</v>
      </c>
      <c r="D320" s="36">
        <v>67626</v>
      </c>
      <c r="E320" s="36">
        <v>433015</v>
      </c>
      <c r="F320" s="57"/>
      <c r="G320" s="65"/>
      <c r="H320" s="64"/>
      <c r="I320" s="65"/>
      <c r="J320" s="64"/>
    </row>
    <row r="321" spans="1:10" x14ac:dyDescent="0.2">
      <c r="A321">
        <v>2017</v>
      </c>
      <c r="B321" s="59">
        <v>420</v>
      </c>
      <c r="C321" s="34" t="s">
        <v>591</v>
      </c>
      <c r="D321" s="36">
        <v>135345</v>
      </c>
      <c r="E321" s="36">
        <v>907347</v>
      </c>
      <c r="F321" s="57"/>
      <c r="G321" s="65"/>
      <c r="H321" s="64"/>
      <c r="I321" s="65"/>
      <c r="J321" s="64"/>
    </row>
    <row r="322" spans="1:10" x14ac:dyDescent="0.2">
      <c r="A322">
        <v>2017</v>
      </c>
      <c r="B322" s="59">
        <v>421</v>
      </c>
      <c r="C322" s="34" t="s">
        <v>592</v>
      </c>
      <c r="D322" s="36">
        <v>180990</v>
      </c>
      <c r="E322" s="36">
        <v>1136269</v>
      </c>
      <c r="F322" s="57"/>
      <c r="G322" s="65"/>
      <c r="H322" s="64"/>
      <c r="I322" s="65"/>
      <c r="J322" s="64"/>
    </row>
    <row r="323" spans="1:10" x14ac:dyDescent="0.2">
      <c r="A323">
        <v>2017</v>
      </c>
      <c r="B323" s="59">
        <v>422</v>
      </c>
      <c r="C323" s="34" t="s">
        <v>593</v>
      </c>
      <c r="D323" s="36">
        <v>25124</v>
      </c>
      <c r="E323" s="36">
        <v>144008</v>
      </c>
      <c r="F323" s="57"/>
      <c r="G323" s="65"/>
      <c r="H323" s="64"/>
      <c r="I323" s="65"/>
      <c r="J323" s="64"/>
    </row>
    <row r="324" spans="1:10" x14ac:dyDescent="0.2">
      <c r="A324">
        <v>2017</v>
      </c>
      <c r="B324" s="59">
        <v>423</v>
      </c>
      <c r="C324" s="34" t="s">
        <v>594</v>
      </c>
      <c r="D324" s="36">
        <v>29418</v>
      </c>
      <c r="E324" s="36">
        <v>202379</v>
      </c>
      <c r="F324" s="57"/>
      <c r="G324" s="65"/>
      <c r="H324" s="64"/>
      <c r="I324" s="65"/>
      <c r="J324" s="64"/>
    </row>
    <row r="325" spans="1:10" x14ac:dyDescent="0.2">
      <c r="A325">
        <v>2017</v>
      </c>
      <c r="B325" s="59">
        <v>424</v>
      </c>
      <c r="C325" s="34" t="s">
        <v>595</v>
      </c>
      <c r="D325" s="36">
        <v>66620</v>
      </c>
      <c r="E325" s="36">
        <v>515896</v>
      </c>
      <c r="F325" s="57"/>
      <c r="G325" s="65"/>
      <c r="H325" s="64"/>
      <c r="I325" s="65"/>
      <c r="J325" s="64"/>
    </row>
    <row r="326" spans="1:10" x14ac:dyDescent="0.2">
      <c r="A326">
        <v>2017</v>
      </c>
      <c r="B326" s="59">
        <v>425</v>
      </c>
      <c r="C326" s="34" t="s">
        <v>596</v>
      </c>
      <c r="D326" s="36">
        <v>504229</v>
      </c>
      <c r="E326" s="36">
        <v>2759698</v>
      </c>
      <c r="F326" s="57"/>
      <c r="G326" s="65"/>
      <c r="H326" s="64"/>
      <c r="I326" s="65"/>
      <c r="J326" s="64"/>
    </row>
    <row r="327" spans="1:10" x14ac:dyDescent="0.2">
      <c r="A327">
        <v>2017</v>
      </c>
      <c r="B327" s="59">
        <v>426</v>
      </c>
      <c r="C327" s="34" t="s">
        <v>597</v>
      </c>
      <c r="D327" s="36">
        <v>124290</v>
      </c>
      <c r="E327" s="36">
        <v>992756</v>
      </c>
      <c r="F327" s="57"/>
      <c r="G327" s="65"/>
      <c r="H327" s="64"/>
      <c r="I327" s="65"/>
      <c r="J327" s="64"/>
    </row>
    <row r="328" spans="1:10" x14ac:dyDescent="0.2">
      <c r="A328">
        <v>2017</v>
      </c>
      <c r="B328" s="59">
        <v>427</v>
      </c>
      <c r="C328" s="34" t="s">
        <v>598</v>
      </c>
      <c r="D328" s="36">
        <v>154774</v>
      </c>
      <c r="E328" s="36">
        <v>903296</v>
      </c>
      <c r="F328" s="57"/>
      <c r="G328" s="65"/>
      <c r="H328" s="64"/>
      <c r="I328" s="65"/>
      <c r="J328" s="64"/>
    </row>
    <row r="329" spans="1:10" x14ac:dyDescent="0.2">
      <c r="A329">
        <v>2017</v>
      </c>
      <c r="B329" s="59">
        <v>428</v>
      </c>
      <c r="C329" s="34" t="s">
        <v>599</v>
      </c>
      <c r="D329" s="36">
        <v>11279</v>
      </c>
      <c r="E329" s="36">
        <v>92612</v>
      </c>
      <c r="F329" s="57"/>
      <c r="G329" s="65"/>
      <c r="H329" s="64"/>
      <c r="I329" s="65"/>
      <c r="J329" s="64"/>
    </row>
    <row r="330" spans="1:10" x14ac:dyDescent="0.2">
      <c r="A330">
        <v>2017</v>
      </c>
      <c r="B330" s="59">
        <v>429</v>
      </c>
      <c r="C330" s="34" t="s">
        <v>600</v>
      </c>
      <c r="D330" s="36">
        <v>27212</v>
      </c>
      <c r="E330" s="36">
        <v>224037</v>
      </c>
      <c r="F330" s="57"/>
      <c r="G330" s="65"/>
      <c r="H330" s="64"/>
      <c r="I330" s="65"/>
      <c r="J330" s="64"/>
    </row>
    <row r="331" spans="1:10" x14ac:dyDescent="0.2">
      <c r="A331">
        <v>2017</v>
      </c>
      <c r="B331" s="59">
        <v>430</v>
      </c>
      <c r="C331" s="34" t="s">
        <v>601</v>
      </c>
      <c r="D331" s="36">
        <v>128646</v>
      </c>
      <c r="E331" s="36">
        <v>1174902</v>
      </c>
      <c r="F331" s="57"/>
      <c r="G331" s="65"/>
      <c r="H331" s="64"/>
      <c r="I331" s="65"/>
      <c r="J331" s="64"/>
    </row>
    <row r="332" spans="1:10" x14ac:dyDescent="0.2">
      <c r="A332">
        <v>2017</v>
      </c>
      <c r="B332" s="59">
        <v>431</v>
      </c>
      <c r="C332" s="34" t="s">
        <v>602</v>
      </c>
      <c r="D332" s="36">
        <v>21001</v>
      </c>
      <c r="E332" s="36">
        <v>161210</v>
      </c>
      <c r="F332" s="57"/>
      <c r="G332" s="65"/>
      <c r="H332" s="64"/>
      <c r="I332" s="65"/>
      <c r="J332" s="64"/>
    </row>
    <row r="333" spans="1:10" x14ac:dyDescent="0.2">
      <c r="A333">
        <v>2017</v>
      </c>
      <c r="B333" s="59">
        <v>432</v>
      </c>
      <c r="C333" s="34" t="s">
        <v>603</v>
      </c>
      <c r="D333" s="36">
        <v>16224</v>
      </c>
      <c r="E333" s="36">
        <v>184409</v>
      </c>
      <c r="F333" s="57"/>
      <c r="G333" s="65"/>
      <c r="H333" s="64"/>
      <c r="I333" s="65"/>
      <c r="J333" s="64"/>
    </row>
    <row r="334" spans="1:10" x14ac:dyDescent="0.2">
      <c r="A334">
        <v>2017</v>
      </c>
      <c r="B334" s="59">
        <v>433</v>
      </c>
      <c r="C334" s="34" t="s">
        <v>604</v>
      </c>
      <c r="D334" s="36">
        <v>26961</v>
      </c>
      <c r="E334" s="36">
        <v>195099</v>
      </c>
      <c r="F334" s="57"/>
      <c r="G334" s="65"/>
      <c r="H334" s="64"/>
      <c r="I334" s="65"/>
      <c r="J334" s="64"/>
    </row>
    <row r="335" spans="1:10" x14ac:dyDescent="0.2">
      <c r="A335">
        <v>2017</v>
      </c>
      <c r="B335" s="59">
        <v>434</v>
      </c>
      <c r="C335" s="34" t="s">
        <v>605</v>
      </c>
      <c r="D335" s="36">
        <v>32834</v>
      </c>
      <c r="E335" s="36">
        <v>171833</v>
      </c>
      <c r="F335" s="57"/>
      <c r="G335" s="65"/>
      <c r="H335" s="64"/>
      <c r="I335" s="65"/>
      <c r="J335" s="64"/>
    </row>
    <row r="336" spans="1:10" x14ac:dyDescent="0.2">
      <c r="A336">
        <v>2017</v>
      </c>
      <c r="B336" s="59">
        <v>435</v>
      </c>
      <c r="C336" s="34" t="s">
        <v>606</v>
      </c>
      <c r="D336" s="36">
        <v>11455</v>
      </c>
      <c r="E336" s="36">
        <v>157281</v>
      </c>
      <c r="F336" s="57"/>
      <c r="G336" s="65"/>
      <c r="H336" s="64"/>
      <c r="I336" s="65"/>
      <c r="J336" s="64"/>
    </row>
    <row r="337" spans="1:11" x14ac:dyDescent="0.2">
      <c r="A337">
        <v>2017</v>
      </c>
      <c r="B337" s="59">
        <v>436</v>
      </c>
      <c r="C337" s="34" t="s">
        <v>607</v>
      </c>
      <c r="D337" s="36">
        <v>27160</v>
      </c>
      <c r="E337" s="36">
        <v>135835</v>
      </c>
      <c r="F337" s="57"/>
      <c r="G337" s="65"/>
      <c r="H337" s="64"/>
      <c r="I337" s="65"/>
      <c r="J337" s="64"/>
    </row>
    <row r="338" spans="1:11" x14ac:dyDescent="0.2">
      <c r="A338">
        <v>2017</v>
      </c>
      <c r="B338" s="59">
        <v>437</v>
      </c>
      <c r="C338" s="34" t="s">
        <v>608</v>
      </c>
      <c r="D338" s="36">
        <v>49276</v>
      </c>
      <c r="E338" s="36">
        <v>452201</v>
      </c>
      <c r="F338" s="57"/>
      <c r="G338" s="65"/>
      <c r="H338" s="64"/>
      <c r="I338" s="65"/>
      <c r="J338" s="64"/>
    </row>
    <row r="339" spans="1:11" x14ac:dyDescent="0.2">
      <c r="A339">
        <v>2017</v>
      </c>
      <c r="B339" s="59">
        <v>438</v>
      </c>
      <c r="C339" s="34" t="s">
        <v>609</v>
      </c>
      <c r="D339" s="36">
        <v>22639</v>
      </c>
      <c r="E339" s="36">
        <v>181750</v>
      </c>
      <c r="F339" s="57"/>
      <c r="G339" s="65"/>
      <c r="H339" s="64"/>
      <c r="I339" s="65"/>
      <c r="J339" s="64"/>
    </row>
    <row r="340" spans="1:11" x14ac:dyDescent="0.2">
      <c r="A340">
        <v>2017</v>
      </c>
      <c r="B340" s="59">
        <v>439</v>
      </c>
      <c r="C340" s="34" t="s">
        <v>610</v>
      </c>
      <c r="D340" s="36">
        <v>69780</v>
      </c>
      <c r="E340" s="36">
        <v>481272</v>
      </c>
      <c r="F340" s="57"/>
      <c r="G340" s="65"/>
      <c r="H340" s="64"/>
      <c r="I340" s="65"/>
      <c r="J340" s="64"/>
    </row>
    <row r="341" spans="1:11" x14ac:dyDescent="0.2">
      <c r="A341">
        <v>2017</v>
      </c>
      <c r="B341" s="59">
        <v>440</v>
      </c>
      <c r="C341" s="34" t="s">
        <v>611</v>
      </c>
      <c r="D341" s="36">
        <v>20628</v>
      </c>
      <c r="E341" s="36">
        <v>161804</v>
      </c>
      <c r="F341" s="57"/>
      <c r="G341" s="65"/>
      <c r="H341" s="64"/>
      <c r="I341" s="65"/>
      <c r="J341" s="64"/>
    </row>
    <row r="342" spans="1:11" x14ac:dyDescent="0.2">
      <c r="A342">
        <v>2017</v>
      </c>
      <c r="B342" s="59">
        <v>441</v>
      </c>
      <c r="C342" s="34" t="s">
        <v>612</v>
      </c>
      <c r="D342" s="36">
        <v>48314</v>
      </c>
      <c r="E342" s="36">
        <v>381570</v>
      </c>
      <c r="F342" s="57"/>
      <c r="G342" s="65"/>
      <c r="H342" s="64"/>
      <c r="I342" s="65"/>
      <c r="J342" s="64"/>
    </row>
    <row r="343" spans="1:11" x14ac:dyDescent="0.2">
      <c r="A343">
        <v>2017</v>
      </c>
      <c r="B343" s="59">
        <v>442</v>
      </c>
      <c r="C343" s="34" t="s">
        <v>613</v>
      </c>
      <c r="D343" s="36">
        <v>66257</v>
      </c>
      <c r="E343" s="36">
        <v>497993</v>
      </c>
      <c r="F343" s="57"/>
      <c r="G343" s="65"/>
      <c r="H343" s="64"/>
      <c r="I343" s="65"/>
      <c r="J343" s="64"/>
    </row>
    <row r="344" spans="1:11" x14ac:dyDescent="0.2">
      <c r="A344">
        <v>2017</v>
      </c>
      <c r="B344" s="59">
        <v>443</v>
      </c>
      <c r="C344" s="34" t="s">
        <v>614</v>
      </c>
      <c r="D344" s="36">
        <v>5685</v>
      </c>
      <c r="E344" s="36">
        <v>41721</v>
      </c>
      <c r="F344" s="57"/>
      <c r="G344" s="65"/>
      <c r="H344" s="64"/>
      <c r="I344" s="65"/>
      <c r="J344" s="64"/>
    </row>
    <row r="345" spans="1:11" x14ac:dyDescent="0.2">
      <c r="A345">
        <v>2017</v>
      </c>
      <c r="B345" s="59">
        <v>444</v>
      </c>
      <c r="C345" s="34" t="s">
        <v>615</v>
      </c>
      <c r="D345" s="36">
        <v>39635</v>
      </c>
      <c r="E345" s="36">
        <v>196846</v>
      </c>
      <c r="F345" s="57"/>
      <c r="G345" s="65"/>
      <c r="H345" s="64"/>
      <c r="I345" s="65"/>
      <c r="J345" s="64"/>
    </row>
    <row r="346" spans="1:11" x14ac:dyDescent="0.2">
      <c r="A346">
        <v>2017</v>
      </c>
      <c r="B346" s="59">
        <v>445</v>
      </c>
      <c r="C346" s="34" t="s">
        <v>616</v>
      </c>
      <c r="D346" s="36">
        <v>47070</v>
      </c>
      <c r="E346" s="36">
        <v>252879</v>
      </c>
      <c r="F346" s="57"/>
      <c r="G346" s="65"/>
      <c r="H346" s="64"/>
      <c r="I346" s="65"/>
      <c r="J346" s="64"/>
    </row>
    <row r="347" spans="1:11" x14ac:dyDescent="0.2">
      <c r="A347">
        <v>2017</v>
      </c>
      <c r="B347" s="34">
        <v>446</v>
      </c>
      <c r="C347" s="34" t="s">
        <v>617</v>
      </c>
      <c r="D347" s="36">
        <v>67283</v>
      </c>
      <c r="E347" s="36">
        <v>415448</v>
      </c>
      <c r="F347" s="57"/>
      <c r="G347" s="57"/>
      <c r="H347" s="65"/>
      <c r="I347" s="64"/>
      <c r="J347" s="65"/>
      <c r="K347" s="64"/>
    </row>
    <row r="348" spans="1:11" x14ac:dyDescent="0.2">
      <c r="A348">
        <v>2017</v>
      </c>
      <c r="B348" s="34">
        <v>447</v>
      </c>
      <c r="C348" s="34" t="s">
        <v>618</v>
      </c>
      <c r="D348" s="36">
        <v>22346</v>
      </c>
      <c r="E348" s="36">
        <v>150896</v>
      </c>
      <c r="F348" s="57"/>
      <c r="G348" s="57"/>
      <c r="H348" s="65"/>
      <c r="I348" s="64"/>
      <c r="J348" s="65"/>
      <c r="K348" s="64"/>
    </row>
    <row r="349" spans="1:11" x14ac:dyDescent="0.2">
      <c r="A349">
        <v>2017</v>
      </c>
      <c r="B349" s="34">
        <v>448</v>
      </c>
      <c r="C349" s="34" t="s">
        <v>619</v>
      </c>
      <c r="D349" s="36">
        <v>25923</v>
      </c>
      <c r="E349" s="36">
        <v>173168</v>
      </c>
      <c r="F349" s="57"/>
      <c r="G349" s="57"/>
      <c r="H349" s="65"/>
      <c r="I349" s="64"/>
      <c r="J349" s="65"/>
      <c r="K349" s="64"/>
    </row>
    <row r="350" spans="1:11" x14ac:dyDescent="0.2">
      <c r="A350">
        <v>2017</v>
      </c>
      <c r="B350" s="34">
        <v>449</v>
      </c>
      <c r="C350" s="34" t="s">
        <v>620</v>
      </c>
      <c r="D350" s="36">
        <v>50361</v>
      </c>
      <c r="E350" s="36">
        <v>467688</v>
      </c>
      <c r="F350" s="57"/>
      <c r="G350" s="57"/>
      <c r="H350" s="65"/>
      <c r="I350" s="64"/>
      <c r="J350" s="65"/>
      <c r="K350" s="64"/>
    </row>
    <row r="351" spans="1:11" x14ac:dyDescent="0.2">
      <c r="A351">
        <v>2017</v>
      </c>
      <c r="B351" s="34">
        <v>450</v>
      </c>
      <c r="C351" s="34" t="s">
        <v>621</v>
      </c>
      <c r="D351" s="36">
        <v>13670</v>
      </c>
      <c r="E351" s="36">
        <v>98401</v>
      </c>
      <c r="F351" s="57"/>
      <c r="G351" s="57"/>
      <c r="H351" s="65"/>
      <c r="I351" s="64"/>
      <c r="J351" s="65"/>
      <c r="K351" s="64"/>
    </row>
    <row r="352" spans="1:11" x14ac:dyDescent="0.2">
      <c r="A352">
        <v>2017</v>
      </c>
      <c r="B352" s="34">
        <v>451</v>
      </c>
      <c r="C352" s="34" t="s">
        <v>622</v>
      </c>
      <c r="D352" s="36">
        <v>17613</v>
      </c>
      <c r="E352" s="36">
        <v>160779</v>
      </c>
      <c r="F352" s="57"/>
      <c r="G352" s="57"/>
      <c r="H352" s="65"/>
      <c r="I352" s="64"/>
      <c r="J352" s="65"/>
      <c r="K352" s="64"/>
    </row>
    <row r="353" spans="1:11" x14ac:dyDescent="0.2">
      <c r="A353">
        <v>2017</v>
      </c>
      <c r="B353" s="34">
        <v>452</v>
      </c>
      <c r="C353" s="34" t="s">
        <v>623</v>
      </c>
      <c r="D353" s="36">
        <v>21216</v>
      </c>
      <c r="E353" s="36">
        <v>423577</v>
      </c>
      <c r="F353" s="57"/>
      <c r="G353" s="57"/>
      <c r="H353" s="65"/>
      <c r="I353" s="64"/>
      <c r="J353" s="65"/>
      <c r="K353" s="64"/>
    </row>
    <row r="354" spans="1:11" x14ac:dyDescent="0.2">
      <c r="A354">
        <v>2017</v>
      </c>
      <c r="B354" s="34">
        <v>453</v>
      </c>
      <c r="C354" s="34" t="s">
        <v>624</v>
      </c>
      <c r="D354" s="36">
        <v>17335</v>
      </c>
      <c r="E354" s="36">
        <v>154310</v>
      </c>
      <c r="F354" s="57"/>
      <c r="G354" s="57"/>
      <c r="H354" s="65"/>
      <c r="I354" s="64"/>
      <c r="J354" s="65"/>
      <c r="K354" s="64"/>
    </row>
    <row r="355" spans="1:11" x14ac:dyDescent="0.2">
      <c r="A355">
        <v>2017</v>
      </c>
      <c r="B355" s="34">
        <v>454</v>
      </c>
      <c r="C355" s="34" t="s">
        <v>625</v>
      </c>
      <c r="D355" s="36">
        <v>81786</v>
      </c>
      <c r="E355" s="36">
        <v>590438</v>
      </c>
      <c r="F355" s="57"/>
      <c r="G355" s="57"/>
      <c r="H355" s="65"/>
      <c r="I355" s="64"/>
      <c r="J355" s="65"/>
      <c r="K355" s="64"/>
    </row>
    <row r="356" spans="1:11" x14ac:dyDescent="0.2">
      <c r="A356">
        <v>2017</v>
      </c>
      <c r="B356" s="34">
        <v>455</v>
      </c>
      <c r="C356" s="34" t="s">
        <v>626</v>
      </c>
      <c r="D356" s="36">
        <v>246598</v>
      </c>
      <c r="E356" s="36">
        <v>1621588</v>
      </c>
      <c r="F356" s="57"/>
      <c r="G356" s="57"/>
      <c r="H356" s="65"/>
      <c r="I356" s="64"/>
      <c r="J356" s="65"/>
      <c r="K356" s="64"/>
    </row>
    <row r="357" spans="1:11" x14ac:dyDescent="0.2">
      <c r="A357">
        <v>2017</v>
      </c>
      <c r="B357" s="34">
        <v>462</v>
      </c>
      <c r="C357" s="34" t="s">
        <v>627</v>
      </c>
      <c r="D357" s="36">
        <v>11353</v>
      </c>
      <c r="E357" s="36">
        <v>68244</v>
      </c>
      <c r="F357" s="57"/>
      <c r="G357" s="57"/>
      <c r="H357" s="65"/>
      <c r="I357" s="64"/>
      <c r="J357" s="65"/>
      <c r="K357" s="64"/>
    </row>
    <row r="358" spans="1:11" x14ac:dyDescent="0.2">
      <c r="A358">
        <v>2017</v>
      </c>
      <c r="B358" s="34">
        <v>467</v>
      </c>
      <c r="C358" s="34" t="s">
        <v>628</v>
      </c>
      <c r="D358" s="36">
        <v>38140</v>
      </c>
      <c r="E358" s="36">
        <v>275503</v>
      </c>
      <c r="F358" s="57"/>
      <c r="G358" s="57"/>
      <c r="H358" s="65"/>
      <c r="I358" s="64"/>
      <c r="J358" s="65"/>
      <c r="K358" s="64"/>
    </row>
    <row r="359" spans="1:11" x14ac:dyDescent="0.2">
      <c r="A359">
        <v>2017</v>
      </c>
      <c r="B359" s="34">
        <v>468</v>
      </c>
      <c r="C359" s="34" t="s">
        <v>629</v>
      </c>
      <c r="D359" s="36">
        <v>34547</v>
      </c>
      <c r="E359" s="36">
        <v>208695</v>
      </c>
      <c r="F359" s="57"/>
      <c r="G359" s="57"/>
      <c r="H359" s="65"/>
      <c r="I359" s="64"/>
      <c r="J359" s="65"/>
      <c r="K359" s="64"/>
    </row>
    <row r="360" spans="1:11" x14ac:dyDescent="0.2">
      <c r="A360">
        <v>2017</v>
      </c>
      <c r="B360" s="34">
        <v>469</v>
      </c>
      <c r="C360" s="34" t="s">
        <v>630</v>
      </c>
      <c r="D360" s="36">
        <v>41011</v>
      </c>
      <c r="E360" s="36">
        <v>366339</v>
      </c>
      <c r="F360" s="57"/>
      <c r="G360" s="57"/>
      <c r="H360" s="65"/>
      <c r="I360" s="64"/>
      <c r="J360" s="65"/>
      <c r="K360" s="64"/>
    </row>
    <row r="361" spans="1:11" x14ac:dyDescent="0.2">
      <c r="A361">
        <v>2017</v>
      </c>
      <c r="B361" s="34">
        <v>470</v>
      </c>
      <c r="C361" s="34" t="s">
        <v>631</v>
      </c>
      <c r="D361" s="36">
        <v>42129</v>
      </c>
      <c r="E361" s="36">
        <v>228925</v>
      </c>
      <c r="F361" s="57"/>
      <c r="G361" s="57"/>
      <c r="H361" s="65"/>
      <c r="I361" s="64"/>
      <c r="J361" s="65"/>
      <c r="K361" s="64"/>
    </row>
    <row r="362" spans="1:11" x14ac:dyDescent="0.2">
      <c r="A362">
        <v>2017</v>
      </c>
      <c r="B362" s="34">
        <v>471</v>
      </c>
      <c r="C362" s="34" t="s">
        <v>632</v>
      </c>
      <c r="D362" s="36">
        <v>26398</v>
      </c>
      <c r="E362" s="36">
        <v>150668</v>
      </c>
      <c r="F362" s="57"/>
      <c r="G362" s="57"/>
      <c r="H362" s="65"/>
      <c r="I362" s="64"/>
      <c r="J362" s="65"/>
      <c r="K362" s="64"/>
    </row>
    <row r="363" spans="1:11" x14ac:dyDescent="0.2">
      <c r="A363">
        <v>2017</v>
      </c>
      <c r="B363" s="34">
        <v>472</v>
      </c>
      <c r="C363" s="34" t="s">
        <v>633</v>
      </c>
      <c r="D363" s="36">
        <v>494987</v>
      </c>
      <c r="E363" s="36">
        <v>3066486</v>
      </c>
      <c r="F363" s="57"/>
      <c r="G363" s="57"/>
      <c r="H363" s="65"/>
      <c r="I363" s="64"/>
      <c r="J363" s="65"/>
      <c r="K363" s="64"/>
    </row>
    <row r="364" spans="1:11" x14ac:dyDescent="0.2">
      <c r="A364">
        <v>2017</v>
      </c>
      <c r="B364" s="34">
        <v>476</v>
      </c>
      <c r="C364" s="34" t="s">
        <v>634</v>
      </c>
      <c r="D364" s="36">
        <v>160058</v>
      </c>
      <c r="E364" s="36">
        <v>1172812</v>
      </c>
      <c r="F364" s="57"/>
      <c r="G364" s="57"/>
      <c r="H364" s="65"/>
      <c r="I364" s="64"/>
      <c r="J364" s="65"/>
      <c r="K364" s="64"/>
    </row>
    <row r="365" spans="1:11" x14ac:dyDescent="0.2">
      <c r="A365">
        <v>2017</v>
      </c>
      <c r="B365" s="34">
        <v>477</v>
      </c>
      <c r="C365" s="34" t="s">
        <v>635</v>
      </c>
      <c r="D365" s="36">
        <v>52958</v>
      </c>
      <c r="E365" s="36">
        <v>271107</v>
      </c>
      <c r="F365" s="57"/>
      <c r="G365" s="57"/>
      <c r="H365" s="65"/>
      <c r="I365" s="64"/>
      <c r="J365" s="65"/>
      <c r="K365" s="64"/>
    </row>
    <row r="366" spans="1:11" x14ac:dyDescent="0.2">
      <c r="A366">
        <v>2017</v>
      </c>
      <c r="B366" s="34">
        <v>478</v>
      </c>
      <c r="C366" s="34" t="s">
        <v>636</v>
      </c>
      <c r="D366" s="36">
        <v>32538</v>
      </c>
      <c r="E366" s="36">
        <v>128745</v>
      </c>
      <c r="F366" s="57"/>
      <c r="G366" s="57"/>
      <c r="H366" s="65"/>
      <c r="I366" s="64"/>
      <c r="J366" s="65"/>
      <c r="K366" s="64"/>
    </row>
    <row r="367" spans="1:11" x14ac:dyDescent="0.2">
      <c r="A367">
        <v>2017</v>
      </c>
      <c r="B367" s="34">
        <v>479</v>
      </c>
      <c r="C367" s="34" t="s">
        <v>637</v>
      </c>
      <c r="D367" s="36">
        <v>407826</v>
      </c>
      <c r="E367" s="36">
        <v>3004027</v>
      </c>
      <c r="F367" s="57"/>
      <c r="G367" s="57"/>
      <c r="H367" s="65"/>
      <c r="I367" s="64"/>
      <c r="J367" s="65"/>
      <c r="K367" s="64"/>
    </row>
    <row r="368" spans="1:11" x14ac:dyDescent="0.2">
      <c r="A368">
        <v>2017</v>
      </c>
      <c r="B368" s="34">
        <v>485</v>
      </c>
      <c r="C368" s="34" t="s">
        <v>638</v>
      </c>
      <c r="D368" s="36">
        <v>97744</v>
      </c>
      <c r="E368" s="36">
        <v>775949</v>
      </c>
      <c r="F368" s="57"/>
      <c r="G368" s="57"/>
      <c r="H368" s="65"/>
      <c r="I368" s="64"/>
      <c r="J368" s="65"/>
      <c r="K368" s="64"/>
    </row>
    <row r="369" spans="1:11" x14ac:dyDescent="0.2">
      <c r="A369">
        <v>2017</v>
      </c>
      <c r="B369" s="34">
        <v>486</v>
      </c>
      <c r="C369" s="34" t="s">
        <v>639</v>
      </c>
      <c r="D369" s="36">
        <v>80680</v>
      </c>
      <c r="E369" s="36">
        <v>506579</v>
      </c>
      <c r="F369" s="57"/>
      <c r="G369" s="57"/>
      <c r="H369" s="65"/>
      <c r="I369" s="64"/>
      <c r="J369" s="65"/>
      <c r="K369" s="64"/>
    </row>
    <row r="370" spans="1:11" x14ac:dyDescent="0.2">
      <c r="A370">
        <v>2017</v>
      </c>
      <c r="B370" s="34">
        <v>487</v>
      </c>
      <c r="C370" s="34" t="s">
        <v>640</v>
      </c>
      <c r="D370" s="36">
        <v>79810</v>
      </c>
      <c r="E370" s="36">
        <v>436915</v>
      </c>
      <c r="F370" s="57"/>
      <c r="G370" s="57"/>
      <c r="H370" s="65"/>
      <c r="I370" s="64"/>
      <c r="J370" s="65"/>
      <c r="K370" s="64"/>
    </row>
    <row r="371" spans="1:11" x14ac:dyDescent="0.2">
      <c r="A371">
        <v>2017</v>
      </c>
      <c r="B371" s="34">
        <v>489</v>
      </c>
      <c r="C371" s="34" t="s">
        <v>641</v>
      </c>
      <c r="D371" s="36">
        <v>8763</v>
      </c>
      <c r="E371" s="36">
        <v>50014</v>
      </c>
      <c r="F371" s="57"/>
      <c r="G371" s="57"/>
      <c r="H371" s="65"/>
      <c r="I371" s="64"/>
      <c r="J371" s="65"/>
      <c r="K371" s="64"/>
    </row>
    <row r="372" spans="1:11" x14ac:dyDescent="0.2">
      <c r="A372">
        <v>2017</v>
      </c>
      <c r="B372" s="34">
        <v>490</v>
      </c>
      <c r="C372" s="34" t="s">
        <v>642</v>
      </c>
      <c r="D372" s="36">
        <v>57396</v>
      </c>
      <c r="E372" s="36">
        <v>437529</v>
      </c>
      <c r="F372" s="57"/>
      <c r="G372" s="57"/>
      <c r="H372" s="65"/>
      <c r="I372" s="64"/>
      <c r="J372" s="65"/>
      <c r="K372" s="64"/>
    </row>
    <row r="373" spans="1:11" x14ac:dyDescent="0.2">
      <c r="A373">
        <v>2017</v>
      </c>
      <c r="B373" s="34">
        <v>491</v>
      </c>
      <c r="C373" s="34" t="s">
        <v>643</v>
      </c>
      <c r="D373" s="36">
        <v>89915</v>
      </c>
      <c r="E373" s="36">
        <v>682921</v>
      </c>
      <c r="F373" s="57"/>
      <c r="G373" s="57"/>
      <c r="H373" s="65"/>
      <c r="I373" s="64"/>
      <c r="J373" s="65"/>
      <c r="K373" s="64"/>
    </row>
    <row r="374" spans="1:11" x14ac:dyDescent="0.2">
      <c r="A374">
        <v>2017</v>
      </c>
      <c r="B374" s="34">
        <v>492</v>
      </c>
      <c r="C374" s="34" t="s">
        <v>644</v>
      </c>
      <c r="D374" s="36">
        <v>482194</v>
      </c>
      <c r="E374" s="36">
        <v>3266590</v>
      </c>
      <c r="F374" s="57"/>
      <c r="G374" s="57"/>
      <c r="H374" s="65"/>
      <c r="I374" s="64"/>
      <c r="J374" s="65"/>
      <c r="K374" s="64"/>
    </row>
    <row r="375" spans="1:11" x14ac:dyDescent="0.2">
      <c r="A375">
        <v>2017</v>
      </c>
      <c r="B375" s="34">
        <v>493</v>
      </c>
      <c r="C375" s="34" t="s">
        <v>645</v>
      </c>
      <c r="D375" s="36">
        <v>1783248</v>
      </c>
      <c r="E375" s="36">
        <v>9183348</v>
      </c>
      <c r="F375" s="57"/>
      <c r="G375" s="57"/>
      <c r="H375" s="65"/>
      <c r="I375" s="64"/>
      <c r="J375" s="65"/>
      <c r="K375" s="64"/>
    </row>
    <row r="376" spans="1:11" x14ac:dyDescent="0.2">
      <c r="A376">
        <v>2017</v>
      </c>
      <c r="B376" s="34">
        <v>494</v>
      </c>
      <c r="C376" s="34" t="s">
        <v>646</v>
      </c>
      <c r="D376" s="36">
        <v>248322</v>
      </c>
      <c r="E376" s="36">
        <v>1762171</v>
      </c>
      <c r="F376" s="57"/>
      <c r="G376" s="57"/>
      <c r="H376" s="65"/>
      <c r="I376" s="64"/>
      <c r="J376" s="65"/>
      <c r="K376" s="64"/>
    </row>
    <row r="377" spans="1:11" x14ac:dyDescent="0.2">
      <c r="A377">
        <v>2017</v>
      </c>
      <c r="B377" s="34">
        <v>495</v>
      </c>
      <c r="C377" s="34" t="s">
        <v>647</v>
      </c>
      <c r="D377" s="36">
        <v>75563</v>
      </c>
      <c r="E377" s="36">
        <v>414023</v>
      </c>
      <c r="F377" s="57"/>
      <c r="G377" s="57"/>
      <c r="H377" s="65"/>
      <c r="I377" s="64"/>
      <c r="J377" s="65"/>
      <c r="K377" s="64"/>
    </row>
    <row r="378" spans="1:11" x14ac:dyDescent="0.2">
      <c r="A378">
        <v>2017</v>
      </c>
      <c r="B378" s="34">
        <v>496</v>
      </c>
      <c r="C378" s="34" t="s">
        <v>648</v>
      </c>
      <c r="D378" s="36">
        <v>31142</v>
      </c>
      <c r="E378" s="36">
        <v>174592</v>
      </c>
      <c r="F378" s="57"/>
      <c r="G378" s="57"/>
      <c r="H378" s="65"/>
      <c r="I378" s="64"/>
      <c r="J378" s="65"/>
      <c r="K378" s="64"/>
    </row>
    <row r="379" spans="1:11" x14ac:dyDescent="0.2">
      <c r="A379">
        <v>2017</v>
      </c>
      <c r="B379" s="34">
        <v>497</v>
      </c>
      <c r="C379" s="34" t="s">
        <v>649</v>
      </c>
      <c r="D379" s="36">
        <v>31871</v>
      </c>
      <c r="E379" s="36">
        <v>244394</v>
      </c>
      <c r="F379" s="57"/>
      <c r="G379" s="57"/>
      <c r="H379" s="65"/>
      <c r="I379" s="64"/>
      <c r="J379" s="65"/>
      <c r="K379" s="64"/>
    </row>
    <row r="380" spans="1:11" x14ac:dyDescent="0.2">
      <c r="A380">
        <v>2017</v>
      </c>
      <c r="B380" s="34">
        <v>498</v>
      </c>
      <c r="C380" s="34" t="s">
        <v>650</v>
      </c>
      <c r="D380" s="36">
        <v>58128</v>
      </c>
      <c r="E380" s="36">
        <v>344802</v>
      </c>
      <c r="F380" s="57"/>
      <c r="G380" s="57"/>
      <c r="H380" s="65"/>
      <c r="I380" s="64"/>
      <c r="J380" s="65"/>
      <c r="K380" s="64"/>
    </row>
    <row r="381" spans="1:11" x14ac:dyDescent="0.2">
      <c r="A381">
        <v>2017</v>
      </c>
      <c r="B381" s="34">
        <v>499</v>
      </c>
      <c r="C381" s="34" t="s">
        <v>651</v>
      </c>
      <c r="D381" s="36">
        <v>64929</v>
      </c>
      <c r="E381" s="36">
        <v>520394</v>
      </c>
      <c r="F381" s="57"/>
      <c r="G381" s="57"/>
      <c r="H381" s="65"/>
      <c r="I381" s="64"/>
      <c r="J381" s="65"/>
      <c r="K381" s="64"/>
    </row>
    <row r="382" spans="1:11" x14ac:dyDescent="0.2">
      <c r="A382">
        <v>2017</v>
      </c>
      <c r="B382" s="34">
        <v>500</v>
      </c>
      <c r="C382" s="34" t="s">
        <v>652</v>
      </c>
      <c r="D382" s="36">
        <v>99580</v>
      </c>
      <c r="E382" s="36">
        <v>676217</v>
      </c>
      <c r="F382" s="57"/>
      <c r="G382" s="57"/>
      <c r="H382" s="65"/>
      <c r="I382" s="64"/>
      <c r="J382" s="65"/>
      <c r="K382" s="64"/>
    </row>
    <row r="383" spans="1:11" x14ac:dyDescent="0.2">
      <c r="A383">
        <v>2017</v>
      </c>
      <c r="B383" s="34">
        <v>501</v>
      </c>
      <c r="C383" s="34" t="s">
        <v>653</v>
      </c>
      <c r="D383" s="36">
        <v>61354</v>
      </c>
      <c r="E383" s="36">
        <v>353240</v>
      </c>
      <c r="F383" s="57"/>
      <c r="G383" s="57"/>
      <c r="H383" s="65"/>
      <c r="I383" s="64"/>
      <c r="J383" s="65"/>
      <c r="K383" s="64"/>
    </row>
    <row r="384" spans="1:11" x14ac:dyDescent="0.2">
      <c r="A384">
        <v>2017</v>
      </c>
      <c r="B384" s="34">
        <v>502</v>
      </c>
      <c r="C384" s="34" t="s">
        <v>654</v>
      </c>
      <c r="D384" s="36">
        <v>4286</v>
      </c>
      <c r="E384" s="36">
        <v>39698</v>
      </c>
      <c r="F384" s="57"/>
      <c r="G384" s="57"/>
      <c r="H384" s="65"/>
      <c r="I384" s="64"/>
      <c r="J384" s="65"/>
      <c r="K384" s="64"/>
    </row>
    <row r="385" spans="1:11" x14ac:dyDescent="0.2">
      <c r="A385">
        <v>2017</v>
      </c>
      <c r="B385" s="34">
        <v>503</v>
      </c>
      <c r="C385" s="34" t="s">
        <v>655</v>
      </c>
      <c r="D385" s="36">
        <v>63339</v>
      </c>
      <c r="E385" s="36">
        <v>370809</v>
      </c>
      <c r="F385" s="57"/>
      <c r="G385" s="57"/>
      <c r="H385" s="65"/>
      <c r="I385" s="64"/>
      <c r="J385" s="65"/>
      <c r="K385" s="64"/>
    </row>
    <row r="386" spans="1:11" x14ac:dyDescent="0.2">
      <c r="A386">
        <v>2017</v>
      </c>
      <c r="B386" s="34">
        <v>504</v>
      </c>
      <c r="C386" s="34" t="s">
        <v>656</v>
      </c>
      <c r="D386" s="36">
        <v>108565</v>
      </c>
      <c r="E386" s="36">
        <v>481518</v>
      </c>
      <c r="F386" s="57"/>
      <c r="G386" s="57"/>
      <c r="H386" s="65"/>
      <c r="I386" s="64"/>
      <c r="J386" s="65"/>
      <c r="K386" s="64"/>
    </row>
    <row r="387" spans="1:11" x14ac:dyDescent="0.2">
      <c r="A387">
        <v>2017</v>
      </c>
      <c r="B387" s="34">
        <v>505</v>
      </c>
      <c r="C387" s="34" t="s">
        <v>657</v>
      </c>
      <c r="D387" s="36">
        <v>798274</v>
      </c>
      <c r="E387" s="36">
        <v>4554513</v>
      </c>
      <c r="F387" s="57"/>
      <c r="G387" s="57"/>
      <c r="H387" s="65"/>
      <c r="I387" s="64"/>
      <c r="J387" s="65"/>
      <c r="K387" s="64"/>
    </row>
    <row r="388" spans="1:11" x14ac:dyDescent="0.2">
      <c r="A388">
        <v>2017</v>
      </c>
      <c r="B388" s="34">
        <v>507</v>
      </c>
      <c r="C388" s="34" t="s">
        <v>658</v>
      </c>
      <c r="D388" s="36">
        <v>73233</v>
      </c>
      <c r="E388" s="36">
        <v>460614</v>
      </c>
      <c r="F388" s="57"/>
      <c r="G388" s="57"/>
      <c r="H388" s="65"/>
      <c r="I388" s="64"/>
      <c r="J388" s="65"/>
      <c r="K388" s="64"/>
    </row>
    <row r="389" spans="1:11" x14ac:dyDescent="0.2">
      <c r="A389">
        <v>2017</v>
      </c>
      <c r="B389" s="34">
        <v>509</v>
      </c>
      <c r="C389" s="34" t="s">
        <v>659</v>
      </c>
      <c r="D389" s="36">
        <v>48154</v>
      </c>
      <c r="E389" s="36">
        <v>476856</v>
      </c>
      <c r="F389" s="57"/>
      <c r="G389" s="57"/>
      <c r="H389" s="65"/>
      <c r="I389" s="64"/>
      <c r="J389" s="65"/>
      <c r="K389" s="64"/>
    </row>
    <row r="390" spans="1:11" x14ac:dyDescent="0.2">
      <c r="A390">
        <v>2017</v>
      </c>
      <c r="B390" s="34">
        <v>510</v>
      </c>
      <c r="C390" s="34" t="s">
        <v>660</v>
      </c>
      <c r="D390" s="36">
        <v>87852</v>
      </c>
      <c r="E390" s="36">
        <v>612171</v>
      </c>
      <c r="F390" s="57"/>
      <c r="G390" s="57"/>
      <c r="H390" s="65"/>
      <c r="I390" s="64"/>
      <c r="J390" s="65"/>
      <c r="K390" s="64"/>
    </row>
    <row r="391" spans="1:11" x14ac:dyDescent="0.2">
      <c r="A391">
        <v>2017</v>
      </c>
      <c r="B391" s="34">
        <v>511</v>
      </c>
      <c r="C391" s="34" t="s">
        <v>479</v>
      </c>
      <c r="D391" s="36">
        <v>38899</v>
      </c>
      <c r="E391" s="36">
        <v>285668</v>
      </c>
      <c r="F391" s="57"/>
      <c r="G391" s="57"/>
      <c r="H391" s="65"/>
      <c r="I391" s="64"/>
      <c r="J391" s="65"/>
      <c r="K391" s="64"/>
    </row>
    <row r="392" spans="1:11" x14ac:dyDescent="0.2">
      <c r="A392">
        <v>2017</v>
      </c>
      <c r="B392" s="34">
        <v>512</v>
      </c>
      <c r="C392" s="34" t="s">
        <v>480</v>
      </c>
      <c r="D392" s="36">
        <v>22896</v>
      </c>
      <c r="E392" s="36">
        <v>108627</v>
      </c>
      <c r="F392" s="57"/>
      <c r="G392" s="57"/>
      <c r="H392" s="65"/>
      <c r="I392" s="64"/>
      <c r="J392" s="65"/>
      <c r="K392" s="64"/>
    </row>
    <row r="393" spans="1:11" x14ac:dyDescent="0.2">
      <c r="A393">
        <v>2017</v>
      </c>
      <c r="B393" s="34">
        <v>514</v>
      </c>
      <c r="C393" s="34" t="s">
        <v>481</v>
      </c>
      <c r="D393" s="36">
        <v>25722</v>
      </c>
      <c r="E393" s="36">
        <v>155935</v>
      </c>
      <c r="F393" s="57"/>
      <c r="G393" s="57"/>
      <c r="H393" s="65"/>
      <c r="I393" s="64"/>
      <c r="J393" s="65"/>
      <c r="K393" s="64"/>
    </row>
    <row r="394" spans="1:11" x14ac:dyDescent="0.2">
      <c r="A394">
        <v>2017</v>
      </c>
      <c r="B394" s="34">
        <v>516</v>
      </c>
      <c r="C394" s="34" t="s">
        <v>482</v>
      </c>
      <c r="D394" s="36">
        <v>223711</v>
      </c>
      <c r="E394" s="36">
        <v>1660703</v>
      </c>
      <c r="F394" s="57"/>
      <c r="G394" s="57"/>
      <c r="H394" s="65"/>
      <c r="I394" s="64"/>
      <c r="J394" s="65"/>
      <c r="K394" s="64"/>
    </row>
    <row r="395" spans="1:11" x14ac:dyDescent="0.2">
      <c r="A395">
        <v>2017</v>
      </c>
      <c r="B395" s="34">
        <v>522</v>
      </c>
      <c r="C395" s="34" t="s">
        <v>483</v>
      </c>
      <c r="D395" s="36">
        <v>33058</v>
      </c>
      <c r="E395" s="36">
        <v>239279</v>
      </c>
      <c r="F395" s="57"/>
      <c r="G395" s="57"/>
      <c r="H395" s="65"/>
      <c r="I395" s="64"/>
      <c r="J395" s="65"/>
      <c r="K395" s="64"/>
    </row>
    <row r="396" spans="1:11" x14ac:dyDescent="0.2">
      <c r="A396">
        <v>2017</v>
      </c>
      <c r="B396" s="34">
        <v>523</v>
      </c>
      <c r="C396" s="34" t="s">
        <v>484</v>
      </c>
      <c r="D396" s="36">
        <v>72120</v>
      </c>
      <c r="E396" s="36">
        <v>765757</v>
      </c>
      <c r="F396" s="57"/>
      <c r="G396" s="57"/>
      <c r="H396" s="65"/>
      <c r="I396" s="64"/>
      <c r="J396" s="65"/>
      <c r="K396" s="64"/>
    </row>
    <row r="397" spans="1:11" x14ac:dyDescent="0.2">
      <c r="A397">
        <v>2017</v>
      </c>
      <c r="B397" s="34">
        <v>524</v>
      </c>
      <c r="C397" s="34" t="s">
        <v>485</v>
      </c>
      <c r="D397" s="36">
        <v>108750</v>
      </c>
      <c r="E397" s="36">
        <v>970648</v>
      </c>
      <c r="F397" s="57"/>
      <c r="G397" s="57"/>
      <c r="H397" s="65"/>
      <c r="I397" s="64"/>
      <c r="J397" s="65"/>
      <c r="K397" s="64"/>
    </row>
    <row r="398" spans="1:11" x14ac:dyDescent="0.2">
      <c r="A398">
        <v>2017</v>
      </c>
      <c r="B398" s="34">
        <v>525</v>
      </c>
      <c r="C398" s="34" t="s">
        <v>486</v>
      </c>
      <c r="D398" s="36">
        <v>22877</v>
      </c>
      <c r="E398" s="36">
        <v>165581</v>
      </c>
      <c r="F398" s="57"/>
      <c r="G398" s="57"/>
      <c r="H398" s="65"/>
      <c r="I398" s="64"/>
      <c r="J398" s="65"/>
      <c r="K398" s="64"/>
    </row>
    <row r="399" spans="1:11" x14ac:dyDescent="0.2">
      <c r="A399">
        <v>2017</v>
      </c>
      <c r="B399" s="34">
        <v>526</v>
      </c>
      <c r="C399" s="34" t="s">
        <v>661</v>
      </c>
      <c r="D399" s="36">
        <v>9528</v>
      </c>
      <c r="E399" s="36">
        <v>58890</v>
      </c>
      <c r="F399" s="57"/>
      <c r="G399" s="57"/>
      <c r="H399" s="65"/>
      <c r="I399" s="64"/>
      <c r="J399" s="65"/>
      <c r="K399" s="64"/>
    </row>
    <row r="400" spans="1:11" x14ac:dyDescent="0.2">
      <c r="A400">
        <v>2017</v>
      </c>
      <c r="B400" s="34">
        <v>527</v>
      </c>
      <c r="C400" s="34" t="s">
        <v>662</v>
      </c>
      <c r="D400" s="36">
        <v>43850</v>
      </c>
      <c r="E400" s="36">
        <v>293353</v>
      </c>
      <c r="F400" s="57"/>
      <c r="G400" s="57"/>
      <c r="H400" s="65"/>
      <c r="I400" s="64"/>
      <c r="J400" s="65"/>
      <c r="K400" s="64"/>
    </row>
    <row r="401" spans="1:11" x14ac:dyDescent="0.2">
      <c r="A401">
        <v>2017</v>
      </c>
      <c r="B401" s="34">
        <v>528</v>
      </c>
      <c r="C401" s="34" t="s">
        <v>489</v>
      </c>
      <c r="D401" s="36">
        <v>33923</v>
      </c>
      <c r="E401" s="36">
        <v>167446</v>
      </c>
      <c r="F401" s="57"/>
      <c r="G401" s="57"/>
      <c r="H401" s="65"/>
      <c r="I401" s="64"/>
      <c r="J401" s="65"/>
      <c r="K401" s="64"/>
    </row>
    <row r="402" spans="1:11" x14ac:dyDescent="0.2">
      <c r="A402">
        <v>2017</v>
      </c>
      <c r="B402" s="34">
        <v>529</v>
      </c>
      <c r="C402" s="34" t="s">
        <v>490</v>
      </c>
      <c r="D402" s="36">
        <v>61845</v>
      </c>
      <c r="E402" s="36">
        <v>344242</v>
      </c>
      <c r="F402" s="57"/>
      <c r="G402" s="57"/>
      <c r="H402" s="65"/>
      <c r="I402" s="64"/>
      <c r="J402" s="65"/>
      <c r="K402" s="64"/>
    </row>
    <row r="403" spans="1:11" x14ac:dyDescent="0.2">
      <c r="A403">
        <v>2017</v>
      </c>
      <c r="B403" s="34">
        <v>532</v>
      </c>
      <c r="C403" s="34" t="s">
        <v>663</v>
      </c>
      <c r="D403" s="36">
        <v>164459</v>
      </c>
      <c r="E403" s="36">
        <v>967101</v>
      </c>
      <c r="F403" s="57"/>
      <c r="G403" s="57"/>
      <c r="H403" s="65"/>
      <c r="I403" s="64"/>
      <c r="J403" s="65"/>
      <c r="K403" s="64"/>
    </row>
    <row r="404" spans="1:11" x14ac:dyDescent="0.2">
      <c r="A404">
        <v>2017</v>
      </c>
      <c r="B404" s="34">
        <v>533</v>
      </c>
      <c r="C404" s="34" t="s">
        <v>664</v>
      </c>
      <c r="D404" s="36">
        <v>32144</v>
      </c>
      <c r="E404" s="36">
        <v>224366</v>
      </c>
      <c r="F404" s="57"/>
      <c r="G404" s="57"/>
      <c r="H404" s="65"/>
      <c r="I404" s="64"/>
      <c r="J404" s="65"/>
      <c r="K404" s="64"/>
    </row>
    <row r="405" spans="1:11" x14ac:dyDescent="0.2">
      <c r="A405">
        <v>2017</v>
      </c>
      <c r="B405" s="34">
        <v>534</v>
      </c>
      <c r="C405" s="34" t="s">
        <v>493</v>
      </c>
      <c r="D405" s="36">
        <v>14082</v>
      </c>
      <c r="E405" s="36">
        <v>67400</v>
      </c>
      <c r="F405" s="57"/>
      <c r="G405" s="57"/>
      <c r="H405" s="65"/>
      <c r="I405" s="64"/>
      <c r="J405" s="65"/>
      <c r="K405" s="64"/>
    </row>
    <row r="406" spans="1:11" x14ac:dyDescent="0.2">
      <c r="A406">
        <v>2017</v>
      </c>
      <c r="B406" s="34">
        <v>535</v>
      </c>
      <c r="C406" s="34" t="s">
        <v>494</v>
      </c>
      <c r="D406" s="36">
        <v>23462</v>
      </c>
      <c r="E406" s="36">
        <v>117008</v>
      </c>
      <c r="F406" s="57"/>
      <c r="G406" s="57"/>
      <c r="H406" s="65"/>
      <c r="I406" s="64"/>
      <c r="J406" s="65"/>
      <c r="K406" s="64"/>
    </row>
    <row r="407" spans="1:11" x14ac:dyDescent="0.2">
      <c r="A407">
        <v>2017</v>
      </c>
      <c r="B407" s="34">
        <v>536</v>
      </c>
      <c r="C407" s="34" t="s">
        <v>495</v>
      </c>
      <c r="D407" s="36">
        <v>2575125</v>
      </c>
      <c r="E407" s="36">
        <v>15225869</v>
      </c>
      <c r="F407" s="57"/>
      <c r="G407" s="57"/>
      <c r="H407" s="65"/>
      <c r="I407" s="64"/>
      <c r="J407" s="65"/>
      <c r="K407" s="64"/>
    </row>
    <row r="408" spans="1:11" x14ac:dyDescent="0.2">
      <c r="A408">
        <v>2017</v>
      </c>
      <c r="B408" s="34">
        <v>537</v>
      </c>
      <c r="C408" s="34" t="s">
        <v>496</v>
      </c>
      <c r="D408" s="36">
        <v>1803844</v>
      </c>
      <c r="E408" s="36">
        <v>14924906</v>
      </c>
      <c r="F408" s="57"/>
      <c r="G408" s="57"/>
      <c r="H408" s="65"/>
      <c r="I408" s="64"/>
      <c r="J408" s="65"/>
      <c r="K408" s="64"/>
    </row>
    <row r="409" spans="1:11" x14ac:dyDescent="0.2">
      <c r="A409">
        <v>2017</v>
      </c>
      <c r="B409" s="34">
        <v>538</v>
      </c>
      <c r="C409" s="34" t="s">
        <v>497</v>
      </c>
      <c r="D409" s="36">
        <v>2068919</v>
      </c>
      <c r="E409" s="36">
        <v>11839686</v>
      </c>
      <c r="F409" s="57"/>
      <c r="G409" s="57"/>
      <c r="H409" s="65"/>
      <c r="I409" s="64"/>
      <c r="J409" s="65"/>
      <c r="K409" s="64"/>
    </row>
    <row r="410" spans="1:11" x14ac:dyDescent="0.2">
      <c r="A410">
        <v>2017</v>
      </c>
      <c r="B410" s="34">
        <v>539</v>
      </c>
      <c r="C410" s="34" t="s">
        <v>498</v>
      </c>
      <c r="D410" s="36">
        <v>352772</v>
      </c>
      <c r="E410" s="36">
        <v>1578542</v>
      </c>
      <c r="F410" s="57"/>
      <c r="G410" s="57"/>
      <c r="H410" s="65"/>
      <c r="I410" s="64"/>
      <c r="J410" s="65"/>
      <c r="K410" s="64"/>
    </row>
    <row r="411" spans="1:11" x14ac:dyDescent="0.2">
      <c r="A411">
        <v>2017</v>
      </c>
      <c r="B411" s="34">
        <v>540</v>
      </c>
      <c r="C411" s="34" t="s">
        <v>499</v>
      </c>
      <c r="D411" s="36">
        <v>767047</v>
      </c>
      <c r="E411" s="36">
        <v>5130592</v>
      </c>
      <c r="F411" s="57"/>
      <c r="G411" s="57"/>
      <c r="H411" s="65"/>
      <c r="I411" s="64"/>
      <c r="J411" s="65"/>
      <c r="K411" s="64"/>
    </row>
    <row r="412" spans="1:11" x14ac:dyDescent="0.2">
      <c r="A412">
        <v>2017</v>
      </c>
      <c r="B412" s="34">
        <v>541</v>
      </c>
      <c r="C412" s="34" t="s">
        <v>500</v>
      </c>
      <c r="D412" s="36">
        <v>32635</v>
      </c>
      <c r="E412" s="36">
        <v>262741</v>
      </c>
      <c r="F412" s="57"/>
      <c r="G412" s="57"/>
      <c r="H412" s="65"/>
      <c r="I412" s="64"/>
      <c r="J412" s="65"/>
      <c r="K412" s="64"/>
    </row>
    <row r="413" spans="1:11" x14ac:dyDescent="0.2">
      <c r="A413">
        <v>2017</v>
      </c>
      <c r="B413" s="34">
        <v>542</v>
      </c>
      <c r="C413" s="34" t="s">
        <v>501</v>
      </c>
      <c r="D413" s="36">
        <v>6237</v>
      </c>
      <c r="E413" s="36">
        <v>42065</v>
      </c>
      <c r="F413" s="57"/>
      <c r="G413" s="57"/>
      <c r="H413" s="65"/>
      <c r="I413" s="64"/>
      <c r="J413" s="65"/>
      <c r="K413" s="64"/>
    </row>
    <row r="414" spans="1:11" x14ac:dyDescent="0.2">
      <c r="A414">
        <v>2017</v>
      </c>
      <c r="B414" s="34">
        <v>544</v>
      </c>
      <c r="C414" s="34" t="s">
        <v>502</v>
      </c>
      <c r="D414" s="36">
        <v>37353</v>
      </c>
      <c r="E414" s="36">
        <v>262462</v>
      </c>
      <c r="F414" s="57"/>
      <c r="G414" s="57"/>
      <c r="H414" s="65"/>
      <c r="I414" s="64"/>
      <c r="J414" s="65"/>
      <c r="K414" s="64"/>
    </row>
    <row r="415" spans="1:11" x14ac:dyDescent="0.2">
      <c r="A415">
        <v>2017</v>
      </c>
      <c r="B415" s="34">
        <v>545</v>
      </c>
      <c r="C415" s="34" t="s">
        <v>503</v>
      </c>
      <c r="D415" s="36">
        <v>39417</v>
      </c>
      <c r="E415" s="36">
        <v>317407</v>
      </c>
      <c r="F415" s="57"/>
      <c r="G415" s="57"/>
      <c r="H415" s="65"/>
      <c r="I415" s="64"/>
      <c r="J415" s="65"/>
      <c r="K415" s="64"/>
    </row>
    <row r="416" spans="1:11" x14ac:dyDescent="0.2">
      <c r="A416">
        <v>2017</v>
      </c>
      <c r="B416" s="34">
        <v>546</v>
      </c>
      <c r="C416" s="34" t="s">
        <v>665</v>
      </c>
      <c r="D416" s="36">
        <v>328069</v>
      </c>
      <c r="E416" s="36">
        <v>2176961</v>
      </c>
      <c r="F416" s="57"/>
      <c r="G416" s="57"/>
      <c r="H416" s="65"/>
      <c r="I416" s="64"/>
      <c r="J416" s="65"/>
      <c r="K416" s="64"/>
    </row>
    <row r="417" spans="1:11" x14ac:dyDescent="0.2">
      <c r="A417">
        <v>2017</v>
      </c>
      <c r="B417" s="34">
        <v>547</v>
      </c>
      <c r="C417" s="34" t="s">
        <v>505</v>
      </c>
      <c r="D417" s="36">
        <v>222993</v>
      </c>
      <c r="E417" s="36">
        <v>1556042</v>
      </c>
      <c r="F417" s="57"/>
      <c r="G417" s="57"/>
      <c r="H417" s="65"/>
      <c r="I417" s="64"/>
      <c r="J417" s="65"/>
      <c r="K417" s="64"/>
    </row>
    <row r="418" spans="1:11" x14ac:dyDescent="0.2">
      <c r="A418">
        <v>2017</v>
      </c>
      <c r="B418" s="34">
        <v>548</v>
      </c>
      <c r="C418" s="34" t="s">
        <v>506</v>
      </c>
      <c r="D418" s="36">
        <v>110186</v>
      </c>
      <c r="E418" s="36">
        <v>728416</v>
      </c>
      <c r="F418" s="57"/>
      <c r="G418" s="57"/>
      <c r="H418" s="65"/>
      <c r="I418" s="64"/>
      <c r="J418" s="65"/>
      <c r="K418" s="64"/>
    </row>
    <row r="419" spans="1:11" x14ac:dyDescent="0.2">
      <c r="A419">
        <v>2017</v>
      </c>
      <c r="B419" s="34">
        <v>549</v>
      </c>
      <c r="C419" s="34" t="s">
        <v>507</v>
      </c>
      <c r="D419" s="36">
        <v>54014</v>
      </c>
      <c r="E419" s="36">
        <v>384698</v>
      </c>
      <c r="F419" s="57"/>
      <c r="G419" s="57"/>
      <c r="H419" s="65"/>
      <c r="I419" s="64"/>
      <c r="J419" s="65"/>
      <c r="K419" s="64"/>
    </row>
    <row r="420" spans="1:11" x14ac:dyDescent="0.2">
      <c r="A420">
        <v>2017</v>
      </c>
      <c r="B420" s="34">
        <v>550</v>
      </c>
      <c r="C420" s="34" t="s">
        <v>508</v>
      </c>
      <c r="D420" s="36">
        <v>400046</v>
      </c>
      <c r="E420" s="36">
        <v>2601269</v>
      </c>
      <c r="F420" s="57"/>
      <c r="G420" s="57"/>
      <c r="H420" s="65"/>
      <c r="I420" s="64"/>
      <c r="J420" s="65"/>
      <c r="K420" s="64"/>
    </row>
    <row r="421" spans="1:11" x14ac:dyDescent="0.2">
      <c r="A421">
        <v>2017</v>
      </c>
      <c r="B421" s="34">
        <v>557</v>
      </c>
      <c r="C421" s="34" t="s">
        <v>509</v>
      </c>
      <c r="D421" s="36">
        <v>222446</v>
      </c>
      <c r="E421" s="36">
        <v>1641762</v>
      </c>
      <c r="F421" s="57"/>
      <c r="G421" s="57"/>
      <c r="H421" s="65"/>
      <c r="I421" s="64"/>
      <c r="J421" s="65"/>
      <c r="K421" s="64"/>
    </row>
    <row r="422" spans="1:11" x14ac:dyDescent="0.2">
      <c r="A422">
        <v>2017</v>
      </c>
      <c r="B422" s="34">
        <v>559</v>
      </c>
      <c r="C422" s="34" t="s">
        <v>666</v>
      </c>
      <c r="D422" s="36">
        <v>2297198</v>
      </c>
      <c r="E422" s="36">
        <v>14617671</v>
      </c>
      <c r="F422" s="57"/>
      <c r="G422" s="57"/>
      <c r="H422" s="65"/>
      <c r="I422" s="64"/>
      <c r="J422" s="65"/>
      <c r="K422" s="64"/>
    </row>
    <row r="423" spans="1:11" x14ac:dyDescent="0.2">
      <c r="A423">
        <v>2017</v>
      </c>
      <c r="B423" s="34">
        <v>560</v>
      </c>
      <c r="C423" s="34" t="s">
        <v>667</v>
      </c>
      <c r="D423" s="36">
        <v>1668446</v>
      </c>
      <c r="E423" s="36">
        <v>9454432</v>
      </c>
      <c r="F423" s="57"/>
      <c r="G423" s="57"/>
      <c r="H423" s="65"/>
      <c r="I423" s="64"/>
      <c r="J423" s="65"/>
      <c r="K423" s="64"/>
    </row>
    <row r="424" spans="1:11" x14ac:dyDescent="0.2">
      <c r="A424">
        <v>2017</v>
      </c>
      <c r="B424" s="34">
        <v>561</v>
      </c>
      <c r="C424" s="34" t="s">
        <v>512</v>
      </c>
      <c r="D424" s="36">
        <v>1185591</v>
      </c>
      <c r="E424" s="36">
        <v>5948540</v>
      </c>
      <c r="F424" s="57"/>
      <c r="G424" s="57"/>
      <c r="H424" s="65"/>
      <c r="I424" s="64"/>
      <c r="J424" s="65"/>
      <c r="K424" s="64"/>
    </row>
    <row r="425" spans="1:11" x14ac:dyDescent="0.2">
      <c r="A425">
        <v>2017</v>
      </c>
      <c r="B425" s="34">
        <v>562</v>
      </c>
      <c r="C425" s="34" t="s">
        <v>513</v>
      </c>
      <c r="D425" s="36">
        <v>2899598</v>
      </c>
      <c r="E425" s="36">
        <v>17909981</v>
      </c>
      <c r="F425" s="57"/>
      <c r="G425" s="57"/>
      <c r="H425" s="65"/>
      <c r="I425" s="64"/>
      <c r="J425" s="65"/>
      <c r="K425" s="64"/>
    </row>
    <row r="426" spans="1:11" x14ac:dyDescent="0.2">
      <c r="A426">
        <v>2017</v>
      </c>
      <c r="B426" s="34">
        <v>563</v>
      </c>
      <c r="C426" s="34" t="s">
        <v>514</v>
      </c>
      <c r="D426" s="36">
        <v>773607</v>
      </c>
      <c r="E426" s="36">
        <v>5299252</v>
      </c>
      <c r="F426" s="57"/>
      <c r="G426" s="57"/>
      <c r="H426" s="65"/>
      <c r="I426" s="64"/>
      <c r="J426" s="65"/>
      <c r="K426" s="64"/>
    </row>
    <row r="427" spans="1:11" x14ac:dyDescent="0.2">
      <c r="A427">
        <v>2017</v>
      </c>
      <c r="B427" s="34">
        <v>564</v>
      </c>
      <c r="C427" s="34" t="s">
        <v>515</v>
      </c>
      <c r="D427" s="36">
        <v>636127</v>
      </c>
      <c r="E427" s="36">
        <v>4855890</v>
      </c>
      <c r="F427" s="57"/>
      <c r="G427" s="57"/>
      <c r="H427" s="65"/>
      <c r="I427" s="64"/>
      <c r="J427" s="65"/>
      <c r="K427" s="64"/>
    </row>
    <row r="428" spans="1:11" x14ac:dyDescent="0.2">
      <c r="A428">
        <v>2017</v>
      </c>
      <c r="B428" s="34">
        <v>565</v>
      </c>
      <c r="C428" s="34" t="s">
        <v>516</v>
      </c>
      <c r="D428" s="36">
        <v>1042216</v>
      </c>
      <c r="E428" s="36">
        <v>7595599</v>
      </c>
      <c r="F428" s="57"/>
      <c r="G428" s="57"/>
      <c r="H428" s="65"/>
      <c r="I428" s="64"/>
      <c r="J428" s="65"/>
      <c r="K428" s="64"/>
    </row>
    <row r="429" spans="1:11" x14ac:dyDescent="0.2">
      <c r="A429">
        <v>2017</v>
      </c>
      <c r="B429" s="34">
        <v>566</v>
      </c>
      <c r="C429" s="34" t="s">
        <v>517</v>
      </c>
      <c r="D429" s="36">
        <v>287429</v>
      </c>
      <c r="E429" s="36">
        <v>2025266</v>
      </c>
      <c r="F429" s="57"/>
      <c r="G429" s="57"/>
      <c r="H429" s="65"/>
      <c r="I429" s="64"/>
      <c r="J429" s="65"/>
      <c r="K429" s="64"/>
    </row>
    <row r="430" spans="1:11" x14ac:dyDescent="0.2">
      <c r="A430">
        <v>2017</v>
      </c>
      <c r="B430" s="34">
        <v>567</v>
      </c>
      <c r="C430" s="34" t="s">
        <v>518</v>
      </c>
      <c r="D430" s="36">
        <v>119452</v>
      </c>
      <c r="E430" s="36">
        <v>1214415</v>
      </c>
      <c r="F430" s="57"/>
      <c r="G430" s="57"/>
      <c r="H430" s="65"/>
      <c r="I430" s="64"/>
      <c r="J430" s="65"/>
      <c r="K430" s="64"/>
    </row>
    <row r="431" spans="1:11" x14ac:dyDescent="0.2">
      <c r="A431">
        <v>2017</v>
      </c>
      <c r="B431" s="34">
        <v>569</v>
      </c>
      <c r="C431" s="34" t="s">
        <v>519</v>
      </c>
      <c r="D431" s="36">
        <v>179802</v>
      </c>
      <c r="E431" s="36">
        <v>1091732</v>
      </c>
      <c r="F431" s="57"/>
      <c r="G431" s="57"/>
      <c r="H431" s="65"/>
      <c r="I431" s="64"/>
      <c r="J431" s="65"/>
      <c r="K431" s="64"/>
    </row>
    <row r="432" spans="1:11" x14ac:dyDescent="0.2">
      <c r="A432">
        <v>2017</v>
      </c>
      <c r="B432" s="34">
        <v>570</v>
      </c>
      <c r="C432" s="34" t="s">
        <v>520</v>
      </c>
      <c r="D432" s="36">
        <v>558224</v>
      </c>
      <c r="E432" s="36">
        <v>3768984</v>
      </c>
      <c r="F432" s="57"/>
      <c r="G432" s="57"/>
      <c r="H432" s="65"/>
      <c r="I432" s="64"/>
      <c r="J432" s="65"/>
      <c r="K432" s="64"/>
    </row>
    <row r="433" spans="1:11" x14ac:dyDescent="0.2">
      <c r="A433">
        <v>2017</v>
      </c>
      <c r="B433" s="34">
        <v>571</v>
      </c>
      <c r="C433" s="34" t="s">
        <v>389</v>
      </c>
      <c r="D433" s="36">
        <v>146945</v>
      </c>
      <c r="E433" s="36">
        <v>1277381</v>
      </c>
      <c r="F433" s="57"/>
      <c r="G433" s="57"/>
      <c r="H433" s="65"/>
      <c r="I433" s="64"/>
      <c r="J433" s="65"/>
      <c r="K433" s="64"/>
    </row>
    <row r="434" spans="1:11" x14ac:dyDescent="0.2">
      <c r="A434">
        <v>2017</v>
      </c>
      <c r="B434" s="34">
        <v>572</v>
      </c>
      <c r="C434" s="34" t="s">
        <v>390</v>
      </c>
      <c r="D434" s="36">
        <v>287817</v>
      </c>
      <c r="E434" s="36">
        <v>2080114</v>
      </c>
      <c r="F434" s="57"/>
      <c r="G434" s="57"/>
      <c r="H434" s="65"/>
      <c r="I434" s="64"/>
      <c r="J434" s="65"/>
      <c r="K434" s="64"/>
    </row>
    <row r="435" spans="1:11" x14ac:dyDescent="0.2">
      <c r="A435">
        <v>2017</v>
      </c>
      <c r="B435" s="34">
        <v>574</v>
      </c>
      <c r="C435" s="34" t="s">
        <v>391</v>
      </c>
      <c r="D435" s="36">
        <v>225180</v>
      </c>
      <c r="E435" s="36">
        <v>1239795</v>
      </c>
      <c r="F435" s="57"/>
      <c r="G435" s="57"/>
      <c r="H435" s="65"/>
      <c r="I435" s="64"/>
      <c r="J435" s="65"/>
      <c r="K435" s="64"/>
    </row>
    <row r="436" spans="1:11" x14ac:dyDescent="0.2">
      <c r="A436">
        <v>2017</v>
      </c>
      <c r="B436" s="34">
        <v>575</v>
      </c>
      <c r="C436" s="34" t="s">
        <v>668</v>
      </c>
      <c r="D436" s="36">
        <v>415670</v>
      </c>
      <c r="E436" s="36">
        <v>2423294</v>
      </c>
      <c r="F436" s="57"/>
      <c r="G436" s="57"/>
      <c r="H436" s="65"/>
      <c r="I436" s="64"/>
      <c r="J436" s="65"/>
      <c r="K436" s="64"/>
    </row>
    <row r="437" spans="1:11" x14ac:dyDescent="0.2">
      <c r="A437">
        <v>2017</v>
      </c>
      <c r="B437" s="34">
        <v>576</v>
      </c>
      <c r="C437" s="34" t="s">
        <v>393</v>
      </c>
      <c r="D437" s="36">
        <v>553977</v>
      </c>
      <c r="E437" s="36">
        <v>4985238</v>
      </c>
      <c r="F437" s="57"/>
      <c r="G437" s="57"/>
      <c r="H437" s="65"/>
      <c r="I437" s="64"/>
      <c r="J437" s="65"/>
      <c r="K437" s="64"/>
    </row>
    <row r="438" spans="1:11" x14ac:dyDescent="0.2">
      <c r="A438">
        <v>2017</v>
      </c>
      <c r="B438" s="34">
        <v>577</v>
      </c>
      <c r="C438" s="34" t="s">
        <v>394</v>
      </c>
      <c r="D438" s="36">
        <v>659123</v>
      </c>
      <c r="E438" s="36">
        <v>3569332</v>
      </c>
      <c r="F438" s="57"/>
      <c r="G438" s="57"/>
      <c r="H438" s="65"/>
      <c r="I438" s="64"/>
      <c r="J438" s="65"/>
      <c r="K438" s="64"/>
    </row>
    <row r="439" spans="1:11" x14ac:dyDescent="0.2">
      <c r="A439">
        <v>2017</v>
      </c>
      <c r="B439" s="34">
        <v>578</v>
      </c>
      <c r="C439" s="34" t="s">
        <v>395</v>
      </c>
      <c r="D439" s="36">
        <v>100129</v>
      </c>
      <c r="E439" s="36">
        <v>912767</v>
      </c>
      <c r="F439" s="57"/>
      <c r="G439" s="57"/>
      <c r="H439" s="65"/>
      <c r="I439" s="64"/>
      <c r="J439" s="65"/>
      <c r="K439" s="64"/>
    </row>
    <row r="440" spans="1:11" x14ac:dyDescent="0.2">
      <c r="A440">
        <v>2017</v>
      </c>
      <c r="B440" s="34">
        <v>580</v>
      </c>
      <c r="C440" s="34" t="s">
        <v>396</v>
      </c>
      <c r="D440" s="36">
        <v>411900</v>
      </c>
      <c r="E440" s="36">
        <v>2627390</v>
      </c>
      <c r="F440" s="57"/>
      <c r="G440" s="57"/>
      <c r="H440" s="65"/>
      <c r="I440" s="64"/>
      <c r="J440" s="65"/>
      <c r="K440" s="64"/>
    </row>
    <row r="441" spans="1:11" x14ac:dyDescent="0.2">
      <c r="A441">
        <v>2017</v>
      </c>
      <c r="B441" s="34">
        <v>581</v>
      </c>
      <c r="C441" s="34" t="s">
        <v>397</v>
      </c>
      <c r="D441" s="36">
        <v>524363</v>
      </c>
      <c r="E441" s="36">
        <v>4317531</v>
      </c>
      <c r="F441" s="57"/>
      <c r="G441" s="57"/>
      <c r="H441" s="65"/>
      <c r="I441" s="64"/>
      <c r="J441" s="65"/>
      <c r="K441" s="64"/>
    </row>
    <row r="442" spans="1:11" x14ac:dyDescent="0.2">
      <c r="A442">
        <v>2017</v>
      </c>
      <c r="B442" s="34">
        <v>582</v>
      </c>
      <c r="C442" s="34" t="s">
        <v>398</v>
      </c>
      <c r="D442" s="36">
        <v>408001</v>
      </c>
      <c r="E442" s="36">
        <v>4514810</v>
      </c>
      <c r="F442" s="57"/>
      <c r="G442" s="57"/>
      <c r="H442" s="65"/>
      <c r="I442" s="64"/>
      <c r="J442" s="65"/>
      <c r="K442" s="64"/>
    </row>
    <row r="443" spans="1:11" x14ac:dyDescent="0.2">
      <c r="A443">
        <v>2017</v>
      </c>
      <c r="B443" s="34">
        <v>583</v>
      </c>
      <c r="C443" s="34" t="s">
        <v>399</v>
      </c>
      <c r="D443" s="36">
        <v>2658401</v>
      </c>
      <c r="E443" s="36">
        <v>17724887</v>
      </c>
      <c r="F443" s="57"/>
      <c r="G443" s="57"/>
      <c r="H443" s="65"/>
      <c r="I443" s="64"/>
      <c r="J443" s="65"/>
      <c r="K443" s="64"/>
    </row>
    <row r="444" spans="1:11" x14ac:dyDescent="0.2">
      <c r="A444">
        <v>2017</v>
      </c>
      <c r="B444" s="34">
        <v>584</v>
      </c>
      <c r="C444" s="34" t="s">
        <v>400</v>
      </c>
      <c r="D444" s="36">
        <v>6892746</v>
      </c>
      <c r="E444" s="36">
        <v>27860210</v>
      </c>
      <c r="F444" s="57"/>
      <c r="G444" s="57"/>
      <c r="H444" s="65"/>
      <c r="I444" s="64"/>
      <c r="J444" s="65"/>
      <c r="K444" s="64"/>
    </row>
    <row r="445" spans="1:11" x14ac:dyDescent="0.2">
      <c r="A445">
        <v>2017</v>
      </c>
      <c r="B445" s="34">
        <v>586</v>
      </c>
      <c r="C445" s="34" t="s">
        <v>401</v>
      </c>
      <c r="D445" s="36">
        <v>10342</v>
      </c>
      <c r="E445" s="36">
        <v>70538</v>
      </c>
      <c r="F445" s="57"/>
      <c r="G445" s="57"/>
      <c r="H445" s="65"/>
      <c r="I445" s="64"/>
      <c r="J445" s="65"/>
      <c r="K445" s="64"/>
    </row>
    <row r="446" spans="1:11" x14ac:dyDescent="0.2">
      <c r="A446">
        <v>2017</v>
      </c>
      <c r="B446" s="34">
        <v>588</v>
      </c>
      <c r="C446" s="34" t="s">
        <v>402</v>
      </c>
      <c r="D446" s="36">
        <v>7750</v>
      </c>
      <c r="E446" s="36">
        <v>39691</v>
      </c>
      <c r="F446" s="57"/>
      <c r="G446" s="57"/>
      <c r="H446" s="65"/>
      <c r="I446" s="64"/>
      <c r="J446" s="65"/>
      <c r="K446" s="64"/>
    </row>
    <row r="447" spans="1:11" x14ac:dyDescent="0.2">
      <c r="A447">
        <v>2017</v>
      </c>
      <c r="B447" s="34">
        <v>589</v>
      </c>
      <c r="C447" s="34" t="s">
        <v>403</v>
      </c>
      <c r="D447" s="36">
        <v>12663</v>
      </c>
      <c r="E447" s="36">
        <v>104751</v>
      </c>
      <c r="F447" s="57"/>
      <c r="G447" s="57"/>
      <c r="H447" s="65"/>
      <c r="I447" s="64"/>
      <c r="J447" s="65"/>
      <c r="K447" s="64"/>
    </row>
    <row r="448" spans="1:11" x14ac:dyDescent="0.2">
      <c r="A448">
        <v>2017</v>
      </c>
      <c r="B448" s="34">
        <v>590</v>
      </c>
      <c r="C448" s="34" t="s">
        <v>669</v>
      </c>
      <c r="D448" s="36">
        <v>31896</v>
      </c>
      <c r="E448" s="36">
        <v>292668</v>
      </c>
      <c r="F448" s="57"/>
      <c r="G448" s="57"/>
      <c r="H448" s="65"/>
      <c r="I448" s="64"/>
      <c r="J448" s="65"/>
      <c r="K448" s="64"/>
    </row>
    <row r="449" spans="1:11" x14ac:dyDescent="0.2">
      <c r="A449">
        <v>2017</v>
      </c>
      <c r="B449" s="34">
        <v>592</v>
      </c>
      <c r="C449" s="34" t="s">
        <v>404</v>
      </c>
      <c r="D449" s="36">
        <v>7483</v>
      </c>
      <c r="E449" s="36">
        <v>42824</v>
      </c>
      <c r="F449" s="57"/>
      <c r="G449" s="57"/>
      <c r="H449" s="65"/>
      <c r="I449" s="64"/>
      <c r="J449" s="65"/>
      <c r="K449" s="64"/>
    </row>
    <row r="450" spans="1:11" x14ac:dyDescent="0.2">
      <c r="A450">
        <v>2017</v>
      </c>
      <c r="B450" s="34">
        <v>596</v>
      </c>
      <c r="C450" s="34" t="s">
        <v>405</v>
      </c>
      <c r="D450" s="36">
        <v>4102</v>
      </c>
      <c r="E450" s="36">
        <v>35058</v>
      </c>
      <c r="F450" s="57"/>
      <c r="G450" s="57"/>
      <c r="H450" s="65"/>
      <c r="I450" s="64"/>
      <c r="J450" s="65"/>
      <c r="K450" s="64"/>
    </row>
    <row r="451" spans="1:11" x14ac:dyDescent="0.2">
      <c r="A451">
        <v>2017</v>
      </c>
      <c r="B451" s="34">
        <v>597</v>
      </c>
      <c r="C451" s="34" t="s">
        <v>406</v>
      </c>
      <c r="D451" s="36">
        <v>223979</v>
      </c>
      <c r="E451" s="36">
        <v>1710767</v>
      </c>
      <c r="F451" s="57"/>
      <c r="G451" s="57"/>
      <c r="H451" s="65"/>
      <c r="I451" s="64"/>
      <c r="J451" s="65"/>
      <c r="K451" s="64"/>
    </row>
    <row r="452" spans="1:11" x14ac:dyDescent="0.2">
      <c r="A452">
        <v>2017</v>
      </c>
      <c r="B452" s="34">
        <v>598</v>
      </c>
      <c r="C452" s="34" t="s">
        <v>407</v>
      </c>
      <c r="D452" s="36">
        <v>43913</v>
      </c>
      <c r="E452" s="36">
        <v>231854</v>
      </c>
      <c r="F452" s="57"/>
      <c r="G452" s="57"/>
      <c r="H452" s="65"/>
      <c r="I452" s="64"/>
      <c r="J452" s="65"/>
      <c r="K452" s="64"/>
    </row>
    <row r="453" spans="1:11" x14ac:dyDescent="0.2">
      <c r="A453">
        <v>2017</v>
      </c>
      <c r="B453" s="34">
        <v>601</v>
      </c>
      <c r="C453" s="34" t="s">
        <v>408</v>
      </c>
      <c r="D453" s="36">
        <v>48907</v>
      </c>
      <c r="E453" s="36">
        <v>385260</v>
      </c>
      <c r="F453" s="57"/>
      <c r="G453" s="57"/>
      <c r="H453" s="65"/>
      <c r="I453" s="64"/>
      <c r="J453" s="65"/>
      <c r="K453" s="64"/>
    </row>
    <row r="454" spans="1:11" x14ac:dyDescent="0.2">
      <c r="A454">
        <v>2017</v>
      </c>
      <c r="B454" s="34">
        <v>602</v>
      </c>
      <c r="C454" s="34" t="s">
        <v>409</v>
      </c>
      <c r="D454" s="36">
        <v>72663</v>
      </c>
      <c r="E454" s="36">
        <v>406258</v>
      </c>
      <c r="F454" s="57"/>
      <c r="G454" s="57"/>
      <c r="H454" s="65"/>
      <c r="I454" s="64"/>
      <c r="J454" s="65"/>
      <c r="K454" s="64"/>
    </row>
    <row r="455" spans="1:11" x14ac:dyDescent="0.2">
      <c r="A455">
        <v>2017</v>
      </c>
      <c r="B455" s="34">
        <v>603</v>
      </c>
      <c r="C455" s="34" t="s">
        <v>410</v>
      </c>
      <c r="F455" s="57"/>
      <c r="G455" s="57"/>
      <c r="H455" s="57"/>
      <c r="I455" s="64"/>
      <c r="J455" s="57"/>
      <c r="K455" s="64"/>
    </row>
    <row r="456" spans="1:11" x14ac:dyDescent="0.2">
      <c r="A456">
        <v>2017</v>
      </c>
      <c r="B456" s="34">
        <v>607</v>
      </c>
      <c r="C456" s="34" t="s">
        <v>411</v>
      </c>
      <c r="D456" s="36">
        <v>64893</v>
      </c>
      <c r="E456" s="36">
        <v>613611</v>
      </c>
      <c r="F456" s="57"/>
      <c r="G456" s="57"/>
      <c r="H456" s="65"/>
      <c r="I456" s="64"/>
      <c r="J456" s="65"/>
      <c r="K456" s="64"/>
    </row>
    <row r="457" spans="1:11" x14ac:dyDescent="0.2">
      <c r="A457">
        <v>2017</v>
      </c>
      <c r="B457" s="34">
        <v>608</v>
      </c>
      <c r="C457" s="34" t="s">
        <v>412</v>
      </c>
      <c r="D457" s="36">
        <v>44922</v>
      </c>
      <c r="E457" s="36">
        <v>371123</v>
      </c>
      <c r="F457" s="57"/>
      <c r="G457" s="57"/>
      <c r="H457" s="65"/>
      <c r="I457" s="64"/>
      <c r="J457" s="65"/>
      <c r="K457" s="64"/>
    </row>
    <row r="458" spans="1:11" x14ac:dyDescent="0.2">
      <c r="A458">
        <v>2017</v>
      </c>
      <c r="B458" s="34">
        <v>609</v>
      </c>
      <c r="C458" s="34" t="s">
        <v>413</v>
      </c>
      <c r="D458" s="36">
        <v>19067</v>
      </c>
      <c r="E458" s="36">
        <v>225163</v>
      </c>
      <c r="F458" s="57"/>
      <c r="G458" s="57"/>
      <c r="H458" s="65"/>
      <c r="I458" s="64"/>
      <c r="J458" s="65"/>
      <c r="K458" s="64"/>
    </row>
    <row r="459" spans="1:11" x14ac:dyDescent="0.2">
      <c r="A459">
        <v>2017</v>
      </c>
      <c r="B459" s="34">
        <v>610</v>
      </c>
      <c r="C459" s="34" t="s">
        <v>414</v>
      </c>
      <c r="D459" s="36">
        <v>64295</v>
      </c>
      <c r="E459" s="36">
        <v>581596</v>
      </c>
      <c r="F459" s="57"/>
      <c r="G459" s="57"/>
      <c r="H459" s="65"/>
      <c r="I459" s="64"/>
      <c r="J459" s="65"/>
      <c r="K459" s="64"/>
    </row>
    <row r="460" spans="1:11" x14ac:dyDescent="0.2">
      <c r="A460">
        <v>2017</v>
      </c>
      <c r="B460" s="34">
        <v>611</v>
      </c>
      <c r="C460" s="34" t="s">
        <v>415</v>
      </c>
      <c r="D460" s="36">
        <v>29924</v>
      </c>
      <c r="E460" s="36">
        <v>283115</v>
      </c>
      <c r="F460" s="57"/>
      <c r="G460" s="57"/>
      <c r="H460" s="65"/>
      <c r="I460" s="64"/>
      <c r="J460" s="65"/>
      <c r="K460" s="64"/>
    </row>
    <row r="461" spans="1:11" x14ac:dyDescent="0.2">
      <c r="A461">
        <v>2017</v>
      </c>
      <c r="B461" s="34">
        <v>612</v>
      </c>
      <c r="C461" s="34" t="s">
        <v>416</v>
      </c>
      <c r="D461" s="36">
        <v>300776</v>
      </c>
      <c r="E461" s="36">
        <v>2386075</v>
      </c>
      <c r="F461" s="57"/>
      <c r="G461" s="57"/>
      <c r="H461" s="65"/>
      <c r="I461" s="64"/>
      <c r="J461" s="65"/>
      <c r="K461" s="64"/>
    </row>
    <row r="462" spans="1:11" x14ac:dyDescent="0.2">
      <c r="A462">
        <v>2017</v>
      </c>
      <c r="B462" s="34">
        <v>613</v>
      </c>
      <c r="C462" s="34" t="s">
        <v>417</v>
      </c>
      <c r="D462" s="36">
        <v>10777</v>
      </c>
      <c r="E462" s="36">
        <v>93336</v>
      </c>
      <c r="F462" s="57"/>
      <c r="G462" s="57"/>
      <c r="H462" s="65"/>
      <c r="I462" s="64"/>
      <c r="J462" s="65"/>
      <c r="K462" s="64"/>
    </row>
    <row r="463" spans="1:11" x14ac:dyDescent="0.2">
      <c r="A463">
        <v>2017</v>
      </c>
      <c r="B463" s="34">
        <v>614</v>
      </c>
      <c r="C463" s="34" t="s">
        <v>418</v>
      </c>
      <c r="D463" s="36">
        <v>32767</v>
      </c>
      <c r="E463" s="36">
        <v>168294</v>
      </c>
      <c r="F463" s="57"/>
      <c r="G463" s="57"/>
      <c r="H463" s="65"/>
      <c r="I463" s="64"/>
      <c r="J463" s="65"/>
      <c r="K463" s="64"/>
    </row>
    <row r="464" spans="1:11" x14ac:dyDescent="0.2">
      <c r="A464">
        <v>2017</v>
      </c>
      <c r="B464" s="34">
        <v>615</v>
      </c>
      <c r="C464" s="34" t="s">
        <v>419</v>
      </c>
      <c r="D464" s="36">
        <v>53239</v>
      </c>
      <c r="E464" s="36">
        <v>293091</v>
      </c>
      <c r="F464" s="57"/>
      <c r="G464" s="57"/>
      <c r="H464" s="65"/>
      <c r="I464" s="64"/>
      <c r="J464" s="65"/>
      <c r="K464" s="64"/>
    </row>
    <row r="465" spans="1:11" x14ac:dyDescent="0.2">
      <c r="A465">
        <v>2017</v>
      </c>
      <c r="B465" s="34">
        <v>617</v>
      </c>
      <c r="C465" s="34" t="s">
        <v>420</v>
      </c>
      <c r="D465" s="36">
        <v>87361</v>
      </c>
      <c r="E465" s="36">
        <v>466874</v>
      </c>
      <c r="F465" s="57"/>
      <c r="G465" s="57"/>
      <c r="H465" s="65"/>
      <c r="I465" s="64"/>
      <c r="J465" s="65"/>
      <c r="K465" s="64"/>
    </row>
    <row r="466" spans="1:11" x14ac:dyDescent="0.2">
      <c r="A466">
        <v>2017</v>
      </c>
      <c r="B466" s="34">
        <v>618</v>
      </c>
      <c r="C466" s="34" t="s">
        <v>421</v>
      </c>
      <c r="D466" s="36">
        <v>31479</v>
      </c>
      <c r="E466" s="36">
        <v>235898</v>
      </c>
      <c r="F466" s="57"/>
      <c r="G466" s="57"/>
      <c r="H466" s="65"/>
      <c r="I466" s="64"/>
      <c r="J466" s="65"/>
      <c r="K466" s="64"/>
    </row>
    <row r="467" spans="1:11" x14ac:dyDescent="0.2">
      <c r="A467">
        <v>2017</v>
      </c>
      <c r="B467" s="34">
        <v>619</v>
      </c>
      <c r="C467" s="34" t="s">
        <v>422</v>
      </c>
      <c r="D467" s="36">
        <v>42014</v>
      </c>
      <c r="E467" s="36">
        <v>205736</v>
      </c>
      <c r="F467" s="57"/>
      <c r="G467" s="57"/>
      <c r="H467" s="65"/>
      <c r="I467" s="64"/>
      <c r="J467" s="65"/>
      <c r="K467" s="64"/>
    </row>
    <row r="468" spans="1:11" x14ac:dyDescent="0.2">
      <c r="A468">
        <v>2017</v>
      </c>
      <c r="B468" s="34">
        <v>620</v>
      </c>
      <c r="C468" s="34" t="s">
        <v>423</v>
      </c>
      <c r="D468" s="36">
        <v>28158</v>
      </c>
      <c r="E468" s="36">
        <v>192215</v>
      </c>
      <c r="F468" s="57"/>
      <c r="G468" s="57"/>
      <c r="H468" s="65"/>
      <c r="I468" s="64"/>
      <c r="J468" s="65"/>
      <c r="K468" s="64"/>
    </row>
    <row r="469" spans="1:11" x14ac:dyDescent="0.2">
      <c r="A469">
        <v>2017</v>
      </c>
      <c r="B469" s="34">
        <v>621</v>
      </c>
      <c r="C469" s="34" t="s">
        <v>424</v>
      </c>
      <c r="D469" s="36">
        <v>25144</v>
      </c>
      <c r="E469" s="36">
        <v>285866</v>
      </c>
      <c r="F469" s="57"/>
      <c r="G469" s="57"/>
      <c r="H469" s="65"/>
      <c r="I469" s="64"/>
      <c r="J469" s="65"/>
      <c r="K469" s="64"/>
    </row>
    <row r="470" spans="1:11" x14ac:dyDescent="0.2">
      <c r="A470">
        <v>2017</v>
      </c>
      <c r="B470" s="34">
        <v>622</v>
      </c>
      <c r="C470" s="34" t="s">
        <v>425</v>
      </c>
      <c r="D470" s="36">
        <v>74397</v>
      </c>
      <c r="E470" s="36">
        <v>508150</v>
      </c>
      <c r="F470" s="57"/>
      <c r="G470" s="57"/>
      <c r="H470" s="65"/>
      <c r="I470" s="64"/>
      <c r="J470" s="65"/>
      <c r="K470" s="64"/>
    </row>
    <row r="471" spans="1:11" x14ac:dyDescent="0.2">
      <c r="A471">
        <v>2017</v>
      </c>
      <c r="B471" s="34">
        <v>623</v>
      </c>
      <c r="C471" s="34" t="s">
        <v>426</v>
      </c>
      <c r="D471" s="36">
        <v>123682</v>
      </c>
      <c r="E471" s="36">
        <v>1354513</v>
      </c>
      <c r="F471" s="57"/>
      <c r="G471" s="57"/>
      <c r="H471" s="65"/>
      <c r="I471" s="64"/>
      <c r="J471" s="65"/>
      <c r="K471" s="64"/>
    </row>
    <row r="472" spans="1:11" x14ac:dyDescent="0.2">
      <c r="A472">
        <v>2017</v>
      </c>
      <c r="B472" s="34">
        <v>624</v>
      </c>
      <c r="C472" s="34" t="s">
        <v>427</v>
      </c>
      <c r="D472" s="36">
        <v>38373</v>
      </c>
      <c r="E472" s="36">
        <v>335987</v>
      </c>
      <c r="F472" s="57"/>
      <c r="G472" s="57"/>
      <c r="H472" s="65"/>
      <c r="I472" s="64"/>
      <c r="J472" s="65"/>
      <c r="K472" s="64"/>
    </row>
    <row r="473" spans="1:11" x14ac:dyDescent="0.2">
      <c r="A473">
        <v>2017</v>
      </c>
      <c r="B473" s="34">
        <v>625</v>
      </c>
      <c r="C473" s="34" t="s">
        <v>428</v>
      </c>
      <c r="D473" s="36">
        <v>54356</v>
      </c>
      <c r="E473" s="36">
        <v>409557</v>
      </c>
      <c r="F473" s="57"/>
      <c r="G473" s="57"/>
      <c r="H473" s="65"/>
      <c r="I473" s="64"/>
      <c r="J473" s="65"/>
      <c r="K473" s="64"/>
    </row>
    <row r="474" spans="1:11" x14ac:dyDescent="0.2">
      <c r="A474">
        <v>2017</v>
      </c>
      <c r="B474" s="34">
        <v>626</v>
      </c>
      <c r="C474" s="34" t="s">
        <v>429</v>
      </c>
      <c r="D474" s="36">
        <v>21274</v>
      </c>
      <c r="E474" s="36">
        <v>164092</v>
      </c>
      <c r="F474" s="57"/>
      <c r="G474" s="57"/>
      <c r="H474" s="65"/>
      <c r="I474" s="64"/>
      <c r="J474" s="65"/>
      <c r="K474" s="64"/>
    </row>
    <row r="475" spans="1:11" x14ac:dyDescent="0.2">
      <c r="A475">
        <v>2017</v>
      </c>
      <c r="B475" s="34">
        <v>627</v>
      </c>
      <c r="C475" s="34" t="s">
        <v>430</v>
      </c>
      <c r="D475" s="36">
        <v>47010</v>
      </c>
      <c r="E475" s="36">
        <v>330774</v>
      </c>
      <c r="F475" s="57"/>
      <c r="G475" s="57"/>
      <c r="H475" s="65"/>
      <c r="I475" s="64"/>
      <c r="J475" s="65"/>
      <c r="K475" s="64"/>
    </row>
    <row r="476" spans="1:11" x14ac:dyDescent="0.2">
      <c r="A476">
        <v>2017</v>
      </c>
      <c r="B476" s="34">
        <v>628</v>
      </c>
      <c r="C476" s="34" t="s">
        <v>431</v>
      </c>
      <c r="D476" s="36">
        <v>50158</v>
      </c>
      <c r="E476" s="36">
        <v>385457</v>
      </c>
      <c r="F476" s="57"/>
      <c r="G476" s="57"/>
      <c r="H476" s="65"/>
      <c r="I476" s="64"/>
      <c r="J476" s="65"/>
      <c r="K476" s="64"/>
    </row>
    <row r="477" spans="1:11" x14ac:dyDescent="0.2">
      <c r="A477">
        <v>2017</v>
      </c>
      <c r="B477" s="34">
        <v>629</v>
      </c>
      <c r="C477" s="34" t="s">
        <v>432</v>
      </c>
      <c r="D477" s="36">
        <v>248987</v>
      </c>
      <c r="E477" s="36">
        <v>1425185</v>
      </c>
      <c r="F477" s="57"/>
      <c r="G477" s="57"/>
      <c r="H477" s="65"/>
      <c r="I477" s="64"/>
      <c r="J477" s="65"/>
      <c r="K477" s="64"/>
    </row>
    <row r="478" spans="1:11" x14ac:dyDescent="0.2">
      <c r="A478">
        <v>2017</v>
      </c>
      <c r="B478" s="34">
        <v>630</v>
      </c>
      <c r="C478" s="34" t="s">
        <v>433</v>
      </c>
      <c r="D478" s="36">
        <v>107402</v>
      </c>
      <c r="E478" s="36">
        <v>536045</v>
      </c>
      <c r="F478" s="57"/>
      <c r="G478" s="57"/>
      <c r="H478" s="65"/>
      <c r="I478" s="64"/>
      <c r="J478" s="65"/>
      <c r="K478" s="64"/>
    </row>
    <row r="479" spans="1:11" x14ac:dyDescent="0.2">
      <c r="A479">
        <v>2017</v>
      </c>
      <c r="B479" s="34">
        <v>631</v>
      </c>
      <c r="C479" s="34" t="s">
        <v>434</v>
      </c>
      <c r="D479" s="36">
        <v>35174</v>
      </c>
      <c r="E479" s="36">
        <v>222173</v>
      </c>
      <c r="F479" s="57"/>
      <c r="G479" s="57"/>
      <c r="H479" s="65"/>
      <c r="I479" s="64"/>
      <c r="J479" s="65"/>
      <c r="K479" s="64"/>
    </row>
    <row r="480" spans="1:11" x14ac:dyDescent="0.2">
      <c r="A480">
        <v>2017</v>
      </c>
      <c r="B480" s="34">
        <v>632</v>
      </c>
      <c r="C480" s="34" t="s">
        <v>435</v>
      </c>
      <c r="D480" s="36">
        <v>17738</v>
      </c>
      <c r="E480" s="36">
        <v>107689</v>
      </c>
      <c r="F480" s="57"/>
      <c r="G480" s="57"/>
      <c r="H480" s="65"/>
      <c r="I480" s="64"/>
      <c r="J480" s="65"/>
      <c r="K480" s="64"/>
    </row>
    <row r="481" spans="1:11" x14ac:dyDescent="0.2">
      <c r="A481">
        <v>2017</v>
      </c>
      <c r="B481" s="34">
        <v>633</v>
      </c>
      <c r="C481" s="34" t="s">
        <v>436</v>
      </c>
      <c r="D481" s="36">
        <v>68120</v>
      </c>
      <c r="E481" s="36">
        <v>440871</v>
      </c>
      <c r="F481" s="57"/>
      <c r="G481" s="57"/>
      <c r="H481" s="65"/>
      <c r="I481" s="64"/>
      <c r="J481" s="65"/>
      <c r="K481" s="64"/>
    </row>
    <row r="482" spans="1:11" x14ac:dyDescent="0.2">
      <c r="A482">
        <v>2017</v>
      </c>
      <c r="B482" s="34">
        <v>634</v>
      </c>
      <c r="C482" s="34" t="s">
        <v>437</v>
      </c>
      <c r="D482" s="36">
        <v>25045</v>
      </c>
      <c r="E482" s="36">
        <v>171516</v>
      </c>
      <c r="F482" s="57"/>
      <c r="G482" s="57"/>
      <c r="H482" s="65"/>
      <c r="I482" s="64"/>
      <c r="J482" s="65"/>
      <c r="K482" s="64"/>
    </row>
    <row r="483" spans="1:11" x14ac:dyDescent="0.2">
      <c r="A483">
        <v>2017</v>
      </c>
      <c r="B483" s="34">
        <v>635</v>
      </c>
      <c r="C483" s="34" t="s">
        <v>438</v>
      </c>
      <c r="D483" s="36">
        <v>25535</v>
      </c>
      <c r="E483" s="36">
        <v>129357</v>
      </c>
      <c r="F483" s="57"/>
      <c r="G483" s="57"/>
      <c r="H483" s="65"/>
      <c r="I483" s="64"/>
      <c r="J483" s="65"/>
      <c r="K483" s="64"/>
    </row>
    <row r="484" spans="1:11" x14ac:dyDescent="0.2">
      <c r="A484">
        <v>2017</v>
      </c>
      <c r="B484" s="34">
        <v>636</v>
      </c>
      <c r="C484" s="34" t="s">
        <v>439</v>
      </c>
      <c r="D484" s="36">
        <v>116299</v>
      </c>
      <c r="E484" s="36">
        <v>796925</v>
      </c>
      <c r="F484" s="57"/>
      <c r="G484" s="57"/>
      <c r="H484" s="65"/>
      <c r="I484" s="64"/>
      <c r="J484" s="65"/>
      <c r="K484" s="64"/>
    </row>
    <row r="485" spans="1:11" x14ac:dyDescent="0.2">
      <c r="A485">
        <v>2017</v>
      </c>
      <c r="B485" s="34">
        <v>637</v>
      </c>
      <c r="C485" s="34" t="s">
        <v>440</v>
      </c>
      <c r="D485" s="36">
        <v>590145</v>
      </c>
      <c r="E485" s="36">
        <v>3019613</v>
      </c>
      <c r="F485" s="57"/>
      <c r="G485" s="57"/>
      <c r="H485" s="65"/>
      <c r="I485" s="64"/>
      <c r="J485" s="65"/>
      <c r="K485" s="64"/>
    </row>
    <row r="486" spans="1:11" x14ac:dyDescent="0.2">
      <c r="A486">
        <v>2017</v>
      </c>
      <c r="B486" s="34">
        <v>638</v>
      </c>
      <c r="C486" s="34" t="s">
        <v>441</v>
      </c>
      <c r="D486" s="36">
        <v>195484</v>
      </c>
      <c r="E486" s="36">
        <v>953944</v>
      </c>
      <c r="F486" s="57"/>
      <c r="G486" s="57"/>
      <c r="H486" s="65"/>
      <c r="I486" s="64"/>
      <c r="J486" s="65"/>
      <c r="K486" s="64"/>
    </row>
    <row r="487" spans="1:11" x14ac:dyDescent="0.2">
      <c r="A487">
        <v>2017</v>
      </c>
      <c r="B487" s="34">
        <v>639</v>
      </c>
      <c r="C487" s="34" t="s">
        <v>442</v>
      </c>
      <c r="D487" s="36">
        <v>36190</v>
      </c>
      <c r="E487" s="36">
        <v>196046</v>
      </c>
      <c r="F487" s="57"/>
      <c r="G487" s="57"/>
      <c r="H487" s="65"/>
      <c r="I487" s="64"/>
      <c r="J487" s="65"/>
      <c r="K487" s="64"/>
    </row>
    <row r="488" spans="1:11" x14ac:dyDescent="0.2">
      <c r="A488">
        <v>2017</v>
      </c>
      <c r="B488" s="34">
        <v>641</v>
      </c>
      <c r="C488" s="34" t="s">
        <v>443</v>
      </c>
      <c r="D488" s="36">
        <v>9407</v>
      </c>
      <c r="E488" s="36">
        <v>41973</v>
      </c>
      <c r="F488" s="57"/>
      <c r="G488" s="57"/>
      <c r="H488" s="65"/>
      <c r="I488" s="64"/>
      <c r="J488" s="65"/>
      <c r="K488" s="64"/>
    </row>
    <row r="489" spans="1:11" x14ac:dyDescent="0.2">
      <c r="A489">
        <v>2017</v>
      </c>
      <c r="B489" s="34">
        <v>643</v>
      </c>
      <c r="C489" s="34" t="s">
        <v>444</v>
      </c>
      <c r="D489" s="36">
        <v>110865</v>
      </c>
      <c r="E489" s="36">
        <v>761768</v>
      </c>
      <c r="F489" s="57"/>
      <c r="G489" s="57"/>
      <c r="H489" s="65"/>
      <c r="I489" s="64"/>
      <c r="J489" s="65"/>
      <c r="K489" s="64"/>
    </row>
    <row r="490" spans="1:11" x14ac:dyDescent="0.2">
      <c r="A490">
        <v>2017</v>
      </c>
      <c r="B490" s="34">
        <v>644</v>
      </c>
      <c r="C490" s="34" t="s">
        <v>445</v>
      </c>
      <c r="D490" s="36">
        <v>29122</v>
      </c>
      <c r="E490" s="36">
        <v>255834</v>
      </c>
      <c r="F490" s="57"/>
      <c r="G490" s="57"/>
      <c r="H490" s="65"/>
      <c r="I490" s="64"/>
      <c r="J490" s="65"/>
      <c r="K490" s="64"/>
    </row>
    <row r="491" spans="1:11" x14ac:dyDescent="0.2">
      <c r="A491">
        <v>2017</v>
      </c>
      <c r="B491" s="34">
        <v>645</v>
      </c>
      <c r="C491" s="34" t="s">
        <v>446</v>
      </c>
      <c r="D491" s="36">
        <v>79970</v>
      </c>
      <c r="E491" s="36">
        <v>489995</v>
      </c>
      <c r="F491" s="57"/>
      <c r="G491" s="57"/>
      <c r="H491" s="65"/>
      <c r="I491" s="64"/>
      <c r="J491" s="65"/>
      <c r="K491" s="64"/>
    </row>
    <row r="492" spans="1:11" x14ac:dyDescent="0.2">
      <c r="A492">
        <v>2017</v>
      </c>
      <c r="B492" s="34">
        <v>646</v>
      </c>
      <c r="C492" s="34" t="s">
        <v>447</v>
      </c>
      <c r="D492" s="36">
        <v>46690</v>
      </c>
      <c r="E492" s="36">
        <v>329966</v>
      </c>
      <c r="F492" s="57"/>
      <c r="G492" s="57"/>
      <c r="H492" s="65"/>
      <c r="I492" s="64"/>
      <c r="J492" s="65"/>
      <c r="K492" s="64"/>
    </row>
    <row r="493" spans="1:11" x14ac:dyDescent="0.2">
      <c r="A493">
        <v>2017</v>
      </c>
      <c r="B493" s="34">
        <v>647</v>
      </c>
      <c r="C493" s="34" t="s">
        <v>448</v>
      </c>
      <c r="D493" s="36">
        <v>10928</v>
      </c>
      <c r="E493" s="36">
        <v>75166</v>
      </c>
      <c r="F493" s="57"/>
      <c r="G493" s="57"/>
      <c r="H493" s="65"/>
      <c r="I493" s="64"/>
      <c r="J493" s="65"/>
      <c r="K493" s="64"/>
    </row>
    <row r="494" spans="1:11" x14ac:dyDescent="0.2">
      <c r="A494">
        <v>2017</v>
      </c>
      <c r="B494" s="34">
        <v>648</v>
      </c>
      <c r="C494" s="34" t="s">
        <v>449</v>
      </c>
      <c r="D494" s="36">
        <v>27580</v>
      </c>
      <c r="E494" s="36">
        <v>109191</v>
      </c>
      <c r="F494" s="57"/>
      <c r="G494" s="57"/>
      <c r="H494" s="65"/>
      <c r="I494" s="64"/>
      <c r="J494" s="65"/>
      <c r="K494" s="64"/>
    </row>
    <row r="495" spans="1:11" x14ac:dyDescent="0.2">
      <c r="A495">
        <v>2017</v>
      </c>
      <c r="B495" s="34">
        <v>649</v>
      </c>
      <c r="C495" s="34" t="s">
        <v>450</v>
      </c>
      <c r="D495" s="36">
        <v>82569</v>
      </c>
      <c r="E495" s="36">
        <v>477529</v>
      </c>
      <c r="F495" s="57"/>
      <c r="G495" s="57"/>
      <c r="H495" s="65"/>
      <c r="I495" s="64"/>
      <c r="J495" s="65"/>
      <c r="K495" s="64"/>
    </row>
    <row r="496" spans="1:11" x14ac:dyDescent="0.2">
      <c r="A496">
        <v>2017</v>
      </c>
      <c r="B496" s="34">
        <v>653</v>
      </c>
      <c r="C496" s="34" t="s">
        <v>451</v>
      </c>
      <c r="D496" s="36">
        <v>21011</v>
      </c>
      <c r="E496" s="36">
        <v>150820</v>
      </c>
      <c r="F496" s="57"/>
      <c r="G496" s="57"/>
      <c r="H496" s="65"/>
      <c r="I496" s="64"/>
      <c r="J496" s="65"/>
      <c r="K496" s="64"/>
    </row>
    <row r="497" spans="1:11" x14ac:dyDescent="0.2">
      <c r="A497">
        <v>2017</v>
      </c>
      <c r="B497" s="34">
        <v>656</v>
      </c>
      <c r="C497" s="34" t="s">
        <v>452</v>
      </c>
      <c r="D497" s="36">
        <v>232401</v>
      </c>
      <c r="E497" s="36">
        <v>1811660</v>
      </c>
      <c r="F497" s="57"/>
      <c r="G497" s="57"/>
      <c r="H497" s="65"/>
      <c r="I497" s="64"/>
      <c r="J497" s="65"/>
      <c r="K497" s="64"/>
    </row>
    <row r="498" spans="1:11" x14ac:dyDescent="0.2">
      <c r="A498">
        <v>2017</v>
      </c>
      <c r="B498" s="34">
        <v>657</v>
      </c>
      <c r="C498" s="34" t="s">
        <v>453</v>
      </c>
      <c r="D498" s="36">
        <v>17282</v>
      </c>
      <c r="E498" s="36">
        <v>126190</v>
      </c>
      <c r="F498" s="57"/>
      <c r="G498" s="57"/>
      <c r="H498" s="65"/>
      <c r="I498" s="64"/>
      <c r="J498" s="65"/>
      <c r="K498" s="64"/>
    </row>
    <row r="499" spans="1:11" x14ac:dyDescent="0.2">
      <c r="A499">
        <v>2017</v>
      </c>
      <c r="B499" s="34">
        <v>658</v>
      </c>
      <c r="C499" s="34" t="s">
        <v>454</v>
      </c>
      <c r="D499" s="36">
        <v>14110</v>
      </c>
      <c r="E499" s="36">
        <v>146390</v>
      </c>
      <c r="F499" s="57"/>
      <c r="G499" s="57"/>
      <c r="H499" s="65"/>
      <c r="I499" s="64"/>
      <c r="J499" s="65"/>
      <c r="K499" s="64"/>
    </row>
    <row r="500" spans="1:11" x14ac:dyDescent="0.2">
      <c r="A500">
        <v>2017</v>
      </c>
      <c r="B500" s="34">
        <v>659</v>
      </c>
      <c r="C500" s="34" t="s">
        <v>455</v>
      </c>
      <c r="D500" s="36">
        <v>173337</v>
      </c>
      <c r="E500" s="36">
        <v>1110976</v>
      </c>
      <c r="F500" s="57"/>
      <c r="G500" s="57"/>
      <c r="H500" s="65"/>
      <c r="I500" s="64"/>
      <c r="J500" s="65"/>
      <c r="K500" s="64"/>
    </row>
    <row r="501" spans="1:11" x14ac:dyDescent="0.2">
      <c r="A501">
        <v>2017</v>
      </c>
      <c r="B501" s="34">
        <v>660</v>
      </c>
      <c r="C501" s="34" t="s">
        <v>456</v>
      </c>
      <c r="D501" s="36">
        <v>397677</v>
      </c>
      <c r="E501" s="36">
        <v>2234293</v>
      </c>
      <c r="F501" s="57"/>
      <c r="G501" s="57"/>
      <c r="H501" s="65"/>
      <c r="I501" s="64"/>
      <c r="J501" s="65"/>
      <c r="K501" s="64"/>
    </row>
    <row r="502" spans="1:11" x14ac:dyDescent="0.2">
      <c r="A502">
        <v>2017</v>
      </c>
      <c r="B502" s="34">
        <v>661</v>
      </c>
      <c r="C502" s="34" t="s">
        <v>457</v>
      </c>
      <c r="D502" s="36">
        <v>209247</v>
      </c>
      <c r="E502" s="36">
        <v>1571192</v>
      </c>
      <c r="F502" s="57"/>
      <c r="G502" s="57"/>
      <c r="H502" s="65"/>
      <c r="I502" s="64"/>
      <c r="J502" s="65"/>
      <c r="K502" s="64"/>
    </row>
    <row r="503" spans="1:11" x14ac:dyDescent="0.2">
      <c r="A503">
        <v>2017</v>
      </c>
      <c r="B503" s="34">
        <v>662</v>
      </c>
      <c r="C503" s="34" t="s">
        <v>458</v>
      </c>
      <c r="D503" s="36">
        <v>38915</v>
      </c>
      <c r="E503" s="36">
        <v>277371</v>
      </c>
      <c r="F503" s="57"/>
      <c r="G503" s="57"/>
      <c r="H503" s="65"/>
      <c r="I503" s="64"/>
      <c r="J503" s="65"/>
      <c r="K503" s="64"/>
    </row>
    <row r="504" spans="1:11" x14ac:dyDescent="0.2">
      <c r="A504">
        <v>2017</v>
      </c>
      <c r="B504" s="34">
        <v>663</v>
      </c>
      <c r="C504" s="34" t="s">
        <v>459</v>
      </c>
      <c r="D504" s="36">
        <v>23629</v>
      </c>
      <c r="E504" s="36">
        <v>129055</v>
      </c>
      <c r="F504" s="57"/>
      <c r="G504" s="57"/>
      <c r="H504" s="65"/>
      <c r="I504" s="64"/>
      <c r="J504" s="65"/>
      <c r="K504" s="64"/>
    </row>
    <row r="505" spans="1:11" x14ac:dyDescent="0.2">
      <c r="A505">
        <v>2017</v>
      </c>
      <c r="B505" s="34">
        <v>666</v>
      </c>
      <c r="C505" s="34" t="s">
        <v>460</v>
      </c>
      <c r="D505" s="36">
        <v>94412</v>
      </c>
      <c r="E505" s="36">
        <v>550102</v>
      </c>
      <c r="F505" s="57"/>
      <c r="G505" s="57"/>
      <c r="H505" s="65"/>
      <c r="I505" s="64"/>
      <c r="J505" s="65"/>
      <c r="K505" s="64"/>
    </row>
    <row r="506" spans="1:11" x14ac:dyDescent="0.2">
      <c r="A506">
        <v>2017</v>
      </c>
      <c r="B506" s="34">
        <v>667</v>
      </c>
      <c r="C506" s="34" t="s">
        <v>461</v>
      </c>
      <c r="D506" s="36">
        <v>108463</v>
      </c>
      <c r="E506" s="36">
        <v>593882</v>
      </c>
      <c r="F506" s="57"/>
      <c r="G506" s="57"/>
      <c r="H506" s="65"/>
      <c r="I506" s="64"/>
      <c r="J506" s="65"/>
      <c r="K506" s="64"/>
    </row>
    <row r="507" spans="1:11" x14ac:dyDescent="0.2">
      <c r="A507">
        <v>2017</v>
      </c>
      <c r="B507" s="34">
        <v>668</v>
      </c>
      <c r="C507" s="34" t="s">
        <v>462</v>
      </c>
      <c r="D507" s="36">
        <v>72123</v>
      </c>
      <c r="E507" s="36">
        <v>477859</v>
      </c>
      <c r="F507" s="57"/>
      <c r="G507" s="57"/>
      <c r="H507" s="65"/>
      <c r="I507" s="64"/>
      <c r="J507" s="65"/>
      <c r="K507" s="64"/>
    </row>
    <row r="508" spans="1:11" x14ac:dyDescent="0.2">
      <c r="A508">
        <v>2017</v>
      </c>
      <c r="B508" s="34">
        <v>673</v>
      </c>
      <c r="C508" s="34" t="s">
        <v>463</v>
      </c>
      <c r="D508" s="36">
        <v>182634</v>
      </c>
      <c r="E508" s="36">
        <v>1867123</v>
      </c>
      <c r="F508" s="57"/>
      <c r="G508" s="57"/>
      <c r="H508" s="65"/>
      <c r="I508" s="64"/>
      <c r="J508" s="65"/>
      <c r="K508" s="64"/>
    </row>
    <row r="509" spans="1:11" x14ac:dyDescent="0.2">
      <c r="A509">
        <v>2017</v>
      </c>
      <c r="B509" s="34">
        <v>674</v>
      </c>
      <c r="C509" s="34" t="s">
        <v>464</v>
      </c>
      <c r="D509" s="36">
        <v>65220</v>
      </c>
      <c r="E509" s="36">
        <v>506023</v>
      </c>
      <c r="F509" s="57"/>
      <c r="G509" s="57"/>
      <c r="H509" s="65"/>
      <c r="I509" s="64"/>
      <c r="J509" s="65"/>
      <c r="K509" s="64"/>
    </row>
    <row r="510" spans="1:11" x14ac:dyDescent="0.2">
      <c r="A510">
        <v>2017</v>
      </c>
      <c r="B510" s="34">
        <v>675</v>
      </c>
      <c r="C510" s="34" t="s">
        <v>465</v>
      </c>
      <c r="D510" s="36">
        <v>64788</v>
      </c>
      <c r="E510" s="36">
        <v>382417</v>
      </c>
      <c r="F510" s="57"/>
      <c r="G510" s="57"/>
      <c r="H510" s="65"/>
      <c r="I510" s="64"/>
      <c r="J510" s="65"/>
      <c r="K510" s="64"/>
    </row>
    <row r="511" spans="1:11" x14ac:dyDescent="0.2">
      <c r="A511">
        <v>2017</v>
      </c>
      <c r="B511" s="34">
        <v>676</v>
      </c>
      <c r="C511" s="34" t="s">
        <v>466</v>
      </c>
      <c r="D511" s="36">
        <v>25351</v>
      </c>
      <c r="E511" s="36">
        <v>195647</v>
      </c>
      <c r="F511" s="57"/>
      <c r="G511" s="57"/>
      <c r="H511" s="65"/>
      <c r="I511" s="64"/>
      <c r="J511" s="65"/>
      <c r="K511" s="64"/>
    </row>
    <row r="512" spans="1:11" x14ac:dyDescent="0.2">
      <c r="A512">
        <v>2017</v>
      </c>
      <c r="B512" s="34">
        <v>677</v>
      </c>
      <c r="C512" s="34" t="s">
        <v>467</v>
      </c>
      <c r="D512" s="36">
        <v>31131</v>
      </c>
      <c r="E512" s="36">
        <v>229167</v>
      </c>
      <c r="F512" s="57"/>
      <c r="G512" s="57"/>
      <c r="H512" s="65"/>
      <c r="I512" s="64"/>
      <c r="J512" s="65"/>
      <c r="K512" s="64"/>
    </row>
    <row r="513" spans="1:11" x14ac:dyDescent="0.2">
      <c r="A513">
        <v>2017</v>
      </c>
      <c r="B513" s="34">
        <v>680</v>
      </c>
      <c r="C513" s="34" t="s">
        <v>468</v>
      </c>
      <c r="D513" s="36">
        <v>38498</v>
      </c>
      <c r="E513" s="36">
        <v>272396</v>
      </c>
      <c r="F513" s="57"/>
      <c r="G513" s="57"/>
      <c r="H513" s="65"/>
      <c r="I513" s="64"/>
      <c r="J513" s="65"/>
      <c r="K513" s="64"/>
    </row>
    <row r="514" spans="1:11" x14ac:dyDescent="0.2">
      <c r="A514">
        <v>2017</v>
      </c>
      <c r="B514" s="34">
        <v>681</v>
      </c>
      <c r="C514" s="34" t="s">
        <v>469</v>
      </c>
      <c r="D514" s="36">
        <v>57152</v>
      </c>
      <c r="E514" s="36">
        <v>474342</v>
      </c>
      <c r="F514" s="57"/>
      <c r="G514" s="57"/>
      <c r="H514" s="65"/>
      <c r="I514" s="64"/>
      <c r="J514" s="65"/>
      <c r="K514" s="64"/>
    </row>
    <row r="515" spans="1:11" x14ac:dyDescent="0.2">
      <c r="A515">
        <v>2017</v>
      </c>
      <c r="B515" s="34">
        <v>682</v>
      </c>
      <c r="C515" s="34" t="s">
        <v>470</v>
      </c>
      <c r="D515" s="36">
        <v>124991</v>
      </c>
      <c r="E515" s="36">
        <v>884736</v>
      </c>
      <c r="F515" s="57"/>
      <c r="G515" s="57"/>
      <c r="H515" s="65"/>
      <c r="I515" s="64"/>
      <c r="J515" s="65"/>
      <c r="K515" s="64"/>
    </row>
    <row r="516" spans="1:11" x14ac:dyDescent="0.2">
      <c r="A516">
        <v>2017</v>
      </c>
      <c r="B516" s="34">
        <v>683</v>
      </c>
      <c r="C516" s="34" t="s">
        <v>471</v>
      </c>
      <c r="D516" s="36">
        <v>53207</v>
      </c>
      <c r="E516" s="36">
        <v>447614</v>
      </c>
      <c r="F516" s="57"/>
      <c r="G516" s="57"/>
      <c r="H516" s="65"/>
      <c r="I516" s="64"/>
      <c r="J516" s="65"/>
      <c r="K516" s="64"/>
    </row>
    <row r="517" spans="1:11" x14ac:dyDescent="0.2">
      <c r="A517">
        <v>2017</v>
      </c>
      <c r="B517" s="34">
        <v>684</v>
      </c>
      <c r="C517" s="34" t="s">
        <v>472</v>
      </c>
      <c r="D517" s="36">
        <v>6537</v>
      </c>
      <c r="E517" s="36">
        <v>50572</v>
      </c>
      <c r="F517" s="57"/>
      <c r="G517" s="57"/>
      <c r="H517" s="65"/>
      <c r="I517" s="64"/>
      <c r="J517" s="65"/>
      <c r="K517" s="64"/>
    </row>
    <row r="518" spans="1:11" x14ac:dyDescent="0.2">
      <c r="A518">
        <v>2017</v>
      </c>
      <c r="B518" s="34">
        <v>699</v>
      </c>
      <c r="C518" s="34" t="s">
        <v>473</v>
      </c>
      <c r="D518" s="36">
        <v>30912</v>
      </c>
      <c r="E518" s="36">
        <v>506557</v>
      </c>
      <c r="F518" s="57"/>
      <c r="G518" s="57"/>
      <c r="H518" s="65"/>
      <c r="I518" s="64"/>
      <c r="J518" s="65"/>
      <c r="K518" s="64"/>
    </row>
    <row r="519" spans="1:11" x14ac:dyDescent="0.2">
      <c r="A519">
        <v>2017</v>
      </c>
      <c r="B519" s="34">
        <v>701</v>
      </c>
      <c r="C519" s="34" t="s">
        <v>670</v>
      </c>
      <c r="D519" s="34">
        <v>0</v>
      </c>
      <c r="E519" s="36">
        <v>164004</v>
      </c>
      <c r="F519" s="57"/>
      <c r="G519" s="57"/>
      <c r="H519" s="65"/>
      <c r="I519" s="64"/>
      <c r="J519" s="57"/>
      <c r="K519" s="64"/>
    </row>
    <row r="520" spans="1:11" x14ac:dyDescent="0.2">
      <c r="A520">
        <v>2017</v>
      </c>
      <c r="B520" s="34">
        <v>702</v>
      </c>
      <c r="C520" s="34" t="s">
        <v>671</v>
      </c>
      <c r="D520" s="34">
        <v>0</v>
      </c>
      <c r="E520" s="36">
        <v>138521</v>
      </c>
      <c r="F520" s="57"/>
      <c r="G520" s="57"/>
      <c r="H520" s="65"/>
      <c r="I520" s="64"/>
      <c r="J520" s="57"/>
      <c r="K520" s="64"/>
    </row>
    <row r="521" spans="1:11" x14ac:dyDescent="0.2">
      <c r="A521">
        <v>2017</v>
      </c>
      <c r="B521" s="34">
        <v>704</v>
      </c>
      <c r="C521" s="34" t="s">
        <v>672</v>
      </c>
      <c r="D521" s="34">
        <v>0</v>
      </c>
      <c r="E521" s="36">
        <v>97785</v>
      </c>
      <c r="F521" s="57"/>
      <c r="G521" s="57"/>
      <c r="H521" s="65"/>
      <c r="I521" s="64"/>
      <c r="J521" s="57"/>
      <c r="K521" s="64"/>
    </row>
    <row r="522" spans="1:11" x14ac:dyDescent="0.2">
      <c r="A522">
        <v>2017</v>
      </c>
      <c r="B522" s="34">
        <v>708</v>
      </c>
      <c r="C522" s="34" t="s">
        <v>673</v>
      </c>
      <c r="D522" s="34">
        <v>0</v>
      </c>
      <c r="E522" s="36">
        <v>7809</v>
      </c>
      <c r="F522" s="57"/>
      <c r="G522" s="57"/>
      <c r="H522" s="65"/>
      <c r="I522" s="64"/>
      <c r="J522" s="57"/>
      <c r="K522" s="64"/>
    </row>
    <row r="523" spans="1:11" x14ac:dyDescent="0.2">
      <c r="A523">
        <v>2017</v>
      </c>
      <c r="B523" s="34">
        <v>711</v>
      </c>
      <c r="C523" s="34" t="s">
        <v>674</v>
      </c>
      <c r="D523" s="36">
        <v>145734</v>
      </c>
      <c r="E523" s="36">
        <v>215135</v>
      </c>
      <c r="F523" s="57"/>
      <c r="G523" s="57"/>
      <c r="H523" s="65"/>
      <c r="I523" s="64"/>
      <c r="J523" s="65"/>
      <c r="K523" s="64"/>
    </row>
    <row r="524" spans="1:11" x14ac:dyDescent="0.2">
      <c r="A524">
        <v>2017</v>
      </c>
      <c r="B524" s="34">
        <v>714</v>
      </c>
      <c r="C524" s="34" t="s">
        <v>675</v>
      </c>
      <c r="D524" s="36">
        <v>32831</v>
      </c>
      <c r="F524" s="57"/>
      <c r="G524" s="57"/>
      <c r="H524" s="57"/>
      <c r="I524" s="64"/>
      <c r="J524" s="65"/>
      <c r="K524" s="64"/>
    </row>
    <row r="525" spans="1:11" x14ac:dyDescent="0.2">
      <c r="A525">
        <v>2017</v>
      </c>
      <c r="B525" s="34">
        <v>750</v>
      </c>
      <c r="C525" s="34" t="s">
        <v>676</v>
      </c>
      <c r="D525" s="36">
        <v>72750</v>
      </c>
      <c r="E525" s="36">
        <v>355442</v>
      </c>
      <c r="F525" s="57"/>
      <c r="G525" s="57"/>
      <c r="H525" s="65"/>
      <c r="I525" s="64"/>
      <c r="J525" s="65"/>
      <c r="K525" s="64"/>
    </row>
    <row r="526" spans="1:11" x14ac:dyDescent="0.2">
      <c r="A526">
        <v>2017</v>
      </c>
      <c r="B526" s="34">
        <v>801</v>
      </c>
      <c r="C526" s="34" t="s">
        <v>474</v>
      </c>
      <c r="D526" s="36">
        <v>113842</v>
      </c>
      <c r="E526" s="36">
        <v>1283975</v>
      </c>
      <c r="F526" s="57"/>
      <c r="G526" s="57"/>
      <c r="H526" s="65"/>
      <c r="I526" s="64"/>
      <c r="J526" s="65"/>
      <c r="K526" s="64"/>
    </row>
    <row r="527" spans="1:11" x14ac:dyDescent="0.2">
      <c r="A527">
        <v>2017</v>
      </c>
      <c r="B527" s="34">
        <v>802</v>
      </c>
      <c r="C527" s="34" t="s">
        <v>677</v>
      </c>
      <c r="D527" s="36">
        <v>207907</v>
      </c>
      <c r="E527" s="36">
        <v>1285971</v>
      </c>
      <c r="F527" s="57"/>
      <c r="G527" s="57"/>
      <c r="H527" s="65"/>
      <c r="I527" s="64"/>
      <c r="J527" s="65"/>
      <c r="K527" s="64"/>
    </row>
    <row r="528" spans="1:11" x14ac:dyDescent="0.2">
      <c r="A528">
        <v>2017</v>
      </c>
      <c r="B528" s="34">
        <v>803</v>
      </c>
      <c r="C528" s="34" t="s">
        <v>475</v>
      </c>
      <c r="D528" s="36">
        <v>2097934</v>
      </c>
      <c r="E528" s="36">
        <v>4377884</v>
      </c>
      <c r="F528" s="57"/>
      <c r="G528" s="57"/>
      <c r="H528" s="65"/>
      <c r="I528" s="64"/>
      <c r="J528" s="65"/>
      <c r="K528" s="64"/>
    </row>
    <row r="529" spans="1:11" x14ac:dyDescent="0.2">
      <c r="A529">
        <v>2017</v>
      </c>
      <c r="B529" s="34">
        <v>805</v>
      </c>
      <c r="C529" s="34" t="s">
        <v>678</v>
      </c>
      <c r="D529" s="36">
        <v>440271</v>
      </c>
      <c r="E529" s="36">
        <v>1791021</v>
      </c>
      <c r="F529" s="57"/>
      <c r="G529" s="57"/>
      <c r="H529" s="65"/>
      <c r="I529" s="64"/>
      <c r="J529" s="65"/>
      <c r="K529" s="64"/>
    </row>
    <row r="530" spans="1:11" x14ac:dyDescent="0.2">
      <c r="A530">
        <v>2017</v>
      </c>
      <c r="B530" s="34">
        <v>806</v>
      </c>
      <c r="C530" s="34" t="s">
        <v>476</v>
      </c>
      <c r="D530" s="36">
        <v>226632</v>
      </c>
      <c r="E530" s="36">
        <v>2030852</v>
      </c>
      <c r="F530" s="57"/>
      <c r="G530" s="57"/>
      <c r="H530" s="65"/>
      <c r="I530" s="64"/>
      <c r="J530" s="65"/>
      <c r="K530" s="64"/>
    </row>
    <row r="531" spans="1:11" x14ac:dyDescent="0.2">
      <c r="A531">
        <v>2017</v>
      </c>
      <c r="B531" s="34">
        <v>807</v>
      </c>
      <c r="C531" s="34" t="s">
        <v>679</v>
      </c>
      <c r="D531" s="36">
        <v>173567</v>
      </c>
      <c r="E531" s="36">
        <v>1646215</v>
      </c>
      <c r="F531" s="57"/>
      <c r="G531" s="57"/>
      <c r="H531" s="65"/>
      <c r="I531" s="64"/>
      <c r="J531" s="65"/>
      <c r="K531" s="64"/>
    </row>
    <row r="532" spans="1:11" x14ac:dyDescent="0.2">
      <c r="A532">
        <v>2017</v>
      </c>
      <c r="B532" s="34">
        <v>808</v>
      </c>
      <c r="C532" s="34" t="s">
        <v>680</v>
      </c>
      <c r="D532" s="36">
        <v>276235</v>
      </c>
      <c r="E532" s="36">
        <v>1305485</v>
      </c>
      <c r="F532" s="57"/>
      <c r="G532" s="57"/>
      <c r="H532" s="65"/>
      <c r="I532" s="64"/>
      <c r="J532" s="65"/>
      <c r="K532" s="64"/>
    </row>
    <row r="533" spans="1:11" x14ac:dyDescent="0.2">
      <c r="A533">
        <v>2017</v>
      </c>
      <c r="B533" s="34">
        <v>809</v>
      </c>
      <c r="C533" s="34" t="s">
        <v>681</v>
      </c>
      <c r="D533" s="36">
        <v>234364</v>
      </c>
      <c r="E533" s="36">
        <v>1240716</v>
      </c>
      <c r="F533" s="57"/>
      <c r="G533" s="57"/>
      <c r="H533" s="65"/>
      <c r="I533" s="64"/>
      <c r="J533" s="65"/>
      <c r="K533" s="64"/>
    </row>
    <row r="534" spans="1:11" x14ac:dyDescent="0.2">
      <c r="A534">
        <v>2017</v>
      </c>
      <c r="B534" s="34">
        <v>810</v>
      </c>
      <c r="C534" s="34" t="s">
        <v>682</v>
      </c>
      <c r="D534" s="34">
        <v>0</v>
      </c>
      <c r="E534" s="36">
        <v>9158614</v>
      </c>
      <c r="F534" s="57"/>
      <c r="G534" s="57"/>
      <c r="H534" s="65"/>
      <c r="I534" s="64"/>
      <c r="J534" s="57"/>
      <c r="K534" s="64"/>
    </row>
    <row r="535" spans="1:11" x14ac:dyDescent="0.2">
      <c r="A535">
        <v>2017</v>
      </c>
      <c r="B535" s="34">
        <v>811</v>
      </c>
      <c r="C535" s="34" t="s">
        <v>477</v>
      </c>
      <c r="D535" s="36">
        <v>256749</v>
      </c>
      <c r="E535" s="36">
        <v>499874</v>
      </c>
      <c r="F535" s="57"/>
      <c r="G535" s="57"/>
      <c r="H535" s="65"/>
      <c r="I535" s="64"/>
      <c r="J535" s="65"/>
      <c r="K535" s="64"/>
    </row>
    <row r="536" spans="1:11" x14ac:dyDescent="0.2">
      <c r="A536">
        <v>2017</v>
      </c>
      <c r="B536" s="34">
        <v>812</v>
      </c>
      <c r="C536" s="34" t="s">
        <v>683</v>
      </c>
      <c r="D536" s="36">
        <v>804149</v>
      </c>
      <c r="E536" s="36">
        <v>2278684</v>
      </c>
      <c r="F536" s="57"/>
      <c r="G536" s="57"/>
      <c r="H536" s="65"/>
      <c r="I536" s="64"/>
      <c r="J536" s="65"/>
      <c r="K536" s="64"/>
    </row>
    <row r="537" spans="1:11" x14ac:dyDescent="0.2">
      <c r="A537">
        <v>2017</v>
      </c>
      <c r="B537" s="34">
        <v>813</v>
      </c>
      <c r="C537" s="34" t="s">
        <v>684</v>
      </c>
      <c r="D537" s="36">
        <v>613179</v>
      </c>
      <c r="E537" s="36">
        <v>3640180</v>
      </c>
      <c r="F537" s="57"/>
      <c r="G537" s="57"/>
      <c r="H537" s="65"/>
      <c r="I537" s="64"/>
      <c r="J537" s="65"/>
      <c r="K537" s="64"/>
    </row>
    <row r="539" spans="1:11" x14ac:dyDescent="0.2">
      <c r="D539" s="36">
        <f>SUM(D2:D537)</f>
        <v>110244418</v>
      </c>
      <c r="E539" s="36">
        <f>SUM(E2:E537)</f>
        <v>684085861</v>
      </c>
    </row>
    <row r="541" spans="1:11" x14ac:dyDescent="0.2">
      <c r="D541" s="60">
        <v>110244418</v>
      </c>
      <c r="E541" s="34">
        <v>684085861</v>
      </c>
    </row>
    <row r="543" spans="1:11" x14ac:dyDescent="0.2">
      <c r="C543" s="61" t="s">
        <v>685</v>
      </c>
      <c r="D543" s="62">
        <f>D539-D541</f>
        <v>0</v>
      </c>
      <c r="E543" s="62">
        <f>E539-E541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BBD2-6D83-4346-877F-9B4E27F2F8C5}">
  <sheetPr>
    <tabColor rgb="FFFFFF00"/>
  </sheetPr>
  <dimension ref="A1:O543"/>
  <sheetViews>
    <sheetView topLeftCell="A513" workbookViewId="0">
      <selection activeCell="E537" sqref="E2:E537"/>
    </sheetView>
  </sheetViews>
  <sheetFormatPr baseColWidth="10" defaultRowHeight="16" x14ac:dyDescent="0.2"/>
  <cols>
    <col min="2" max="2" width="10.83203125" style="34"/>
    <col min="3" max="3" width="35.1640625" style="34" bestFit="1" customWidth="1"/>
    <col min="4" max="4" width="19.83203125" style="34" bestFit="1" customWidth="1"/>
    <col min="5" max="5" width="11.1640625" style="34" bestFit="1" customWidth="1"/>
  </cols>
  <sheetData>
    <row r="1" spans="1:15" x14ac:dyDescent="0.2">
      <c r="A1" t="s">
        <v>729</v>
      </c>
      <c r="B1" s="33" t="s">
        <v>521</v>
      </c>
      <c r="C1" s="39" t="s">
        <v>522</v>
      </c>
      <c r="D1" s="63" t="s">
        <v>523</v>
      </c>
    </row>
    <row r="2" spans="1:15" x14ac:dyDescent="0.2">
      <c r="A2">
        <v>2018</v>
      </c>
      <c r="B2" s="34">
        <v>1</v>
      </c>
      <c r="C2" s="34" t="s">
        <v>0</v>
      </c>
      <c r="D2" s="36">
        <v>28400</v>
      </c>
      <c r="E2" s="36">
        <v>184671</v>
      </c>
      <c r="F2" s="57"/>
      <c r="G2" s="57"/>
      <c r="H2" s="5"/>
      <c r="I2" s="57"/>
      <c r="J2" s="5"/>
      <c r="K2" s="64"/>
      <c r="L2" s="5"/>
      <c r="M2" s="57"/>
      <c r="N2" s="5"/>
      <c r="O2" s="64">
        <v>2.4899999999999998E-4</v>
      </c>
    </row>
    <row r="3" spans="1:15" x14ac:dyDescent="0.2">
      <c r="A3">
        <v>2018</v>
      </c>
      <c r="B3" s="34">
        <v>2</v>
      </c>
      <c r="C3" s="34" t="s">
        <v>1</v>
      </c>
      <c r="D3" s="36">
        <v>20012</v>
      </c>
      <c r="E3" s="36">
        <v>154375</v>
      </c>
      <c r="F3" s="57"/>
      <c r="G3" s="57"/>
      <c r="H3" s="11"/>
      <c r="I3" s="65"/>
      <c r="J3" s="11"/>
      <c r="K3" s="64"/>
      <c r="L3" s="11"/>
      <c r="M3" s="65"/>
      <c r="N3" s="11"/>
      <c r="O3" s="64">
        <v>1.75E-4</v>
      </c>
    </row>
    <row r="4" spans="1:15" x14ac:dyDescent="0.2">
      <c r="A4">
        <v>2018</v>
      </c>
      <c r="B4" s="34">
        <v>3</v>
      </c>
      <c r="C4" s="34" t="s">
        <v>2</v>
      </c>
      <c r="D4" s="36">
        <v>295540</v>
      </c>
      <c r="E4" s="36">
        <v>1853665</v>
      </c>
      <c r="F4" s="57"/>
      <c r="G4" s="57"/>
      <c r="H4" s="11"/>
      <c r="I4" s="65"/>
      <c r="J4" s="11"/>
      <c r="K4" s="64"/>
      <c r="L4" s="11"/>
      <c r="M4" s="65"/>
      <c r="N4" s="11"/>
      <c r="O4" s="64">
        <v>2.5890000000000002E-3</v>
      </c>
    </row>
    <row r="5" spans="1:15" x14ac:dyDescent="0.2">
      <c r="A5">
        <v>2018</v>
      </c>
      <c r="B5" s="34">
        <v>4</v>
      </c>
      <c r="C5" s="34" t="s">
        <v>3</v>
      </c>
      <c r="D5" s="36">
        <v>197416</v>
      </c>
      <c r="E5" s="36">
        <v>1512868</v>
      </c>
      <c r="F5" s="57"/>
      <c r="G5" s="57"/>
      <c r="H5" s="11"/>
      <c r="I5" s="65"/>
      <c r="J5" s="11"/>
      <c r="K5" s="64"/>
      <c r="L5" s="11"/>
      <c r="M5" s="65"/>
      <c r="N5" s="11"/>
      <c r="O5" s="64">
        <v>1.73E-3</v>
      </c>
    </row>
    <row r="6" spans="1:15" x14ac:dyDescent="0.2">
      <c r="A6">
        <v>2018</v>
      </c>
      <c r="B6" s="34">
        <v>5</v>
      </c>
      <c r="C6" s="34" t="s">
        <v>4</v>
      </c>
      <c r="D6" s="36">
        <v>33492</v>
      </c>
      <c r="E6" s="36">
        <v>287232</v>
      </c>
      <c r="F6" s="57"/>
      <c r="G6" s="57"/>
      <c r="H6" s="11"/>
      <c r="I6" s="65"/>
      <c r="J6" s="11"/>
      <c r="K6" s="64"/>
      <c r="L6" s="11"/>
      <c r="M6" s="65"/>
      <c r="N6" s="11"/>
      <c r="O6" s="64">
        <v>2.9300000000000002E-4</v>
      </c>
    </row>
    <row r="7" spans="1:15" x14ac:dyDescent="0.2">
      <c r="A7">
        <v>2018</v>
      </c>
      <c r="B7" s="34">
        <v>6</v>
      </c>
      <c r="C7" s="34" t="s">
        <v>5</v>
      </c>
      <c r="D7" s="36">
        <v>21441</v>
      </c>
      <c r="E7" s="36">
        <v>109816</v>
      </c>
      <c r="F7" s="57"/>
      <c r="G7" s="57"/>
      <c r="H7" s="11"/>
      <c r="I7" s="65"/>
      <c r="J7" s="11"/>
      <c r="K7" s="64"/>
      <c r="L7" s="11"/>
      <c r="M7" s="65"/>
      <c r="N7" s="11"/>
      <c r="O7" s="64">
        <v>1.8799999999999999E-4</v>
      </c>
    </row>
    <row r="8" spans="1:15" x14ac:dyDescent="0.2">
      <c r="A8">
        <v>2018</v>
      </c>
      <c r="B8" s="34">
        <v>8</v>
      </c>
      <c r="C8" s="34" t="s">
        <v>6</v>
      </c>
      <c r="D8" s="36">
        <v>42920</v>
      </c>
      <c r="E8" s="36">
        <v>354304</v>
      </c>
      <c r="F8" s="57"/>
      <c r="G8" s="57"/>
      <c r="H8" s="11"/>
      <c r="I8" s="65"/>
      <c r="J8" s="11"/>
      <c r="K8" s="64"/>
      <c r="L8" s="11"/>
      <c r="M8" s="65"/>
      <c r="N8" s="11"/>
      <c r="O8" s="64">
        <v>3.7599999999999998E-4</v>
      </c>
    </row>
    <row r="9" spans="1:15" x14ac:dyDescent="0.2">
      <c r="A9">
        <v>2018</v>
      </c>
      <c r="B9" s="34">
        <v>9</v>
      </c>
      <c r="C9" s="34" t="s">
        <v>7</v>
      </c>
      <c r="D9" s="36">
        <v>35689</v>
      </c>
      <c r="E9" s="36">
        <v>295393</v>
      </c>
      <c r="F9" s="57"/>
      <c r="G9" s="57"/>
      <c r="H9" s="11"/>
      <c r="I9" s="65"/>
      <c r="J9" s="11"/>
      <c r="K9" s="64"/>
      <c r="L9" s="11"/>
      <c r="M9" s="65"/>
      <c r="N9" s="11"/>
      <c r="O9" s="64">
        <v>3.1300000000000002E-4</v>
      </c>
    </row>
    <row r="10" spans="1:15" x14ac:dyDescent="0.2">
      <c r="A10">
        <v>2018</v>
      </c>
      <c r="B10" s="34">
        <v>10</v>
      </c>
      <c r="C10" s="34" t="s">
        <v>8</v>
      </c>
      <c r="D10" s="36">
        <v>9834</v>
      </c>
      <c r="E10" s="36">
        <v>149095</v>
      </c>
      <c r="F10" s="57"/>
      <c r="G10" s="57"/>
      <c r="H10" s="11"/>
      <c r="I10" s="65"/>
      <c r="J10" s="11"/>
      <c r="K10" s="64"/>
      <c r="L10" s="11"/>
      <c r="M10" s="65"/>
      <c r="N10" s="11"/>
      <c r="O10" s="64">
        <v>8.6000000000000003E-5</v>
      </c>
    </row>
    <row r="11" spans="1:15" x14ac:dyDescent="0.2">
      <c r="A11">
        <v>2018</v>
      </c>
      <c r="B11" s="34">
        <v>12</v>
      </c>
      <c r="C11" s="34" t="s">
        <v>9</v>
      </c>
      <c r="D11" s="36">
        <v>60896</v>
      </c>
      <c r="E11" s="36">
        <v>371846</v>
      </c>
      <c r="F11" s="57"/>
      <c r="G11" s="57"/>
      <c r="H11" s="11"/>
      <c r="I11" s="65"/>
      <c r="J11" s="11"/>
      <c r="K11" s="64"/>
      <c r="L11" s="11"/>
      <c r="M11" s="65"/>
      <c r="N11" s="11"/>
      <c r="O11" s="64">
        <v>5.3399999999999997E-4</v>
      </c>
    </row>
    <row r="12" spans="1:15" x14ac:dyDescent="0.2">
      <c r="A12">
        <v>2018</v>
      </c>
      <c r="B12" s="34">
        <v>14</v>
      </c>
      <c r="C12" s="34" t="s">
        <v>10</v>
      </c>
      <c r="D12" s="36">
        <v>30757</v>
      </c>
      <c r="E12" s="36">
        <v>247535</v>
      </c>
      <c r="F12" s="57"/>
      <c r="G12" s="57"/>
      <c r="H12" s="11"/>
      <c r="I12" s="65"/>
      <c r="J12" s="11"/>
      <c r="K12" s="64"/>
      <c r="L12" s="11"/>
      <c r="M12" s="65"/>
      <c r="N12" s="11"/>
      <c r="O12" s="64">
        <v>2.6899999999999998E-4</v>
      </c>
    </row>
    <row r="13" spans="1:15" x14ac:dyDescent="0.2">
      <c r="A13">
        <v>2018</v>
      </c>
      <c r="B13" s="34">
        <v>15</v>
      </c>
      <c r="C13" s="34" t="s">
        <v>11</v>
      </c>
      <c r="D13" s="36">
        <v>267724</v>
      </c>
      <c r="E13" s="36">
        <v>1579509</v>
      </c>
      <c r="F13" s="57"/>
      <c r="G13" s="57"/>
      <c r="H13" s="11"/>
      <c r="I13" s="65"/>
      <c r="J13" s="11"/>
      <c r="K13" s="64"/>
      <c r="L13" s="11"/>
      <c r="M13" s="65"/>
      <c r="N13" s="11"/>
      <c r="O13" s="64">
        <v>2.346E-3</v>
      </c>
    </row>
    <row r="14" spans="1:15" x14ac:dyDescent="0.2">
      <c r="A14">
        <v>2018</v>
      </c>
      <c r="B14" s="34">
        <v>19</v>
      </c>
      <c r="C14" s="34" t="s">
        <v>540</v>
      </c>
      <c r="D14" s="36">
        <v>191890</v>
      </c>
      <c r="E14" s="36">
        <v>1775135</v>
      </c>
      <c r="F14" s="57"/>
      <c r="G14" s="57"/>
      <c r="H14" s="11"/>
      <c r="I14" s="65"/>
      <c r="J14" s="11"/>
      <c r="K14" s="64"/>
      <c r="L14" s="11"/>
      <c r="M14" s="65"/>
      <c r="N14" s="11"/>
      <c r="O14" s="64">
        <v>1.681E-3</v>
      </c>
    </row>
    <row r="15" spans="1:15" x14ac:dyDescent="0.2">
      <c r="A15">
        <v>2018</v>
      </c>
      <c r="B15" s="34">
        <v>20</v>
      </c>
      <c r="C15" s="34" t="s">
        <v>13</v>
      </c>
      <c r="D15" s="36">
        <v>64200</v>
      </c>
      <c r="E15" s="36">
        <v>436819</v>
      </c>
      <c r="F15" s="57"/>
      <c r="G15" s="57"/>
      <c r="H15" s="11"/>
      <c r="I15" s="65"/>
      <c r="J15" s="11"/>
      <c r="K15" s="64"/>
      <c r="L15" s="11"/>
      <c r="M15" s="65"/>
      <c r="N15" s="11"/>
      <c r="O15" s="64">
        <v>5.62E-4</v>
      </c>
    </row>
    <row r="16" spans="1:15" x14ac:dyDescent="0.2">
      <c r="A16">
        <v>2018</v>
      </c>
      <c r="B16" s="34">
        <v>21</v>
      </c>
      <c r="C16" s="34" t="s">
        <v>14</v>
      </c>
      <c r="D16" s="36">
        <v>46017</v>
      </c>
      <c r="E16" s="36">
        <v>264528</v>
      </c>
      <c r="F16" s="57"/>
      <c r="G16" s="57"/>
      <c r="H16" s="11"/>
      <c r="I16" s="65"/>
      <c r="J16" s="11"/>
      <c r="K16" s="64"/>
      <c r="L16" s="11"/>
      <c r="M16" s="65"/>
      <c r="N16" s="11"/>
      <c r="O16" s="64">
        <v>4.0299999999999998E-4</v>
      </c>
    </row>
    <row r="17" spans="1:15" x14ac:dyDescent="0.2">
      <c r="A17">
        <v>2018</v>
      </c>
      <c r="B17" s="34">
        <v>22</v>
      </c>
      <c r="C17" s="34" t="s">
        <v>15</v>
      </c>
      <c r="D17" s="36">
        <v>203754</v>
      </c>
      <c r="E17" s="36">
        <v>1238874</v>
      </c>
      <c r="F17" s="57"/>
      <c r="G17" s="57"/>
      <c r="H17" s="11"/>
      <c r="I17" s="65"/>
      <c r="J17" s="11"/>
      <c r="K17" s="64"/>
      <c r="L17" s="11"/>
      <c r="M17" s="65"/>
      <c r="N17" s="11"/>
      <c r="O17" s="64">
        <v>1.7849999999999999E-3</v>
      </c>
    </row>
    <row r="18" spans="1:15" x14ac:dyDescent="0.2">
      <c r="A18">
        <v>2018</v>
      </c>
      <c r="B18" s="34">
        <v>23</v>
      </c>
      <c r="C18" s="34" t="s">
        <v>16</v>
      </c>
      <c r="D18" s="36">
        <v>76895</v>
      </c>
      <c r="E18" s="36">
        <v>510397</v>
      </c>
      <c r="F18" s="57"/>
      <c r="G18" s="57"/>
      <c r="H18" s="11"/>
      <c r="I18" s="65"/>
      <c r="J18" s="11"/>
      <c r="K18" s="64"/>
      <c r="L18" s="11"/>
      <c r="M18" s="65"/>
      <c r="N18" s="11"/>
      <c r="O18" s="64">
        <v>6.7400000000000001E-4</v>
      </c>
    </row>
    <row r="19" spans="1:15" x14ac:dyDescent="0.2">
      <c r="A19">
        <v>2018</v>
      </c>
      <c r="B19" s="34">
        <v>24</v>
      </c>
      <c r="C19" s="34" t="s">
        <v>17</v>
      </c>
      <c r="D19" s="36">
        <v>40549</v>
      </c>
      <c r="E19" s="36">
        <v>200555</v>
      </c>
      <c r="F19" s="57"/>
      <c r="G19" s="57"/>
      <c r="H19" s="11"/>
      <c r="I19" s="65"/>
      <c r="J19" s="11"/>
      <c r="K19" s="64"/>
      <c r="L19" s="11"/>
      <c r="M19" s="65"/>
      <c r="N19" s="11"/>
      <c r="O19" s="64">
        <v>3.5500000000000001E-4</v>
      </c>
    </row>
    <row r="20" spans="1:15" x14ac:dyDescent="0.2">
      <c r="A20">
        <v>2018</v>
      </c>
      <c r="B20" s="34">
        <v>28</v>
      </c>
      <c r="C20" s="34" t="s">
        <v>18</v>
      </c>
      <c r="D20" s="36">
        <v>46913</v>
      </c>
      <c r="E20" s="36">
        <v>189580</v>
      </c>
      <c r="F20" s="57"/>
      <c r="G20" s="57"/>
      <c r="H20" s="11"/>
      <c r="I20" s="65"/>
      <c r="J20" s="11"/>
      <c r="K20" s="64"/>
      <c r="L20" s="11"/>
      <c r="M20" s="65"/>
      <c r="N20" s="11"/>
      <c r="O20" s="64">
        <v>4.1100000000000002E-4</v>
      </c>
    </row>
    <row r="21" spans="1:15" x14ac:dyDescent="0.2">
      <c r="A21">
        <v>2018</v>
      </c>
      <c r="B21" s="34">
        <v>31</v>
      </c>
      <c r="C21" s="34" t="s">
        <v>541</v>
      </c>
      <c r="D21" s="36">
        <v>116776</v>
      </c>
      <c r="E21" s="36">
        <v>903205</v>
      </c>
      <c r="F21" s="57"/>
      <c r="G21" s="57"/>
      <c r="H21" s="11"/>
      <c r="I21" s="65"/>
      <c r="J21" s="11"/>
      <c r="K21" s="64"/>
      <c r="L21" s="11"/>
      <c r="M21" s="65"/>
      <c r="N21" s="11"/>
      <c r="O21" s="64">
        <v>1.023E-3</v>
      </c>
    </row>
    <row r="22" spans="1:15" x14ac:dyDescent="0.2">
      <c r="A22">
        <v>2018</v>
      </c>
      <c r="B22" s="34">
        <v>32</v>
      </c>
      <c r="C22" s="34" t="s">
        <v>542</v>
      </c>
      <c r="D22" s="36">
        <v>40250</v>
      </c>
      <c r="E22" s="36">
        <v>280953</v>
      </c>
      <c r="F22" s="57"/>
      <c r="G22" s="57"/>
      <c r="H22" s="11"/>
      <c r="I22" s="65"/>
      <c r="J22" s="11"/>
      <c r="K22" s="64"/>
      <c r="L22" s="11"/>
      <c r="M22" s="65"/>
      <c r="N22" s="11"/>
      <c r="O22" s="64">
        <v>3.5300000000000002E-4</v>
      </c>
    </row>
    <row r="23" spans="1:15" x14ac:dyDescent="0.2">
      <c r="A23">
        <v>2018</v>
      </c>
      <c r="B23" s="34">
        <v>33</v>
      </c>
      <c r="C23" s="34" t="s">
        <v>21</v>
      </c>
      <c r="D23" s="36">
        <v>21491</v>
      </c>
      <c r="E23" s="36">
        <v>160530</v>
      </c>
      <c r="F23" s="57"/>
      <c r="G23" s="57"/>
      <c r="H23" s="11"/>
      <c r="I23" s="65"/>
      <c r="J23" s="11"/>
      <c r="K23" s="64"/>
      <c r="L23" s="11"/>
      <c r="M23" s="65"/>
      <c r="N23" s="11"/>
      <c r="O23" s="64">
        <v>1.8799999999999999E-4</v>
      </c>
    </row>
    <row r="24" spans="1:15" x14ac:dyDescent="0.2">
      <c r="A24">
        <v>2018</v>
      </c>
      <c r="B24" s="34">
        <v>34</v>
      </c>
      <c r="C24" s="34" t="s">
        <v>22</v>
      </c>
      <c r="D24" s="36">
        <v>28375</v>
      </c>
      <c r="E24" s="36">
        <v>139167</v>
      </c>
      <c r="F24" s="57"/>
      <c r="G24" s="57"/>
      <c r="H24" s="11"/>
      <c r="I24" s="65"/>
      <c r="J24" s="11"/>
      <c r="K24" s="64"/>
      <c r="L24" s="11"/>
      <c r="M24" s="65"/>
      <c r="N24" s="11"/>
      <c r="O24" s="64">
        <v>2.4899999999999998E-4</v>
      </c>
    </row>
    <row r="25" spans="1:15" x14ac:dyDescent="0.2">
      <c r="A25">
        <v>2018</v>
      </c>
      <c r="B25" s="34">
        <v>35</v>
      </c>
      <c r="C25" s="34" t="s">
        <v>543</v>
      </c>
      <c r="D25" s="36">
        <v>12980</v>
      </c>
      <c r="E25" s="36">
        <v>119443</v>
      </c>
      <c r="F25" s="57"/>
      <c r="G25" s="57"/>
      <c r="H25" s="11"/>
      <c r="I25" s="65"/>
      <c r="J25" s="11"/>
      <c r="K25" s="64"/>
      <c r="L25" s="11"/>
      <c r="M25" s="65"/>
      <c r="N25" s="11"/>
      <c r="O25" s="64">
        <v>1.1400000000000001E-4</v>
      </c>
    </row>
    <row r="26" spans="1:15" x14ac:dyDescent="0.2">
      <c r="A26">
        <v>2018</v>
      </c>
      <c r="B26" s="34">
        <v>36</v>
      </c>
      <c r="C26" s="34" t="s">
        <v>24</v>
      </c>
      <c r="D26" s="36">
        <v>54757</v>
      </c>
      <c r="E26" s="36">
        <v>475424</v>
      </c>
      <c r="F26" s="57"/>
      <c r="G26" s="57"/>
      <c r="H26" s="11"/>
      <c r="I26" s="65"/>
      <c r="J26" s="11"/>
      <c r="K26" s="64"/>
      <c r="L26" s="11"/>
      <c r="M26" s="65"/>
      <c r="N26" s="11"/>
      <c r="O26" s="64">
        <v>4.8000000000000001E-4</v>
      </c>
    </row>
    <row r="27" spans="1:15" x14ac:dyDescent="0.2">
      <c r="A27">
        <v>2018</v>
      </c>
      <c r="B27" s="34">
        <v>37</v>
      </c>
      <c r="C27" s="34" t="s">
        <v>25</v>
      </c>
      <c r="D27" s="36">
        <v>26171</v>
      </c>
      <c r="E27" s="36">
        <v>249060</v>
      </c>
      <c r="F27" s="57"/>
      <c r="G27" s="57"/>
      <c r="H27" s="11"/>
      <c r="I27" s="65"/>
      <c r="J27" s="11"/>
      <c r="K27" s="64"/>
      <c r="L27" s="11"/>
      <c r="M27" s="65"/>
      <c r="N27" s="11"/>
      <c r="O27" s="64">
        <v>2.2900000000000001E-4</v>
      </c>
    </row>
    <row r="28" spans="1:15" x14ac:dyDescent="0.2">
      <c r="A28">
        <v>2018</v>
      </c>
      <c r="B28" s="34">
        <v>38</v>
      </c>
      <c r="C28" s="34" t="s">
        <v>26</v>
      </c>
      <c r="D28" s="36">
        <v>79203</v>
      </c>
      <c r="E28" s="36">
        <v>674181</v>
      </c>
      <c r="F28" s="57"/>
      <c r="G28" s="57"/>
      <c r="H28" s="11"/>
      <c r="I28" s="65"/>
      <c r="J28" s="11"/>
      <c r="K28" s="64"/>
      <c r="L28" s="11"/>
      <c r="M28" s="65"/>
      <c r="N28" s="11"/>
      <c r="O28" s="64">
        <v>6.9399999999999996E-4</v>
      </c>
    </row>
    <row r="29" spans="1:15" x14ac:dyDescent="0.2">
      <c r="A29">
        <v>2018</v>
      </c>
      <c r="B29" s="34">
        <v>39</v>
      </c>
      <c r="C29" s="34" t="s">
        <v>27</v>
      </c>
      <c r="D29" s="36">
        <v>15397</v>
      </c>
      <c r="E29" s="36">
        <v>117314</v>
      </c>
      <c r="F29" s="57"/>
      <c r="G29" s="57"/>
      <c r="H29" s="11"/>
      <c r="I29" s="65"/>
      <c r="J29" s="11"/>
      <c r="K29" s="64"/>
      <c r="L29" s="11"/>
      <c r="M29" s="65"/>
      <c r="N29" s="11"/>
      <c r="O29" s="64">
        <v>1.35E-4</v>
      </c>
    </row>
    <row r="30" spans="1:15" x14ac:dyDescent="0.2">
      <c r="A30">
        <v>2018</v>
      </c>
      <c r="B30" s="34">
        <v>40</v>
      </c>
      <c r="C30" s="34" t="s">
        <v>28</v>
      </c>
      <c r="D30" s="36">
        <v>4898</v>
      </c>
      <c r="E30" s="36">
        <v>24317</v>
      </c>
      <c r="F30" s="57"/>
      <c r="G30" s="57"/>
      <c r="H30" s="11"/>
      <c r="I30" s="65"/>
      <c r="J30" s="11"/>
      <c r="K30" s="64"/>
      <c r="L30" s="11"/>
      <c r="M30" s="65"/>
      <c r="N30" s="11"/>
      <c r="O30" s="64">
        <v>4.3000000000000002E-5</v>
      </c>
    </row>
    <row r="31" spans="1:15" x14ac:dyDescent="0.2">
      <c r="A31">
        <v>2018</v>
      </c>
      <c r="B31" s="34">
        <v>41</v>
      </c>
      <c r="C31" s="34" t="s">
        <v>544</v>
      </c>
      <c r="D31" s="36">
        <v>57068</v>
      </c>
      <c r="E31" s="36">
        <v>447998</v>
      </c>
      <c r="F31" s="57"/>
      <c r="G31" s="57"/>
      <c r="H31" s="11"/>
      <c r="I31" s="65"/>
      <c r="J31" s="11"/>
      <c r="K31" s="64"/>
      <c r="L31" s="11"/>
      <c r="M31" s="65"/>
      <c r="N31" s="11"/>
      <c r="O31" s="64">
        <v>5.0000000000000001E-4</v>
      </c>
    </row>
    <row r="32" spans="1:15" x14ac:dyDescent="0.2">
      <c r="A32">
        <v>2018</v>
      </c>
      <c r="B32" s="34">
        <v>42</v>
      </c>
      <c r="C32" s="34" t="s">
        <v>545</v>
      </c>
      <c r="D32" s="36">
        <v>49609</v>
      </c>
      <c r="E32" s="36">
        <v>339349</v>
      </c>
      <c r="F32" s="57"/>
      <c r="G32" s="57"/>
      <c r="H32" s="11"/>
      <c r="I32" s="65"/>
      <c r="J32" s="11"/>
      <c r="K32" s="64"/>
      <c r="L32" s="11"/>
      <c r="M32" s="65"/>
      <c r="N32" s="11"/>
      <c r="O32" s="64">
        <v>4.35E-4</v>
      </c>
    </row>
    <row r="33" spans="1:15" x14ac:dyDescent="0.2">
      <c r="A33">
        <v>2018</v>
      </c>
      <c r="B33" s="34">
        <v>43</v>
      </c>
      <c r="C33" s="34" t="s">
        <v>31</v>
      </c>
      <c r="D33" s="36">
        <v>162462</v>
      </c>
      <c r="E33" s="36">
        <v>831492</v>
      </c>
      <c r="F33" s="57"/>
      <c r="G33" s="57"/>
      <c r="H33" s="11"/>
      <c r="I33" s="65"/>
      <c r="J33" s="11"/>
      <c r="K33" s="64"/>
      <c r="L33" s="11"/>
      <c r="M33" s="65"/>
      <c r="N33" s="11"/>
      <c r="O33" s="64">
        <v>1.423E-3</v>
      </c>
    </row>
    <row r="34" spans="1:15" x14ac:dyDescent="0.2">
      <c r="A34">
        <v>2018</v>
      </c>
      <c r="B34" s="34">
        <v>46</v>
      </c>
      <c r="C34" s="34" t="s">
        <v>32</v>
      </c>
      <c r="D34" s="36">
        <v>60464</v>
      </c>
      <c r="E34" s="36">
        <v>312514</v>
      </c>
      <c r="F34" s="57"/>
      <c r="G34" s="57"/>
      <c r="H34" s="11"/>
      <c r="I34" s="65"/>
      <c r="J34" s="11"/>
      <c r="K34" s="64"/>
      <c r="L34" s="11"/>
      <c r="M34" s="65"/>
      <c r="N34" s="11"/>
      <c r="O34" s="64">
        <v>5.2999999999999998E-4</v>
      </c>
    </row>
    <row r="35" spans="1:15" x14ac:dyDescent="0.2">
      <c r="A35">
        <v>2018</v>
      </c>
      <c r="B35" s="34">
        <v>47</v>
      </c>
      <c r="C35" s="34" t="s">
        <v>33</v>
      </c>
      <c r="D35" s="36">
        <v>14595</v>
      </c>
      <c r="E35" s="36">
        <v>136205</v>
      </c>
      <c r="F35" s="57"/>
      <c r="G35" s="57"/>
      <c r="H35" s="11"/>
      <c r="I35" s="65"/>
      <c r="J35" s="11"/>
      <c r="K35" s="64"/>
      <c r="L35" s="11"/>
      <c r="M35" s="65"/>
      <c r="N35" s="11"/>
      <c r="O35" s="64">
        <v>1.2799999999999999E-4</v>
      </c>
    </row>
    <row r="36" spans="1:15" x14ac:dyDescent="0.2">
      <c r="A36">
        <v>2018</v>
      </c>
      <c r="B36" s="34">
        <v>48</v>
      </c>
      <c r="C36" s="34" t="s">
        <v>34</v>
      </c>
      <c r="D36" s="36">
        <v>79403</v>
      </c>
      <c r="E36" s="36">
        <v>549532</v>
      </c>
      <c r="F36" s="57"/>
      <c r="G36" s="57"/>
      <c r="H36" s="11"/>
      <c r="I36" s="65"/>
      <c r="J36" s="11"/>
      <c r="K36" s="64"/>
      <c r="L36" s="11"/>
      <c r="M36" s="65"/>
      <c r="N36" s="11"/>
      <c r="O36" s="64">
        <v>6.96E-4</v>
      </c>
    </row>
    <row r="37" spans="1:15" x14ac:dyDescent="0.2">
      <c r="A37">
        <v>2018</v>
      </c>
      <c r="B37" s="34">
        <v>49</v>
      </c>
      <c r="C37" s="34" t="s">
        <v>35</v>
      </c>
      <c r="D37" s="36">
        <v>24202</v>
      </c>
      <c r="E37" s="36">
        <v>129641</v>
      </c>
      <c r="F37" s="57"/>
      <c r="G37" s="57"/>
      <c r="H37" s="11"/>
      <c r="I37" s="65"/>
      <c r="J37" s="11"/>
      <c r="K37" s="64"/>
      <c r="L37" s="11"/>
      <c r="M37" s="65"/>
      <c r="N37" s="11"/>
      <c r="O37" s="64">
        <v>2.12E-4</v>
      </c>
    </row>
    <row r="38" spans="1:15" x14ac:dyDescent="0.2">
      <c r="A38">
        <v>2018</v>
      </c>
      <c r="B38" s="34">
        <v>50</v>
      </c>
      <c r="C38" s="34" t="s">
        <v>36</v>
      </c>
      <c r="D38" s="36">
        <v>131325</v>
      </c>
      <c r="E38" s="36">
        <v>1195740</v>
      </c>
      <c r="F38" s="57"/>
      <c r="G38" s="57"/>
      <c r="H38" s="11"/>
      <c r="I38" s="65"/>
      <c r="J38" s="11"/>
      <c r="K38" s="64"/>
      <c r="L38" s="11"/>
      <c r="M38" s="65"/>
      <c r="N38" s="11"/>
      <c r="O38" s="64">
        <v>1.1509999999999999E-3</v>
      </c>
    </row>
    <row r="39" spans="1:15" x14ac:dyDescent="0.2">
      <c r="A39">
        <v>2018</v>
      </c>
      <c r="B39" s="34">
        <v>52</v>
      </c>
      <c r="C39" s="34" t="s">
        <v>37</v>
      </c>
      <c r="D39" s="36">
        <v>90605</v>
      </c>
      <c r="E39" s="36">
        <v>880116</v>
      </c>
      <c r="F39" s="57"/>
      <c r="G39" s="57"/>
      <c r="H39" s="11"/>
      <c r="I39" s="65"/>
      <c r="J39" s="11"/>
      <c r="K39" s="64"/>
      <c r="L39" s="11"/>
      <c r="M39" s="65"/>
      <c r="N39" s="11"/>
      <c r="O39" s="64">
        <v>7.94E-4</v>
      </c>
    </row>
    <row r="40" spans="1:15" x14ac:dyDescent="0.2">
      <c r="A40">
        <v>2018</v>
      </c>
      <c r="B40" s="34">
        <v>53</v>
      </c>
      <c r="C40" s="34" t="s">
        <v>38</v>
      </c>
      <c r="D40" s="36">
        <v>61216</v>
      </c>
      <c r="E40" s="36">
        <v>322199</v>
      </c>
      <c r="F40" s="57"/>
      <c r="G40" s="57"/>
      <c r="H40" s="11"/>
      <c r="I40" s="65"/>
      <c r="J40" s="11"/>
      <c r="K40" s="64"/>
      <c r="L40" s="11"/>
      <c r="M40" s="65"/>
      <c r="N40" s="11"/>
      <c r="O40" s="64">
        <v>5.3600000000000002E-4</v>
      </c>
    </row>
    <row r="41" spans="1:15" x14ac:dyDescent="0.2">
      <c r="A41">
        <v>2018</v>
      </c>
      <c r="B41" s="34">
        <v>54</v>
      </c>
      <c r="C41" s="34" t="s">
        <v>39</v>
      </c>
      <c r="D41" s="36">
        <v>97289</v>
      </c>
      <c r="E41" s="36">
        <v>958455</v>
      </c>
      <c r="F41" s="57"/>
      <c r="G41" s="57"/>
      <c r="H41" s="11"/>
      <c r="I41" s="65"/>
      <c r="J41" s="11"/>
      <c r="K41" s="64"/>
      <c r="L41" s="11"/>
      <c r="M41" s="65"/>
      <c r="N41" s="11"/>
      <c r="O41" s="64">
        <v>8.52E-4</v>
      </c>
    </row>
    <row r="42" spans="1:15" x14ac:dyDescent="0.2">
      <c r="A42">
        <v>2018</v>
      </c>
      <c r="B42" s="34">
        <v>55</v>
      </c>
      <c r="C42" s="34" t="s">
        <v>40</v>
      </c>
      <c r="D42" s="36">
        <v>40340</v>
      </c>
      <c r="E42" s="36">
        <v>356692</v>
      </c>
      <c r="F42" s="57"/>
      <c r="G42" s="57"/>
      <c r="H42" s="11"/>
      <c r="I42" s="65"/>
      <c r="J42" s="11"/>
      <c r="K42" s="64"/>
      <c r="L42" s="11"/>
      <c r="M42" s="65"/>
      <c r="N42" s="11"/>
      <c r="O42" s="64">
        <v>3.5300000000000002E-4</v>
      </c>
    </row>
    <row r="43" spans="1:15" x14ac:dyDescent="0.2">
      <c r="A43">
        <v>2018</v>
      </c>
      <c r="B43" s="34">
        <v>57</v>
      </c>
      <c r="C43" s="34" t="s">
        <v>41</v>
      </c>
      <c r="D43" s="36">
        <v>2620214</v>
      </c>
      <c r="E43" s="36">
        <v>15660360</v>
      </c>
      <c r="F43" s="57"/>
      <c r="G43" s="57"/>
      <c r="H43" s="11"/>
      <c r="I43" s="65"/>
      <c r="J43" s="11"/>
      <c r="K43" s="64"/>
      <c r="L43" s="11"/>
      <c r="M43" s="65"/>
      <c r="N43" s="11"/>
      <c r="O43" s="64">
        <v>2.2956000000000001E-2</v>
      </c>
    </row>
    <row r="44" spans="1:15" x14ac:dyDescent="0.2">
      <c r="A44">
        <v>2018</v>
      </c>
      <c r="B44" s="34">
        <v>63</v>
      </c>
      <c r="C44" s="34" t="s">
        <v>42</v>
      </c>
      <c r="D44" s="36">
        <v>43476</v>
      </c>
      <c r="E44" s="36">
        <v>266187</v>
      </c>
      <c r="F44" s="57"/>
      <c r="G44" s="57"/>
      <c r="H44" s="11"/>
      <c r="I44" s="65"/>
      <c r="J44" s="11"/>
      <c r="K44" s="64"/>
      <c r="L44" s="11"/>
      <c r="M44" s="65"/>
      <c r="N44" s="11"/>
      <c r="O44" s="64">
        <v>3.8099999999999999E-4</v>
      </c>
    </row>
    <row r="45" spans="1:15" x14ac:dyDescent="0.2">
      <c r="A45">
        <v>2018</v>
      </c>
      <c r="B45" s="34">
        <v>64</v>
      </c>
      <c r="C45" s="34" t="s">
        <v>43</v>
      </c>
      <c r="D45" s="36">
        <v>59056</v>
      </c>
      <c r="E45" s="36">
        <v>483236</v>
      </c>
      <c r="F45" s="57"/>
      <c r="G45" s="57"/>
      <c r="H45" s="5"/>
      <c r="I45" s="65"/>
      <c r="J45" s="5"/>
      <c r="K45" s="64"/>
      <c r="L45" s="5"/>
      <c r="M45" s="65"/>
      <c r="N45" s="5"/>
      <c r="O45" s="64">
        <v>5.1699999999999999E-4</v>
      </c>
    </row>
    <row r="46" spans="1:15" x14ac:dyDescent="0.2">
      <c r="A46">
        <v>2018</v>
      </c>
      <c r="B46" s="34">
        <v>65</v>
      </c>
      <c r="C46" s="34" t="s">
        <v>44</v>
      </c>
      <c r="D46" s="36">
        <v>55774</v>
      </c>
      <c r="E46" s="36">
        <v>519363</v>
      </c>
      <c r="F46" s="57"/>
      <c r="G46" s="57"/>
      <c r="H46" s="65"/>
      <c r="I46" s="64"/>
      <c r="J46" s="65"/>
      <c r="K46" s="64"/>
    </row>
    <row r="47" spans="1:15" x14ac:dyDescent="0.2">
      <c r="A47">
        <v>2018</v>
      </c>
      <c r="B47" s="34">
        <v>66</v>
      </c>
      <c r="C47" s="34" t="s">
        <v>45</v>
      </c>
      <c r="D47" s="36">
        <v>1626948</v>
      </c>
      <c r="E47" s="36">
        <v>8658685</v>
      </c>
      <c r="F47" s="57"/>
      <c r="G47" s="57"/>
      <c r="H47" s="65"/>
      <c r="I47" s="64"/>
      <c r="J47" s="65"/>
      <c r="K47" s="64"/>
    </row>
    <row r="48" spans="1:15" x14ac:dyDescent="0.2">
      <c r="A48">
        <v>2018</v>
      </c>
      <c r="B48" s="34">
        <v>67</v>
      </c>
      <c r="C48" s="34" t="s">
        <v>546</v>
      </c>
      <c r="D48" s="36">
        <v>557902</v>
      </c>
      <c r="E48" s="36">
        <v>3245858</v>
      </c>
      <c r="F48" s="57"/>
      <c r="G48" s="57"/>
      <c r="H48" s="65"/>
      <c r="I48" s="64"/>
      <c r="J48" s="65"/>
      <c r="K48" s="64"/>
    </row>
    <row r="49" spans="1:11" x14ac:dyDescent="0.2">
      <c r="A49">
        <v>2018</v>
      </c>
      <c r="B49" s="34">
        <v>68</v>
      </c>
      <c r="C49" s="34" t="s">
        <v>47</v>
      </c>
      <c r="D49" s="36">
        <v>51830</v>
      </c>
      <c r="E49" s="36">
        <v>441578</v>
      </c>
      <c r="F49" s="57"/>
      <c r="G49" s="57"/>
      <c r="H49" s="65"/>
      <c r="I49" s="64"/>
      <c r="J49" s="65"/>
      <c r="K49" s="64"/>
    </row>
    <row r="50" spans="1:11" x14ac:dyDescent="0.2">
      <c r="A50">
        <v>2018</v>
      </c>
      <c r="B50" s="34">
        <v>69</v>
      </c>
      <c r="C50" s="34" t="s">
        <v>48</v>
      </c>
      <c r="D50" s="36">
        <v>110181</v>
      </c>
      <c r="E50" s="36">
        <v>629863</v>
      </c>
      <c r="F50" s="57"/>
      <c r="G50" s="57"/>
      <c r="H50" s="65"/>
      <c r="I50" s="64"/>
      <c r="J50" s="65"/>
      <c r="K50" s="64"/>
    </row>
    <row r="51" spans="1:11" x14ac:dyDescent="0.2">
      <c r="A51">
        <v>2018</v>
      </c>
      <c r="B51" s="34">
        <v>74</v>
      </c>
      <c r="C51" s="34" t="s">
        <v>49</v>
      </c>
      <c r="D51" s="36">
        <v>22305</v>
      </c>
      <c r="E51" s="36">
        <v>69391</v>
      </c>
      <c r="F51" s="57"/>
      <c r="G51" s="57"/>
      <c r="H51" s="65"/>
      <c r="I51" s="64"/>
      <c r="J51" s="65"/>
      <c r="K51" s="64"/>
    </row>
    <row r="52" spans="1:11" x14ac:dyDescent="0.2">
      <c r="A52">
        <v>2018</v>
      </c>
      <c r="B52" s="34">
        <v>75</v>
      </c>
      <c r="C52" s="34" t="s">
        <v>50</v>
      </c>
      <c r="D52" s="36">
        <v>57505</v>
      </c>
      <c r="E52" s="36">
        <v>501921</v>
      </c>
      <c r="F52" s="57"/>
      <c r="G52" s="57"/>
      <c r="H52" s="65"/>
      <c r="I52" s="64"/>
      <c r="J52" s="65"/>
      <c r="K52" s="64"/>
    </row>
    <row r="53" spans="1:11" x14ac:dyDescent="0.2">
      <c r="A53">
        <v>2018</v>
      </c>
      <c r="B53" s="34">
        <v>76</v>
      </c>
      <c r="C53" s="34" t="s">
        <v>51</v>
      </c>
      <c r="D53" s="36">
        <v>1674</v>
      </c>
      <c r="E53" s="36">
        <v>28269</v>
      </c>
      <c r="F53" s="57"/>
      <c r="G53" s="57"/>
      <c r="H53" s="65"/>
      <c r="I53" s="64"/>
      <c r="J53" s="65"/>
      <c r="K53" s="64"/>
    </row>
    <row r="54" spans="1:11" x14ac:dyDescent="0.2">
      <c r="A54">
        <v>2018</v>
      </c>
      <c r="B54" s="34">
        <v>77</v>
      </c>
      <c r="C54" s="34" t="s">
        <v>52</v>
      </c>
      <c r="D54" s="36">
        <v>7854</v>
      </c>
      <c r="E54" s="36">
        <v>38958</v>
      </c>
      <c r="F54" s="57"/>
      <c r="G54" s="57"/>
      <c r="H54" s="65"/>
      <c r="I54" s="64"/>
      <c r="J54" s="65"/>
      <c r="K54" s="64"/>
    </row>
    <row r="55" spans="1:11" x14ac:dyDescent="0.2">
      <c r="A55">
        <v>2018</v>
      </c>
      <c r="B55" s="34">
        <v>78</v>
      </c>
      <c r="C55" s="34" t="s">
        <v>53</v>
      </c>
      <c r="D55" s="36">
        <v>42080</v>
      </c>
      <c r="E55" s="36">
        <v>295920</v>
      </c>
      <c r="F55" s="57"/>
      <c r="G55" s="57"/>
      <c r="H55" s="65"/>
      <c r="I55" s="64"/>
      <c r="J55" s="65"/>
      <c r="K55" s="64"/>
    </row>
    <row r="56" spans="1:11" x14ac:dyDescent="0.2">
      <c r="A56">
        <v>2018</v>
      </c>
      <c r="B56" s="34">
        <v>79</v>
      </c>
      <c r="C56" s="34" t="s">
        <v>54</v>
      </c>
      <c r="D56" s="36">
        <v>6705</v>
      </c>
      <c r="E56" s="36">
        <v>41481</v>
      </c>
      <c r="F56" s="57"/>
      <c r="G56" s="57"/>
      <c r="H56" s="65"/>
      <c r="I56" s="64"/>
      <c r="J56" s="65"/>
      <c r="K56" s="64"/>
    </row>
    <row r="57" spans="1:11" x14ac:dyDescent="0.2">
      <c r="A57">
        <v>2018</v>
      </c>
      <c r="B57" s="34">
        <v>80</v>
      </c>
      <c r="C57" s="34" t="s">
        <v>55</v>
      </c>
      <c r="D57" s="36">
        <v>31960</v>
      </c>
      <c r="E57" s="36">
        <v>221077</v>
      </c>
      <c r="F57" s="57"/>
      <c r="G57" s="57"/>
      <c r="H57" s="65"/>
      <c r="I57" s="64"/>
      <c r="J57" s="65"/>
      <c r="K57" s="64"/>
    </row>
    <row r="58" spans="1:11" x14ac:dyDescent="0.2">
      <c r="A58">
        <v>2018</v>
      </c>
      <c r="B58" s="34">
        <v>82</v>
      </c>
      <c r="C58" s="34" t="s">
        <v>56</v>
      </c>
      <c r="D58" s="36">
        <v>3019</v>
      </c>
      <c r="E58" s="36">
        <v>38525</v>
      </c>
      <c r="F58" s="57"/>
      <c r="G58" s="57"/>
      <c r="H58" s="65"/>
      <c r="I58" s="64"/>
      <c r="J58" s="65"/>
      <c r="K58" s="64"/>
    </row>
    <row r="59" spans="1:11" x14ac:dyDescent="0.2">
      <c r="A59">
        <v>2018</v>
      </c>
      <c r="B59" s="34">
        <v>83</v>
      </c>
      <c r="C59" s="34" t="s">
        <v>547</v>
      </c>
      <c r="D59" s="36">
        <v>99287</v>
      </c>
      <c r="E59" s="36">
        <v>720511</v>
      </c>
      <c r="F59" s="57"/>
      <c r="G59" s="57"/>
      <c r="H59" s="65"/>
      <c r="I59" s="64"/>
      <c r="J59" s="65"/>
      <c r="K59" s="64"/>
    </row>
    <row r="60" spans="1:11" x14ac:dyDescent="0.2">
      <c r="A60">
        <v>2018</v>
      </c>
      <c r="B60" s="34">
        <v>84</v>
      </c>
      <c r="C60" s="34" t="s">
        <v>85</v>
      </c>
      <c r="D60" s="36">
        <v>112385</v>
      </c>
      <c r="E60" s="36">
        <v>646984</v>
      </c>
      <c r="F60" s="57"/>
      <c r="G60" s="57"/>
      <c r="H60" s="65"/>
      <c r="I60" s="64"/>
      <c r="J60" s="65"/>
      <c r="K60" s="64"/>
    </row>
    <row r="61" spans="1:11" x14ac:dyDescent="0.2">
      <c r="A61">
        <v>2018</v>
      </c>
      <c r="B61" s="34">
        <v>85</v>
      </c>
      <c r="C61" s="34" t="s">
        <v>58</v>
      </c>
      <c r="D61" s="36">
        <v>51988</v>
      </c>
      <c r="E61" s="36">
        <v>396238</v>
      </c>
      <c r="F61" s="57"/>
      <c r="G61" s="57"/>
      <c r="H61" s="65"/>
      <c r="I61" s="64"/>
      <c r="J61" s="65"/>
      <c r="K61" s="64"/>
    </row>
    <row r="62" spans="1:11" x14ac:dyDescent="0.2">
      <c r="A62">
        <v>2018</v>
      </c>
      <c r="B62" s="34">
        <v>86</v>
      </c>
      <c r="C62" s="34" t="s">
        <v>59</v>
      </c>
      <c r="D62" s="36">
        <v>269556</v>
      </c>
      <c r="E62" s="36">
        <v>1474547</v>
      </c>
      <c r="F62" s="57"/>
      <c r="G62" s="57"/>
      <c r="H62" s="65"/>
      <c r="I62" s="64"/>
      <c r="J62" s="65"/>
      <c r="K62" s="64"/>
    </row>
    <row r="63" spans="1:11" x14ac:dyDescent="0.2">
      <c r="A63">
        <v>2018</v>
      </c>
      <c r="B63" s="34">
        <v>93</v>
      </c>
      <c r="C63" s="34" t="s">
        <v>60</v>
      </c>
      <c r="D63" s="36">
        <v>49043</v>
      </c>
      <c r="E63" s="36">
        <v>269003</v>
      </c>
      <c r="F63" s="57"/>
      <c r="G63" s="57"/>
      <c r="H63" s="65"/>
      <c r="I63" s="64"/>
      <c r="J63" s="65"/>
      <c r="K63" s="64"/>
    </row>
    <row r="64" spans="1:11" x14ac:dyDescent="0.2">
      <c r="A64">
        <v>2018</v>
      </c>
      <c r="B64" s="34">
        <v>94</v>
      </c>
      <c r="C64" s="34" t="s">
        <v>61</v>
      </c>
      <c r="D64" s="36">
        <v>536255</v>
      </c>
      <c r="E64" s="36">
        <v>3246563</v>
      </c>
      <c r="F64" s="57"/>
      <c r="G64" s="57"/>
      <c r="H64" s="65"/>
      <c r="I64" s="64"/>
      <c r="J64" s="65"/>
      <c r="K64" s="64"/>
    </row>
    <row r="65" spans="1:11" x14ac:dyDescent="0.2">
      <c r="A65">
        <v>2018</v>
      </c>
      <c r="B65" s="34">
        <v>95</v>
      </c>
      <c r="C65" s="34" t="s">
        <v>62</v>
      </c>
      <c r="D65" s="36">
        <v>40764</v>
      </c>
      <c r="E65" s="36">
        <v>190411</v>
      </c>
      <c r="F65" s="57"/>
      <c r="G65" s="57"/>
      <c r="H65" s="65"/>
      <c r="I65" s="64"/>
      <c r="J65" s="65"/>
      <c r="K65" s="64"/>
    </row>
    <row r="66" spans="1:11" x14ac:dyDescent="0.2">
      <c r="A66">
        <v>2018</v>
      </c>
      <c r="B66" s="34">
        <v>96</v>
      </c>
      <c r="C66" s="34" t="s">
        <v>63</v>
      </c>
      <c r="D66" s="36">
        <v>31876</v>
      </c>
      <c r="E66" s="36">
        <v>242503</v>
      </c>
      <c r="F66" s="57"/>
      <c r="G66" s="57"/>
      <c r="H66" s="65"/>
      <c r="I66" s="64"/>
      <c r="J66" s="65"/>
      <c r="K66" s="64"/>
    </row>
    <row r="67" spans="1:11" x14ac:dyDescent="0.2">
      <c r="A67">
        <v>2018</v>
      </c>
      <c r="B67" s="34">
        <v>97</v>
      </c>
      <c r="C67" s="34" t="s">
        <v>548</v>
      </c>
      <c r="D67" s="36">
        <v>614637</v>
      </c>
      <c r="E67" s="36">
        <v>3021308</v>
      </c>
      <c r="F67" s="57"/>
      <c r="G67" s="57"/>
      <c r="H67" s="65"/>
      <c r="I67" s="64"/>
      <c r="J67" s="65"/>
      <c r="K67" s="64"/>
    </row>
    <row r="68" spans="1:11" x14ac:dyDescent="0.2">
      <c r="A68">
        <v>2018</v>
      </c>
      <c r="B68" s="34">
        <v>98</v>
      </c>
      <c r="C68" s="34" t="s">
        <v>65</v>
      </c>
      <c r="D68" s="36">
        <v>22166</v>
      </c>
      <c r="E68" s="36">
        <v>239832</v>
      </c>
      <c r="F68" s="57"/>
      <c r="G68" s="57"/>
      <c r="H68" s="65"/>
      <c r="I68" s="64"/>
      <c r="J68" s="65"/>
      <c r="K68" s="64"/>
    </row>
    <row r="69" spans="1:11" x14ac:dyDescent="0.2">
      <c r="A69">
        <v>2018</v>
      </c>
      <c r="B69" s="34">
        <v>99</v>
      </c>
      <c r="C69" s="34" t="s">
        <v>66</v>
      </c>
      <c r="D69" s="36">
        <v>25365</v>
      </c>
      <c r="E69" s="36">
        <v>224426</v>
      </c>
      <c r="F69" s="57"/>
      <c r="G69" s="57"/>
      <c r="H69" s="65"/>
      <c r="I69" s="64"/>
      <c r="J69" s="65"/>
      <c r="K69" s="64"/>
    </row>
    <row r="70" spans="1:11" x14ac:dyDescent="0.2">
      <c r="A70">
        <v>2018</v>
      </c>
      <c r="B70" s="34">
        <v>100</v>
      </c>
      <c r="C70" s="34" t="s">
        <v>67</v>
      </c>
      <c r="D70" s="36">
        <v>33535</v>
      </c>
      <c r="E70" s="36">
        <v>263582</v>
      </c>
      <c r="F70" s="57"/>
      <c r="G70" s="57"/>
      <c r="H70" s="65"/>
      <c r="I70" s="64"/>
      <c r="J70" s="65"/>
      <c r="K70" s="64"/>
    </row>
    <row r="71" spans="1:11" x14ac:dyDescent="0.2">
      <c r="A71">
        <v>2018</v>
      </c>
      <c r="B71" s="34">
        <v>101</v>
      </c>
      <c r="C71" s="34" t="s">
        <v>68</v>
      </c>
      <c r="D71" s="36">
        <v>498135</v>
      </c>
      <c r="E71" s="36">
        <v>3274688</v>
      </c>
      <c r="F71" s="57"/>
      <c r="G71" s="57"/>
      <c r="H71" s="65"/>
      <c r="I71" s="64"/>
      <c r="J71" s="65"/>
      <c r="K71" s="64"/>
    </row>
    <row r="72" spans="1:11" x14ac:dyDescent="0.2">
      <c r="A72">
        <v>2018</v>
      </c>
      <c r="B72" s="34">
        <v>103</v>
      </c>
      <c r="C72" s="34" t="s">
        <v>69</v>
      </c>
      <c r="D72" s="36">
        <v>16190</v>
      </c>
      <c r="E72" s="36">
        <v>126500</v>
      </c>
      <c r="F72" s="57"/>
      <c r="G72" s="57"/>
      <c r="H72" s="65"/>
      <c r="I72" s="64"/>
      <c r="J72" s="65"/>
      <c r="K72" s="64"/>
    </row>
    <row r="73" spans="1:11" x14ac:dyDescent="0.2">
      <c r="A73">
        <v>2018</v>
      </c>
      <c r="B73" s="34">
        <v>104</v>
      </c>
      <c r="C73" s="34" t="s">
        <v>549</v>
      </c>
      <c r="D73" s="36">
        <v>14240</v>
      </c>
      <c r="E73" s="36">
        <v>149053</v>
      </c>
      <c r="F73" s="57"/>
      <c r="G73" s="57"/>
      <c r="H73" s="65"/>
      <c r="I73" s="64"/>
      <c r="J73" s="65"/>
      <c r="K73" s="64"/>
    </row>
    <row r="74" spans="1:11" x14ac:dyDescent="0.2">
      <c r="A74">
        <v>2018</v>
      </c>
      <c r="B74" s="34">
        <v>106</v>
      </c>
      <c r="C74" s="34" t="s">
        <v>71</v>
      </c>
      <c r="D74" s="36">
        <v>14795</v>
      </c>
      <c r="E74" s="36">
        <v>99134</v>
      </c>
      <c r="F74" s="57"/>
      <c r="G74" s="57"/>
      <c r="H74" s="65"/>
      <c r="I74" s="64"/>
      <c r="J74" s="65"/>
      <c r="K74" s="64"/>
    </row>
    <row r="75" spans="1:11" x14ac:dyDescent="0.2">
      <c r="A75">
        <v>2018</v>
      </c>
      <c r="B75" s="34">
        <v>107</v>
      </c>
      <c r="C75" s="34" t="s">
        <v>72</v>
      </c>
      <c r="D75" s="36">
        <v>108338</v>
      </c>
      <c r="E75" s="36">
        <v>710923</v>
      </c>
      <c r="F75" s="57"/>
      <c r="G75" s="57"/>
      <c r="H75" s="65"/>
      <c r="I75" s="64"/>
      <c r="J75" s="65"/>
      <c r="K75" s="64"/>
    </row>
    <row r="76" spans="1:11" x14ac:dyDescent="0.2">
      <c r="A76">
        <v>2018</v>
      </c>
      <c r="B76" s="34">
        <v>108</v>
      </c>
      <c r="C76" s="34" t="s">
        <v>73</v>
      </c>
      <c r="D76" s="36">
        <v>22243</v>
      </c>
      <c r="E76" s="36">
        <v>183475</v>
      </c>
      <c r="F76" s="57"/>
      <c r="G76" s="57"/>
      <c r="H76" s="65"/>
      <c r="I76" s="64"/>
      <c r="J76" s="65"/>
      <c r="K76" s="64"/>
    </row>
    <row r="77" spans="1:11" x14ac:dyDescent="0.2">
      <c r="A77">
        <v>2018</v>
      </c>
      <c r="B77" s="34">
        <v>110</v>
      </c>
      <c r="C77" s="34" t="s">
        <v>74</v>
      </c>
      <c r="D77" s="36">
        <v>83403</v>
      </c>
      <c r="E77" s="36">
        <v>327717</v>
      </c>
      <c r="F77" s="57"/>
      <c r="G77" s="57"/>
      <c r="H77" s="65"/>
      <c r="I77" s="64"/>
      <c r="J77" s="65"/>
      <c r="K77" s="64"/>
    </row>
    <row r="78" spans="1:11" x14ac:dyDescent="0.2">
      <c r="A78">
        <v>2018</v>
      </c>
      <c r="B78" s="34">
        <v>111</v>
      </c>
      <c r="C78" s="34" t="s">
        <v>86</v>
      </c>
      <c r="D78" s="36">
        <v>60259</v>
      </c>
      <c r="E78" s="36">
        <v>427742</v>
      </c>
      <c r="F78" s="57"/>
      <c r="G78" s="57"/>
      <c r="H78" s="65"/>
      <c r="I78" s="64"/>
      <c r="J78" s="65"/>
      <c r="K78" s="64"/>
    </row>
    <row r="79" spans="1:11" x14ac:dyDescent="0.2">
      <c r="A79">
        <v>2018</v>
      </c>
      <c r="B79" s="34">
        <v>112</v>
      </c>
      <c r="C79" s="34" t="s">
        <v>550</v>
      </c>
      <c r="D79" s="36">
        <v>51650</v>
      </c>
      <c r="E79" s="36">
        <v>379510</v>
      </c>
      <c r="F79" s="57"/>
      <c r="G79" s="57"/>
      <c r="H79" s="65"/>
      <c r="I79" s="64"/>
      <c r="J79" s="65"/>
      <c r="K79" s="64"/>
    </row>
    <row r="80" spans="1:11" x14ac:dyDescent="0.2">
      <c r="A80">
        <v>2018</v>
      </c>
      <c r="B80" s="34">
        <v>113</v>
      </c>
      <c r="C80" s="34" t="s">
        <v>77</v>
      </c>
      <c r="D80" s="36">
        <v>673355</v>
      </c>
      <c r="E80" s="36">
        <v>4289875</v>
      </c>
      <c r="F80" s="57"/>
      <c r="G80" s="57"/>
      <c r="H80" s="65"/>
      <c r="I80" s="64"/>
      <c r="J80" s="65"/>
      <c r="K80" s="64"/>
    </row>
    <row r="81" spans="1:11" x14ac:dyDescent="0.2">
      <c r="A81">
        <v>2018</v>
      </c>
      <c r="B81" s="34">
        <v>114</v>
      </c>
      <c r="C81" s="34" t="s">
        <v>78</v>
      </c>
      <c r="D81" s="36">
        <v>167098</v>
      </c>
      <c r="E81" s="36">
        <v>1453277</v>
      </c>
      <c r="F81" s="57"/>
      <c r="G81" s="57"/>
      <c r="H81" s="65"/>
      <c r="I81" s="64"/>
      <c r="J81" s="65"/>
      <c r="K81" s="64"/>
    </row>
    <row r="82" spans="1:11" x14ac:dyDescent="0.2">
      <c r="A82">
        <v>2018</v>
      </c>
      <c r="B82" s="34">
        <v>115</v>
      </c>
      <c r="C82" s="34" t="s">
        <v>87</v>
      </c>
      <c r="D82" s="36">
        <v>33326</v>
      </c>
      <c r="E82" s="36">
        <v>266555</v>
      </c>
      <c r="F82" s="57"/>
      <c r="G82" s="57"/>
      <c r="H82" s="65"/>
      <c r="I82" s="64"/>
      <c r="J82" s="65"/>
      <c r="K82" s="64"/>
    </row>
    <row r="83" spans="1:11" x14ac:dyDescent="0.2">
      <c r="A83">
        <v>2018</v>
      </c>
      <c r="B83" s="34">
        <v>116</v>
      </c>
      <c r="C83" s="34" t="s">
        <v>79</v>
      </c>
      <c r="D83" s="36">
        <v>31959</v>
      </c>
      <c r="E83" s="36">
        <v>384506</v>
      </c>
      <c r="F83" s="57"/>
      <c r="G83" s="57"/>
      <c r="H83" s="65"/>
      <c r="I83" s="64"/>
      <c r="J83" s="65"/>
      <c r="K83" s="64"/>
    </row>
    <row r="84" spans="1:11" x14ac:dyDescent="0.2">
      <c r="A84">
        <v>2018</v>
      </c>
      <c r="B84" s="34">
        <v>117</v>
      </c>
      <c r="C84" s="34" t="s">
        <v>80</v>
      </c>
      <c r="D84" s="36">
        <v>86423</v>
      </c>
      <c r="E84" s="36">
        <v>518085</v>
      </c>
      <c r="F84" s="57"/>
      <c r="G84" s="57"/>
      <c r="H84" s="65"/>
      <c r="I84" s="64"/>
      <c r="J84" s="65"/>
      <c r="K84" s="64"/>
    </row>
    <row r="85" spans="1:11" x14ac:dyDescent="0.2">
      <c r="A85">
        <v>2018</v>
      </c>
      <c r="B85" s="34">
        <v>118</v>
      </c>
      <c r="C85" s="34" t="s">
        <v>81</v>
      </c>
      <c r="D85" s="36">
        <v>251229</v>
      </c>
      <c r="E85" s="36">
        <v>1853370</v>
      </c>
      <c r="F85" s="57"/>
      <c r="G85" s="57"/>
      <c r="H85" s="65"/>
      <c r="I85" s="64"/>
      <c r="J85" s="65"/>
      <c r="K85" s="64"/>
    </row>
    <row r="86" spans="1:11" x14ac:dyDescent="0.2">
      <c r="A86">
        <v>2018</v>
      </c>
      <c r="B86" s="34">
        <v>119</v>
      </c>
      <c r="C86" s="34" t="s">
        <v>82</v>
      </c>
      <c r="D86" s="36">
        <v>10863</v>
      </c>
      <c r="E86" s="36">
        <v>92266</v>
      </c>
      <c r="F86" s="57"/>
      <c r="G86" s="57"/>
      <c r="H86" s="65"/>
      <c r="I86" s="64"/>
      <c r="J86" s="65"/>
      <c r="K86" s="64"/>
    </row>
    <row r="87" spans="1:11" x14ac:dyDescent="0.2">
      <c r="A87">
        <v>2018</v>
      </c>
      <c r="B87" s="34">
        <v>120</v>
      </c>
      <c r="C87" s="34" t="s">
        <v>83</v>
      </c>
      <c r="D87" s="36">
        <v>552125</v>
      </c>
      <c r="E87" s="36">
        <v>3544334</v>
      </c>
      <c r="F87" s="57"/>
      <c r="G87" s="57"/>
      <c r="H87" s="65"/>
      <c r="I87" s="64"/>
      <c r="J87" s="65"/>
      <c r="K87" s="64"/>
    </row>
    <row r="88" spans="1:11" x14ac:dyDescent="0.2">
      <c r="A88">
        <v>2018</v>
      </c>
      <c r="B88" s="34">
        <v>125</v>
      </c>
      <c r="C88" s="34" t="s">
        <v>84</v>
      </c>
      <c r="D88" s="36">
        <v>17459</v>
      </c>
      <c r="E88" s="36">
        <v>98474</v>
      </c>
      <c r="F88" s="57"/>
      <c r="G88" s="57"/>
      <c r="H88" s="65"/>
      <c r="I88" s="64"/>
      <c r="J88" s="65"/>
      <c r="K88" s="64"/>
    </row>
    <row r="89" spans="1:11" x14ac:dyDescent="0.2">
      <c r="A89">
        <v>2018</v>
      </c>
      <c r="B89" s="34">
        <v>129</v>
      </c>
      <c r="C89" s="34" t="s">
        <v>129</v>
      </c>
      <c r="D89" s="36">
        <v>71803</v>
      </c>
      <c r="E89" s="36">
        <v>648393</v>
      </c>
      <c r="F89" s="57"/>
      <c r="G89" s="57"/>
      <c r="H89" s="65"/>
      <c r="I89" s="64"/>
      <c r="J89" s="65"/>
      <c r="K89" s="64"/>
    </row>
    <row r="90" spans="1:11" x14ac:dyDescent="0.2">
      <c r="A90">
        <v>2018</v>
      </c>
      <c r="B90" s="34">
        <v>130</v>
      </c>
      <c r="C90" s="34" t="s">
        <v>88</v>
      </c>
      <c r="D90" s="36">
        <v>105604</v>
      </c>
      <c r="E90" s="36">
        <v>791817</v>
      </c>
      <c r="F90" s="57"/>
      <c r="G90" s="57"/>
      <c r="H90" s="65"/>
      <c r="I90" s="64"/>
      <c r="J90" s="65"/>
      <c r="K90" s="64"/>
    </row>
    <row r="91" spans="1:11" x14ac:dyDescent="0.2">
      <c r="A91">
        <v>2018</v>
      </c>
      <c r="B91" s="34">
        <v>131</v>
      </c>
      <c r="C91" s="34" t="s">
        <v>89</v>
      </c>
      <c r="D91" s="36">
        <v>24353</v>
      </c>
      <c r="E91" s="36">
        <v>148551</v>
      </c>
      <c r="F91" s="57"/>
      <c r="G91" s="57"/>
      <c r="H91" s="65"/>
      <c r="I91" s="64"/>
      <c r="J91" s="65"/>
      <c r="K91" s="64"/>
    </row>
    <row r="92" spans="1:11" x14ac:dyDescent="0.2">
      <c r="A92">
        <v>2018</v>
      </c>
      <c r="B92" s="34">
        <v>132</v>
      </c>
      <c r="C92" s="34" t="s">
        <v>90</v>
      </c>
      <c r="D92" s="36">
        <v>35497</v>
      </c>
      <c r="E92" s="36">
        <v>220192</v>
      </c>
      <c r="F92" s="57"/>
      <c r="G92" s="57"/>
      <c r="H92" s="65"/>
      <c r="I92" s="64"/>
      <c r="J92" s="65"/>
      <c r="K92" s="64"/>
    </row>
    <row r="93" spans="1:11" x14ac:dyDescent="0.2">
      <c r="A93">
        <v>2018</v>
      </c>
      <c r="B93" s="34">
        <v>133</v>
      </c>
      <c r="C93" s="34" t="s">
        <v>91</v>
      </c>
      <c r="D93" s="36">
        <v>23140</v>
      </c>
      <c r="E93" s="36">
        <v>146642</v>
      </c>
      <c r="F93" s="57"/>
      <c r="G93" s="57"/>
      <c r="H93" s="65"/>
      <c r="I93" s="64"/>
      <c r="J93" s="65"/>
      <c r="K93" s="64"/>
    </row>
    <row r="94" spans="1:11" x14ac:dyDescent="0.2">
      <c r="A94">
        <v>2018</v>
      </c>
      <c r="B94" s="34">
        <v>134</v>
      </c>
      <c r="C94" s="34" t="s">
        <v>92</v>
      </c>
      <c r="D94" s="36">
        <v>59699</v>
      </c>
      <c r="E94" s="36">
        <v>357222</v>
      </c>
      <c r="F94" s="57"/>
      <c r="G94" s="57"/>
      <c r="H94" s="65"/>
      <c r="I94" s="64"/>
      <c r="J94" s="65"/>
      <c r="K94" s="64"/>
    </row>
    <row r="95" spans="1:11" x14ac:dyDescent="0.2">
      <c r="A95">
        <v>2018</v>
      </c>
      <c r="B95" s="34">
        <v>137</v>
      </c>
      <c r="C95" s="34" t="s">
        <v>93</v>
      </c>
      <c r="D95" s="36">
        <v>29067</v>
      </c>
      <c r="E95" s="36">
        <v>160595</v>
      </c>
      <c r="F95" s="57"/>
      <c r="G95" s="57"/>
      <c r="H95" s="65"/>
      <c r="I95" s="64"/>
      <c r="J95" s="65"/>
      <c r="K95" s="64"/>
    </row>
    <row r="96" spans="1:11" x14ac:dyDescent="0.2">
      <c r="A96">
        <v>2018</v>
      </c>
      <c r="B96" s="34">
        <v>138</v>
      </c>
      <c r="C96" s="34" t="s">
        <v>94</v>
      </c>
      <c r="D96" s="36">
        <v>450060</v>
      </c>
      <c r="E96" s="36">
        <v>4202861</v>
      </c>
      <c r="F96" s="57"/>
      <c r="G96" s="57"/>
      <c r="H96" s="65"/>
      <c r="I96" s="64"/>
      <c r="J96" s="65"/>
      <c r="K96" s="64"/>
    </row>
    <row r="97" spans="1:11" x14ac:dyDescent="0.2">
      <c r="A97">
        <v>2018</v>
      </c>
      <c r="B97" s="34">
        <v>139</v>
      </c>
      <c r="C97" s="34" t="s">
        <v>95</v>
      </c>
      <c r="D97" s="36">
        <v>73019</v>
      </c>
      <c r="E97" s="36">
        <v>477117</v>
      </c>
      <c r="F97" s="57"/>
      <c r="G97" s="57"/>
      <c r="H97" s="65"/>
      <c r="I97" s="64"/>
      <c r="J97" s="65"/>
      <c r="K97" s="64"/>
    </row>
    <row r="98" spans="1:11" x14ac:dyDescent="0.2">
      <c r="A98">
        <v>2018</v>
      </c>
      <c r="B98" s="34">
        <v>140</v>
      </c>
      <c r="C98" s="34" t="s">
        <v>96</v>
      </c>
      <c r="D98" s="36">
        <v>33180</v>
      </c>
      <c r="E98" s="36">
        <v>242160</v>
      </c>
      <c r="F98" s="57"/>
      <c r="G98" s="57"/>
      <c r="H98" s="65"/>
      <c r="I98" s="64"/>
      <c r="J98" s="65"/>
      <c r="K98" s="64"/>
    </row>
    <row r="99" spans="1:11" x14ac:dyDescent="0.2">
      <c r="A99">
        <v>2018</v>
      </c>
      <c r="B99" s="34">
        <v>141</v>
      </c>
      <c r="C99" s="34" t="s">
        <v>97</v>
      </c>
      <c r="D99" s="36">
        <v>88489</v>
      </c>
      <c r="E99" s="36">
        <v>730175</v>
      </c>
      <c r="F99" s="57"/>
      <c r="G99" s="57"/>
      <c r="H99" s="65"/>
      <c r="I99" s="64"/>
      <c r="J99" s="65"/>
      <c r="K99" s="64"/>
    </row>
    <row r="100" spans="1:11" x14ac:dyDescent="0.2">
      <c r="A100">
        <v>2018</v>
      </c>
      <c r="B100" s="34">
        <v>142</v>
      </c>
      <c r="C100" s="34" t="s">
        <v>98</v>
      </c>
      <c r="D100" s="36">
        <v>544745</v>
      </c>
      <c r="E100" s="36">
        <v>4126872</v>
      </c>
      <c r="F100" s="57"/>
      <c r="G100" s="57"/>
      <c r="H100" s="65"/>
      <c r="I100" s="64"/>
      <c r="J100" s="65"/>
      <c r="K100" s="64"/>
    </row>
    <row r="101" spans="1:11" x14ac:dyDescent="0.2">
      <c r="A101">
        <v>2018</v>
      </c>
      <c r="B101" s="34">
        <v>143</v>
      </c>
      <c r="C101" s="34" t="s">
        <v>99</v>
      </c>
      <c r="D101" s="36">
        <v>56174</v>
      </c>
      <c r="E101" s="36">
        <v>540757</v>
      </c>
      <c r="F101" s="57"/>
      <c r="G101" s="57"/>
      <c r="H101" s="65"/>
      <c r="I101" s="64"/>
      <c r="J101" s="65"/>
      <c r="K101" s="64"/>
    </row>
    <row r="102" spans="1:11" x14ac:dyDescent="0.2">
      <c r="A102">
        <v>2018</v>
      </c>
      <c r="B102" s="34">
        <v>144</v>
      </c>
      <c r="C102" s="34" t="s">
        <v>100</v>
      </c>
      <c r="D102" s="36">
        <v>90998</v>
      </c>
      <c r="E102" s="36">
        <v>720997</v>
      </c>
      <c r="F102" s="57"/>
      <c r="G102" s="57"/>
      <c r="H102" s="65"/>
      <c r="I102" s="64"/>
      <c r="J102" s="65"/>
      <c r="K102" s="64"/>
    </row>
    <row r="103" spans="1:11" x14ac:dyDescent="0.2">
      <c r="A103">
        <v>2018</v>
      </c>
      <c r="B103" s="34">
        <v>149</v>
      </c>
      <c r="C103" s="34" t="s">
        <v>101</v>
      </c>
      <c r="F103" s="57"/>
      <c r="G103" s="57"/>
      <c r="H103" s="57"/>
      <c r="I103" s="64"/>
      <c r="J103" s="57"/>
      <c r="K103" s="64"/>
    </row>
    <row r="104" spans="1:11" x14ac:dyDescent="0.2">
      <c r="A104">
        <v>2018</v>
      </c>
      <c r="B104" s="34">
        <v>151</v>
      </c>
      <c r="C104" s="34" t="s">
        <v>102</v>
      </c>
      <c r="D104" s="36">
        <v>303258</v>
      </c>
      <c r="E104" s="36">
        <v>2562167</v>
      </c>
      <c r="F104" s="57"/>
      <c r="G104" s="57"/>
      <c r="H104" s="65"/>
      <c r="I104" s="64"/>
      <c r="J104" s="65"/>
      <c r="K104" s="64"/>
    </row>
    <row r="105" spans="1:11" x14ac:dyDescent="0.2">
      <c r="A105">
        <v>2018</v>
      </c>
      <c r="B105" s="34">
        <v>152</v>
      </c>
      <c r="C105" s="34" t="s">
        <v>103</v>
      </c>
      <c r="D105" s="36">
        <v>247614</v>
      </c>
      <c r="E105" s="36">
        <v>1873954</v>
      </c>
      <c r="F105" s="57"/>
      <c r="G105" s="57"/>
      <c r="H105" s="65"/>
      <c r="I105" s="64"/>
      <c r="J105" s="65"/>
      <c r="K105" s="64"/>
    </row>
    <row r="106" spans="1:11" x14ac:dyDescent="0.2">
      <c r="A106">
        <v>2018</v>
      </c>
      <c r="B106" s="34">
        <v>154</v>
      </c>
      <c r="C106" s="34" t="s">
        <v>104</v>
      </c>
      <c r="D106" s="36">
        <v>297781</v>
      </c>
      <c r="E106" s="36">
        <v>1972563</v>
      </c>
      <c r="F106" s="57"/>
      <c r="G106" s="57"/>
      <c r="H106" s="65"/>
      <c r="I106" s="64"/>
      <c r="J106" s="65"/>
      <c r="K106" s="64"/>
    </row>
    <row r="107" spans="1:11" x14ac:dyDescent="0.2">
      <c r="A107">
        <v>2018</v>
      </c>
      <c r="B107" s="34">
        <v>155</v>
      </c>
      <c r="C107" s="34" t="s">
        <v>105</v>
      </c>
      <c r="D107" s="36">
        <v>1779755</v>
      </c>
      <c r="E107" s="36">
        <v>9263860</v>
      </c>
      <c r="F107" s="57"/>
      <c r="G107" s="57"/>
      <c r="H107" s="65"/>
      <c r="I107" s="64"/>
      <c r="J107" s="65"/>
      <c r="K107" s="64"/>
    </row>
    <row r="108" spans="1:11" x14ac:dyDescent="0.2">
      <c r="A108">
        <v>2018</v>
      </c>
      <c r="B108" s="34">
        <v>156</v>
      </c>
      <c r="C108" s="34" t="s">
        <v>106</v>
      </c>
      <c r="D108" s="36">
        <v>3225423</v>
      </c>
      <c r="E108" s="36">
        <v>16434928</v>
      </c>
      <c r="F108" s="57"/>
      <c r="G108" s="57"/>
      <c r="H108" s="65"/>
      <c r="I108" s="64"/>
      <c r="J108" s="65"/>
      <c r="K108" s="64"/>
    </row>
    <row r="109" spans="1:11" x14ac:dyDescent="0.2">
      <c r="A109">
        <v>2018</v>
      </c>
      <c r="B109" s="34">
        <v>165</v>
      </c>
      <c r="C109" s="34" t="s">
        <v>107</v>
      </c>
      <c r="D109" s="36">
        <v>2985</v>
      </c>
      <c r="E109" s="36">
        <v>23925</v>
      </c>
      <c r="F109" s="57"/>
      <c r="G109" s="57"/>
      <c r="H109" s="65"/>
      <c r="I109" s="64"/>
      <c r="J109" s="65"/>
      <c r="K109" s="64"/>
    </row>
    <row r="110" spans="1:11" x14ac:dyDescent="0.2">
      <c r="A110">
        <v>2018</v>
      </c>
      <c r="B110" s="34">
        <v>167</v>
      </c>
      <c r="C110" s="34" t="s">
        <v>108</v>
      </c>
      <c r="D110" s="36">
        <v>149330</v>
      </c>
      <c r="E110" s="36">
        <v>1152808</v>
      </c>
      <c r="F110" s="57"/>
      <c r="G110" s="57"/>
      <c r="H110" s="65"/>
      <c r="I110" s="64"/>
      <c r="J110" s="65"/>
      <c r="K110" s="64"/>
    </row>
    <row r="111" spans="1:11" x14ac:dyDescent="0.2">
      <c r="A111">
        <v>2018</v>
      </c>
      <c r="B111" s="34">
        <v>168</v>
      </c>
      <c r="C111" s="34" t="s">
        <v>109</v>
      </c>
      <c r="D111" s="36">
        <v>82871</v>
      </c>
      <c r="E111" s="36">
        <v>724795</v>
      </c>
      <c r="F111" s="57"/>
      <c r="G111" s="57"/>
      <c r="H111" s="65"/>
      <c r="I111" s="64"/>
      <c r="J111" s="65"/>
      <c r="K111" s="64"/>
    </row>
    <row r="112" spans="1:11" x14ac:dyDescent="0.2">
      <c r="A112">
        <v>2018</v>
      </c>
      <c r="B112" s="34">
        <v>169</v>
      </c>
      <c r="C112" s="34" t="s">
        <v>110</v>
      </c>
      <c r="D112" s="36">
        <v>25680</v>
      </c>
      <c r="E112" s="36">
        <v>482144</v>
      </c>
      <c r="F112" s="57"/>
      <c r="G112" s="57"/>
      <c r="H112" s="65"/>
      <c r="I112" s="64"/>
      <c r="J112" s="65"/>
      <c r="K112" s="64"/>
    </row>
    <row r="113" spans="1:11" x14ac:dyDescent="0.2">
      <c r="A113">
        <v>2018</v>
      </c>
      <c r="B113" s="34">
        <v>170</v>
      </c>
      <c r="C113" s="34" t="s">
        <v>111</v>
      </c>
      <c r="D113" s="36">
        <v>49527</v>
      </c>
      <c r="E113" s="36">
        <v>374041</v>
      </c>
      <c r="F113" s="57"/>
      <c r="G113" s="57"/>
      <c r="H113" s="65"/>
      <c r="I113" s="64"/>
      <c r="J113" s="65"/>
      <c r="K113" s="64"/>
    </row>
    <row r="114" spans="1:11" x14ac:dyDescent="0.2">
      <c r="A114">
        <v>2018</v>
      </c>
      <c r="B114" s="34">
        <v>171</v>
      </c>
      <c r="C114" s="34" t="s">
        <v>112</v>
      </c>
      <c r="D114" s="36">
        <v>83538</v>
      </c>
      <c r="E114" s="36">
        <v>707882</v>
      </c>
      <c r="F114" s="57"/>
      <c r="G114" s="57"/>
      <c r="H114" s="65"/>
      <c r="I114" s="64"/>
      <c r="J114" s="65"/>
      <c r="K114" s="64"/>
    </row>
    <row r="115" spans="1:11" x14ac:dyDescent="0.2">
      <c r="A115">
        <v>2018</v>
      </c>
      <c r="B115" s="34">
        <v>173</v>
      </c>
      <c r="C115" s="34" t="s">
        <v>552</v>
      </c>
      <c r="D115" s="36">
        <v>41497</v>
      </c>
      <c r="E115" s="36">
        <v>347951</v>
      </c>
      <c r="F115" s="57"/>
      <c r="G115" s="57"/>
      <c r="H115" s="65"/>
      <c r="I115" s="64"/>
      <c r="J115" s="65"/>
      <c r="K115" s="64"/>
    </row>
    <row r="116" spans="1:11" x14ac:dyDescent="0.2">
      <c r="A116">
        <v>2018</v>
      </c>
      <c r="B116" s="34">
        <v>174</v>
      </c>
      <c r="C116" s="34" t="s">
        <v>113</v>
      </c>
      <c r="D116" s="36">
        <v>1018258</v>
      </c>
      <c r="E116" s="36">
        <v>6562306</v>
      </c>
      <c r="F116" s="57"/>
      <c r="G116" s="57"/>
      <c r="H116" s="65"/>
      <c r="I116" s="64"/>
      <c r="J116" s="65"/>
      <c r="K116" s="64"/>
    </row>
    <row r="117" spans="1:11" x14ac:dyDescent="0.2">
      <c r="A117">
        <v>2018</v>
      </c>
      <c r="B117" s="34">
        <v>175</v>
      </c>
      <c r="C117" s="34" t="s">
        <v>114</v>
      </c>
      <c r="D117" s="36">
        <v>128075</v>
      </c>
      <c r="E117" s="36">
        <v>1129023</v>
      </c>
      <c r="F117" s="57"/>
      <c r="G117" s="57"/>
      <c r="H117" s="65"/>
      <c r="I117" s="64"/>
      <c r="J117" s="65"/>
      <c r="K117" s="64"/>
    </row>
    <row r="118" spans="1:11" x14ac:dyDescent="0.2">
      <c r="A118">
        <v>2018</v>
      </c>
      <c r="B118" s="34">
        <v>176</v>
      </c>
      <c r="C118" s="34" t="s">
        <v>115</v>
      </c>
      <c r="D118" s="36">
        <v>8258</v>
      </c>
      <c r="E118" s="36">
        <v>88366</v>
      </c>
      <c r="F118" s="57"/>
      <c r="G118" s="57"/>
      <c r="H118" s="65"/>
      <c r="I118" s="64"/>
      <c r="J118" s="65"/>
      <c r="K118" s="64"/>
    </row>
    <row r="119" spans="1:11" x14ac:dyDescent="0.2">
      <c r="A119">
        <v>2018</v>
      </c>
      <c r="B119" s="34">
        <v>177</v>
      </c>
      <c r="C119" s="34" t="s">
        <v>116</v>
      </c>
      <c r="D119" s="36">
        <v>16743</v>
      </c>
      <c r="E119" s="36">
        <v>127752</v>
      </c>
      <c r="F119" s="57"/>
      <c r="G119" s="57"/>
      <c r="H119" s="65"/>
      <c r="I119" s="64"/>
      <c r="J119" s="65"/>
      <c r="K119" s="64"/>
    </row>
    <row r="120" spans="1:11" x14ac:dyDescent="0.2">
      <c r="A120">
        <v>2018</v>
      </c>
      <c r="B120" s="34">
        <v>178</v>
      </c>
      <c r="C120" s="34" t="s">
        <v>117</v>
      </c>
      <c r="D120" s="36">
        <v>15037</v>
      </c>
      <c r="E120" s="36">
        <v>131710</v>
      </c>
      <c r="F120" s="57"/>
      <c r="G120" s="57"/>
      <c r="H120" s="65"/>
      <c r="I120" s="64"/>
      <c r="J120" s="65"/>
      <c r="K120" s="64"/>
    </row>
    <row r="121" spans="1:11" x14ac:dyDescent="0.2">
      <c r="A121">
        <v>2018</v>
      </c>
      <c r="B121" s="34">
        <v>179</v>
      </c>
      <c r="C121" s="34" t="s">
        <v>118</v>
      </c>
      <c r="D121" s="36">
        <v>28832</v>
      </c>
      <c r="E121" s="36">
        <v>162407</v>
      </c>
      <c r="F121" s="57"/>
      <c r="G121" s="57"/>
      <c r="H121" s="65"/>
      <c r="I121" s="64"/>
      <c r="J121" s="65"/>
      <c r="K121" s="64"/>
    </row>
    <row r="122" spans="1:11" x14ac:dyDescent="0.2">
      <c r="A122">
        <v>2018</v>
      </c>
      <c r="B122" s="34">
        <v>180</v>
      </c>
      <c r="C122" s="34" t="s">
        <v>119</v>
      </c>
      <c r="D122" s="36">
        <v>27773</v>
      </c>
      <c r="E122" s="36">
        <v>207522</v>
      </c>
      <c r="F122" s="57"/>
      <c r="G122" s="57"/>
      <c r="H122" s="65"/>
      <c r="I122" s="64"/>
      <c r="J122" s="65"/>
      <c r="K122" s="64"/>
    </row>
    <row r="123" spans="1:11" x14ac:dyDescent="0.2">
      <c r="A123">
        <v>2018</v>
      </c>
      <c r="B123" s="34">
        <v>181</v>
      </c>
      <c r="C123" s="34" t="s">
        <v>120</v>
      </c>
      <c r="D123" s="36">
        <v>73074</v>
      </c>
      <c r="E123" s="36">
        <v>590741</v>
      </c>
      <c r="F123" s="57"/>
      <c r="G123" s="57"/>
      <c r="H123" s="65"/>
      <c r="I123" s="64"/>
      <c r="J123" s="65"/>
      <c r="K123" s="64"/>
    </row>
    <row r="124" spans="1:11" x14ac:dyDescent="0.2">
      <c r="A124">
        <v>2018</v>
      </c>
      <c r="B124" s="34">
        <v>182</v>
      </c>
      <c r="C124" s="34" t="s">
        <v>121</v>
      </c>
      <c r="D124" s="36">
        <v>152136</v>
      </c>
      <c r="E124" s="36">
        <v>959024</v>
      </c>
      <c r="F124" s="57"/>
      <c r="G124" s="57"/>
      <c r="H124" s="65"/>
      <c r="I124" s="64"/>
      <c r="J124" s="65"/>
      <c r="K124" s="64"/>
    </row>
    <row r="125" spans="1:11" x14ac:dyDescent="0.2">
      <c r="A125">
        <v>2018</v>
      </c>
      <c r="B125" s="34">
        <v>183</v>
      </c>
      <c r="C125" s="34" t="s">
        <v>122</v>
      </c>
      <c r="D125" s="36">
        <v>90214</v>
      </c>
      <c r="E125" s="36">
        <v>578723</v>
      </c>
      <c r="F125" s="57"/>
      <c r="G125" s="57"/>
      <c r="H125" s="65"/>
      <c r="I125" s="64"/>
      <c r="J125" s="65"/>
      <c r="K125" s="64"/>
    </row>
    <row r="126" spans="1:11" x14ac:dyDescent="0.2">
      <c r="A126">
        <v>2018</v>
      </c>
      <c r="B126" s="34">
        <v>184</v>
      </c>
      <c r="C126" s="34" t="s">
        <v>123</v>
      </c>
      <c r="D126" s="36">
        <v>29923</v>
      </c>
      <c r="E126" s="36">
        <v>234283</v>
      </c>
      <c r="F126" s="57"/>
      <c r="G126" s="57"/>
      <c r="H126" s="65"/>
      <c r="I126" s="64"/>
      <c r="J126" s="65"/>
      <c r="K126" s="64"/>
    </row>
    <row r="127" spans="1:11" x14ac:dyDescent="0.2">
      <c r="A127">
        <v>2018</v>
      </c>
      <c r="B127" s="34">
        <v>185</v>
      </c>
      <c r="C127" s="34" t="s">
        <v>124</v>
      </c>
      <c r="D127" s="36">
        <v>8751</v>
      </c>
      <c r="E127" s="36">
        <v>123805</v>
      </c>
      <c r="F127" s="57"/>
      <c r="G127" s="57"/>
      <c r="H127" s="65"/>
      <c r="I127" s="64"/>
      <c r="J127" s="65"/>
      <c r="K127" s="64"/>
    </row>
    <row r="128" spans="1:11" x14ac:dyDescent="0.2">
      <c r="A128">
        <v>2018</v>
      </c>
      <c r="B128" s="34">
        <v>186</v>
      </c>
      <c r="C128" s="34" t="s">
        <v>125</v>
      </c>
      <c r="D128" s="36">
        <v>17637</v>
      </c>
      <c r="E128" s="36">
        <v>135984</v>
      </c>
      <c r="F128" s="57"/>
      <c r="G128" s="57"/>
      <c r="H128" s="65"/>
      <c r="I128" s="64"/>
      <c r="J128" s="65"/>
      <c r="K128" s="64"/>
    </row>
    <row r="129" spans="1:11" x14ac:dyDescent="0.2">
      <c r="A129">
        <v>2018</v>
      </c>
      <c r="B129" s="34">
        <v>187</v>
      </c>
      <c r="C129" s="34" t="s">
        <v>126</v>
      </c>
      <c r="D129" s="36">
        <v>46622</v>
      </c>
      <c r="E129" s="36">
        <v>286968</v>
      </c>
      <c r="F129" s="57"/>
      <c r="G129" s="57"/>
      <c r="H129" s="65"/>
      <c r="I129" s="64"/>
      <c r="J129" s="65"/>
      <c r="K129" s="64"/>
    </row>
    <row r="130" spans="1:11" x14ac:dyDescent="0.2">
      <c r="A130">
        <v>2018</v>
      </c>
      <c r="B130" s="34">
        <v>188</v>
      </c>
      <c r="C130" s="34" t="s">
        <v>127</v>
      </c>
      <c r="D130" s="36">
        <v>196354</v>
      </c>
      <c r="E130" s="36">
        <v>1058224</v>
      </c>
      <c r="F130" s="57"/>
      <c r="G130" s="57"/>
      <c r="H130" s="65"/>
      <c r="I130" s="64"/>
      <c r="J130" s="65"/>
      <c r="K130" s="64"/>
    </row>
    <row r="131" spans="1:11" x14ac:dyDescent="0.2">
      <c r="A131">
        <v>2018</v>
      </c>
      <c r="B131" s="34">
        <v>191</v>
      </c>
      <c r="C131" s="34" t="s">
        <v>128</v>
      </c>
      <c r="D131" s="36">
        <v>17727</v>
      </c>
      <c r="E131" s="36">
        <v>162108</v>
      </c>
      <c r="F131" s="57"/>
      <c r="G131" s="57"/>
      <c r="H131" s="65"/>
      <c r="I131" s="64"/>
      <c r="J131" s="65"/>
      <c r="K131" s="64"/>
    </row>
    <row r="132" spans="1:11" x14ac:dyDescent="0.2">
      <c r="A132">
        <v>2018</v>
      </c>
      <c r="B132" s="34">
        <v>192</v>
      </c>
      <c r="C132" s="34" t="s">
        <v>130</v>
      </c>
      <c r="D132" s="36">
        <v>12713</v>
      </c>
      <c r="E132" s="36">
        <v>88161</v>
      </c>
      <c r="F132" s="57"/>
      <c r="G132" s="57"/>
      <c r="H132" s="65"/>
      <c r="I132" s="64"/>
      <c r="J132" s="65"/>
      <c r="K132" s="64"/>
    </row>
    <row r="133" spans="1:11" x14ac:dyDescent="0.2">
      <c r="A133">
        <v>2018</v>
      </c>
      <c r="B133" s="34">
        <v>193</v>
      </c>
      <c r="C133" s="34" t="s">
        <v>131</v>
      </c>
      <c r="D133" s="36">
        <v>69557</v>
      </c>
      <c r="E133" s="36">
        <v>413552</v>
      </c>
      <c r="F133" s="57"/>
      <c r="G133" s="57"/>
      <c r="H133" s="65"/>
      <c r="I133" s="64"/>
      <c r="J133" s="65"/>
      <c r="K133" s="64"/>
    </row>
    <row r="134" spans="1:11" x14ac:dyDescent="0.2">
      <c r="A134">
        <v>2018</v>
      </c>
      <c r="B134" s="34">
        <v>194</v>
      </c>
      <c r="C134" s="34" t="s">
        <v>132</v>
      </c>
      <c r="D134" s="36">
        <v>15628</v>
      </c>
      <c r="E134" s="36">
        <v>162159</v>
      </c>
      <c r="F134" s="57"/>
      <c r="G134" s="57"/>
      <c r="H134" s="65"/>
      <c r="I134" s="64"/>
      <c r="J134" s="65"/>
      <c r="K134" s="64"/>
    </row>
    <row r="135" spans="1:11" x14ac:dyDescent="0.2">
      <c r="A135">
        <v>2018</v>
      </c>
      <c r="B135" s="34">
        <v>195</v>
      </c>
      <c r="C135" s="34" t="s">
        <v>133</v>
      </c>
      <c r="D135" s="36">
        <v>27006</v>
      </c>
      <c r="E135" s="36">
        <v>162726</v>
      </c>
      <c r="F135" s="57"/>
      <c r="G135" s="57"/>
      <c r="H135" s="65"/>
      <c r="I135" s="64"/>
      <c r="J135" s="65"/>
      <c r="K135" s="64"/>
    </row>
    <row r="136" spans="1:11" x14ac:dyDescent="0.2">
      <c r="A136">
        <v>2018</v>
      </c>
      <c r="B136" s="34">
        <v>196</v>
      </c>
      <c r="C136" s="34" t="s">
        <v>134</v>
      </c>
      <c r="D136" s="36">
        <v>7946</v>
      </c>
      <c r="E136" s="36">
        <v>139333</v>
      </c>
      <c r="F136" s="57"/>
      <c r="G136" s="57"/>
      <c r="H136" s="65"/>
      <c r="I136" s="64"/>
      <c r="J136" s="65"/>
      <c r="K136" s="64"/>
    </row>
    <row r="137" spans="1:11" x14ac:dyDescent="0.2">
      <c r="A137">
        <v>2018</v>
      </c>
      <c r="B137" s="34">
        <v>197</v>
      </c>
      <c r="C137" s="34" t="s">
        <v>135</v>
      </c>
      <c r="D137" s="36">
        <v>36220</v>
      </c>
      <c r="E137" s="36">
        <v>396894</v>
      </c>
      <c r="F137" s="57"/>
      <c r="G137" s="57"/>
      <c r="H137" s="65"/>
      <c r="I137" s="64"/>
      <c r="J137" s="65"/>
      <c r="K137" s="64"/>
    </row>
    <row r="138" spans="1:11" x14ac:dyDescent="0.2">
      <c r="A138">
        <v>2018</v>
      </c>
      <c r="B138" s="34">
        <v>198</v>
      </c>
      <c r="C138" s="34" t="s">
        <v>136</v>
      </c>
      <c r="D138" s="36">
        <v>19798</v>
      </c>
      <c r="E138" s="36">
        <v>144960</v>
      </c>
      <c r="F138" s="57"/>
      <c r="G138" s="57"/>
      <c r="H138" s="65"/>
      <c r="I138" s="64"/>
      <c r="J138" s="65"/>
      <c r="K138" s="64"/>
    </row>
    <row r="139" spans="1:11" x14ac:dyDescent="0.2">
      <c r="A139">
        <v>2018</v>
      </c>
      <c r="B139" s="34">
        <v>200</v>
      </c>
      <c r="C139" s="34" t="s">
        <v>137</v>
      </c>
      <c r="D139" s="36">
        <v>17780</v>
      </c>
      <c r="E139" s="36">
        <v>157042</v>
      </c>
      <c r="F139" s="57"/>
      <c r="G139" s="57"/>
      <c r="H139" s="65"/>
      <c r="I139" s="64"/>
      <c r="J139" s="65"/>
      <c r="K139" s="64"/>
    </row>
    <row r="140" spans="1:11" x14ac:dyDescent="0.2">
      <c r="A140">
        <v>2018</v>
      </c>
      <c r="B140" s="34">
        <v>201</v>
      </c>
      <c r="C140" s="34" t="s">
        <v>138</v>
      </c>
      <c r="D140" s="36">
        <v>14282</v>
      </c>
      <c r="E140" s="36">
        <v>88803</v>
      </c>
      <c r="F140" s="57"/>
      <c r="G140" s="57"/>
      <c r="H140" s="65"/>
      <c r="I140" s="64"/>
      <c r="J140" s="65"/>
      <c r="K140" s="64"/>
    </row>
    <row r="141" spans="1:11" x14ac:dyDescent="0.2">
      <c r="A141">
        <v>2018</v>
      </c>
      <c r="B141" s="34">
        <v>202</v>
      </c>
      <c r="C141" s="34" t="s">
        <v>139</v>
      </c>
      <c r="D141" s="36">
        <v>24451</v>
      </c>
      <c r="E141" s="36">
        <v>95515</v>
      </c>
      <c r="F141" s="57"/>
      <c r="G141" s="57"/>
      <c r="H141" s="65"/>
      <c r="I141" s="64"/>
      <c r="J141" s="65"/>
      <c r="K141" s="64"/>
    </row>
    <row r="142" spans="1:11" x14ac:dyDescent="0.2">
      <c r="A142">
        <v>2018</v>
      </c>
      <c r="B142" s="34">
        <v>203</v>
      </c>
      <c r="C142" s="34" t="s">
        <v>140</v>
      </c>
      <c r="D142" s="36">
        <v>25826</v>
      </c>
      <c r="E142" s="36">
        <v>181737</v>
      </c>
      <c r="F142" s="57"/>
      <c r="G142" s="57"/>
      <c r="H142" s="65"/>
      <c r="I142" s="64"/>
      <c r="J142" s="65"/>
      <c r="K142" s="64"/>
    </row>
    <row r="143" spans="1:11" x14ac:dyDescent="0.2">
      <c r="A143">
        <v>2018</v>
      </c>
      <c r="B143" s="34">
        <v>204</v>
      </c>
      <c r="C143" s="34" t="s">
        <v>141</v>
      </c>
      <c r="D143" s="36">
        <v>18862</v>
      </c>
      <c r="E143" s="36">
        <v>126684</v>
      </c>
      <c r="F143" s="57"/>
      <c r="G143" s="57"/>
      <c r="H143" s="65"/>
      <c r="I143" s="64"/>
      <c r="J143" s="65"/>
      <c r="K143" s="64"/>
    </row>
    <row r="144" spans="1:11" x14ac:dyDescent="0.2">
      <c r="A144">
        <v>2018</v>
      </c>
      <c r="B144" s="34">
        <v>205</v>
      </c>
      <c r="C144" s="34" t="s">
        <v>142</v>
      </c>
      <c r="D144" s="36">
        <v>143601</v>
      </c>
      <c r="E144" s="36">
        <v>864898</v>
      </c>
      <c r="F144" s="57"/>
      <c r="G144" s="57"/>
      <c r="H144" s="65"/>
      <c r="I144" s="64"/>
      <c r="J144" s="65"/>
      <c r="K144" s="64"/>
    </row>
    <row r="145" spans="1:11" x14ac:dyDescent="0.2">
      <c r="A145">
        <v>2018</v>
      </c>
      <c r="B145" s="34">
        <v>206</v>
      </c>
      <c r="C145" s="34" t="s">
        <v>553</v>
      </c>
      <c r="D145" s="36">
        <v>118958</v>
      </c>
      <c r="E145" s="36">
        <v>779912</v>
      </c>
      <c r="F145" s="57"/>
      <c r="G145" s="57"/>
      <c r="H145" s="65"/>
      <c r="I145" s="64"/>
      <c r="J145" s="65"/>
      <c r="K145" s="64"/>
    </row>
    <row r="146" spans="1:11" x14ac:dyDescent="0.2">
      <c r="A146">
        <v>2018</v>
      </c>
      <c r="B146" s="34">
        <v>207</v>
      </c>
      <c r="C146" s="34" t="s">
        <v>144</v>
      </c>
      <c r="D146" s="36">
        <v>13720</v>
      </c>
      <c r="E146" s="36">
        <v>67936</v>
      </c>
      <c r="F146" s="57"/>
      <c r="G146" s="57"/>
      <c r="H146" s="65"/>
      <c r="I146" s="64"/>
      <c r="J146" s="65"/>
      <c r="K146" s="64"/>
    </row>
    <row r="147" spans="1:11" x14ac:dyDescent="0.2">
      <c r="A147">
        <v>2018</v>
      </c>
      <c r="B147" s="34">
        <v>208</v>
      </c>
      <c r="C147" s="34" t="s">
        <v>145</v>
      </c>
      <c r="D147" s="36">
        <v>14577</v>
      </c>
      <c r="E147" s="36">
        <v>64775</v>
      </c>
      <c r="F147" s="57"/>
      <c r="G147" s="57"/>
      <c r="H147" s="65"/>
      <c r="I147" s="64"/>
      <c r="J147" s="65"/>
      <c r="K147" s="64"/>
    </row>
    <row r="148" spans="1:11" x14ac:dyDescent="0.2">
      <c r="A148">
        <v>2018</v>
      </c>
      <c r="B148" s="34">
        <v>209</v>
      </c>
      <c r="C148" s="34" t="s">
        <v>146</v>
      </c>
      <c r="D148" s="36">
        <v>125465</v>
      </c>
      <c r="E148" s="36">
        <v>678088</v>
      </c>
      <c r="F148" s="57"/>
      <c r="G148" s="57"/>
      <c r="H148" s="65"/>
      <c r="I148" s="64"/>
      <c r="J148" s="65"/>
      <c r="K148" s="64"/>
    </row>
    <row r="149" spans="1:11" x14ac:dyDescent="0.2">
      <c r="A149">
        <v>2018</v>
      </c>
      <c r="B149" s="34">
        <v>210</v>
      </c>
      <c r="C149" s="34" t="s">
        <v>147</v>
      </c>
      <c r="D149" s="36">
        <v>58991</v>
      </c>
      <c r="E149" s="36">
        <v>365411</v>
      </c>
      <c r="F149" s="57"/>
      <c r="G149" s="57"/>
      <c r="H149" s="65"/>
      <c r="I149" s="64"/>
      <c r="J149" s="65"/>
      <c r="K149" s="64"/>
    </row>
    <row r="150" spans="1:11" x14ac:dyDescent="0.2">
      <c r="A150">
        <v>2018</v>
      </c>
      <c r="B150" s="34">
        <v>211</v>
      </c>
      <c r="C150" s="34" t="s">
        <v>148</v>
      </c>
      <c r="D150" s="36">
        <v>45375</v>
      </c>
      <c r="E150" s="36">
        <v>339016</v>
      </c>
      <c r="F150" s="57"/>
      <c r="G150" s="57"/>
      <c r="H150" s="65"/>
      <c r="I150" s="64"/>
      <c r="J150" s="65"/>
      <c r="K150" s="64"/>
    </row>
    <row r="151" spans="1:11" x14ac:dyDescent="0.2">
      <c r="A151">
        <v>2018</v>
      </c>
      <c r="B151" s="34">
        <v>212</v>
      </c>
      <c r="C151" s="34" t="s">
        <v>149</v>
      </c>
      <c r="D151" s="36">
        <v>35872</v>
      </c>
      <c r="E151" s="36">
        <v>210831</v>
      </c>
      <c r="F151" s="57"/>
      <c r="G151" s="57"/>
      <c r="H151" s="65"/>
      <c r="I151" s="64"/>
      <c r="J151" s="65"/>
      <c r="K151" s="64"/>
    </row>
    <row r="152" spans="1:11" x14ac:dyDescent="0.2">
      <c r="A152">
        <v>2018</v>
      </c>
      <c r="B152" s="34">
        <v>213</v>
      </c>
      <c r="C152" s="34" t="s">
        <v>150</v>
      </c>
      <c r="D152" s="36">
        <v>72595</v>
      </c>
      <c r="E152" s="36">
        <v>482799</v>
      </c>
      <c r="F152" s="57"/>
      <c r="G152" s="57"/>
      <c r="H152" s="65"/>
      <c r="I152" s="64"/>
      <c r="J152" s="65"/>
      <c r="K152" s="64"/>
    </row>
    <row r="153" spans="1:11" x14ac:dyDescent="0.2">
      <c r="A153">
        <v>2018</v>
      </c>
      <c r="B153" s="34">
        <v>214</v>
      </c>
      <c r="C153" s="34" t="s">
        <v>151</v>
      </c>
      <c r="D153" s="36">
        <v>37499</v>
      </c>
      <c r="E153" s="36">
        <v>197026</v>
      </c>
      <c r="F153" s="57"/>
      <c r="G153" s="57"/>
      <c r="H153" s="65"/>
      <c r="I153" s="64"/>
      <c r="J153" s="65"/>
      <c r="K153" s="64"/>
    </row>
    <row r="154" spans="1:11" x14ac:dyDescent="0.2">
      <c r="A154">
        <v>2018</v>
      </c>
      <c r="B154" s="34">
        <v>215</v>
      </c>
      <c r="C154" s="34" t="s">
        <v>152</v>
      </c>
      <c r="D154" s="36">
        <v>160353</v>
      </c>
      <c r="E154" s="36">
        <v>1299182</v>
      </c>
      <c r="F154" s="57"/>
      <c r="G154" s="57"/>
      <c r="H154" s="65"/>
      <c r="I154" s="64"/>
      <c r="J154" s="65"/>
      <c r="K154" s="64"/>
    </row>
    <row r="155" spans="1:11" x14ac:dyDescent="0.2">
      <c r="A155">
        <v>2018</v>
      </c>
      <c r="B155" s="34">
        <v>216</v>
      </c>
      <c r="C155" s="34" t="s">
        <v>153</v>
      </c>
      <c r="D155" s="36">
        <v>21346</v>
      </c>
      <c r="E155" s="36">
        <v>114976</v>
      </c>
      <c r="F155" s="57"/>
      <c r="G155" s="57"/>
      <c r="H155" s="65"/>
      <c r="I155" s="64"/>
      <c r="J155" s="65"/>
      <c r="K155" s="64"/>
    </row>
    <row r="156" spans="1:11" x14ac:dyDescent="0.2">
      <c r="A156">
        <v>2018</v>
      </c>
      <c r="B156" s="34">
        <v>217</v>
      </c>
      <c r="C156" s="34" t="s">
        <v>154</v>
      </c>
      <c r="D156" s="36">
        <v>415817</v>
      </c>
      <c r="E156" s="36">
        <v>2441004</v>
      </c>
      <c r="F156" s="57"/>
      <c r="G156" s="57"/>
      <c r="H156" s="65"/>
      <c r="I156" s="64"/>
      <c r="J156" s="65"/>
      <c r="K156" s="64"/>
    </row>
    <row r="157" spans="1:11" x14ac:dyDescent="0.2">
      <c r="A157">
        <v>2018</v>
      </c>
      <c r="B157" s="34">
        <v>218</v>
      </c>
      <c r="C157" s="34" t="s">
        <v>155</v>
      </c>
      <c r="D157" s="36">
        <v>274586</v>
      </c>
      <c r="E157" s="36">
        <v>2147128</v>
      </c>
      <c r="F157" s="57"/>
      <c r="G157" s="57"/>
      <c r="H157" s="65"/>
      <c r="I157" s="64"/>
      <c r="J157" s="65"/>
      <c r="K157" s="64"/>
    </row>
    <row r="158" spans="1:11" x14ac:dyDescent="0.2">
      <c r="A158">
        <v>2018</v>
      </c>
      <c r="B158" s="34">
        <v>219</v>
      </c>
      <c r="C158" s="34" t="s">
        <v>156</v>
      </c>
      <c r="D158" s="36">
        <v>252066</v>
      </c>
      <c r="E158" s="36">
        <v>1615423</v>
      </c>
      <c r="F158" s="57"/>
      <c r="G158" s="57"/>
      <c r="H158" s="65"/>
      <c r="I158" s="64"/>
      <c r="J158" s="65"/>
      <c r="K158" s="64"/>
    </row>
    <row r="159" spans="1:11" x14ac:dyDescent="0.2">
      <c r="A159">
        <v>2018</v>
      </c>
      <c r="B159" s="34">
        <v>220</v>
      </c>
      <c r="C159" s="34" t="s">
        <v>157</v>
      </c>
      <c r="D159" s="36">
        <v>46353</v>
      </c>
      <c r="E159" s="36">
        <v>229118</v>
      </c>
      <c r="F159" s="57"/>
      <c r="G159" s="57"/>
      <c r="H159" s="65"/>
      <c r="I159" s="64"/>
      <c r="J159" s="65"/>
      <c r="K159" s="64"/>
    </row>
    <row r="160" spans="1:11" x14ac:dyDescent="0.2">
      <c r="A160">
        <v>2018</v>
      </c>
      <c r="B160" s="34">
        <v>221</v>
      </c>
      <c r="C160" s="34" t="s">
        <v>554</v>
      </c>
      <c r="D160" s="36">
        <v>15343</v>
      </c>
      <c r="E160" s="36">
        <v>170402</v>
      </c>
      <c r="F160" s="57"/>
      <c r="G160" s="57"/>
      <c r="H160" s="65"/>
      <c r="I160" s="64"/>
      <c r="J160" s="65"/>
      <c r="K160" s="64"/>
    </row>
    <row r="161" spans="1:11" x14ac:dyDescent="0.2">
      <c r="A161">
        <v>2018</v>
      </c>
      <c r="B161" s="34">
        <v>222</v>
      </c>
      <c r="C161" s="34" t="s">
        <v>159</v>
      </c>
      <c r="D161" s="36">
        <v>6687</v>
      </c>
      <c r="E161" s="36">
        <v>59092</v>
      </c>
      <c r="F161" s="57"/>
      <c r="G161" s="57"/>
      <c r="H161" s="65"/>
      <c r="I161" s="64"/>
      <c r="J161" s="65"/>
      <c r="K161" s="64"/>
    </row>
    <row r="162" spans="1:11" x14ac:dyDescent="0.2">
      <c r="A162">
        <v>2018</v>
      </c>
      <c r="B162" s="34">
        <v>223</v>
      </c>
      <c r="C162" s="34" t="s">
        <v>160</v>
      </c>
      <c r="D162" s="36">
        <v>180023</v>
      </c>
      <c r="E162" s="36">
        <v>1564040</v>
      </c>
      <c r="F162" s="57"/>
      <c r="G162" s="57"/>
      <c r="H162" s="65"/>
      <c r="I162" s="64"/>
      <c r="J162" s="65"/>
      <c r="K162" s="64"/>
    </row>
    <row r="163" spans="1:11" x14ac:dyDescent="0.2">
      <c r="A163">
        <v>2018</v>
      </c>
      <c r="B163" s="34">
        <v>224</v>
      </c>
      <c r="C163" s="34" t="s">
        <v>161</v>
      </c>
      <c r="D163" s="36">
        <v>466546</v>
      </c>
      <c r="E163" s="36">
        <v>3168155</v>
      </c>
      <c r="F163" s="57"/>
      <c r="G163" s="57"/>
      <c r="H163" s="65"/>
      <c r="I163" s="64"/>
      <c r="J163" s="65"/>
      <c r="K163" s="64"/>
    </row>
    <row r="164" spans="1:11" x14ac:dyDescent="0.2">
      <c r="A164">
        <v>2018</v>
      </c>
      <c r="B164" s="34">
        <v>225</v>
      </c>
      <c r="C164" s="34" t="s">
        <v>162</v>
      </c>
      <c r="D164" s="36">
        <v>61632</v>
      </c>
      <c r="E164" s="36">
        <v>358659</v>
      </c>
      <c r="F164" s="57"/>
      <c r="G164" s="57"/>
      <c r="H164" s="65"/>
      <c r="I164" s="64"/>
      <c r="J164" s="65"/>
      <c r="K164" s="64"/>
    </row>
    <row r="165" spans="1:11" x14ac:dyDescent="0.2">
      <c r="A165">
        <v>2018</v>
      </c>
      <c r="B165" s="34">
        <v>229</v>
      </c>
      <c r="C165" s="34" t="s">
        <v>163</v>
      </c>
      <c r="D165" s="36">
        <v>86039</v>
      </c>
      <c r="E165" s="36">
        <v>675098</v>
      </c>
      <c r="F165" s="57"/>
      <c r="G165" s="57"/>
      <c r="H165" s="65"/>
      <c r="I165" s="64"/>
      <c r="J165" s="65"/>
      <c r="K165" s="64"/>
    </row>
    <row r="166" spans="1:11" x14ac:dyDescent="0.2">
      <c r="A166">
        <v>2018</v>
      </c>
      <c r="B166" s="34">
        <v>230</v>
      </c>
      <c r="C166" s="34" t="s">
        <v>164</v>
      </c>
      <c r="D166" s="36">
        <v>183216</v>
      </c>
      <c r="E166" s="36">
        <v>1130314</v>
      </c>
      <c r="F166" s="57"/>
      <c r="G166" s="57"/>
      <c r="H166" s="65"/>
      <c r="I166" s="64"/>
      <c r="J166" s="65"/>
      <c r="K166" s="64"/>
    </row>
    <row r="167" spans="1:11" x14ac:dyDescent="0.2">
      <c r="A167">
        <v>2018</v>
      </c>
      <c r="B167" s="34">
        <v>232</v>
      </c>
      <c r="C167" s="34" t="s">
        <v>165</v>
      </c>
      <c r="D167" s="36">
        <v>36530</v>
      </c>
      <c r="E167" s="36">
        <v>306096</v>
      </c>
      <c r="F167" s="57"/>
      <c r="G167" s="57"/>
      <c r="H167" s="65"/>
      <c r="I167" s="64"/>
      <c r="J167" s="65"/>
      <c r="K167" s="64"/>
    </row>
    <row r="168" spans="1:11" x14ac:dyDescent="0.2">
      <c r="A168">
        <v>2018</v>
      </c>
      <c r="B168" s="34">
        <v>233</v>
      </c>
      <c r="C168" s="34" t="s">
        <v>166</v>
      </c>
      <c r="D168" s="36">
        <v>26005</v>
      </c>
      <c r="E168" s="36">
        <v>248790</v>
      </c>
      <c r="F168" s="57"/>
      <c r="G168" s="57"/>
      <c r="H168" s="65"/>
      <c r="I168" s="64"/>
      <c r="J168" s="65"/>
      <c r="K168" s="64"/>
    </row>
    <row r="169" spans="1:11" x14ac:dyDescent="0.2">
      <c r="A169">
        <v>2018</v>
      </c>
      <c r="B169" s="34">
        <v>234</v>
      </c>
      <c r="C169" s="34" t="s">
        <v>167</v>
      </c>
      <c r="D169" s="36">
        <v>36330</v>
      </c>
      <c r="E169" s="36">
        <v>293762</v>
      </c>
      <c r="F169" s="57"/>
      <c r="G169" s="57"/>
      <c r="H169" s="65"/>
      <c r="I169" s="64"/>
      <c r="J169" s="65"/>
      <c r="K169" s="64"/>
    </row>
    <row r="170" spans="1:11" x14ac:dyDescent="0.2">
      <c r="A170">
        <v>2018</v>
      </c>
      <c r="B170" s="34">
        <v>235</v>
      </c>
      <c r="C170" s="34" t="s">
        <v>168</v>
      </c>
      <c r="D170" s="36">
        <v>492561</v>
      </c>
      <c r="E170" s="36">
        <v>3149266</v>
      </c>
      <c r="F170" s="57"/>
      <c r="G170" s="57"/>
      <c r="H170" s="65"/>
      <c r="I170" s="64"/>
      <c r="J170" s="65"/>
      <c r="K170" s="64"/>
    </row>
    <row r="171" spans="1:11" x14ac:dyDescent="0.2">
      <c r="A171">
        <v>2018</v>
      </c>
      <c r="B171" s="34">
        <v>236</v>
      </c>
      <c r="C171" s="34" t="s">
        <v>169</v>
      </c>
      <c r="D171" s="36">
        <v>501542</v>
      </c>
      <c r="E171" s="36">
        <v>3319508</v>
      </c>
      <c r="F171" s="57"/>
      <c r="G171" s="57"/>
      <c r="H171" s="65"/>
      <c r="I171" s="64"/>
      <c r="J171" s="65"/>
      <c r="K171" s="64"/>
    </row>
    <row r="172" spans="1:11" x14ac:dyDescent="0.2">
      <c r="A172">
        <v>2018</v>
      </c>
      <c r="B172" s="34">
        <v>237</v>
      </c>
      <c r="C172" s="34" t="s">
        <v>170</v>
      </c>
      <c r="D172" s="36">
        <v>54290</v>
      </c>
      <c r="E172" s="36">
        <v>433317</v>
      </c>
      <c r="F172" s="57"/>
      <c r="G172" s="57"/>
      <c r="H172" s="65"/>
      <c r="I172" s="64"/>
      <c r="J172" s="65"/>
      <c r="K172" s="64"/>
    </row>
    <row r="173" spans="1:11" x14ac:dyDescent="0.2">
      <c r="A173">
        <v>2018</v>
      </c>
      <c r="B173" s="34">
        <v>238</v>
      </c>
      <c r="C173" s="34" t="s">
        <v>171</v>
      </c>
      <c r="D173" s="36">
        <v>21085</v>
      </c>
      <c r="E173" s="36">
        <v>184710</v>
      </c>
      <c r="F173" s="57"/>
      <c r="G173" s="57"/>
      <c r="H173" s="65"/>
      <c r="I173" s="64"/>
      <c r="J173" s="65"/>
      <c r="K173" s="64"/>
    </row>
    <row r="174" spans="1:11" x14ac:dyDescent="0.2">
      <c r="A174">
        <v>2018</v>
      </c>
      <c r="B174" s="34">
        <v>239</v>
      </c>
      <c r="C174" s="34" t="s">
        <v>172</v>
      </c>
      <c r="D174" s="36">
        <v>141397</v>
      </c>
      <c r="E174" s="36">
        <v>834893</v>
      </c>
      <c r="F174" s="57"/>
      <c r="G174" s="57"/>
      <c r="H174" s="65"/>
      <c r="I174" s="64"/>
      <c r="J174" s="65"/>
      <c r="K174" s="64"/>
    </row>
    <row r="175" spans="1:11" x14ac:dyDescent="0.2">
      <c r="A175">
        <v>2018</v>
      </c>
      <c r="B175" s="34">
        <v>240</v>
      </c>
      <c r="C175" s="34" t="s">
        <v>216</v>
      </c>
      <c r="D175" s="36">
        <v>288042</v>
      </c>
      <c r="E175" s="36">
        <v>1407623</v>
      </c>
      <c r="F175" s="57"/>
      <c r="G175" s="57"/>
      <c r="H175" s="65"/>
      <c r="I175" s="64"/>
      <c r="J175" s="65"/>
      <c r="K175" s="64"/>
    </row>
    <row r="176" spans="1:11" x14ac:dyDescent="0.2">
      <c r="A176">
        <v>2018</v>
      </c>
      <c r="B176" s="34">
        <v>241</v>
      </c>
      <c r="C176" s="34" t="s">
        <v>173</v>
      </c>
      <c r="D176" s="36">
        <v>97710</v>
      </c>
      <c r="E176" s="36">
        <v>645448</v>
      </c>
      <c r="F176" s="57"/>
      <c r="G176" s="57"/>
      <c r="H176" s="65"/>
      <c r="I176" s="64"/>
      <c r="J176" s="65"/>
      <c r="K176" s="64"/>
    </row>
    <row r="177" spans="1:11" x14ac:dyDescent="0.2">
      <c r="A177">
        <v>2018</v>
      </c>
      <c r="B177" s="34">
        <v>242</v>
      </c>
      <c r="C177" s="34" t="s">
        <v>174</v>
      </c>
      <c r="D177" s="36">
        <v>3343838</v>
      </c>
      <c r="E177" s="36">
        <v>18286103</v>
      </c>
      <c r="F177" s="57"/>
      <c r="G177" s="57"/>
      <c r="H177" s="65"/>
      <c r="I177" s="64"/>
      <c r="J177" s="65"/>
      <c r="K177" s="64"/>
    </row>
    <row r="178" spans="1:11" x14ac:dyDescent="0.2">
      <c r="A178">
        <v>2018</v>
      </c>
      <c r="B178" s="34">
        <v>243</v>
      </c>
      <c r="C178" s="34" t="s">
        <v>175</v>
      </c>
      <c r="D178" s="36">
        <v>5503</v>
      </c>
      <c r="E178" s="36">
        <v>40140</v>
      </c>
      <c r="F178" s="57"/>
      <c r="G178" s="57"/>
      <c r="H178" s="65"/>
      <c r="I178" s="64"/>
      <c r="J178" s="65"/>
      <c r="K178" s="64"/>
    </row>
    <row r="179" spans="1:11" x14ac:dyDescent="0.2">
      <c r="A179">
        <v>2018</v>
      </c>
      <c r="B179" s="34">
        <v>244</v>
      </c>
      <c r="C179" s="34" t="s">
        <v>176</v>
      </c>
      <c r="D179" s="36">
        <v>30809</v>
      </c>
      <c r="E179" s="36">
        <v>144770</v>
      </c>
      <c r="F179" s="57"/>
      <c r="G179" s="57"/>
      <c r="H179" s="65"/>
      <c r="I179" s="64"/>
      <c r="J179" s="65"/>
      <c r="K179" s="64"/>
    </row>
    <row r="180" spans="1:11" x14ac:dyDescent="0.2">
      <c r="A180">
        <v>2018</v>
      </c>
      <c r="B180" s="34">
        <v>245</v>
      </c>
      <c r="C180" s="34" t="s">
        <v>177</v>
      </c>
      <c r="D180" s="36">
        <v>19348</v>
      </c>
      <c r="E180" s="36">
        <v>90400</v>
      </c>
      <c r="F180" s="57"/>
      <c r="G180" s="57"/>
      <c r="H180" s="65"/>
      <c r="I180" s="64"/>
      <c r="J180" s="65"/>
      <c r="K180" s="64"/>
    </row>
    <row r="181" spans="1:11" x14ac:dyDescent="0.2">
      <c r="A181">
        <v>2018</v>
      </c>
      <c r="B181" s="34">
        <v>246</v>
      </c>
      <c r="C181" s="34" t="s">
        <v>178</v>
      </c>
      <c r="D181" s="36">
        <v>7605</v>
      </c>
      <c r="E181" s="36">
        <v>54997</v>
      </c>
      <c r="F181" s="57"/>
      <c r="G181" s="57"/>
      <c r="H181" s="65"/>
      <c r="I181" s="64"/>
      <c r="J181" s="65"/>
      <c r="K181" s="64"/>
    </row>
    <row r="182" spans="1:11" x14ac:dyDescent="0.2">
      <c r="A182">
        <v>2018</v>
      </c>
      <c r="B182" s="34">
        <v>247</v>
      </c>
      <c r="C182" s="34" t="s">
        <v>179</v>
      </c>
      <c r="D182" s="36">
        <v>106025</v>
      </c>
      <c r="E182" s="36">
        <v>803014</v>
      </c>
      <c r="F182" s="57"/>
      <c r="G182" s="57"/>
      <c r="H182" s="65"/>
      <c r="I182" s="64"/>
      <c r="J182" s="65"/>
      <c r="K182" s="64"/>
    </row>
    <row r="183" spans="1:11" x14ac:dyDescent="0.2">
      <c r="A183">
        <v>2018</v>
      </c>
      <c r="B183" s="34">
        <v>248</v>
      </c>
      <c r="C183" s="34" t="s">
        <v>180</v>
      </c>
      <c r="D183" s="36">
        <v>22381</v>
      </c>
      <c r="E183" s="36">
        <v>68806</v>
      </c>
      <c r="F183" s="57"/>
      <c r="G183" s="57"/>
      <c r="H183" s="65"/>
      <c r="I183" s="64"/>
      <c r="J183" s="65"/>
      <c r="K183" s="64"/>
    </row>
    <row r="184" spans="1:11" x14ac:dyDescent="0.2">
      <c r="A184">
        <v>2018</v>
      </c>
      <c r="B184" s="34">
        <v>249</v>
      </c>
      <c r="C184" s="34" t="s">
        <v>181</v>
      </c>
      <c r="D184" s="36">
        <v>91683</v>
      </c>
      <c r="E184" s="36">
        <v>613375</v>
      </c>
      <c r="F184" s="57"/>
      <c r="G184" s="57"/>
      <c r="H184" s="65"/>
      <c r="I184" s="64"/>
      <c r="J184" s="65"/>
      <c r="K184" s="64"/>
    </row>
    <row r="185" spans="1:11" x14ac:dyDescent="0.2">
      <c r="A185">
        <v>2018</v>
      </c>
      <c r="B185" s="34">
        <v>250</v>
      </c>
      <c r="C185" s="34" t="s">
        <v>182</v>
      </c>
      <c r="D185" s="36">
        <v>28655</v>
      </c>
      <c r="E185" s="36">
        <v>169922</v>
      </c>
      <c r="F185" s="57"/>
      <c r="G185" s="57"/>
      <c r="H185" s="65"/>
      <c r="I185" s="64"/>
      <c r="J185" s="65"/>
      <c r="K185" s="64"/>
    </row>
    <row r="186" spans="1:11" x14ac:dyDescent="0.2">
      <c r="A186">
        <v>2018</v>
      </c>
      <c r="B186" s="34">
        <v>251</v>
      </c>
      <c r="C186" s="34" t="s">
        <v>183</v>
      </c>
      <c r="D186" s="36">
        <v>19917</v>
      </c>
      <c r="E186" s="36">
        <v>101031</v>
      </c>
      <c r="F186" s="57"/>
      <c r="G186" s="57"/>
      <c r="H186" s="65"/>
      <c r="I186" s="64"/>
      <c r="J186" s="65"/>
      <c r="K186" s="64"/>
    </row>
    <row r="187" spans="1:11" x14ac:dyDescent="0.2">
      <c r="A187">
        <v>2018</v>
      </c>
      <c r="B187" s="34">
        <v>252</v>
      </c>
      <c r="C187" s="34" t="s">
        <v>184</v>
      </c>
      <c r="D187" s="36">
        <v>11316</v>
      </c>
      <c r="E187" s="36">
        <v>93758</v>
      </c>
      <c r="F187" s="57"/>
      <c r="G187" s="57"/>
      <c r="H187" s="65"/>
      <c r="I187" s="64"/>
      <c r="J187" s="65"/>
      <c r="K187" s="64"/>
    </row>
    <row r="188" spans="1:11" x14ac:dyDescent="0.2">
      <c r="A188">
        <v>2018</v>
      </c>
      <c r="B188" s="34">
        <v>254</v>
      </c>
      <c r="C188" s="34" t="s">
        <v>185</v>
      </c>
      <c r="D188" s="36">
        <v>44663</v>
      </c>
      <c r="E188" s="36">
        <v>453573</v>
      </c>
      <c r="F188" s="57"/>
      <c r="G188" s="57"/>
      <c r="H188" s="65"/>
      <c r="I188" s="64"/>
      <c r="J188" s="65"/>
      <c r="K188" s="64"/>
    </row>
    <row r="189" spans="1:11" x14ac:dyDescent="0.2">
      <c r="A189">
        <v>2018</v>
      </c>
      <c r="B189" s="34">
        <v>256</v>
      </c>
      <c r="C189" s="34" t="s">
        <v>186</v>
      </c>
      <c r="D189" s="36">
        <v>5456</v>
      </c>
      <c r="E189" s="36">
        <v>53424</v>
      </c>
      <c r="F189" s="57"/>
      <c r="G189" s="57"/>
      <c r="H189" s="65"/>
      <c r="I189" s="64"/>
      <c r="J189" s="65"/>
      <c r="K189" s="64"/>
    </row>
    <row r="190" spans="1:11" x14ac:dyDescent="0.2">
      <c r="A190">
        <v>2018</v>
      </c>
      <c r="B190" s="34">
        <v>258</v>
      </c>
      <c r="C190" s="34" t="s">
        <v>187</v>
      </c>
      <c r="D190" s="36">
        <v>43587</v>
      </c>
      <c r="E190" s="36">
        <v>112180</v>
      </c>
      <c r="F190" s="57"/>
      <c r="G190" s="57"/>
      <c r="H190" s="65"/>
      <c r="I190" s="64"/>
      <c r="J190" s="65"/>
      <c r="K190" s="64"/>
    </row>
    <row r="191" spans="1:11" x14ac:dyDescent="0.2">
      <c r="A191">
        <v>2018</v>
      </c>
      <c r="B191" s="34">
        <v>259</v>
      </c>
      <c r="C191" s="34" t="s">
        <v>188</v>
      </c>
      <c r="D191" s="36">
        <v>9004</v>
      </c>
      <c r="E191" s="36">
        <v>63886</v>
      </c>
      <c r="F191" s="57"/>
      <c r="G191" s="57"/>
      <c r="H191" s="65"/>
      <c r="I191" s="64"/>
      <c r="J191" s="65"/>
      <c r="K191" s="64"/>
    </row>
    <row r="192" spans="1:11" x14ac:dyDescent="0.2">
      <c r="A192">
        <v>2018</v>
      </c>
      <c r="B192" s="34">
        <v>260</v>
      </c>
      <c r="C192" s="34" t="s">
        <v>189</v>
      </c>
      <c r="D192" s="36">
        <v>6735</v>
      </c>
      <c r="E192" s="36">
        <v>43668</v>
      </c>
      <c r="F192" s="57"/>
      <c r="G192" s="57"/>
      <c r="H192" s="65"/>
      <c r="I192" s="64"/>
      <c r="J192" s="65"/>
      <c r="K192" s="64"/>
    </row>
    <row r="193" spans="1:11" x14ac:dyDescent="0.2">
      <c r="A193">
        <v>2018</v>
      </c>
      <c r="B193" s="34">
        <v>261</v>
      </c>
      <c r="C193" s="34" t="s">
        <v>190</v>
      </c>
      <c r="D193" s="36">
        <v>6212</v>
      </c>
      <c r="E193" s="36">
        <v>88854</v>
      </c>
      <c r="F193" s="57"/>
      <c r="G193" s="57"/>
      <c r="H193" s="65"/>
      <c r="I193" s="64"/>
      <c r="J193" s="65"/>
      <c r="K193" s="64"/>
    </row>
    <row r="194" spans="1:11" x14ac:dyDescent="0.2">
      <c r="A194">
        <v>2018</v>
      </c>
      <c r="B194" s="34">
        <v>264</v>
      </c>
      <c r="C194" s="34" t="s">
        <v>191</v>
      </c>
      <c r="D194" s="36">
        <v>100050</v>
      </c>
      <c r="E194" s="36">
        <v>1257939</v>
      </c>
      <c r="F194" s="57"/>
      <c r="G194" s="57"/>
      <c r="H194" s="65"/>
      <c r="I194" s="64"/>
      <c r="J194" s="65"/>
      <c r="K194" s="64"/>
    </row>
    <row r="195" spans="1:11" x14ac:dyDescent="0.2">
      <c r="A195">
        <v>2018</v>
      </c>
      <c r="B195" s="34">
        <v>266</v>
      </c>
      <c r="C195" s="34" t="s">
        <v>192</v>
      </c>
      <c r="D195" s="36">
        <v>68456</v>
      </c>
      <c r="E195" s="36">
        <v>471012</v>
      </c>
      <c r="F195" s="57"/>
      <c r="G195" s="57"/>
      <c r="H195" s="65"/>
      <c r="I195" s="64"/>
      <c r="J195" s="65"/>
      <c r="K195" s="64"/>
    </row>
    <row r="196" spans="1:11" x14ac:dyDescent="0.2">
      <c r="A196">
        <v>2018</v>
      </c>
      <c r="B196" s="34">
        <v>267</v>
      </c>
      <c r="C196" s="34" t="s">
        <v>193</v>
      </c>
      <c r="D196" s="36">
        <v>41219</v>
      </c>
      <c r="E196" s="36">
        <v>206990</v>
      </c>
      <c r="F196" s="57"/>
      <c r="G196" s="57"/>
      <c r="H196" s="65"/>
      <c r="I196" s="64"/>
      <c r="J196" s="65"/>
      <c r="K196" s="64"/>
    </row>
    <row r="197" spans="1:11" x14ac:dyDescent="0.2">
      <c r="A197">
        <v>2018</v>
      </c>
      <c r="B197" s="34">
        <v>268</v>
      </c>
      <c r="C197" s="34" t="s">
        <v>194</v>
      </c>
      <c r="D197" s="36">
        <v>25678</v>
      </c>
      <c r="E197" s="36">
        <v>203648</v>
      </c>
      <c r="F197" s="57"/>
      <c r="G197" s="57"/>
      <c r="H197" s="65"/>
      <c r="I197" s="64"/>
      <c r="J197" s="65"/>
      <c r="K197" s="64"/>
    </row>
    <row r="198" spans="1:11" x14ac:dyDescent="0.2">
      <c r="A198">
        <v>2018</v>
      </c>
      <c r="B198" s="34">
        <v>269</v>
      </c>
      <c r="C198" s="34" t="s">
        <v>555</v>
      </c>
      <c r="D198" s="36">
        <v>40193</v>
      </c>
      <c r="E198" s="36">
        <v>192757</v>
      </c>
      <c r="F198" s="57"/>
      <c r="G198" s="57"/>
      <c r="H198" s="65"/>
      <c r="I198" s="64"/>
      <c r="J198" s="65"/>
      <c r="K198" s="64"/>
    </row>
    <row r="199" spans="1:11" x14ac:dyDescent="0.2">
      <c r="A199">
        <v>2018</v>
      </c>
      <c r="B199" s="34">
        <v>270</v>
      </c>
      <c r="C199" s="34" t="s">
        <v>196</v>
      </c>
      <c r="D199" s="36">
        <v>22445</v>
      </c>
      <c r="E199" s="36">
        <v>241162</v>
      </c>
      <c r="F199" s="57"/>
      <c r="G199" s="57"/>
      <c r="H199" s="65"/>
      <c r="I199" s="64"/>
      <c r="J199" s="65"/>
      <c r="K199" s="64"/>
    </row>
    <row r="200" spans="1:11" x14ac:dyDescent="0.2">
      <c r="A200">
        <v>2018</v>
      </c>
      <c r="B200" s="34">
        <v>271</v>
      </c>
      <c r="C200" s="34" t="s">
        <v>197</v>
      </c>
      <c r="D200" s="36">
        <v>26381</v>
      </c>
      <c r="E200" s="36">
        <v>219224</v>
      </c>
      <c r="F200" s="57"/>
      <c r="G200" s="57"/>
      <c r="H200" s="65"/>
      <c r="I200" s="64"/>
      <c r="J200" s="65"/>
      <c r="K200" s="64"/>
    </row>
    <row r="201" spans="1:11" x14ac:dyDescent="0.2">
      <c r="A201">
        <v>2018</v>
      </c>
      <c r="B201" s="34">
        <v>272</v>
      </c>
      <c r="C201" s="34" t="s">
        <v>198</v>
      </c>
      <c r="D201" s="36">
        <v>9605</v>
      </c>
      <c r="E201" s="36">
        <v>104981</v>
      </c>
      <c r="F201" s="57"/>
      <c r="G201" s="57"/>
      <c r="H201" s="65"/>
      <c r="I201" s="64"/>
      <c r="J201" s="65"/>
      <c r="K201" s="64"/>
    </row>
    <row r="202" spans="1:11" x14ac:dyDescent="0.2">
      <c r="A202">
        <v>2018</v>
      </c>
      <c r="B202" s="34">
        <v>273</v>
      </c>
      <c r="C202" s="34" t="s">
        <v>199</v>
      </c>
      <c r="D202" s="36">
        <v>50245</v>
      </c>
      <c r="E202" s="36">
        <v>299504</v>
      </c>
      <c r="F202" s="57"/>
      <c r="G202" s="57"/>
      <c r="H202" s="65"/>
      <c r="I202" s="64"/>
      <c r="J202" s="65"/>
      <c r="K202" s="64"/>
    </row>
    <row r="203" spans="1:11" x14ac:dyDescent="0.2">
      <c r="A203">
        <v>2018</v>
      </c>
      <c r="B203" s="34">
        <v>274</v>
      </c>
      <c r="C203" s="34" t="s">
        <v>200</v>
      </c>
      <c r="D203" s="36">
        <v>29390</v>
      </c>
      <c r="E203" s="36">
        <v>246702</v>
      </c>
      <c r="F203" s="57"/>
      <c r="G203" s="57"/>
      <c r="H203" s="65"/>
      <c r="I203" s="64"/>
      <c r="J203" s="65"/>
      <c r="K203" s="64"/>
    </row>
    <row r="204" spans="1:11" x14ac:dyDescent="0.2">
      <c r="A204">
        <v>2018</v>
      </c>
      <c r="B204" s="34">
        <v>275</v>
      </c>
      <c r="C204" s="34" t="s">
        <v>201</v>
      </c>
      <c r="D204" s="36">
        <v>41599</v>
      </c>
      <c r="E204" s="36">
        <v>442835</v>
      </c>
      <c r="F204" s="57"/>
      <c r="G204" s="57"/>
      <c r="H204" s="65"/>
      <c r="I204" s="64"/>
      <c r="J204" s="65"/>
      <c r="K204" s="64"/>
    </row>
    <row r="205" spans="1:11" x14ac:dyDescent="0.2">
      <c r="A205">
        <v>2018</v>
      </c>
      <c r="B205" s="34">
        <v>276</v>
      </c>
      <c r="C205" s="34" t="s">
        <v>202</v>
      </c>
      <c r="D205" s="36">
        <v>22445</v>
      </c>
      <c r="E205" s="36">
        <v>153719</v>
      </c>
      <c r="F205" s="57"/>
      <c r="G205" s="57"/>
      <c r="H205" s="65"/>
      <c r="I205" s="64"/>
      <c r="J205" s="65"/>
      <c r="K205" s="64"/>
    </row>
    <row r="206" spans="1:11" x14ac:dyDescent="0.2">
      <c r="A206">
        <v>2018</v>
      </c>
      <c r="B206" s="34">
        <v>277</v>
      </c>
      <c r="C206" s="34" t="s">
        <v>203</v>
      </c>
      <c r="D206" s="36">
        <v>95729</v>
      </c>
      <c r="E206" s="36">
        <v>727713</v>
      </c>
      <c r="F206" s="57"/>
      <c r="G206" s="57"/>
      <c r="H206" s="65"/>
      <c r="I206" s="64"/>
      <c r="J206" s="65"/>
      <c r="K206" s="64"/>
    </row>
    <row r="207" spans="1:11" x14ac:dyDescent="0.2">
      <c r="A207">
        <v>2018</v>
      </c>
      <c r="B207" s="34">
        <v>278</v>
      </c>
      <c r="C207" s="34" t="s">
        <v>204</v>
      </c>
      <c r="D207" s="36">
        <v>114287</v>
      </c>
      <c r="E207" s="36">
        <v>948587</v>
      </c>
      <c r="F207" s="57"/>
      <c r="G207" s="57"/>
      <c r="H207" s="65"/>
      <c r="I207" s="64"/>
      <c r="J207" s="65"/>
      <c r="K207" s="64"/>
    </row>
    <row r="208" spans="1:11" x14ac:dyDescent="0.2">
      <c r="A208">
        <v>2018</v>
      </c>
      <c r="B208" s="34">
        <v>279</v>
      </c>
      <c r="C208" s="34" t="s">
        <v>205</v>
      </c>
      <c r="D208" s="36">
        <v>32632</v>
      </c>
      <c r="E208" s="36">
        <v>207118</v>
      </c>
      <c r="F208" s="57"/>
      <c r="G208" s="57"/>
      <c r="H208" s="65"/>
      <c r="I208" s="64"/>
      <c r="J208" s="65"/>
      <c r="K208" s="64"/>
    </row>
    <row r="209" spans="1:11" x14ac:dyDescent="0.2">
      <c r="A209">
        <v>2018</v>
      </c>
      <c r="B209" s="34">
        <v>280</v>
      </c>
      <c r="C209" s="34" t="s">
        <v>206</v>
      </c>
      <c r="D209" s="36">
        <v>275339</v>
      </c>
      <c r="E209" s="36">
        <v>1766924</v>
      </c>
      <c r="F209" s="57"/>
      <c r="G209" s="57"/>
      <c r="H209" s="65"/>
      <c r="I209" s="64"/>
      <c r="J209" s="65"/>
      <c r="K209" s="64"/>
    </row>
    <row r="210" spans="1:11" x14ac:dyDescent="0.2">
      <c r="A210">
        <v>2018</v>
      </c>
      <c r="B210" s="34">
        <v>281</v>
      </c>
      <c r="C210" s="34" t="s">
        <v>207</v>
      </c>
      <c r="D210" s="36">
        <v>19726</v>
      </c>
      <c r="E210" s="36">
        <v>185554</v>
      </c>
      <c r="F210" s="57"/>
      <c r="G210" s="57"/>
      <c r="H210" s="65"/>
      <c r="I210" s="64"/>
      <c r="J210" s="65"/>
      <c r="K210" s="64"/>
    </row>
    <row r="211" spans="1:11" x14ac:dyDescent="0.2">
      <c r="A211">
        <v>2018</v>
      </c>
      <c r="B211" s="34">
        <v>282</v>
      </c>
      <c r="C211" s="34" t="s">
        <v>208</v>
      </c>
      <c r="D211" s="36">
        <v>44108</v>
      </c>
      <c r="E211" s="36">
        <v>333407</v>
      </c>
      <c r="F211" s="57"/>
      <c r="G211" s="57"/>
      <c r="H211" s="65"/>
      <c r="I211" s="64"/>
      <c r="J211" s="65"/>
      <c r="K211" s="64"/>
    </row>
    <row r="212" spans="1:11" x14ac:dyDescent="0.2">
      <c r="A212">
        <v>2018</v>
      </c>
      <c r="B212" s="34">
        <v>284</v>
      </c>
      <c r="C212" s="34" t="s">
        <v>209</v>
      </c>
      <c r="D212" s="36">
        <v>29122</v>
      </c>
      <c r="E212" s="36">
        <v>139321</v>
      </c>
      <c r="F212" s="57"/>
      <c r="G212" s="57"/>
      <c r="H212" s="65"/>
      <c r="I212" s="64"/>
      <c r="J212" s="65"/>
      <c r="K212" s="64"/>
    </row>
    <row r="213" spans="1:11" x14ac:dyDescent="0.2">
      <c r="A213">
        <v>2018</v>
      </c>
      <c r="B213" s="34">
        <v>285</v>
      </c>
      <c r="C213" s="34" t="s">
        <v>210</v>
      </c>
      <c r="D213" s="36">
        <v>35278</v>
      </c>
      <c r="E213" s="36">
        <v>200435</v>
      </c>
      <c r="F213" s="57"/>
      <c r="G213" s="57"/>
      <c r="H213" s="65"/>
      <c r="I213" s="64"/>
      <c r="J213" s="65"/>
      <c r="K213" s="64"/>
    </row>
    <row r="214" spans="1:11" x14ac:dyDescent="0.2">
      <c r="A214">
        <v>2018</v>
      </c>
      <c r="B214" s="34">
        <v>286</v>
      </c>
      <c r="C214" s="34" t="s">
        <v>211</v>
      </c>
      <c r="D214" s="36">
        <v>108372</v>
      </c>
      <c r="E214" s="36">
        <v>811268</v>
      </c>
      <c r="F214" s="57"/>
      <c r="G214" s="57"/>
      <c r="H214" s="65"/>
      <c r="I214" s="64"/>
      <c r="J214" s="65"/>
      <c r="K214" s="64"/>
    </row>
    <row r="215" spans="1:11" x14ac:dyDescent="0.2">
      <c r="A215">
        <v>2018</v>
      </c>
      <c r="B215" s="34">
        <v>287</v>
      </c>
      <c r="C215" s="34" t="s">
        <v>212</v>
      </c>
      <c r="D215" s="36">
        <v>17924</v>
      </c>
      <c r="E215" s="36">
        <v>82084</v>
      </c>
      <c r="F215" s="57"/>
      <c r="G215" s="57"/>
      <c r="H215" s="65"/>
      <c r="I215" s="64"/>
      <c r="J215" s="65"/>
      <c r="K215" s="64"/>
    </row>
    <row r="216" spans="1:11" x14ac:dyDescent="0.2">
      <c r="A216">
        <v>2018</v>
      </c>
      <c r="B216" s="34">
        <v>288</v>
      </c>
      <c r="C216" s="34" t="s">
        <v>213</v>
      </c>
      <c r="D216" s="36">
        <v>52811</v>
      </c>
      <c r="E216" s="36">
        <v>315012</v>
      </c>
      <c r="F216" s="57"/>
      <c r="G216" s="57"/>
      <c r="H216" s="65"/>
      <c r="I216" s="64"/>
      <c r="J216" s="65"/>
      <c r="K216" s="64"/>
    </row>
    <row r="217" spans="1:11" x14ac:dyDescent="0.2">
      <c r="A217">
        <v>2018</v>
      </c>
      <c r="B217" s="34">
        <v>289</v>
      </c>
      <c r="C217" s="34" t="s">
        <v>214</v>
      </c>
      <c r="D217" s="36">
        <v>762237</v>
      </c>
      <c r="E217" s="36">
        <v>3917195</v>
      </c>
      <c r="F217" s="57"/>
      <c r="G217" s="57"/>
      <c r="H217" s="65"/>
      <c r="I217" s="64"/>
      <c r="J217" s="65"/>
      <c r="K217" s="64"/>
    </row>
    <row r="218" spans="1:11" x14ac:dyDescent="0.2">
      <c r="A218">
        <v>2018</v>
      </c>
      <c r="B218" s="34">
        <v>290</v>
      </c>
      <c r="C218" s="34" t="s">
        <v>217</v>
      </c>
      <c r="D218" s="36">
        <v>1798705</v>
      </c>
      <c r="E218" s="36">
        <v>10772205</v>
      </c>
      <c r="F218" s="57"/>
      <c r="G218" s="57"/>
      <c r="H218" s="65"/>
      <c r="I218" s="64"/>
      <c r="J218" s="65"/>
      <c r="K218" s="64"/>
    </row>
    <row r="219" spans="1:11" x14ac:dyDescent="0.2">
      <c r="A219">
        <v>2018</v>
      </c>
      <c r="B219" s="34">
        <v>291</v>
      </c>
      <c r="C219" s="34" t="s">
        <v>218</v>
      </c>
      <c r="D219" s="36">
        <v>521473</v>
      </c>
      <c r="E219" s="36">
        <v>3171890</v>
      </c>
      <c r="F219" s="57"/>
      <c r="G219" s="57"/>
      <c r="H219" s="65"/>
      <c r="I219" s="64"/>
      <c r="J219" s="65"/>
      <c r="K219" s="64"/>
    </row>
    <row r="220" spans="1:11" x14ac:dyDescent="0.2">
      <c r="A220">
        <v>2018</v>
      </c>
      <c r="B220" s="34">
        <v>292</v>
      </c>
      <c r="C220" s="34" t="s">
        <v>219</v>
      </c>
      <c r="D220" s="36">
        <v>134450</v>
      </c>
      <c r="E220" s="36">
        <v>1417607</v>
      </c>
      <c r="F220" s="57"/>
      <c r="G220" s="57"/>
      <c r="H220" s="65"/>
      <c r="I220" s="64"/>
      <c r="J220" s="65"/>
      <c r="K220" s="64"/>
    </row>
    <row r="221" spans="1:11" x14ac:dyDescent="0.2">
      <c r="A221">
        <v>2018</v>
      </c>
      <c r="B221" s="34">
        <v>293</v>
      </c>
      <c r="C221" s="34" t="s">
        <v>220</v>
      </c>
      <c r="D221" s="36">
        <v>3058463</v>
      </c>
      <c r="E221" s="36">
        <v>14845663</v>
      </c>
      <c r="F221" s="57"/>
      <c r="G221" s="57"/>
      <c r="H221" s="65"/>
      <c r="I221" s="64"/>
      <c r="J221" s="65"/>
      <c r="K221" s="64"/>
    </row>
    <row r="222" spans="1:11" x14ac:dyDescent="0.2">
      <c r="A222">
        <v>2018</v>
      </c>
      <c r="B222" s="34">
        <v>294</v>
      </c>
      <c r="C222" s="34" t="s">
        <v>221</v>
      </c>
      <c r="D222" s="36">
        <v>904123</v>
      </c>
      <c r="E222" s="36">
        <v>4571732</v>
      </c>
      <c r="F222" s="57"/>
      <c r="G222" s="57"/>
      <c r="H222" s="65"/>
      <c r="I222" s="64"/>
      <c r="J222" s="65"/>
      <c r="K222" s="64"/>
    </row>
    <row r="223" spans="1:11" x14ac:dyDescent="0.2">
      <c r="A223">
        <v>2018</v>
      </c>
      <c r="B223" s="34">
        <v>295</v>
      </c>
      <c r="C223" s="34" t="s">
        <v>222</v>
      </c>
      <c r="D223" s="36">
        <v>1488372</v>
      </c>
      <c r="E223" s="36">
        <v>7329086</v>
      </c>
      <c r="F223" s="57"/>
      <c r="G223" s="57"/>
      <c r="H223" s="65"/>
      <c r="I223" s="64"/>
      <c r="J223" s="65"/>
      <c r="K223" s="64"/>
    </row>
    <row r="224" spans="1:11" x14ac:dyDescent="0.2">
      <c r="A224">
        <v>2018</v>
      </c>
      <c r="B224" s="34">
        <v>296</v>
      </c>
      <c r="C224" s="34" t="s">
        <v>223</v>
      </c>
      <c r="D224" s="36">
        <v>665222</v>
      </c>
      <c r="E224" s="36">
        <v>3726712</v>
      </c>
      <c r="F224" s="57"/>
      <c r="G224" s="57"/>
      <c r="H224" s="65"/>
      <c r="I224" s="64"/>
      <c r="J224" s="65"/>
      <c r="K224" s="64"/>
    </row>
    <row r="225" spans="1:11" x14ac:dyDescent="0.2">
      <c r="A225">
        <v>2018</v>
      </c>
      <c r="B225" s="34">
        <v>297</v>
      </c>
      <c r="C225" s="34" t="s">
        <v>224</v>
      </c>
      <c r="D225" s="36">
        <v>64392</v>
      </c>
      <c r="E225" s="36">
        <v>438931</v>
      </c>
      <c r="F225" s="57"/>
      <c r="G225" s="57"/>
      <c r="H225" s="65"/>
      <c r="I225" s="64"/>
      <c r="J225" s="65"/>
      <c r="K225" s="64"/>
    </row>
    <row r="226" spans="1:11" x14ac:dyDescent="0.2">
      <c r="A226">
        <v>2018</v>
      </c>
      <c r="B226" s="34">
        <v>298</v>
      </c>
      <c r="C226" s="34" t="s">
        <v>225</v>
      </c>
      <c r="D226" s="36">
        <v>2446376</v>
      </c>
      <c r="E226" s="36">
        <v>10586793</v>
      </c>
      <c r="F226" s="57"/>
      <c r="G226" s="57"/>
      <c r="H226" s="65"/>
      <c r="I226" s="64"/>
      <c r="J226" s="65"/>
      <c r="K226" s="64"/>
    </row>
    <row r="227" spans="1:11" x14ac:dyDescent="0.2">
      <c r="A227">
        <v>2018</v>
      </c>
      <c r="B227" s="34">
        <v>299</v>
      </c>
      <c r="C227" s="34" t="s">
        <v>226</v>
      </c>
      <c r="D227" s="36">
        <v>474320</v>
      </c>
      <c r="E227" s="36">
        <v>2511502</v>
      </c>
      <c r="F227" s="57"/>
      <c r="G227" s="57"/>
      <c r="H227" s="65"/>
      <c r="I227" s="64"/>
      <c r="J227" s="65"/>
      <c r="K227" s="64"/>
    </row>
    <row r="228" spans="1:11" x14ac:dyDescent="0.2">
      <c r="A228">
        <v>2018</v>
      </c>
      <c r="B228" s="34">
        <v>302</v>
      </c>
      <c r="C228" s="34" t="s">
        <v>227</v>
      </c>
      <c r="D228" s="36">
        <v>292384</v>
      </c>
      <c r="E228" s="36">
        <v>2116196</v>
      </c>
      <c r="F228" s="57"/>
      <c r="G228" s="57"/>
      <c r="H228" s="65"/>
      <c r="I228" s="64"/>
      <c r="J228" s="65"/>
      <c r="K228" s="64"/>
    </row>
    <row r="229" spans="1:11" x14ac:dyDescent="0.2">
      <c r="A229">
        <v>2018</v>
      </c>
      <c r="B229" s="34">
        <v>303</v>
      </c>
      <c r="C229" s="34" t="s">
        <v>556</v>
      </c>
      <c r="D229" s="36">
        <v>101511</v>
      </c>
      <c r="E229" s="36">
        <v>502905</v>
      </c>
      <c r="F229" s="57"/>
      <c r="G229" s="57"/>
      <c r="H229" s="65"/>
      <c r="I229" s="64"/>
      <c r="J229" s="65"/>
      <c r="K229" s="64"/>
    </row>
    <row r="230" spans="1:11" x14ac:dyDescent="0.2">
      <c r="A230">
        <v>2018</v>
      </c>
      <c r="B230" s="34">
        <v>304</v>
      </c>
      <c r="C230" s="34" t="s">
        <v>229</v>
      </c>
      <c r="D230" s="36">
        <v>35141</v>
      </c>
      <c r="E230" s="36">
        <v>283306</v>
      </c>
      <c r="F230" s="57"/>
      <c r="G230" s="57"/>
      <c r="H230" s="65"/>
      <c r="I230" s="64"/>
      <c r="J230" s="65"/>
      <c r="K230" s="64"/>
    </row>
    <row r="231" spans="1:11" x14ac:dyDescent="0.2">
      <c r="A231">
        <v>2018</v>
      </c>
      <c r="B231" s="34">
        <v>305</v>
      </c>
      <c r="C231" s="34" t="s">
        <v>230</v>
      </c>
      <c r="D231" s="36">
        <v>488236</v>
      </c>
      <c r="E231" s="36">
        <v>2696217</v>
      </c>
      <c r="F231" s="57"/>
      <c r="G231" s="57"/>
      <c r="H231" s="65"/>
      <c r="I231" s="64"/>
      <c r="J231" s="65"/>
      <c r="K231" s="64"/>
    </row>
    <row r="232" spans="1:11" x14ac:dyDescent="0.2">
      <c r="A232">
        <v>2018</v>
      </c>
      <c r="B232" s="34">
        <v>306</v>
      </c>
      <c r="C232" s="34" t="s">
        <v>231</v>
      </c>
      <c r="D232" s="36">
        <v>907203</v>
      </c>
      <c r="E232" s="36">
        <v>4772796</v>
      </c>
      <c r="F232" s="57"/>
      <c r="G232" s="57"/>
      <c r="H232" s="65"/>
      <c r="I232" s="64"/>
      <c r="J232" s="65"/>
      <c r="K232" s="64"/>
    </row>
    <row r="233" spans="1:11" x14ac:dyDescent="0.2">
      <c r="A233">
        <v>2018</v>
      </c>
      <c r="B233" s="34">
        <v>307</v>
      </c>
      <c r="C233" s="34" t="s">
        <v>232</v>
      </c>
      <c r="D233" s="36">
        <v>441594</v>
      </c>
      <c r="E233" s="36">
        <v>3175997</v>
      </c>
      <c r="F233" s="57"/>
      <c r="G233" s="57"/>
      <c r="H233" s="65"/>
      <c r="I233" s="64"/>
      <c r="J233" s="65"/>
      <c r="K233" s="64"/>
    </row>
    <row r="234" spans="1:11" x14ac:dyDescent="0.2">
      <c r="A234">
        <v>2018</v>
      </c>
      <c r="B234" s="34">
        <v>308</v>
      </c>
      <c r="C234" s="34" t="s">
        <v>233</v>
      </c>
      <c r="D234" s="36">
        <v>19809</v>
      </c>
      <c r="E234" s="36">
        <v>95236</v>
      </c>
      <c r="F234" s="57"/>
      <c r="G234" s="57"/>
      <c r="H234" s="65"/>
      <c r="I234" s="64"/>
      <c r="J234" s="65"/>
      <c r="K234" s="64"/>
    </row>
    <row r="235" spans="1:11" x14ac:dyDescent="0.2">
      <c r="A235">
        <v>2018</v>
      </c>
      <c r="B235" s="34">
        <v>313</v>
      </c>
      <c r="C235" s="34" t="s">
        <v>234</v>
      </c>
      <c r="D235" s="36">
        <v>601658</v>
      </c>
      <c r="E235" s="36">
        <v>4517713</v>
      </c>
      <c r="F235" s="57"/>
      <c r="G235" s="57"/>
      <c r="H235" s="65"/>
      <c r="I235" s="64"/>
      <c r="J235" s="65"/>
      <c r="K235" s="64"/>
    </row>
    <row r="236" spans="1:11" x14ac:dyDescent="0.2">
      <c r="A236">
        <v>2018</v>
      </c>
      <c r="B236" s="34">
        <v>314</v>
      </c>
      <c r="C236" s="34" t="s">
        <v>557</v>
      </c>
      <c r="D236" s="36">
        <v>80233</v>
      </c>
      <c r="E236" s="36">
        <v>506937</v>
      </c>
      <c r="F236" s="57"/>
      <c r="G236" s="57"/>
      <c r="H236" s="65"/>
      <c r="I236" s="64"/>
      <c r="J236" s="65"/>
      <c r="K236" s="64"/>
    </row>
    <row r="237" spans="1:11" x14ac:dyDescent="0.2">
      <c r="A237">
        <v>2018</v>
      </c>
      <c r="B237" s="34">
        <v>315</v>
      </c>
      <c r="C237" s="34" t="s">
        <v>236</v>
      </c>
      <c r="D237" s="36">
        <v>410746</v>
      </c>
      <c r="E237" s="36">
        <v>2416715</v>
      </c>
      <c r="F237" s="57"/>
      <c r="G237" s="57"/>
      <c r="H237" s="65"/>
      <c r="I237" s="64"/>
      <c r="J237" s="65"/>
      <c r="K237" s="64"/>
    </row>
    <row r="238" spans="1:11" x14ac:dyDescent="0.2">
      <c r="A238">
        <v>2018</v>
      </c>
      <c r="B238" s="34">
        <v>317</v>
      </c>
      <c r="C238" s="34" t="s">
        <v>237</v>
      </c>
      <c r="D238" s="36">
        <v>216495</v>
      </c>
      <c r="E238" s="36">
        <v>1227542</v>
      </c>
      <c r="F238" s="57"/>
      <c r="G238" s="57"/>
      <c r="H238" s="65"/>
      <c r="I238" s="64"/>
      <c r="J238" s="65"/>
      <c r="K238" s="64"/>
    </row>
    <row r="239" spans="1:11" x14ac:dyDescent="0.2">
      <c r="A239">
        <v>2018</v>
      </c>
      <c r="B239" s="34">
        <v>318</v>
      </c>
      <c r="C239" s="34" t="s">
        <v>238</v>
      </c>
      <c r="D239" s="36">
        <v>263019</v>
      </c>
      <c r="E239" s="36">
        <v>2141572</v>
      </c>
      <c r="F239" s="57"/>
      <c r="G239" s="57"/>
      <c r="H239" s="65"/>
      <c r="I239" s="64"/>
      <c r="J239" s="65"/>
      <c r="K239" s="64"/>
    </row>
    <row r="240" spans="1:11" x14ac:dyDescent="0.2">
      <c r="A240">
        <v>2018</v>
      </c>
      <c r="B240" s="34">
        <v>319</v>
      </c>
      <c r="C240" s="34" t="s">
        <v>239</v>
      </c>
      <c r="D240" s="36">
        <v>139038</v>
      </c>
      <c r="E240" s="36">
        <v>737119</v>
      </c>
      <c r="F240" s="57"/>
      <c r="G240" s="57"/>
      <c r="H240" s="65"/>
      <c r="I240" s="64"/>
      <c r="J240" s="65"/>
      <c r="K240" s="64"/>
    </row>
    <row r="241" spans="1:11" x14ac:dyDescent="0.2">
      <c r="A241">
        <v>2018</v>
      </c>
      <c r="B241" s="34">
        <v>321</v>
      </c>
      <c r="C241" s="34" t="s">
        <v>240</v>
      </c>
      <c r="D241" s="36">
        <v>38243</v>
      </c>
      <c r="E241" s="36">
        <v>219722</v>
      </c>
      <c r="F241" s="57"/>
      <c r="G241" s="57"/>
      <c r="H241" s="65"/>
      <c r="I241" s="64"/>
      <c r="J241" s="65"/>
      <c r="K241" s="64"/>
    </row>
    <row r="242" spans="1:11" x14ac:dyDescent="0.2">
      <c r="A242">
        <v>2018</v>
      </c>
      <c r="B242" s="34">
        <v>322</v>
      </c>
      <c r="C242" s="34" t="s">
        <v>241</v>
      </c>
      <c r="D242" s="36">
        <v>341471</v>
      </c>
      <c r="E242" s="36">
        <v>2163183</v>
      </c>
      <c r="F242" s="57"/>
      <c r="G242" s="57"/>
      <c r="H242" s="65"/>
      <c r="I242" s="64"/>
      <c r="J242" s="65"/>
      <c r="K242" s="64"/>
    </row>
    <row r="243" spans="1:11" x14ac:dyDescent="0.2">
      <c r="A243">
        <v>2018</v>
      </c>
      <c r="B243" s="34">
        <v>323</v>
      </c>
      <c r="C243" s="34" t="s">
        <v>242</v>
      </c>
      <c r="D243" s="36">
        <v>1174622</v>
      </c>
      <c r="E243" s="36">
        <v>9379376</v>
      </c>
      <c r="F243" s="57"/>
      <c r="G243" s="57"/>
      <c r="H243" s="65"/>
      <c r="I243" s="64"/>
      <c r="J243" s="65"/>
      <c r="K243" s="64"/>
    </row>
    <row r="244" spans="1:11" x14ac:dyDescent="0.2">
      <c r="A244">
        <v>2018</v>
      </c>
      <c r="B244" s="34">
        <v>324</v>
      </c>
      <c r="C244" s="34" t="s">
        <v>243</v>
      </c>
      <c r="D244" s="36">
        <v>36795</v>
      </c>
      <c r="E244" s="36">
        <v>426100</v>
      </c>
      <c r="F244" s="57"/>
      <c r="G244" s="57"/>
      <c r="H244" s="65"/>
      <c r="I244" s="64"/>
      <c r="J244" s="65"/>
      <c r="K244" s="64"/>
    </row>
    <row r="245" spans="1:11" x14ac:dyDescent="0.2">
      <c r="A245">
        <v>2018</v>
      </c>
      <c r="B245" s="34">
        <v>325</v>
      </c>
      <c r="C245" s="34" t="s">
        <v>244</v>
      </c>
      <c r="D245" s="36">
        <v>278497</v>
      </c>
      <c r="E245" s="36">
        <v>2023464</v>
      </c>
      <c r="F245" s="57"/>
      <c r="G245" s="57"/>
      <c r="H245" s="65"/>
      <c r="I245" s="64"/>
      <c r="J245" s="65"/>
      <c r="K245" s="64"/>
    </row>
    <row r="246" spans="1:11" x14ac:dyDescent="0.2">
      <c r="A246">
        <v>2018</v>
      </c>
      <c r="B246" s="34">
        <v>326</v>
      </c>
      <c r="C246" s="34" t="s">
        <v>245</v>
      </c>
      <c r="D246" s="36">
        <v>26685</v>
      </c>
      <c r="E246" s="36">
        <v>183681</v>
      </c>
      <c r="F246" s="57"/>
      <c r="G246" s="57"/>
      <c r="H246" s="65"/>
      <c r="I246" s="64"/>
      <c r="J246" s="65"/>
      <c r="K246" s="64"/>
    </row>
    <row r="247" spans="1:11" x14ac:dyDescent="0.2">
      <c r="A247">
        <v>2018</v>
      </c>
      <c r="B247" s="34">
        <v>328</v>
      </c>
      <c r="C247" s="34" t="s">
        <v>246</v>
      </c>
      <c r="D247" s="36">
        <v>72711</v>
      </c>
      <c r="E247" s="36">
        <v>806666</v>
      </c>
      <c r="F247" s="57"/>
      <c r="G247" s="57"/>
      <c r="H247" s="65"/>
      <c r="I247" s="64"/>
      <c r="J247" s="65"/>
      <c r="K247" s="64"/>
    </row>
    <row r="248" spans="1:11" x14ac:dyDescent="0.2">
      <c r="A248">
        <v>2018</v>
      </c>
      <c r="B248" s="34">
        <v>329</v>
      </c>
      <c r="C248" s="34" t="s">
        <v>247</v>
      </c>
      <c r="D248" s="36">
        <v>15424</v>
      </c>
      <c r="E248" s="36">
        <v>129284</v>
      </c>
      <c r="F248" s="57"/>
      <c r="G248" s="57"/>
      <c r="H248" s="65"/>
      <c r="I248" s="64"/>
      <c r="J248" s="65"/>
      <c r="K248" s="64"/>
    </row>
    <row r="249" spans="1:11" x14ac:dyDescent="0.2">
      <c r="A249">
        <v>2018</v>
      </c>
      <c r="B249" s="34">
        <v>330</v>
      </c>
      <c r="C249" s="34" t="s">
        <v>248</v>
      </c>
      <c r="D249" s="36">
        <v>29003</v>
      </c>
      <c r="E249" s="36">
        <v>374649</v>
      </c>
      <c r="F249" s="57"/>
      <c r="G249" s="57"/>
      <c r="H249" s="65"/>
      <c r="I249" s="64"/>
      <c r="J249" s="65"/>
      <c r="K249" s="64"/>
    </row>
    <row r="250" spans="1:11" x14ac:dyDescent="0.2">
      <c r="A250">
        <v>2018</v>
      </c>
      <c r="B250" s="34">
        <v>331</v>
      </c>
      <c r="C250" s="34" t="s">
        <v>249</v>
      </c>
      <c r="D250" s="36">
        <v>393191</v>
      </c>
      <c r="E250" s="36">
        <v>2446373</v>
      </c>
      <c r="F250" s="57"/>
      <c r="G250" s="57"/>
      <c r="H250" s="65"/>
      <c r="I250" s="64"/>
      <c r="J250" s="65"/>
      <c r="K250" s="64"/>
    </row>
    <row r="251" spans="1:11" x14ac:dyDescent="0.2">
      <c r="A251">
        <v>2018</v>
      </c>
      <c r="B251" s="34">
        <v>332</v>
      </c>
      <c r="C251" s="34" t="s">
        <v>250</v>
      </c>
      <c r="D251" s="36">
        <v>199815</v>
      </c>
      <c r="E251" s="36">
        <v>1157817</v>
      </c>
      <c r="F251" s="57"/>
      <c r="G251" s="57"/>
      <c r="H251" s="65"/>
      <c r="I251" s="64"/>
      <c r="J251" s="65"/>
      <c r="K251" s="64"/>
    </row>
    <row r="252" spans="1:11" x14ac:dyDescent="0.2">
      <c r="A252">
        <v>2018</v>
      </c>
      <c r="B252" s="34">
        <v>333</v>
      </c>
      <c r="C252" s="34" t="s">
        <v>251</v>
      </c>
      <c r="D252" s="36">
        <v>39349</v>
      </c>
      <c r="E252" s="36">
        <v>248294</v>
      </c>
      <c r="F252" s="57"/>
      <c r="G252" s="57"/>
      <c r="H252" s="65"/>
      <c r="I252" s="64"/>
      <c r="J252" s="65"/>
      <c r="K252" s="64"/>
    </row>
    <row r="253" spans="1:11" x14ac:dyDescent="0.2">
      <c r="A253">
        <v>2018</v>
      </c>
      <c r="B253" s="34">
        <v>335</v>
      </c>
      <c r="C253" s="34" t="s">
        <v>558</v>
      </c>
      <c r="D253" s="36">
        <v>66458</v>
      </c>
      <c r="E253" s="36">
        <v>334360</v>
      </c>
      <c r="F253" s="57"/>
      <c r="G253" s="57"/>
      <c r="H253" s="65"/>
      <c r="I253" s="64"/>
      <c r="J253" s="65"/>
      <c r="K253" s="64"/>
    </row>
    <row r="254" spans="1:11" x14ac:dyDescent="0.2">
      <c r="A254">
        <v>2018</v>
      </c>
      <c r="B254" s="34">
        <v>336</v>
      </c>
      <c r="C254" s="34" t="s">
        <v>559</v>
      </c>
      <c r="D254" s="36">
        <v>66170</v>
      </c>
      <c r="E254" s="36">
        <v>500719</v>
      </c>
      <c r="F254" s="57"/>
      <c r="G254" s="57"/>
      <c r="H254" s="65"/>
      <c r="I254" s="64"/>
      <c r="J254" s="65"/>
      <c r="K254" s="64"/>
    </row>
    <row r="255" spans="1:11" x14ac:dyDescent="0.2">
      <c r="A255">
        <v>2018</v>
      </c>
      <c r="B255" s="34">
        <v>337</v>
      </c>
      <c r="C255" s="34" t="s">
        <v>254</v>
      </c>
      <c r="D255" s="36">
        <v>551640</v>
      </c>
      <c r="E255" s="36">
        <v>2851189</v>
      </c>
      <c r="F255" s="57"/>
      <c r="G255" s="57"/>
      <c r="H255" s="65"/>
      <c r="I255" s="64"/>
      <c r="J255" s="65"/>
      <c r="K255" s="64"/>
    </row>
    <row r="256" spans="1:11" x14ac:dyDescent="0.2">
      <c r="A256">
        <v>2018</v>
      </c>
      <c r="B256" s="34">
        <v>339</v>
      </c>
      <c r="C256" s="34" t="s">
        <v>255</v>
      </c>
      <c r="D256" s="36">
        <v>10927</v>
      </c>
      <c r="E256" s="36">
        <v>51745</v>
      </c>
      <c r="F256" s="57"/>
      <c r="G256" s="57"/>
      <c r="H256" s="65"/>
      <c r="I256" s="64"/>
      <c r="J256" s="65"/>
      <c r="K256" s="64"/>
    </row>
    <row r="257" spans="1:11" x14ac:dyDescent="0.2">
      <c r="A257">
        <v>2018</v>
      </c>
      <c r="B257" s="34">
        <v>340</v>
      </c>
      <c r="C257" s="34" t="s">
        <v>256</v>
      </c>
      <c r="D257" s="36">
        <v>50309</v>
      </c>
      <c r="E257" s="36">
        <v>284280</v>
      </c>
      <c r="F257" s="57"/>
      <c r="G257" s="57"/>
      <c r="H257" s="65"/>
      <c r="I257" s="64"/>
      <c r="J257" s="65"/>
      <c r="K257" s="64"/>
    </row>
    <row r="258" spans="1:11" x14ac:dyDescent="0.2">
      <c r="A258">
        <v>2018</v>
      </c>
      <c r="B258" s="34">
        <v>351</v>
      </c>
      <c r="C258" s="34" t="s">
        <v>560</v>
      </c>
      <c r="D258" s="36">
        <v>40048</v>
      </c>
      <c r="E258" s="36">
        <v>329600</v>
      </c>
      <c r="F258" s="57"/>
      <c r="G258" s="57"/>
      <c r="H258" s="65"/>
      <c r="I258" s="64"/>
      <c r="J258" s="65"/>
      <c r="K258" s="64"/>
    </row>
    <row r="259" spans="1:11" x14ac:dyDescent="0.2">
      <c r="A259">
        <v>2018</v>
      </c>
      <c r="B259" s="34">
        <v>352</v>
      </c>
      <c r="C259" s="34" t="s">
        <v>258</v>
      </c>
      <c r="D259" s="36">
        <v>115646</v>
      </c>
      <c r="E259" s="36">
        <v>783739</v>
      </c>
      <c r="F259" s="57"/>
      <c r="G259" s="57"/>
      <c r="H259" s="65"/>
      <c r="I259" s="64"/>
      <c r="J259" s="65"/>
      <c r="K259" s="64"/>
    </row>
    <row r="260" spans="1:11" x14ac:dyDescent="0.2">
      <c r="A260">
        <v>2018</v>
      </c>
      <c r="B260" s="34">
        <v>353</v>
      </c>
      <c r="C260" s="34" t="s">
        <v>259</v>
      </c>
      <c r="D260" s="36">
        <v>155803</v>
      </c>
      <c r="E260" s="36">
        <v>1439468</v>
      </c>
      <c r="F260" s="57"/>
      <c r="G260" s="57"/>
      <c r="H260" s="65"/>
      <c r="I260" s="64"/>
      <c r="J260" s="65"/>
      <c r="K260" s="64"/>
    </row>
    <row r="261" spans="1:11" x14ac:dyDescent="0.2">
      <c r="A261">
        <v>2018</v>
      </c>
      <c r="B261" s="59">
        <v>354</v>
      </c>
      <c r="C261" s="34" t="s">
        <v>686</v>
      </c>
      <c r="D261" s="36">
        <v>30976</v>
      </c>
      <c r="E261" s="36">
        <v>317462</v>
      </c>
      <c r="F261" s="57"/>
      <c r="G261" s="65"/>
      <c r="H261" s="64"/>
      <c r="I261" s="65"/>
      <c r="J261" s="64"/>
    </row>
    <row r="262" spans="1:11" x14ac:dyDescent="0.2">
      <c r="A262">
        <v>2018</v>
      </c>
      <c r="B262" s="59">
        <v>355</v>
      </c>
      <c r="C262" s="34" t="s">
        <v>687</v>
      </c>
      <c r="D262" s="36">
        <v>32509</v>
      </c>
      <c r="E262" s="36">
        <v>307189</v>
      </c>
      <c r="F262" s="57"/>
      <c r="G262" s="65"/>
      <c r="H262" s="64"/>
      <c r="I262" s="65"/>
      <c r="J262" s="64"/>
    </row>
    <row r="263" spans="1:11" x14ac:dyDescent="0.2">
      <c r="A263">
        <v>2018</v>
      </c>
      <c r="B263" s="59">
        <v>356</v>
      </c>
      <c r="C263" s="34" t="s">
        <v>688</v>
      </c>
      <c r="D263" s="36">
        <v>85355</v>
      </c>
      <c r="E263" s="36">
        <v>708428</v>
      </c>
      <c r="F263" s="57"/>
      <c r="G263" s="65"/>
      <c r="H263" s="64"/>
      <c r="I263" s="65"/>
      <c r="J263" s="64"/>
    </row>
    <row r="264" spans="1:11" x14ac:dyDescent="0.2">
      <c r="A264">
        <v>2018</v>
      </c>
      <c r="B264" s="59">
        <v>357</v>
      </c>
      <c r="C264" s="34" t="s">
        <v>689</v>
      </c>
      <c r="D264" s="36">
        <v>51631</v>
      </c>
      <c r="E264" s="36">
        <v>312499</v>
      </c>
      <c r="F264" s="57"/>
      <c r="G264" s="65"/>
      <c r="H264" s="64"/>
      <c r="I264" s="65"/>
      <c r="J264" s="64"/>
    </row>
    <row r="265" spans="1:11" x14ac:dyDescent="0.2">
      <c r="A265">
        <v>2018</v>
      </c>
      <c r="B265" s="59">
        <v>358</v>
      </c>
      <c r="C265" s="34" t="s">
        <v>690</v>
      </c>
      <c r="D265" s="36">
        <v>99586</v>
      </c>
      <c r="E265" s="36">
        <v>963698</v>
      </c>
      <c r="F265" s="57"/>
      <c r="G265" s="65"/>
      <c r="H265" s="64"/>
      <c r="I265" s="65"/>
      <c r="J265" s="64"/>
    </row>
    <row r="266" spans="1:11" x14ac:dyDescent="0.2">
      <c r="A266">
        <v>2018</v>
      </c>
      <c r="B266" s="59">
        <v>359</v>
      </c>
      <c r="C266" s="34" t="s">
        <v>691</v>
      </c>
      <c r="D266" s="36">
        <v>47798</v>
      </c>
      <c r="E266" s="36">
        <v>436336</v>
      </c>
      <c r="F266" s="57"/>
      <c r="G266" s="65"/>
      <c r="H266" s="64"/>
      <c r="I266" s="65"/>
      <c r="J266" s="64"/>
    </row>
    <row r="267" spans="1:11" x14ac:dyDescent="0.2">
      <c r="A267">
        <v>2018</v>
      </c>
      <c r="B267" s="59">
        <v>360</v>
      </c>
      <c r="C267" s="34" t="s">
        <v>692</v>
      </c>
      <c r="D267" s="36">
        <v>37672</v>
      </c>
      <c r="E267" s="36">
        <v>310521</v>
      </c>
      <c r="F267" s="57"/>
      <c r="G267" s="65"/>
      <c r="H267" s="64"/>
      <c r="I267" s="65"/>
      <c r="J267" s="64"/>
    </row>
    <row r="268" spans="1:11" x14ac:dyDescent="0.2">
      <c r="A268">
        <v>2018</v>
      </c>
      <c r="B268" s="59">
        <v>361</v>
      </c>
      <c r="C268" s="34" t="s">
        <v>693</v>
      </c>
      <c r="D268" s="36">
        <v>127457</v>
      </c>
      <c r="E268" s="36">
        <v>1259630</v>
      </c>
      <c r="F268" s="57"/>
      <c r="G268" s="65"/>
      <c r="H268" s="64"/>
      <c r="I268" s="65"/>
      <c r="J268" s="64"/>
    </row>
    <row r="269" spans="1:11" x14ac:dyDescent="0.2">
      <c r="A269">
        <v>2018</v>
      </c>
      <c r="B269" s="59">
        <v>362</v>
      </c>
      <c r="C269" s="34" t="s">
        <v>694</v>
      </c>
      <c r="D269" s="36">
        <v>61997</v>
      </c>
      <c r="E269" s="36">
        <v>449966</v>
      </c>
      <c r="F269" s="57"/>
      <c r="G269" s="65"/>
      <c r="H269" s="64"/>
      <c r="I269" s="65"/>
      <c r="J269" s="64"/>
    </row>
    <row r="270" spans="1:11" x14ac:dyDescent="0.2">
      <c r="A270">
        <v>2018</v>
      </c>
      <c r="B270" s="59">
        <v>363</v>
      </c>
      <c r="C270" s="34" t="s">
        <v>695</v>
      </c>
      <c r="D270" s="36">
        <v>65002</v>
      </c>
      <c r="E270" s="36">
        <v>346822</v>
      </c>
      <c r="F270" s="57"/>
      <c r="G270" s="65"/>
      <c r="H270" s="64"/>
      <c r="I270" s="65"/>
      <c r="J270" s="64"/>
    </row>
    <row r="271" spans="1:11" x14ac:dyDescent="0.2">
      <c r="A271">
        <v>2018</v>
      </c>
      <c r="B271" s="59">
        <v>364</v>
      </c>
      <c r="C271" s="34" t="s">
        <v>696</v>
      </c>
      <c r="D271" s="36">
        <v>102228</v>
      </c>
      <c r="E271" s="36">
        <v>587615</v>
      </c>
      <c r="F271" s="57"/>
      <c r="G271" s="65"/>
      <c r="H271" s="64"/>
      <c r="I271" s="65"/>
      <c r="J271" s="64"/>
    </row>
    <row r="272" spans="1:11" x14ac:dyDescent="0.2">
      <c r="A272">
        <v>2018</v>
      </c>
      <c r="B272" s="59">
        <v>365</v>
      </c>
      <c r="C272" s="34" t="s">
        <v>697</v>
      </c>
      <c r="D272" s="36">
        <v>39476</v>
      </c>
      <c r="E272" s="36">
        <v>250378</v>
      </c>
      <c r="F272" s="57"/>
      <c r="G272" s="65"/>
      <c r="H272" s="64"/>
      <c r="I272" s="65"/>
      <c r="J272" s="64"/>
    </row>
    <row r="273" spans="1:10" x14ac:dyDescent="0.2">
      <c r="A273">
        <v>2018</v>
      </c>
      <c r="B273" s="59">
        <v>366</v>
      </c>
      <c r="C273" s="34" t="s">
        <v>698</v>
      </c>
      <c r="D273" s="36">
        <v>82998</v>
      </c>
      <c r="E273" s="36">
        <v>515262</v>
      </c>
      <c r="F273" s="57"/>
      <c r="G273" s="65"/>
      <c r="H273" s="64"/>
      <c r="I273" s="65"/>
      <c r="J273" s="64"/>
    </row>
    <row r="274" spans="1:10" x14ac:dyDescent="0.2">
      <c r="A274">
        <v>2018</v>
      </c>
      <c r="B274" s="59">
        <v>367</v>
      </c>
      <c r="C274" s="34" t="s">
        <v>699</v>
      </c>
      <c r="D274" s="36">
        <v>720041</v>
      </c>
      <c r="E274" s="36">
        <v>4158648</v>
      </c>
      <c r="F274" s="57"/>
      <c r="G274" s="65"/>
      <c r="H274" s="64"/>
      <c r="I274" s="65"/>
      <c r="J274" s="64"/>
    </row>
    <row r="275" spans="1:10" x14ac:dyDescent="0.2">
      <c r="A275">
        <v>2018</v>
      </c>
      <c r="B275" s="59">
        <v>368</v>
      </c>
      <c r="C275" s="34" t="s">
        <v>700</v>
      </c>
      <c r="D275" s="36">
        <v>152758</v>
      </c>
      <c r="E275" s="36">
        <v>911591</v>
      </c>
      <c r="F275" s="57"/>
      <c r="G275" s="65"/>
      <c r="H275" s="64"/>
      <c r="I275" s="65"/>
      <c r="J275" s="64"/>
    </row>
    <row r="276" spans="1:10" x14ac:dyDescent="0.2">
      <c r="A276">
        <v>2018</v>
      </c>
      <c r="B276" s="59">
        <v>369</v>
      </c>
      <c r="C276" s="34" t="s">
        <v>701</v>
      </c>
      <c r="D276" s="36">
        <v>20710</v>
      </c>
      <c r="E276" s="36">
        <v>183141</v>
      </c>
      <c r="F276" s="57"/>
      <c r="G276" s="65"/>
      <c r="H276" s="64"/>
      <c r="I276" s="65"/>
      <c r="J276" s="64"/>
    </row>
    <row r="277" spans="1:10" x14ac:dyDescent="0.2">
      <c r="A277">
        <v>2018</v>
      </c>
      <c r="B277" s="59">
        <v>370</v>
      </c>
      <c r="C277" s="34" t="s">
        <v>702</v>
      </c>
      <c r="D277" s="36">
        <v>29318</v>
      </c>
      <c r="E277" s="36">
        <v>110765</v>
      </c>
      <c r="F277" s="57"/>
      <c r="G277" s="65"/>
      <c r="H277" s="64"/>
      <c r="I277" s="65"/>
      <c r="J277" s="64"/>
    </row>
    <row r="278" spans="1:10" x14ac:dyDescent="0.2">
      <c r="A278">
        <v>2018</v>
      </c>
      <c r="B278" s="59">
        <v>371</v>
      </c>
      <c r="C278" s="34" t="s">
        <v>703</v>
      </c>
      <c r="D278" s="36">
        <v>93833</v>
      </c>
      <c r="E278" s="36">
        <v>691549</v>
      </c>
      <c r="F278" s="57"/>
      <c r="G278" s="65"/>
      <c r="H278" s="64"/>
      <c r="I278" s="65"/>
      <c r="J278" s="64"/>
    </row>
    <row r="279" spans="1:10" x14ac:dyDescent="0.2">
      <c r="A279">
        <v>2018</v>
      </c>
      <c r="B279" s="59">
        <v>372</v>
      </c>
      <c r="C279" s="34" t="s">
        <v>704</v>
      </c>
      <c r="D279" s="36">
        <v>18182</v>
      </c>
      <c r="E279" s="36">
        <v>154318</v>
      </c>
      <c r="F279" s="57"/>
      <c r="G279" s="65"/>
      <c r="H279" s="64"/>
      <c r="I279" s="65"/>
      <c r="J279" s="64"/>
    </row>
    <row r="280" spans="1:10" x14ac:dyDescent="0.2">
      <c r="A280">
        <v>2018</v>
      </c>
      <c r="B280" s="59">
        <v>373</v>
      </c>
      <c r="C280" s="34" t="s">
        <v>705</v>
      </c>
      <c r="D280" s="36">
        <v>60001</v>
      </c>
      <c r="E280" s="36">
        <v>456546</v>
      </c>
      <c r="F280" s="57"/>
      <c r="G280" s="65"/>
      <c r="H280" s="64"/>
      <c r="I280" s="65"/>
      <c r="J280" s="64"/>
    </row>
    <row r="281" spans="1:10" x14ac:dyDescent="0.2">
      <c r="A281">
        <v>2018</v>
      </c>
      <c r="B281" s="59">
        <v>374</v>
      </c>
      <c r="C281" s="34" t="s">
        <v>706</v>
      </c>
      <c r="D281" s="36">
        <v>10554</v>
      </c>
      <c r="E281" s="36">
        <v>132144</v>
      </c>
      <c r="F281" s="57"/>
      <c r="G281" s="65"/>
      <c r="H281" s="64"/>
      <c r="I281" s="65"/>
      <c r="J281" s="64"/>
    </row>
    <row r="282" spans="1:10" x14ac:dyDescent="0.2">
      <c r="A282">
        <v>2018</v>
      </c>
      <c r="B282" s="59">
        <v>375</v>
      </c>
      <c r="C282" s="34" t="s">
        <v>707</v>
      </c>
      <c r="D282" s="36">
        <v>182445</v>
      </c>
      <c r="E282" s="36">
        <v>1433693</v>
      </c>
      <c r="F282" s="57"/>
      <c r="G282" s="65"/>
      <c r="H282" s="64"/>
      <c r="I282" s="65"/>
      <c r="J282" s="64"/>
    </row>
    <row r="283" spans="1:10" x14ac:dyDescent="0.2">
      <c r="A283">
        <v>2018</v>
      </c>
      <c r="B283" s="59">
        <v>376</v>
      </c>
      <c r="C283" s="34" t="s">
        <v>708</v>
      </c>
      <c r="D283" s="36">
        <v>15348</v>
      </c>
      <c r="E283" s="36">
        <v>38204</v>
      </c>
      <c r="F283" s="57"/>
      <c r="G283" s="65"/>
      <c r="H283" s="64"/>
      <c r="I283" s="65"/>
      <c r="J283" s="64"/>
    </row>
    <row r="284" spans="1:10" x14ac:dyDescent="0.2">
      <c r="A284">
        <v>2018</v>
      </c>
      <c r="B284" s="59">
        <v>378</v>
      </c>
      <c r="C284" s="34" t="s">
        <v>709</v>
      </c>
      <c r="D284" s="36">
        <v>354002</v>
      </c>
      <c r="E284" s="36">
        <v>2344064</v>
      </c>
      <c r="F284" s="57"/>
      <c r="G284" s="65"/>
      <c r="H284" s="64"/>
      <c r="I284" s="65"/>
      <c r="J284" s="64"/>
    </row>
    <row r="285" spans="1:10" x14ac:dyDescent="0.2">
      <c r="A285">
        <v>2018</v>
      </c>
      <c r="B285" s="59">
        <v>379</v>
      </c>
      <c r="C285" s="34" t="s">
        <v>710</v>
      </c>
      <c r="D285" s="36">
        <v>133752</v>
      </c>
      <c r="E285" s="36">
        <v>954026</v>
      </c>
      <c r="F285" s="57"/>
      <c r="G285" s="65"/>
      <c r="H285" s="64"/>
      <c r="I285" s="65"/>
      <c r="J285" s="64"/>
    </row>
    <row r="286" spans="1:10" x14ac:dyDescent="0.2">
      <c r="A286">
        <v>2018</v>
      </c>
      <c r="B286" s="59">
        <v>380</v>
      </c>
      <c r="C286" s="34" t="s">
        <v>711</v>
      </c>
      <c r="D286" s="36">
        <v>34875</v>
      </c>
      <c r="E286" s="36">
        <v>261460</v>
      </c>
      <c r="F286" s="57"/>
      <c r="G286" s="65"/>
      <c r="H286" s="64"/>
      <c r="I286" s="65"/>
      <c r="J286" s="64"/>
    </row>
    <row r="287" spans="1:10" x14ac:dyDescent="0.2">
      <c r="A287">
        <v>2018</v>
      </c>
      <c r="B287" s="59">
        <v>381</v>
      </c>
      <c r="C287" s="34" t="s">
        <v>712</v>
      </c>
      <c r="D287" s="36">
        <v>16787</v>
      </c>
      <c r="E287" s="36">
        <v>109071</v>
      </c>
      <c r="F287" s="57"/>
      <c r="G287" s="65"/>
      <c r="H287" s="64"/>
      <c r="I287" s="65"/>
      <c r="J287" s="64"/>
    </row>
    <row r="288" spans="1:10" x14ac:dyDescent="0.2">
      <c r="A288">
        <v>2018</v>
      </c>
      <c r="B288" s="59">
        <v>383</v>
      </c>
      <c r="C288" s="34" t="s">
        <v>713</v>
      </c>
      <c r="D288" s="36">
        <v>21653</v>
      </c>
      <c r="E288" s="36">
        <v>157776</v>
      </c>
      <c r="F288" s="57"/>
      <c r="G288" s="65"/>
      <c r="H288" s="64"/>
      <c r="I288" s="65"/>
      <c r="J288" s="64"/>
    </row>
    <row r="289" spans="1:10" x14ac:dyDescent="0.2">
      <c r="A289">
        <v>2018</v>
      </c>
      <c r="B289" s="59">
        <v>384</v>
      </c>
      <c r="C289" s="34" t="s">
        <v>714</v>
      </c>
      <c r="D289" s="36">
        <v>11576</v>
      </c>
      <c r="E289" s="36">
        <v>164425</v>
      </c>
      <c r="F289" s="57"/>
      <c r="G289" s="65"/>
      <c r="H289" s="64"/>
      <c r="I289" s="65"/>
      <c r="J289" s="64"/>
    </row>
    <row r="290" spans="1:10" x14ac:dyDescent="0.2">
      <c r="A290">
        <v>2018</v>
      </c>
      <c r="B290" s="59">
        <v>386</v>
      </c>
      <c r="C290" s="34" t="s">
        <v>715</v>
      </c>
      <c r="D290" s="36">
        <v>6574</v>
      </c>
      <c r="E290" s="36">
        <v>51632</v>
      </c>
      <c r="F290" s="57"/>
      <c r="G290" s="65"/>
      <c r="H290" s="64"/>
      <c r="I290" s="65"/>
      <c r="J290" s="64"/>
    </row>
    <row r="291" spans="1:10" x14ac:dyDescent="0.2">
      <c r="A291">
        <v>2018</v>
      </c>
      <c r="B291" s="59">
        <v>388</v>
      </c>
      <c r="C291" s="34" t="s">
        <v>716</v>
      </c>
      <c r="D291" s="36">
        <v>203594</v>
      </c>
      <c r="E291" s="36">
        <v>1253065</v>
      </c>
      <c r="F291" s="57"/>
      <c r="G291" s="65"/>
      <c r="H291" s="64"/>
      <c r="I291" s="65"/>
      <c r="J291" s="64"/>
    </row>
    <row r="292" spans="1:10" x14ac:dyDescent="0.2">
      <c r="A292">
        <v>2018</v>
      </c>
      <c r="B292" s="59">
        <v>389</v>
      </c>
      <c r="C292" s="34" t="s">
        <v>717</v>
      </c>
      <c r="D292" s="36">
        <v>15975</v>
      </c>
      <c r="E292" s="36">
        <v>112709</v>
      </c>
      <c r="F292" s="57"/>
      <c r="G292" s="65"/>
      <c r="H292" s="64"/>
      <c r="I292" s="65"/>
      <c r="J292" s="64"/>
    </row>
    <row r="293" spans="1:10" x14ac:dyDescent="0.2">
      <c r="A293">
        <v>2018</v>
      </c>
      <c r="B293" s="59">
        <v>390</v>
      </c>
      <c r="C293" s="34" t="s">
        <v>718</v>
      </c>
      <c r="D293" s="36">
        <v>44721</v>
      </c>
      <c r="E293" s="36">
        <v>304335</v>
      </c>
      <c r="F293" s="57"/>
      <c r="G293" s="65"/>
      <c r="H293" s="64"/>
      <c r="I293" s="65"/>
      <c r="J293" s="64"/>
    </row>
    <row r="294" spans="1:10" x14ac:dyDescent="0.2">
      <c r="A294">
        <v>2018</v>
      </c>
      <c r="B294" s="59">
        <v>391</v>
      </c>
      <c r="C294" s="34" t="s">
        <v>719</v>
      </c>
      <c r="D294" s="36">
        <v>72926</v>
      </c>
      <c r="E294" s="36">
        <v>482943</v>
      </c>
      <c r="F294" s="57"/>
      <c r="G294" s="65"/>
      <c r="H294" s="64"/>
      <c r="I294" s="65"/>
      <c r="J294" s="64"/>
    </row>
    <row r="295" spans="1:10" x14ac:dyDescent="0.2">
      <c r="A295">
        <v>2018</v>
      </c>
      <c r="B295" s="59">
        <v>392</v>
      </c>
      <c r="C295" s="34" t="s">
        <v>720</v>
      </c>
      <c r="D295" s="36">
        <v>103717</v>
      </c>
      <c r="E295" s="36">
        <v>777300</v>
      </c>
      <c r="F295" s="57"/>
      <c r="G295" s="65"/>
      <c r="H295" s="64"/>
      <c r="I295" s="65"/>
      <c r="J295" s="64"/>
    </row>
    <row r="296" spans="1:10" x14ac:dyDescent="0.2">
      <c r="A296">
        <v>2018</v>
      </c>
      <c r="B296" s="59">
        <v>393</v>
      </c>
      <c r="C296" s="34" t="s">
        <v>721</v>
      </c>
      <c r="D296" s="36">
        <v>22663</v>
      </c>
      <c r="E296" s="36">
        <v>177910</v>
      </c>
      <c r="F296" s="57"/>
      <c r="G296" s="65"/>
      <c r="H296" s="64"/>
      <c r="I296" s="65"/>
      <c r="J296" s="64"/>
    </row>
    <row r="297" spans="1:10" x14ac:dyDescent="0.2">
      <c r="A297">
        <v>2018</v>
      </c>
      <c r="B297" s="59">
        <v>394</v>
      </c>
      <c r="C297" s="34" t="s">
        <v>722</v>
      </c>
      <c r="D297" s="36">
        <v>370529</v>
      </c>
      <c r="E297" s="36">
        <v>2538540</v>
      </c>
      <c r="F297" s="57"/>
      <c r="G297" s="65"/>
      <c r="H297" s="64"/>
      <c r="I297" s="65"/>
      <c r="J297" s="64"/>
    </row>
    <row r="298" spans="1:10" x14ac:dyDescent="0.2">
      <c r="A298">
        <v>2018</v>
      </c>
      <c r="B298" s="59">
        <v>395</v>
      </c>
      <c r="C298" s="34" t="s">
        <v>723</v>
      </c>
      <c r="D298" s="36">
        <v>29546</v>
      </c>
      <c r="E298" s="36">
        <v>167811</v>
      </c>
      <c r="F298" s="57"/>
      <c r="G298" s="65"/>
      <c r="H298" s="64"/>
      <c r="I298" s="65"/>
      <c r="J298" s="64"/>
    </row>
    <row r="299" spans="1:10" x14ac:dyDescent="0.2">
      <c r="A299">
        <v>2018</v>
      </c>
      <c r="B299" s="59">
        <v>397</v>
      </c>
      <c r="C299" s="34" t="s">
        <v>724</v>
      </c>
      <c r="D299" s="36">
        <v>44897</v>
      </c>
      <c r="E299" s="36">
        <v>289749</v>
      </c>
      <c r="F299" s="57"/>
      <c r="G299" s="65"/>
      <c r="H299" s="64"/>
      <c r="I299" s="65"/>
      <c r="J299" s="64"/>
    </row>
    <row r="300" spans="1:10" x14ac:dyDescent="0.2">
      <c r="A300">
        <v>2018</v>
      </c>
      <c r="B300" s="59">
        <v>398</v>
      </c>
      <c r="C300" s="34" t="s">
        <v>725</v>
      </c>
      <c r="D300" s="36">
        <v>228384</v>
      </c>
      <c r="E300" s="36">
        <v>1164786</v>
      </c>
      <c r="F300" s="57"/>
      <c r="G300" s="65"/>
      <c r="H300" s="64"/>
      <c r="I300" s="65"/>
      <c r="J300" s="64"/>
    </row>
    <row r="301" spans="1:10" x14ac:dyDescent="0.2">
      <c r="A301">
        <v>2018</v>
      </c>
      <c r="B301" s="59">
        <v>399</v>
      </c>
      <c r="C301" s="34" t="s">
        <v>726</v>
      </c>
      <c r="D301" s="36">
        <v>242543</v>
      </c>
      <c r="E301" s="36">
        <v>1442347</v>
      </c>
      <c r="F301" s="57"/>
      <c r="G301" s="65"/>
      <c r="H301" s="64"/>
      <c r="I301" s="65"/>
      <c r="J301" s="64"/>
    </row>
    <row r="302" spans="1:10" x14ac:dyDescent="0.2">
      <c r="A302">
        <v>2018</v>
      </c>
      <c r="B302" s="59">
        <v>400</v>
      </c>
      <c r="C302" s="34" t="s">
        <v>727</v>
      </c>
      <c r="D302" s="36">
        <v>24118</v>
      </c>
      <c r="E302" s="36">
        <v>163887</v>
      </c>
      <c r="F302" s="57"/>
      <c r="G302" s="65"/>
      <c r="H302" s="64"/>
      <c r="I302" s="65"/>
      <c r="J302" s="64"/>
    </row>
    <row r="303" spans="1:10" x14ac:dyDescent="0.2">
      <c r="A303">
        <v>2018</v>
      </c>
      <c r="B303" s="59">
        <v>401</v>
      </c>
      <c r="C303" s="34" t="s">
        <v>728</v>
      </c>
      <c r="D303" s="36">
        <v>23505</v>
      </c>
      <c r="E303" s="36">
        <v>159464</v>
      </c>
      <c r="F303" s="57"/>
      <c r="G303" s="65"/>
      <c r="H303" s="64"/>
      <c r="I303" s="65"/>
      <c r="J303" s="64"/>
    </row>
    <row r="304" spans="1:10" x14ac:dyDescent="0.2">
      <c r="A304">
        <v>2018</v>
      </c>
      <c r="B304" s="59">
        <v>402</v>
      </c>
      <c r="C304" s="34" t="s">
        <v>574</v>
      </c>
      <c r="D304" s="36">
        <v>78057</v>
      </c>
      <c r="E304" s="36">
        <v>471332</v>
      </c>
      <c r="F304" s="57"/>
      <c r="G304" s="65"/>
      <c r="H304" s="64"/>
      <c r="I304" s="65"/>
      <c r="J304" s="64"/>
    </row>
    <row r="305" spans="1:10" x14ac:dyDescent="0.2">
      <c r="A305">
        <v>2018</v>
      </c>
      <c r="B305" s="59">
        <v>403</v>
      </c>
      <c r="C305" s="34" t="s">
        <v>575</v>
      </c>
      <c r="D305" s="36">
        <v>83633</v>
      </c>
      <c r="E305" s="36">
        <v>623809</v>
      </c>
      <c r="F305" s="57"/>
      <c r="G305" s="65"/>
      <c r="H305" s="64"/>
      <c r="I305" s="65"/>
      <c r="J305" s="64"/>
    </row>
    <row r="306" spans="1:10" x14ac:dyDescent="0.2">
      <c r="A306">
        <v>2018</v>
      </c>
      <c r="B306" s="59">
        <v>404</v>
      </c>
      <c r="C306" s="34" t="s">
        <v>576</v>
      </c>
      <c r="D306" s="36">
        <v>79184</v>
      </c>
      <c r="E306" s="36">
        <v>701202</v>
      </c>
      <c r="F306" s="57"/>
      <c r="G306" s="65"/>
      <c r="H306" s="64"/>
      <c r="I306" s="65"/>
      <c r="J306" s="64"/>
    </row>
    <row r="307" spans="1:10" x14ac:dyDescent="0.2">
      <c r="A307">
        <v>2018</v>
      </c>
      <c r="B307" s="59">
        <v>405</v>
      </c>
      <c r="C307" s="34" t="s">
        <v>577</v>
      </c>
      <c r="D307" s="36">
        <v>98089</v>
      </c>
      <c r="E307" s="36">
        <v>894340</v>
      </c>
      <c r="F307" s="57"/>
      <c r="G307" s="65"/>
      <c r="H307" s="64"/>
      <c r="I307" s="65"/>
      <c r="J307" s="64"/>
    </row>
    <row r="308" spans="1:10" x14ac:dyDescent="0.2">
      <c r="A308">
        <v>2018</v>
      </c>
      <c r="B308" s="59">
        <v>406</v>
      </c>
      <c r="C308" s="34" t="s">
        <v>578</v>
      </c>
      <c r="D308" s="36">
        <v>12876</v>
      </c>
      <c r="E308" s="36">
        <v>67844</v>
      </c>
      <c r="F308" s="57"/>
      <c r="G308" s="65"/>
      <c r="H308" s="64"/>
      <c r="I308" s="65"/>
      <c r="J308" s="64"/>
    </row>
    <row r="309" spans="1:10" x14ac:dyDescent="0.2">
      <c r="A309">
        <v>2018</v>
      </c>
      <c r="B309" s="59">
        <v>407</v>
      </c>
      <c r="C309" s="34" t="s">
        <v>579</v>
      </c>
      <c r="D309" s="36">
        <v>6158</v>
      </c>
      <c r="E309" s="36">
        <v>43234</v>
      </c>
      <c r="F309" s="57"/>
      <c r="G309" s="65"/>
      <c r="H309" s="64"/>
      <c r="I309" s="65"/>
      <c r="J309" s="64"/>
    </row>
    <row r="310" spans="1:10" x14ac:dyDescent="0.2">
      <c r="A310">
        <v>2018</v>
      </c>
      <c r="B310" s="59">
        <v>408</v>
      </c>
      <c r="C310" s="34" t="s">
        <v>580</v>
      </c>
      <c r="D310" s="36">
        <v>40045</v>
      </c>
      <c r="E310" s="36">
        <v>363074</v>
      </c>
      <c r="F310" s="57"/>
      <c r="G310" s="65"/>
      <c r="H310" s="64"/>
      <c r="I310" s="65"/>
      <c r="J310" s="64"/>
    </row>
    <row r="311" spans="1:10" x14ac:dyDescent="0.2">
      <c r="A311">
        <v>2018</v>
      </c>
      <c r="B311" s="59">
        <v>409</v>
      </c>
      <c r="C311" s="34" t="s">
        <v>581</v>
      </c>
      <c r="D311" s="36">
        <v>24375</v>
      </c>
      <c r="E311" s="36">
        <v>156855</v>
      </c>
      <c r="F311" s="57"/>
      <c r="G311" s="65"/>
      <c r="H311" s="64"/>
      <c r="I311" s="65"/>
      <c r="J311" s="64"/>
    </row>
    <row r="312" spans="1:10" x14ac:dyDescent="0.2">
      <c r="A312">
        <v>2018</v>
      </c>
      <c r="B312" s="59">
        <v>410</v>
      </c>
      <c r="C312" s="34" t="s">
        <v>582</v>
      </c>
      <c r="D312" s="36">
        <v>5891</v>
      </c>
      <c r="E312" s="36">
        <v>68752</v>
      </c>
      <c r="F312" s="57"/>
      <c r="G312" s="65"/>
      <c r="H312" s="64"/>
      <c r="I312" s="65"/>
      <c r="J312" s="64"/>
    </row>
    <row r="313" spans="1:10" x14ac:dyDescent="0.2">
      <c r="A313">
        <v>2018</v>
      </c>
      <c r="B313" s="59">
        <v>412</v>
      </c>
      <c r="C313" s="34" t="s">
        <v>583</v>
      </c>
      <c r="D313" s="36">
        <v>87606</v>
      </c>
      <c r="E313" s="36">
        <v>458916</v>
      </c>
      <c r="F313" s="57"/>
      <c r="G313" s="65"/>
      <c r="H313" s="64"/>
      <c r="I313" s="65"/>
      <c r="J313" s="64"/>
    </row>
    <row r="314" spans="1:10" x14ac:dyDescent="0.2">
      <c r="A314">
        <v>2018</v>
      </c>
      <c r="B314" s="59">
        <v>413</v>
      </c>
      <c r="C314" s="34" t="s">
        <v>584</v>
      </c>
      <c r="D314" s="36">
        <v>44290</v>
      </c>
      <c r="E314" s="36">
        <v>299794</v>
      </c>
      <c r="F314" s="57"/>
      <c r="G314" s="65"/>
      <c r="H314" s="64"/>
      <c r="I314" s="65"/>
      <c r="J314" s="64"/>
    </row>
    <row r="315" spans="1:10" x14ac:dyDescent="0.2">
      <c r="A315">
        <v>2018</v>
      </c>
      <c r="B315" s="59">
        <v>414</v>
      </c>
      <c r="C315" s="34" t="s">
        <v>585</v>
      </c>
      <c r="D315" s="36">
        <v>8442</v>
      </c>
      <c r="E315" s="36">
        <v>36830</v>
      </c>
      <c r="F315" s="57"/>
      <c r="G315" s="65"/>
      <c r="H315" s="64"/>
      <c r="I315" s="65"/>
      <c r="J315" s="64"/>
    </row>
    <row r="316" spans="1:10" x14ac:dyDescent="0.2">
      <c r="A316">
        <v>2018</v>
      </c>
      <c r="B316" s="59">
        <v>415</v>
      </c>
      <c r="C316" s="34" t="s">
        <v>586</v>
      </c>
      <c r="D316" s="36">
        <v>6841</v>
      </c>
      <c r="E316" s="36">
        <v>49857</v>
      </c>
      <c r="F316" s="57"/>
      <c r="G316" s="65"/>
      <c r="H316" s="64"/>
      <c r="I316" s="65"/>
      <c r="J316" s="64"/>
    </row>
    <row r="317" spans="1:10" x14ac:dyDescent="0.2">
      <c r="A317">
        <v>2018</v>
      </c>
      <c r="B317" s="59">
        <v>416</v>
      </c>
      <c r="C317" s="34" t="s">
        <v>587</v>
      </c>
      <c r="D317" s="36">
        <v>15626</v>
      </c>
      <c r="E317" s="36">
        <v>142063</v>
      </c>
      <c r="F317" s="57"/>
      <c r="G317" s="65"/>
      <c r="H317" s="64"/>
      <c r="I317" s="65"/>
      <c r="J317" s="64"/>
    </row>
    <row r="318" spans="1:10" x14ac:dyDescent="0.2">
      <c r="A318">
        <v>2018</v>
      </c>
      <c r="B318" s="59">
        <v>417</v>
      </c>
      <c r="C318" s="34" t="s">
        <v>588</v>
      </c>
      <c r="D318" s="36">
        <v>41461</v>
      </c>
      <c r="E318" s="36">
        <v>275101</v>
      </c>
      <c r="F318" s="57"/>
      <c r="G318" s="65"/>
      <c r="H318" s="64"/>
      <c r="I318" s="65"/>
      <c r="J318" s="64"/>
    </row>
    <row r="319" spans="1:10" x14ac:dyDescent="0.2">
      <c r="A319">
        <v>2018</v>
      </c>
      <c r="B319" s="59">
        <v>418</v>
      </c>
      <c r="C319" s="34" t="s">
        <v>589</v>
      </c>
      <c r="D319" s="36">
        <v>120057</v>
      </c>
      <c r="E319" s="36">
        <v>777351</v>
      </c>
      <c r="F319" s="57"/>
      <c r="G319" s="65"/>
      <c r="H319" s="64"/>
      <c r="I319" s="65"/>
      <c r="J319" s="64"/>
    </row>
    <row r="320" spans="1:10" x14ac:dyDescent="0.2">
      <c r="A320">
        <v>2018</v>
      </c>
      <c r="B320" s="59">
        <v>419</v>
      </c>
      <c r="C320" s="34" t="s">
        <v>590</v>
      </c>
      <c r="D320" s="36">
        <v>70329</v>
      </c>
      <c r="E320" s="36">
        <v>460289</v>
      </c>
      <c r="F320" s="57"/>
      <c r="G320" s="65"/>
      <c r="H320" s="64"/>
      <c r="I320" s="65"/>
      <c r="J320" s="64"/>
    </row>
    <row r="321" spans="1:10" x14ac:dyDescent="0.2">
      <c r="A321">
        <v>2018</v>
      </c>
      <c r="B321" s="59">
        <v>420</v>
      </c>
      <c r="C321" s="34" t="s">
        <v>591</v>
      </c>
      <c r="D321" s="36">
        <v>149328</v>
      </c>
      <c r="E321" s="36">
        <v>924490</v>
      </c>
      <c r="F321" s="57"/>
      <c r="G321" s="65"/>
      <c r="H321" s="64"/>
      <c r="I321" s="65"/>
      <c r="J321" s="64"/>
    </row>
    <row r="322" spans="1:10" x14ac:dyDescent="0.2">
      <c r="A322">
        <v>2018</v>
      </c>
      <c r="B322" s="59">
        <v>421</v>
      </c>
      <c r="C322" s="34" t="s">
        <v>592</v>
      </c>
      <c r="D322" s="36">
        <v>199729</v>
      </c>
      <c r="E322" s="36">
        <v>1137274</v>
      </c>
      <c r="F322" s="57"/>
      <c r="G322" s="65"/>
      <c r="H322" s="64"/>
      <c r="I322" s="65"/>
      <c r="J322" s="64"/>
    </row>
    <row r="323" spans="1:10" x14ac:dyDescent="0.2">
      <c r="A323">
        <v>2018</v>
      </c>
      <c r="B323" s="59">
        <v>422</v>
      </c>
      <c r="C323" s="34" t="s">
        <v>593</v>
      </c>
      <c r="D323" s="36">
        <v>24224</v>
      </c>
      <c r="E323" s="36">
        <v>146830</v>
      </c>
      <c r="F323" s="57"/>
      <c r="G323" s="65"/>
      <c r="H323" s="64"/>
      <c r="I323" s="65"/>
      <c r="J323" s="64"/>
    </row>
    <row r="324" spans="1:10" x14ac:dyDescent="0.2">
      <c r="A324">
        <v>2018</v>
      </c>
      <c r="B324" s="59">
        <v>423</v>
      </c>
      <c r="C324" s="34" t="s">
        <v>594</v>
      </c>
      <c r="D324" s="36">
        <v>28436</v>
      </c>
      <c r="E324" s="36">
        <v>196978</v>
      </c>
      <c r="F324" s="57"/>
      <c r="G324" s="65"/>
      <c r="H324" s="64"/>
      <c r="I324" s="65"/>
      <c r="J324" s="64"/>
    </row>
    <row r="325" spans="1:10" x14ac:dyDescent="0.2">
      <c r="A325">
        <v>2018</v>
      </c>
      <c r="B325" s="59">
        <v>424</v>
      </c>
      <c r="C325" s="34" t="s">
        <v>595</v>
      </c>
      <c r="D325" s="36">
        <v>70188</v>
      </c>
      <c r="E325" s="36">
        <v>521373</v>
      </c>
      <c r="F325" s="57"/>
      <c r="G325" s="65"/>
      <c r="H325" s="64"/>
      <c r="I325" s="65"/>
      <c r="J325" s="64"/>
    </row>
    <row r="326" spans="1:10" x14ac:dyDescent="0.2">
      <c r="A326">
        <v>2018</v>
      </c>
      <c r="B326" s="59">
        <v>425</v>
      </c>
      <c r="C326" s="34" t="s">
        <v>596</v>
      </c>
      <c r="D326" s="36">
        <v>512161</v>
      </c>
      <c r="E326" s="36">
        <v>2740046</v>
      </c>
      <c r="F326" s="57"/>
      <c r="G326" s="65"/>
      <c r="H326" s="64"/>
      <c r="I326" s="65"/>
      <c r="J326" s="64"/>
    </row>
    <row r="327" spans="1:10" x14ac:dyDescent="0.2">
      <c r="A327">
        <v>2018</v>
      </c>
      <c r="B327" s="59">
        <v>426</v>
      </c>
      <c r="C327" s="34" t="s">
        <v>597</v>
      </c>
      <c r="D327" s="36">
        <v>117823</v>
      </c>
      <c r="E327" s="36">
        <v>945130</v>
      </c>
      <c r="F327" s="57"/>
      <c r="G327" s="65"/>
      <c r="H327" s="64"/>
      <c r="I327" s="65"/>
      <c r="J327" s="64"/>
    </row>
    <row r="328" spans="1:10" x14ac:dyDescent="0.2">
      <c r="A328">
        <v>2018</v>
      </c>
      <c r="B328" s="59">
        <v>427</v>
      </c>
      <c r="C328" s="34" t="s">
        <v>598</v>
      </c>
      <c r="D328" s="36">
        <v>155268</v>
      </c>
      <c r="E328" s="36">
        <v>932240</v>
      </c>
      <c r="F328" s="57"/>
      <c r="G328" s="65"/>
      <c r="H328" s="64"/>
      <c r="I328" s="65"/>
      <c r="J328" s="64"/>
    </row>
    <row r="329" spans="1:10" x14ac:dyDescent="0.2">
      <c r="A329">
        <v>2018</v>
      </c>
      <c r="B329" s="59">
        <v>428</v>
      </c>
      <c r="C329" s="34" t="s">
        <v>599</v>
      </c>
      <c r="D329" s="36">
        <v>12566</v>
      </c>
      <c r="E329" s="36">
        <v>95771</v>
      </c>
      <c r="F329" s="57"/>
      <c r="G329" s="65"/>
      <c r="H329" s="64"/>
      <c r="I329" s="65"/>
      <c r="J329" s="64"/>
    </row>
    <row r="330" spans="1:10" x14ac:dyDescent="0.2">
      <c r="A330">
        <v>2018</v>
      </c>
      <c r="B330" s="59">
        <v>429</v>
      </c>
      <c r="C330" s="34" t="s">
        <v>600</v>
      </c>
      <c r="D330" s="36">
        <v>32741</v>
      </c>
      <c r="E330" s="36">
        <v>219951</v>
      </c>
      <c r="F330" s="57"/>
      <c r="G330" s="65"/>
      <c r="H330" s="64"/>
      <c r="I330" s="65"/>
      <c r="J330" s="64"/>
    </row>
    <row r="331" spans="1:10" x14ac:dyDescent="0.2">
      <c r="A331">
        <v>2018</v>
      </c>
      <c r="B331" s="59">
        <v>430</v>
      </c>
      <c r="C331" s="34" t="s">
        <v>601</v>
      </c>
      <c r="D331" s="36">
        <v>125032</v>
      </c>
      <c r="E331" s="36">
        <v>1203907</v>
      </c>
      <c r="F331" s="57"/>
      <c r="G331" s="65"/>
      <c r="H331" s="64"/>
      <c r="I331" s="65"/>
      <c r="J331" s="64"/>
    </row>
    <row r="332" spans="1:10" x14ac:dyDescent="0.2">
      <c r="A332">
        <v>2018</v>
      </c>
      <c r="B332" s="59">
        <v>431</v>
      </c>
      <c r="C332" s="34" t="s">
        <v>602</v>
      </c>
      <c r="D332" s="36">
        <v>20671</v>
      </c>
      <c r="E332" s="36">
        <v>166942</v>
      </c>
      <c r="F332" s="57"/>
      <c r="G332" s="65"/>
      <c r="H332" s="64"/>
      <c r="I332" s="65"/>
      <c r="J332" s="64"/>
    </row>
    <row r="333" spans="1:10" x14ac:dyDescent="0.2">
      <c r="A333">
        <v>2018</v>
      </c>
      <c r="B333" s="59">
        <v>432</v>
      </c>
      <c r="C333" s="34" t="s">
        <v>603</v>
      </c>
      <c r="D333" s="36">
        <v>15634</v>
      </c>
      <c r="E333" s="36">
        <v>187492</v>
      </c>
      <c r="F333" s="57"/>
      <c r="G333" s="65"/>
      <c r="H333" s="64"/>
      <c r="I333" s="65"/>
      <c r="J333" s="64"/>
    </row>
    <row r="334" spans="1:10" x14ac:dyDescent="0.2">
      <c r="A334">
        <v>2018</v>
      </c>
      <c r="B334" s="59">
        <v>433</v>
      </c>
      <c r="C334" s="34" t="s">
        <v>604</v>
      </c>
      <c r="D334" s="36">
        <v>33066</v>
      </c>
      <c r="E334" s="36">
        <v>196891</v>
      </c>
      <c r="F334" s="57"/>
      <c r="G334" s="65"/>
      <c r="H334" s="64"/>
      <c r="I334" s="65"/>
      <c r="J334" s="64"/>
    </row>
    <row r="335" spans="1:10" x14ac:dyDescent="0.2">
      <c r="A335">
        <v>2018</v>
      </c>
      <c r="B335" s="59">
        <v>434</v>
      </c>
      <c r="C335" s="34" t="s">
        <v>605</v>
      </c>
      <c r="D335" s="36">
        <v>35417</v>
      </c>
      <c r="E335" s="36">
        <v>165402</v>
      </c>
      <c r="F335" s="57"/>
      <c r="G335" s="65"/>
      <c r="H335" s="64"/>
      <c r="I335" s="65"/>
      <c r="J335" s="64"/>
    </row>
    <row r="336" spans="1:10" x14ac:dyDescent="0.2">
      <c r="A336">
        <v>2018</v>
      </c>
      <c r="B336" s="59">
        <v>435</v>
      </c>
      <c r="C336" s="34" t="s">
        <v>606</v>
      </c>
      <c r="D336" s="36">
        <v>12009</v>
      </c>
      <c r="E336" s="36">
        <v>162389</v>
      </c>
      <c r="F336" s="57"/>
      <c r="G336" s="65"/>
      <c r="H336" s="64"/>
      <c r="I336" s="65"/>
      <c r="J336" s="64"/>
    </row>
    <row r="337" spans="1:11" x14ac:dyDescent="0.2">
      <c r="A337">
        <v>2018</v>
      </c>
      <c r="B337" s="59">
        <v>436</v>
      </c>
      <c r="C337" s="34" t="s">
        <v>607</v>
      </c>
      <c r="D337" s="36">
        <v>29057</v>
      </c>
      <c r="E337" s="36">
        <v>141182</v>
      </c>
      <c r="F337" s="57"/>
      <c r="G337" s="65"/>
      <c r="H337" s="64"/>
      <c r="I337" s="65"/>
      <c r="J337" s="64"/>
    </row>
    <row r="338" spans="1:11" x14ac:dyDescent="0.2">
      <c r="A338">
        <v>2018</v>
      </c>
      <c r="B338" s="59">
        <v>437</v>
      </c>
      <c r="C338" s="34" t="s">
        <v>608</v>
      </c>
      <c r="D338" s="36">
        <v>60216</v>
      </c>
      <c r="E338" s="36">
        <v>467355</v>
      </c>
      <c r="F338" s="57"/>
      <c r="G338" s="65"/>
      <c r="H338" s="64"/>
      <c r="I338" s="65"/>
      <c r="J338" s="64"/>
    </row>
    <row r="339" spans="1:11" x14ac:dyDescent="0.2">
      <c r="A339">
        <v>2018</v>
      </c>
      <c r="B339" s="59">
        <v>438</v>
      </c>
      <c r="C339" s="34" t="s">
        <v>609</v>
      </c>
      <c r="D339" s="36">
        <v>23699</v>
      </c>
      <c r="E339" s="36">
        <v>185405</v>
      </c>
      <c r="F339" s="57"/>
      <c r="G339" s="65"/>
      <c r="H339" s="64"/>
      <c r="I339" s="65"/>
      <c r="J339" s="64"/>
    </row>
    <row r="340" spans="1:11" x14ac:dyDescent="0.2">
      <c r="A340">
        <v>2018</v>
      </c>
      <c r="B340" s="59">
        <v>439</v>
      </c>
      <c r="C340" s="34" t="s">
        <v>610</v>
      </c>
      <c r="D340" s="36">
        <v>67269</v>
      </c>
      <c r="E340" s="36">
        <v>475938</v>
      </c>
      <c r="F340" s="57"/>
      <c r="G340" s="65"/>
      <c r="H340" s="64"/>
      <c r="I340" s="65"/>
      <c r="J340" s="64"/>
    </row>
    <row r="341" spans="1:11" x14ac:dyDescent="0.2">
      <c r="A341">
        <v>2018</v>
      </c>
      <c r="B341" s="59">
        <v>440</v>
      </c>
      <c r="C341" s="34" t="s">
        <v>611</v>
      </c>
      <c r="D341" s="36">
        <v>20031</v>
      </c>
      <c r="E341" s="36">
        <v>163672</v>
      </c>
      <c r="F341" s="57"/>
      <c r="G341" s="65"/>
      <c r="H341" s="64"/>
      <c r="I341" s="65"/>
      <c r="J341" s="64"/>
    </row>
    <row r="342" spans="1:11" x14ac:dyDescent="0.2">
      <c r="A342">
        <v>2018</v>
      </c>
      <c r="B342" s="59">
        <v>441</v>
      </c>
      <c r="C342" s="34" t="s">
        <v>612</v>
      </c>
      <c r="D342" s="36">
        <v>51083</v>
      </c>
      <c r="E342" s="36">
        <v>384225</v>
      </c>
      <c r="F342" s="57"/>
      <c r="G342" s="65"/>
      <c r="H342" s="64"/>
      <c r="I342" s="65"/>
      <c r="J342" s="64"/>
    </row>
    <row r="343" spans="1:11" x14ac:dyDescent="0.2">
      <c r="A343">
        <v>2018</v>
      </c>
      <c r="B343" s="59">
        <v>442</v>
      </c>
      <c r="C343" s="34" t="s">
        <v>613</v>
      </c>
      <c r="D343" s="36">
        <v>71500</v>
      </c>
      <c r="E343" s="36">
        <v>522728</v>
      </c>
      <c r="F343" s="57"/>
      <c r="G343" s="65"/>
      <c r="H343" s="64"/>
      <c r="I343" s="65"/>
      <c r="J343" s="64"/>
    </row>
    <row r="344" spans="1:11" x14ac:dyDescent="0.2">
      <c r="A344">
        <v>2018</v>
      </c>
      <c r="B344" s="59">
        <v>443</v>
      </c>
      <c r="C344" s="34" t="s">
        <v>614</v>
      </c>
      <c r="D344" s="36">
        <v>5424</v>
      </c>
      <c r="E344" s="36">
        <v>42684</v>
      </c>
      <c r="F344" s="57"/>
      <c r="G344" s="65"/>
      <c r="H344" s="64"/>
      <c r="I344" s="65"/>
      <c r="J344" s="64"/>
    </row>
    <row r="345" spans="1:11" x14ac:dyDescent="0.2">
      <c r="A345">
        <v>2018</v>
      </c>
      <c r="B345" s="59">
        <v>444</v>
      </c>
      <c r="C345" s="34" t="s">
        <v>615</v>
      </c>
      <c r="D345" s="36">
        <v>42071</v>
      </c>
      <c r="E345" s="36">
        <v>196684</v>
      </c>
      <c r="F345" s="57"/>
      <c r="G345" s="65"/>
      <c r="H345" s="64"/>
      <c r="I345" s="65"/>
      <c r="J345" s="64"/>
    </row>
    <row r="346" spans="1:11" x14ac:dyDescent="0.2">
      <c r="A346">
        <v>2018</v>
      </c>
      <c r="B346" s="59">
        <v>445</v>
      </c>
      <c r="C346" s="34" t="s">
        <v>616</v>
      </c>
      <c r="D346" s="36">
        <v>47971</v>
      </c>
      <c r="E346" s="36">
        <v>253535</v>
      </c>
      <c r="F346" s="57"/>
      <c r="G346" s="65"/>
      <c r="H346" s="64"/>
      <c r="I346" s="65"/>
      <c r="J346" s="64"/>
    </row>
    <row r="347" spans="1:11" x14ac:dyDescent="0.2">
      <c r="A347">
        <v>2018</v>
      </c>
      <c r="B347" s="34">
        <v>446</v>
      </c>
      <c r="C347" s="34" t="s">
        <v>617</v>
      </c>
      <c r="D347" s="36">
        <v>65984</v>
      </c>
      <c r="E347" s="36">
        <v>415804</v>
      </c>
      <c r="F347" s="57"/>
      <c r="G347" s="57"/>
      <c r="H347" s="65"/>
      <c r="I347" s="64"/>
      <c r="J347" s="65"/>
      <c r="K347" s="64"/>
    </row>
    <row r="348" spans="1:11" x14ac:dyDescent="0.2">
      <c r="A348">
        <v>2018</v>
      </c>
      <c r="B348" s="34">
        <v>447</v>
      </c>
      <c r="C348" s="34" t="s">
        <v>618</v>
      </c>
      <c r="D348" s="36">
        <v>20717</v>
      </c>
      <c r="E348" s="36">
        <v>151402</v>
      </c>
      <c r="F348" s="57"/>
      <c r="G348" s="57"/>
      <c r="H348" s="65"/>
      <c r="I348" s="64"/>
      <c r="J348" s="65"/>
      <c r="K348" s="64"/>
    </row>
    <row r="349" spans="1:11" x14ac:dyDescent="0.2">
      <c r="A349">
        <v>2018</v>
      </c>
      <c r="B349" s="34">
        <v>448</v>
      </c>
      <c r="C349" s="34" t="s">
        <v>619</v>
      </c>
      <c r="D349" s="36">
        <v>25441</v>
      </c>
      <c r="E349" s="36">
        <v>171885</v>
      </c>
      <c r="F349" s="57"/>
      <c r="G349" s="57"/>
      <c r="H349" s="65"/>
      <c r="I349" s="64"/>
      <c r="J349" s="65"/>
      <c r="K349" s="64"/>
    </row>
    <row r="350" spans="1:11" x14ac:dyDescent="0.2">
      <c r="A350">
        <v>2018</v>
      </c>
      <c r="B350" s="34">
        <v>449</v>
      </c>
      <c r="C350" s="34" t="s">
        <v>620</v>
      </c>
      <c r="D350" s="36">
        <v>40855</v>
      </c>
      <c r="E350" s="36">
        <v>452335</v>
      </c>
      <c r="F350" s="57"/>
      <c r="G350" s="57"/>
      <c r="H350" s="65"/>
      <c r="I350" s="64"/>
      <c r="J350" s="65"/>
      <c r="K350" s="64"/>
    </row>
    <row r="351" spans="1:11" x14ac:dyDescent="0.2">
      <c r="A351">
        <v>2018</v>
      </c>
      <c r="B351" s="34">
        <v>450</v>
      </c>
      <c r="C351" s="34" t="s">
        <v>621</v>
      </c>
      <c r="D351" s="36">
        <v>14222</v>
      </c>
      <c r="E351" s="36">
        <v>105839</v>
      </c>
      <c r="F351" s="57"/>
      <c r="G351" s="57"/>
      <c r="H351" s="65"/>
      <c r="I351" s="64"/>
      <c r="J351" s="65"/>
      <c r="K351" s="64"/>
    </row>
    <row r="352" spans="1:11" x14ac:dyDescent="0.2">
      <c r="A352">
        <v>2018</v>
      </c>
      <c r="B352" s="34">
        <v>451</v>
      </c>
      <c r="C352" s="34" t="s">
        <v>622</v>
      </c>
      <c r="D352" s="36">
        <v>21242</v>
      </c>
      <c r="E352" s="36">
        <v>162297</v>
      </c>
      <c r="F352" s="57"/>
      <c r="G352" s="57"/>
      <c r="H352" s="65"/>
      <c r="I352" s="64"/>
      <c r="J352" s="65"/>
      <c r="K352" s="64"/>
    </row>
    <row r="353" spans="1:11" x14ac:dyDescent="0.2">
      <c r="A353">
        <v>2018</v>
      </c>
      <c r="B353" s="34">
        <v>452</v>
      </c>
      <c r="C353" s="34" t="s">
        <v>623</v>
      </c>
      <c r="D353" s="36">
        <v>22967</v>
      </c>
      <c r="E353" s="36">
        <v>430554</v>
      </c>
      <c r="F353" s="57"/>
      <c r="G353" s="57"/>
      <c r="H353" s="65"/>
      <c r="I353" s="64"/>
      <c r="J353" s="65"/>
      <c r="K353" s="64"/>
    </row>
    <row r="354" spans="1:11" x14ac:dyDescent="0.2">
      <c r="A354">
        <v>2018</v>
      </c>
      <c r="B354" s="34">
        <v>453</v>
      </c>
      <c r="C354" s="34" t="s">
        <v>624</v>
      </c>
      <c r="D354" s="36">
        <v>17061</v>
      </c>
      <c r="E354" s="36">
        <v>154707</v>
      </c>
      <c r="F354" s="57"/>
      <c r="G354" s="57"/>
      <c r="H354" s="65"/>
      <c r="I354" s="64"/>
      <c r="J354" s="65"/>
      <c r="K354" s="64"/>
    </row>
    <row r="355" spans="1:11" x14ac:dyDescent="0.2">
      <c r="A355">
        <v>2018</v>
      </c>
      <c r="B355" s="34">
        <v>454</v>
      </c>
      <c r="C355" s="34" t="s">
        <v>625</v>
      </c>
      <c r="D355" s="36">
        <v>84585</v>
      </c>
      <c r="E355" s="36">
        <v>600485</v>
      </c>
      <c r="F355" s="57"/>
      <c r="G355" s="57"/>
      <c r="H355" s="65"/>
      <c r="I355" s="64"/>
      <c r="J355" s="65"/>
      <c r="K355" s="64"/>
    </row>
    <row r="356" spans="1:11" x14ac:dyDescent="0.2">
      <c r="A356">
        <v>2018</v>
      </c>
      <c r="B356" s="34">
        <v>455</v>
      </c>
      <c r="C356" s="34" t="s">
        <v>626</v>
      </c>
      <c r="D356" s="36">
        <v>256452</v>
      </c>
      <c r="E356" s="36">
        <v>1675921</v>
      </c>
      <c r="F356" s="57"/>
      <c r="G356" s="57"/>
      <c r="H356" s="65"/>
      <c r="I356" s="64"/>
      <c r="J356" s="65"/>
      <c r="K356" s="64"/>
    </row>
    <row r="357" spans="1:11" x14ac:dyDescent="0.2">
      <c r="A357">
        <v>2018</v>
      </c>
      <c r="B357" s="34">
        <v>462</v>
      </c>
      <c r="C357" s="34" t="s">
        <v>627</v>
      </c>
      <c r="D357" s="36">
        <v>10770</v>
      </c>
      <c r="E357" s="36">
        <v>70401</v>
      </c>
      <c r="F357" s="57"/>
      <c r="G357" s="57"/>
      <c r="H357" s="65"/>
      <c r="I357" s="64"/>
      <c r="J357" s="65"/>
      <c r="K357" s="64"/>
    </row>
    <row r="358" spans="1:11" x14ac:dyDescent="0.2">
      <c r="A358">
        <v>2018</v>
      </c>
      <c r="B358" s="34">
        <v>467</v>
      </c>
      <c r="C358" s="34" t="s">
        <v>628</v>
      </c>
      <c r="D358" s="36">
        <v>36316</v>
      </c>
      <c r="E358" s="36">
        <v>262407</v>
      </c>
      <c r="F358" s="57"/>
      <c r="G358" s="57"/>
      <c r="H358" s="65"/>
      <c r="I358" s="64"/>
      <c r="J358" s="65"/>
      <c r="K358" s="64"/>
    </row>
    <row r="359" spans="1:11" x14ac:dyDescent="0.2">
      <c r="A359">
        <v>2018</v>
      </c>
      <c r="B359" s="34">
        <v>468</v>
      </c>
      <c r="C359" s="34" t="s">
        <v>629</v>
      </c>
      <c r="D359" s="36">
        <v>34254</v>
      </c>
      <c r="E359" s="36">
        <v>220721</v>
      </c>
      <c r="F359" s="57"/>
      <c r="G359" s="57"/>
      <c r="H359" s="65"/>
      <c r="I359" s="64"/>
      <c r="J359" s="65"/>
      <c r="K359" s="64"/>
    </row>
    <row r="360" spans="1:11" x14ac:dyDescent="0.2">
      <c r="A360">
        <v>2018</v>
      </c>
      <c r="B360" s="34">
        <v>469</v>
      </c>
      <c r="C360" s="34" t="s">
        <v>630</v>
      </c>
      <c r="D360" s="36">
        <v>40648</v>
      </c>
      <c r="E360" s="36">
        <v>373994</v>
      </c>
      <c r="F360" s="57"/>
      <c r="G360" s="57"/>
      <c r="H360" s="65"/>
      <c r="I360" s="64"/>
      <c r="J360" s="65"/>
      <c r="K360" s="64"/>
    </row>
    <row r="361" spans="1:11" x14ac:dyDescent="0.2">
      <c r="A361">
        <v>2018</v>
      </c>
      <c r="B361" s="34">
        <v>470</v>
      </c>
      <c r="C361" s="34" t="s">
        <v>631</v>
      </c>
      <c r="D361" s="36">
        <v>41530</v>
      </c>
      <c r="E361" s="36">
        <v>240657</v>
      </c>
      <c r="F361" s="57"/>
      <c r="G361" s="57"/>
      <c r="H361" s="65"/>
      <c r="I361" s="64"/>
      <c r="J361" s="65"/>
      <c r="K361" s="64"/>
    </row>
    <row r="362" spans="1:11" x14ac:dyDescent="0.2">
      <c r="A362">
        <v>2018</v>
      </c>
      <c r="B362" s="34">
        <v>471</v>
      </c>
      <c r="C362" s="34" t="s">
        <v>632</v>
      </c>
      <c r="D362" s="36">
        <v>25927</v>
      </c>
      <c r="E362" s="36">
        <v>157927</v>
      </c>
      <c r="F362" s="57"/>
      <c r="G362" s="57"/>
      <c r="H362" s="65"/>
      <c r="I362" s="64"/>
      <c r="J362" s="65"/>
      <c r="K362" s="64"/>
    </row>
    <row r="363" spans="1:11" x14ac:dyDescent="0.2">
      <c r="A363">
        <v>2018</v>
      </c>
      <c r="B363" s="34">
        <v>472</v>
      </c>
      <c r="C363" s="34" t="s">
        <v>633</v>
      </c>
      <c r="D363" s="36">
        <v>528678</v>
      </c>
      <c r="E363" s="36">
        <v>3139559</v>
      </c>
      <c r="F363" s="57"/>
      <c r="G363" s="57"/>
      <c r="H363" s="65"/>
      <c r="I363" s="64"/>
      <c r="J363" s="65"/>
      <c r="K363" s="64"/>
    </row>
    <row r="364" spans="1:11" x14ac:dyDescent="0.2">
      <c r="A364">
        <v>2018</v>
      </c>
      <c r="B364" s="34">
        <v>476</v>
      </c>
      <c r="C364" s="34" t="s">
        <v>634</v>
      </c>
      <c r="D364" s="36">
        <v>170016</v>
      </c>
      <c r="E364" s="36">
        <v>1221349</v>
      </c>
      <c r="F364" s="57"/>
      <c r="G364" s="57"/>
      <c r="H364" s="65"/>
      <c r="I364" s="64"/>
      <c r="J364" s="65"/>
      <c r="K364" s="64"/>
    </row>
    <row r="365" spans="1:11" x14ac:dyDescent="0.2">
      <c r="A365">
        <v>2018</v>
      </c>
      <c r="B365" s="34">
        <v>477</v>
      </c>
      <c r="C365" s="34" t="s">
        <v>635</v>
      </c>
      <c r="D365" s="36">
        <v>47967</v>
      </c>
      <c r="E365" s="36">
        <v>280055</v>
      </c>
      <c r="F365" s="57"/>
      <c r="G365" s="57"/>
      <c r="H365" s="65"/>
      <c r="I365" s="64"/>
      <c r="J365" s="65"/>
      <c r="K365" s="64"/>
    </row>
    <row r="366" spans="1:11" x14ac:dyDescent="0.2">
      <c r="A366">
        <v>2018</v>
      </c>
      <c r="B366" s="34">
        <v>478</v>
      </c>
      <c r="C366" s="34" t="s">
        <v>636</v>
      </c>
      <c r="D366" s="36">
        <v>33660</v>
      </c>
      <c r="E366" s="36">
        <v>127219</v>
      </c>
      <c r="F366" s="57"/>
      <c r="G366" s="57"/>
      <c r="H366" s="65"/>
      <c r="I366" s="64"/>
      <c r="J366" s="65"/>
      <c r="K366" s="64"/>
    </row>
    <row r="367" spans="1:11" x14ac:dyDescent="0.2">
      <c r="A367">
        <v>2018</v>
      </c>
      <c r="B367" s="34">
        <v>479</v>
      </c>
      <c r="C367" s="34" t="s">
        <v>637</v>
      </c>
      <c r="D367" s="36">
        <v>436519</v>
      </c>
      <c r="E367" s="36">
        <v>3166848</v>
      </c>
      <c r="F367" s="57"/>
      <c r="G367" s="57"/>
      <c r="H367" s="65"/>
      <c r="I367" s="64"/>
      <c r="J367" s="65"/>
      <c r="K367" s="64"/>
    </row>
    <row r="368" spans="1:11" x14ac:dyDescent="0.2">
      <c r="A368">
        <v>2018</v>
      </c>
      <c r="B368" s="34">
        <v>485</v>
      </c>
      <c r="C368" s="34" t="s">
        <v>638</v>
      </c>
      <c r="D368" s="36">
        <v>103511</v>
      </c>
      <c r="E368" s="36">
        <v>813747</v>
      </c>
      <c r="F368" s="57"/>
      <c r="G368" s="57"/>
      <c r="H368" s="65"/>
      <c r="I368" s="64"/>
      <c r="J368" s="65"/>
      <c r="K368" s="64"/>
    </row>
    <row r="369" spans="1:11" x14ac:dyDescent="0.2">
      <c r="A369">
        <v>2018</v>
      </c>
      <c r="B369" s="34">
        <v>486</v>
      </c>
      <c r="C369" s="34" t="s">
        <v>639</v>
      </c>
      <c r="D369" s="36">
        <v>84270</v>
      </c>
      <c r="E369" s="36">
        <v>515126</v>
      </c>
      <c r="F369" s="57"/>
      <c r="G369" s="57"/>
      <c r="H369" s="65"/>
      <c r="I369" s="64"/>
      <c r="J369" s="65"/>
      <c r="K369" s="64"/>
    </row>
    <row r="370" spans="1:11" x14ac:dyDescent="0.2">
      <c r="A370">
        <v>2018</v>
      </c>
      <c r="B370" s="34">
        <v>487</v>
      </c>
      <c r="C370" s="34" t="s">
        <v>640</v>
      </c>
      <c r="D370" s="36">
        <v>69957</v>
      </c>
      <c r="E370" s="36">
        <v>439215</v>
      </c>
      <c r="F370" s="57"/>
      <c r="G370" s="57"/>
      <c r="H370" s="65"/>
      <c r="I370" s="64"/>
      <c r="J370" s="65"/>
      <c r="K370" s="64"/>
    </row>
    <row r="371" spans="1:11" x14ac:dyDescent="0.2">
      <c r="A371">
        <v>2018</v>
      </c>
      <c r="B371" s="34">
        <v>489</v>
      </c>
      <c r="C371" s="34" t="s">
        <v>641</v>
      </c>
      <c r="D371" s="36">
        <v>12576</v>
      </c>
      <c r="E371" s="36">
        <v>46674</v>
      </c>
      <c r="F371" s="57"/>
      <c r="G371" s="57"/>
      <c r="H371" s="65"/>
      <c r="I371" s="64"/>
      <c r="J371" s="65"/>
      <c r="K371" s="64"/>
    </row>
    <row r="372" spans="1:11" x14ac:dyDescent="0.2">
      <c r="A372">
        <v>2018</v>
      </c>
      <c r="B372" s="34">
        <v>490</v>
      </c>
      <c r="C372" s="34" t="s">
        <v>642</v>
      </c>
      <c r="D372" s="36">
        <v>57419</v>
      </c>
      <c r="E372" s="36">
        <v>455157</v>
      </c>
      <c r="F372" s="57"/>
      <c r="G372" s="57"/>
      <c r="H372" s="65"/>
      <c r="I372" s="64"/>
      <c r="J372" s="65"/>
      <c r="K372" s="64"/>
    </row>
    <row r="373" spans="1:11" x14ac:dyDescent="0.2">
      <c r="A373">
        <v>2018</v>
      </c>
      <c r="B373" s="34">
        <v>491</v>
      </c>
      <c r="C373" s="34" t="s">
        <v>643</v>
      </c>
      <c r="D373" s="36">
        <v>88697</v>
      </c>
      <c r="E373" s="36">
        <v>703784</v>
      </c>
      <c r="F373" s="57"/>
      <c r="G373" s="57"/>
      <c r="H373" s="65"/>
      <c r="I373" s="64"/>
      <c r="J373" s="65"/>
      <c r="K373" s="64"/>
    </row>
    <row r="374" spans="1:11" x14ac:dyDescent="0.2">
      <c r="A374">
        <v>2018</v>
      </c>
      <c r="B374" s="34">
        <v>492</v>
      </c>
      <c r="C374" s="34" t="s">
        <v>644</v>
      </c>
      <c r="D374" s="36">
        <v>490250</v>
      </c>
      <c r="E374" s="36">
        <v>3272493</v>
      </c>
      <c r="F374" s="57"/>
      <c r="G374" s="57"/>
      <c r="H374" s="65"/>
      <c r="I374" s="64"/>
      <c r="J374" s="65"/>
      <c r="K374" s="64"/>
    </row>
    <row r="375" spans="1:11" x14ac:dyDescent="0.2">
      <c r="A375">
        <v>2018</v>
      </c>
      <c r="B375" s="34">
        <v>493</v>
      </c>
      <c r="C375" s="34" t="s">
        <v>645</v>
      </c>
      <c r="D375" s="36">
        <v>1835218</v>
      </c>
      <c r="E375" s="36">
        <v>9476757</v>
      </c>
      <c r="F375" s="57"/>
      <c r="G375" s="57"/>
      <c r="H375" s="65"/>
      <c r="I375" s="64"/>
      <c r="J375" s="65"/>
      <c r="K375" s="64"/>
    </row>
    <row r="376" spans="1:11" x14ac:dyDescent="0.2">
      <c r="A376">
        <v>2018</v>
      </c>
      <c r="B376" s="34">
        <v>494</v>
      </c>
      <c r="C376" s="34" t="s">
        <v>646</v>
      </c>
      <c r="D376" s="36">
        <v>253835</v>
      </c>
      <c r="E376" s="36">
        <v>1817381</v>
      </c>
      <c r="F376" s="57"/>
      <c r="G376" s="57"/>
      <c r="H376" s="65"/>
      <c r="I376" s="64"/>
      <c r="J376" s="65"/>
      <c r="K376" s="64"/>
    </row>
    <row r="377" spans="1:11" x14ac:dyDescent="0.2">
      <c r="A377">
        <v>2018</v>
      </c>
      <c r="B377" s="34">
        <v>495</v>
      </c>
      <c r="C377" s="34" t="s">
        <v>647</v>
      </c>
      <c r="D377" s="36">
        <v>74720</v>
      </c>
      <c r="E377" s="36">
        <v>429168</v>
      </c>
      <c r="F377" s="57"/>
      <c r="G377" s="57"/>
      <c r="H377" s="65"/>
      <c r="I377" s="64"/>
      <c r="J377" s="65"/>
      <c r="K377" s="64"/>
    </row>
    <row r="378" spans="1:11" x14ac:dyDescent="0.2">
      <c r="A378">
        <v>2018</v>
      </c>
      <c r="B378" s="34">
        <v>496</v>
      </c>
      <c r="C378" s="34" t="s">
        <v>648</v>
      </c>
      <c r="D378" s="36">
        <v>32030</v>
      </c>
      <c r="E378" s="36">
        <v>180219</v>
      </c>
      <c r="F378" s="57"/>
      <c r="G378" s="57"/>
      <c r="H378" s="65"/>
      <c r="I378" s="64"/>
      <c r="J378" s="65"/>
      <c r="K378" s="64"/>
    </row>
    <row r="379" spans="1:11" x14ac:dyDescent="0.2">
      <c r="A379">
        <v>2018</v>
      </c>
      <c r="B379" s="34">
        <v>497</v>
      </c>
      <c r="C379" s="34" t="s">
        <v>649</v>
      </c>
      <c r="D379" s="36">
        <v>34631</v>
      </c>
      <c r="E379" s="36">
        <v>250905</v>
      </c>
      <c r="F379" s="57"/>
      <c r="G379" s="57"/>
      <c r="H379" s="65"/>
      <c r="I379" s="64"/>
      <c r="J379" s="65"/>
      <c r="K379" s="64"/>
    </row>
    <row r="380" spans="1:11" x14ac:dyDescent="0.2">
      <c r="A380">
        <v>2018</v>
      </c>
      <c r="B380" s="34">
        <v>498</v>
      </c>
      <c r="C380" s="34" t="s">
        <v>650</v>
      </c>
      <c r="D380" s="36">
        <v>60156</v>
      </c>
      <c r="E380" s="36">
        <v>344629</v>
      </c>
      <c r="F380" s="57"/>
      <c r="G380" s="57"/>
      <c r="H380" s="65"/>
      <c r="I380" s="64"/>
      <c r="J380" s="65"/>
      <c r="K380" s="64"/>
    </row>
    <row r="381" spans="1:11" x14ac:dyDescent="0.2">
      <c r="A381">
        <v>2018</v>
      </c>
      <c r="B381" s="34">
        <v>499</v>
      </c>
      <c r="C381" s="34" t="s">
        <v>651</v>
      </c>
      <c r="D381" s="36">
        <v>69132</v>
      </c>
      <c r="E381" s="36">
        <v>548678</v>
      </c>
      <c r="F381" s="57"/>
      <c r="G381" s="57"/>
      <c r="H381" s="65"/>
      <c r="I381" s="64"/>
      <c r="J381" s="65"/>
      <c r="K381" s="64"/>
    </row>
    <row r="382" spans="1:11" x14ac:dyDescent="0.2">
      <c r="A382">
        <v>2018</v>
      </c>
      <c r="B382" s="34">
        <v>500</v>
      </c>
      <c r="C382" s="34" t="s">
        <v>652</v>
      </c>
      <c r="D382" s="36">
        <v>102735</v>
      </c>
      <c r="E382" s="36">
        <v>665031</v>
      </c>
      <c r="F382" s="57"/>
      <c r="G382" s="57"/>
      <c r="H382" s="65"/>
      <c r="I382" s="64"/>
      <c r="J382" s="65"/>
      <c r="K382" s="64"/>
    </row>
    <row r="383" spans="1:11" x14ac:dyDescent="0.2">
      <c r="A383">
        <v>2018</v>
      </c>
      <c r="B383" s="34">
        <v>501</v>
      </c>
      <c r="C383" s="34" t="s">
        <v>653</v>
      </c>
      <c r="D383" s="36">
        <v>63371</v>
      </c>
      <c r="E383" s="36">
        <v>348579</v>
      </c>
      <c r="F383" s="57"/>
      <c r="G383" s="57"/>
      <c r="H383" s="65"/>
      <c r="I383" s="64"/>
      <c r="J383" s="65"/>
      <c r="K383" s="64"/>
    </row>
    <row r="384" spans="1:11" x14ac:dyDescent="0.2">
      <c r="A384">
        <v>2018</v>
      </c>
      <c r="B384" s="34">
        <v>502</v>
      </c>
      <c r="C384" s="34" t="s">
        <v>654</v>
      </c>
      <c r="D384" s="36">
        <v>6934</v>
      </c>
      <c r="E384" s="36">
        <v>37066</v>
      </c>
      <c r="F384" s="57"/>
      <c r="G384" s="57"/>
      <c r="H384" s="65"/>
      <c r="I384" s="64"/>
      <c r="J384" s="65"/>
      <c r="K384" s="64"/>
    </row>
    <row r="385" spans="1:11" x14ac:dyDescent="0.2">
      <c r="A385">
        <v>2018</v>
      </c>
      <c r="B385" s="34">
        <v>503</v>
      </c>
      <c r="C385" s="34" t="s">
        <v>655</v>
      </c>
      <c r="D385" s="36">
        <v>66222</v>
      </c>
      <c r="E385" s="36">
        <v>377986</v>
      </c>
      <c r="F385" s="57"/>
      <c r="G385" s="57"/>
      <c r="H385" s="65"/>
      <c r="I385" s="64"/>
      <c r="J385" s="65"/>
      <c r="K385" s="64"/>
    </row>
    <row r="386" spans="1:11" x14ac:dyDescent="0.2">
      <c r="A386">
        <v>2018</v>
      </c>
      <c r="B386" s="34">
        <v>504</v>
      </c>
      <c r="C386" s="34" t="s">
        <v>656</v>
      </c>
      <c r="D386" s="36">
        <v>107422</v>
      </c>
      <c r="E386" s="36">
        <v>447892</v>
      </c>
      <c r="F386" s="57"/>
      <c r="G386" s="57"/>
      <c r="H386" s="65"/>
      <c r="I386" s="64"/>
      <c r="J386" s="65"/>
      <c r="K386" s="64"/>
    </row>
    <row r="387" spans="1:11" x14ac:dyDescent="0.2">
      <c r="A387">
        <v>2018</v>
      </c>
      <c r="B387" s="34">
        <v>505</v>
      </c>
      <c r="C387" s="34" t="s">
        <v>657</v>
      </c>
      <c r="D387" s="36">
        <v>822087</v>
      </c>
      <c r="E387" s="36">
        <v>4625389</v>
      </c>
      <c r="F387" s="57"/>
      <c r="G387" s="57"/>
      <c r="H387" s="65"/>
      <c r="I387" s="64"/>
      <c r="J387" s="65"/>
      <c r="K387" s="64"/>
    </row>
    <row r="388" spans="1:11" x14ac:dyDescent="0.2">
      <c r="A388">
        <v>2018</v>
      </c>
      <c r="B388" s="34">
        <v>507</v>
      </c>
      <c r="C388" s="34" t="s">
        <v>658</v>
      </c>
      <c r="D388" s="36">
        <v>81679</v>
      </c>
      <c r="E388" s="36">
        <v>459805</v>
      </c>
      <c r="F388" s="57"/>
      <c r="G388" s="57"/>
      <c r="H388" s="65"/>
      <c r="I388" s="64"/>
      <c r="J388" s="65"/>
      <c r="K388" s="64"/>
    </row>
    <row r="389" spans="1:11" x14ac:dyDescent="0.2">
      <c r="A389">
        <v>2018</v>
      </c>
      <c r="B389" s="34">
        <v>509</v>
      </c>
      <c r="C389" s="34" t="s">
        <v>659</v>
      </c>
      <c r="D389" s="36">
        <v>51634</v>
      </c>
      <c r="E389" s="36">
        <v>489085</v>
      </c>
      <c r="F389" s="57"/>
      <c r="G389" s="57"/>
      <c r="H389" s="65"/>
      <c r="I389" s="64"/>
      <c r="J389" s="65"/>
      <c r="K389" s="64"/>
    </row>
    <row r="390" spans="1:11" x14ac:dyDescent="0.2">
      <c r="A390">
        <v>2018</v>
      </c>
      <c r="B390" s="34">
        <v>510</v>
      </c>
      <c r="C390" s="34" t="s">
        <v>660</v>
      </c>
      <c r="D390" s="36">
        <v>88998</v>
      </c>
      <c r="E390" s="36">
        <v>632754</v>
      </c>
      <c r="F390" s="57"/>
      <c r="G390" s="57"/>
      <c r="H390" s="65"/>
      <c r="I390" s="64"/>
      <c r="J390" s="65"/>
      <c r="K390" s="64"/>
    </row>
    <row r="391" spans="1:11" x14ac:dyDescent="0.2">
      <c r="A391">
        <v>2018</v>
      </c>
      <c r="B391" s="34">
        <v>511</v>
      </c>
      <c r="C391" s="34" t="s">
        <v>479</v>
      </c>
      <c r="D391" s="36">
        <v>40419</v>
      </c>
      <c r="E391" s="36">
        <v>296299</v>
      </c>
      <c r="F391" s="57"/>
      <c r="G391" s="57"/>
      <c r="H391" s="65"/>
      <c r="I391" s="64"/>
      <c r="J391" s="65"/>
      <c r="K391" s="64"/>
    </row>
    <row r="392" spans="1:11" x14ac:dyDescent="0.2">
      <c r="A392">
        <v>2018</v>
      </c>
      <c r="B392" s="34">
        <v>512</v>
      </c>
      <c r="C392" s="34" t="s">
        <v>480</v>
      </c>
      <c r="D392" s="36">
        <v>23910</v>
      </c>
      <c r="E392" s="36">
        <v>110116</v>
      </c>
      <c r="F392" s="57"/>
      <c r="G392" s="57"/>
      <c r="H392" s="65"/>
      <c r="I392" s="64"/>
      <c r="J392" s="65"/>
      <c r="K392" s="64"/>
    </row>
    <row r="393" spans="1:11" x14ac:dyDescent="0.2">
      <c r="A393">
        <v>2018</v>
      </c>
      <c r="B393" s="34">
        <v>514</v>
      </c>
      <c r="C393" s="34" t="s">
        <v>481</v>
      </c>
      <c r="D393" s="36">
        <v>27118</v>
      </c>
      <c r="E393" s="36">
        <v>146006</v>
      </c>
      <c r="F393" s="57"/>
      <c r="G393" s="57"/>
      <c r="H393" s="65"/>
      <c r="I393" s="64"/>
      <c r="J393" s="65"/>
      <c r="K393" s="64"/>
    </row>
    <row r="394" spans="1:11" x14ac:dyDescent="0.2">
      <c r="A394">
        <v>2018</v>
      </c>
      <c r="B394" s="34">
        <v>516</v>
      </c>
      <c r="C394" s="34" t="s">
        <v>482</v>
      </c>
      <c r="D394" s="36">
        <v>240890</v>
      </c>
      <c r="E394" s="36">
        <v>1676445</v>
      </c>
      <c r="F394" s="57"/>
      <c r="G394" s="57"/>
      <c r="H394" s="65"/>
      <c r="I394" s="64"/>
      <c r="J394" s="65"/>
      <c r="K394" s="64"/>
    </row>
    <row r="395" spans="1:11" x14ac:dyDescent="0.2">
      <c r="A395">
        <v>2018</v>
      </c>
      <c r="B395" s="34">
        <v>522</v>
      </c>
      <c r="C395" s="34" t="s">
        <v>483</v>
      </c>
      <c r="D395" s="36">
        <v>38074</v>
      </c>
      <c r="E395" s="36">
        <v>246022</v>
      </c>
      <c r="F395" s="57"/>
      <c r="G395" s="57"/>
      <c r="H395" s="65"/>
      <c r="I395" s="64"/>
      <c r="J395" s="65"/>
      <c r="K395" s="64"/>
    </row>
    <row r="396" spans="1:11" x14ac:dyDescent="0.2">
      <c r="A396">
        <v>2018</v>
      </c>
      <c r="B396" s="34">
        <v>523</v>
      </c>
      <c r="C396" s="34" t="s">
        <v>484</v>
      </c>
      <c r="D396" s="36">
        <v>71916</v>
      </c>
      <c r="E396" s="36">
        <v>765713</v>
      </c>
      <c r="F396" s="57"/>
      <c r="G396" s="57"/>
      <c r="H396" s="65"/>
      <c r="I396" s="64"/>
      <c r="J396" s="65"/>
      <c r="K396" s="64"/>
    </row>
    <row r="397" spans="1:11" x14ac:dyDescent="0.2">
      <c r="A397">
        <v>2018</v>
      </c>
      <c r="B397" s="34">
        <v>524</v>
      </c>
      <c r="C397" s="34" t="s">
        <v>485</v>
      </c>
      <c r="D397" s="36">
        <v>115020</v>
      </c>
      <c r="E397" s="36">
        <v>972988</v>
      </c>
      <c r="F397" s="57"/>
      <c r="G397" s="57"/>
      <c r="H397" s="65"/>
      <c r="I397" s="64"/>
      <c r="J397" s="65"/>
      <c r="K397" s="64"/>
    </row>
    <row r="398" spans="1:11" x14ac:dyDescent="0.2">
      <c r="A398">
        <v>2018</v>
      </c>
      <c r="B398" s="34">
        <v>525</v>
      </c>
      <c r="C398" s="34" t="s">
        <v>486</v>
      </c>
      <c r="D398" s="36">
        <v>23387</v>
      </c>
      <c r="E398" s="36">
        <v>170992</v>
      </c>
      <c r="F398" s="57"/>
      <c r="G398" s="57"/>
      <c r="H398" s="65"/>
      <c r="I398" s="64"/>
      <c r="J398" s="65"/>
      <c r="K398" s="64"/>
    </row>
    <row r="399" spans="1:11" x14ac:dyDescent="0.2">
      <c r="A399">
        <v>2018</v>
      </c>
      <c r="B399" s="34">
        <v>526</v>
      </c>
      <c r="C399" s="34" t="s">
        <v>661</v>
      </c>
      <c r="D399" s="36">
        <v>10264</v>
      </c>
      <c r="E399" s="36">
        <v>50357</v>
      </c>
      <c r="F399" s="57"/>
      <c r="G399" s="57"/>
      <c r="H399" s="65"/>
      <c r="I399" s="64"/>
      <c r="J399" s="65"/>
      <c r="K399" s="64"/>
    </row>
    <row r="400" spans="1:11" x14ac:dyDescent="0.2">
      <c r="A400">
        <v>2018</v>
      </c>
      <c r="B400" s="34">
        <v>527</v>
      </c>
      <c r="C400" s="34" t="s">
        <v>662</v>
      </c>
      <c r="D400" s="36">
        <v>45329</v>
      </c>
      <c r="E400" s="36">
        <v>296365</v>
      </c>
      <c r="F400" s="57"/>
      <c r="G400" s="57"/>
      <c r="H400" s="65"/>
      <c r="I400" s="64"/>
      <c r="J400" s="65"/>
      <c r="K400" s="64"/>
    </row>
    <row r="401" spans="1:11" x14ac:dyDescent="0.2">
      <c r="A401">
        <v>2018</v>
      </c>
      <c r="B401" s="34">
        <v>528</v>
      </c>
      <c r="C401" s="34" t="s">
        <v>489</v>
      </c>
      <c r="D401" s="36">
        <v>34733</v>
      </c>
      <c r="E401" s="36">
        <v>142660</v>
      </c>
      <c r="F401" s="57"/>
      <c r="G401" s="57"/>
      <c r="H401" s="65"/>
      <c r="I401" s="64"/>
      <c r="J401" s="65"/>
      <c r="K401" s="64"/>
    </row>
    <row r="402" spans="1:11" x14ac:dyDescent="0.2">
      <c r="A402">
        <v>2018</v>
      </c>
      <c r="B402" s="34">
        <v>529</v>
      </c>
      <c r="C402" s="34" t="s">
        <v>490</v>
      </c>
      <c r="D402" s="36">
        <v>56454</v>
      </c>
      <c r="E402" s="36">
        <v>354949</v>
      </c>
      <c r="F402" s="57"/>
      <c r="G402" s="57"/>
      <c r="H402" s="65"/>
      <c r="I402" s="64"/>
      <c r="J402" s="65"/>
      <c r="K402" s="64"/>
    </row>
    <row r="403" spans="1:11" x14ac:dyDescent="0.2">
      <c r="A403">
        <v>2018</v>
      </c>
      <c r="B403" s="34">
        <v>532</v>
      </c>
      <c r="C403" s="34" t="s">
        <v>663</v>
      </c>
      <c r="D403" s="36">
        <v>175328</v>
      </c>
      <c r="E403" s="36">
        <v>956433</v>
      </c>
      <c r="F403" s="57"/>
      <c r="G403" s="57"/>
      <c r="H403" s="65"/>
      <c r="I403" s="64"/>
      <c r="J403" s="65"/>
      <c r="K403" s="64"/>
    </row>
    <row r="404" spans="1:11" x14ac:dyDescent="0.2">
      <c r="A404">
        <v>2018</v>
      </c>
      <c r="B404" s="34">
        <v>533</v>
      </c>
      <c r="C404" s="34" t="s">
        <v>664</v>
      </c>
      <c r="D404" s="36">
        <v>33119</v>
      </c>
      <c r="E404" s="36">
        <v>228933</v>
      </c>
      <c r="F404" s="57"/>
      <c r="G404" s="57"/>
      <c r="H404" s="65"/>
      <c r="I404" s="64"/>
      <c r="J404" s="65"/>
      <c r="K404" s="64"/>
    </row>
    <row r="405" spans="1:11" x14ac:dyDescent="0.2">
      <c r="A405">
        <v>2018</v>
      </c>
      <c r="B405" s="34">
        <v>534</v>
      </c>
      <c r="C405" s="34" t="s">
        <v>493</v>
      </c>
      <c r="D405" s="36">
        <v>10839</v>
      </c>
      <c r="E405" s="36">
        <v>72390</v>
      </c>
      <c r="F405" s="57"/>
      <c r="G405" s="57"/>
      <c r="H405" s="65"/>
      <c r="I405" s="64"/>
      <c r="J405" s="65"/>
      <c r="K405" s="64"/>
    </row>
    <row r="406" spans="1:11" x14ac:dyDescent="0.2">
      <c r="A406">
        <v>2018</v>
      </c>
      <c r="B406" s="34">
        <v>535</v>
      </c>
      <c r="C406" s="34" t="s">
        <v>494</v>
      </c>
      <c r="D406" s="36">
        <v>23965</v>
      </c>
      <c r="E406" s="36">
        <v>118976</v>
      </c>
      <c r="F406" s="57"/>
      <c r="G406" s="57"/>
      <c r="H406" s="65"/>
      <c r="I406" s="64"/>
      <c r="J406" s="65"/>
      <c r="K406" s="64"/>
    </row>
    <row r="407" spans="1:11" x14ac:dyDescent="0.2">
      <c r="A407">
        <v>2018</v>
      </c>
      <c r="B407" s="34">
        <v>536</v>
      </c>
      <c r="C407" s="34" t="s">
        <v>495</v>
      </c>
      <c r="D407" s="36">
        <v>2895915</v>
      </c>
      <c r="E407" s="36">
        <v>16522336</v>
      </c>
      <c r="F407" s="57"/>
      <c r="G407" s="57"/>
      <c r="H407" s="65"/>
      <c r="I407" s="64"/>
      <c r="J407" s="65"/>
      <c r="K407" s="64"/>
    </row>
    <row r="408" spans="1:11" x14ac:dyDescent="0.2">
      <c r="A408">
        <v>2018</v>
      </c>
      <c r="B408" s="34">
        <v>537</v>
      </c>
      <c r="C408" s="34" t="s">
        <v>496</v>
      </c>
      <c r="D408" s="36">
        <v>1857051</v>
      </c>
      <c r="E408" s="36">
        <v>14876448</v>
      </c>
      <c r="F408" s="57"/>
      <c r="G408" s="57"/>
      <c r="H408" s="65"/>
      <c r="I408" s="64"/>
      <c r="J408" s="65"/>
      <c r="K408" s="64"/>
    </row>
    <row r="409" spans="1:11" x14ac:dyDescent="0.2">
      <c r="A409">
        <v>2018</v>
      </c>
      <c r="B409" s="34">
        <v>538</v>
      </c>
      <c r="C409" s="34" t="s">
        <v>497</v>
      </c>
      <c r="D409" s="36">
        <v>2272098</v>
      </c>
      <c r="E409" s="36">
        <v>12765731</v>
      </c>
      <c r="F409" s="57"/>
      <c r="G409" s="57"/>
      <c r="H409" s="65"/>
      <c r="I409" s="64"/>
      <c r="J409" s="65"/>
      <c r="K409" s="64"/>
    </row>
    <row r="410" spans="1:11" x14ac:dyDescent="0.2">
      <c r="A410">
        <v>2018</v>
      </c>
      <c r="B410" s="34">
        <v>539</v>
      </c>
      <c r="C410" s="34" t="s">
        <v>498</v>
      </c>
      <c r="D410" s="36">
        <v>385972</v>
      </c>
      <c r="E410" s="36">
        <v>1727809</v>
      </c>
      <c r="F410" s="57"/>
      <c r="G410" s="57"/>
      <c r="H410" s="65"/>
      <c r="I410" s="64"/>
      <c r="J410" s="65"/>
      <c r="K410" s="64"/>
    </row>
    <row r="411" spans="1:11" x14ac:dyDescent="0.2">
      <c r="A411">
        <v>2018</v>
      </c>
      <c r="B411" s="34">
        <v>540</v>
      </c>
      <c r="C411" s="34" t="s">
        <v>499</v>
      </c>
      <c r="D411" s="36">
        <v>792754</v>
      </c>
      <c r="E411" s="36">
        <v>5409648</v>
      </c>
      <c r="F411" s="57"/>
      <c r="G411" s="57"/>
      <c r="H411" s="65"/>
      <c r="I411" s="64"/>
      <c r="J411" s="65"/>
      <c r="K411" s="64"/>
    </row>
    <row r="412" spans="1:11" x14ac:dyDescent="0.2">
      <c r="A412">
        <v>2018</v>
      </c>
      <c r="B412" s="34">
        <v>541</v>
      </c>
      <c r="C412" s="34" t="s">
        <v>500</v>
      </c>
      <c r="D412" s="36">
        <v>32647</v>
      </c>
      <c r="E412" s="36">
        <v>248007</v>
      </c>
      <c r="F412" s="57"/>
      <c r="G412" s="57"/>
      <c r="H412" s="65"/>
      <c r="I412" s="64"/>
      <c r="J412" s="65"/>
      <c r="K412" s="64"/>
    </row>
    <row r="413" spans="1:11" x14ac:dyDescent="0.2">
      <c r="A413">
        <v>2018</v>
      </c>
      <c r="B413" s="34">
        <v>542</v>
      </c>
      <c r="C413" s="34" t="s">
        <v>501</v>
      </c>
      <c r="D413" s="36">
        <v>5833</v>
      </c>
      <c r="E413" s="36">
        <v>41643</v>
      </c>
      <c r="F413" s="57"/>
      <c r="G413" s="57"/>
      <c r="H413" s="65"/>
      <c r="I413" s="64"/>
      <c r="J413" s="65"/>
      <c r="K413" s="64"/>
    </row>
    <row r="414" spans="1:11" x14ac:dyDescent="0.2">
      <c r="A414">
        <v>2018</v>
      </c>
      <c r="B414" s="34">
        <v>544</v>
      </c>
      <c r="C414" s="34" t="s">
        <v>502</v>
      </c>
      <c r="D414" s="36">
        <v>34831</v>
      </c>
      <c r="E414" s="36">
        <v>262054</v>
      </c>
      <c r="F414" s="57"/>
      <c r="G414" s="57"/>
      <c r="H414" s="65"/>
      <c r="I414" s="64"/>
      <c r="J414" s="65"/>
      <c r="K414" s="64"/>
    </row>
    <row r="415" spans="1:11" x14ac:dyDescent="0.2">
      <c r="A415">
        <v>2018</v>
      </c>
      <c r="B415" s="34">
        <v>545</v>
      </c>
      <c r="C415" s="34" t="s">
        <v>503</v>
      </c>
      <c r="D415" s="36">
        <v>37173</v>
      </c>
      <c r="E415" s="36">
        <v>317325</v>
      </c>
      <c r="F415" s="57"/>
      <c r="G415" s="57"/>
      <c r="H415" s="65"/>
      <c r="I415" s="64"/>
      <c r="J415" s="65"/>
      <c r="K415" s="64"/>
    </row>
    <row r="416" spans="1:11" x14ac:dyDescent="0.2">
      <c r="A416">
        <v>2018</v>
      </c>
      <c r="B416" s="34">
        <v>546</v>
      </c>
      <c r="C416" s="34" t="s">
        <v>665</v>
      </c>
      <c r="D416" s="36">
        <v>312677</v>
      </c>
      <c r="E416" s="36">
        <v>2150707</v>
      </c>
      <c r="F416" s="57"/>
      <c r="G416" s="57"/>
      <c r="H416" s="65"/>
      <c r="I416" s="64"/>
      <c r="J416" s="65"/>
      <c r="K416" s="64"/>
    </row>
    <row r="417" spans="1:11" x14ac:dyDescent="0.2">
      <c r="A417">
        <v>2018</v>
      </c>
      <c r="B417" s="34">
        <v>547</v>
      </c>
      <c r="C417" s="34" t="s">
        <v>505</v>
      </c>
      <c r="D417" s="36">
        <v>227994</v>
      </c>
      <c r="E417" s="36">
        <v>1586610</v>
      </c>
      <c r="F417" s="57"/>
      <c r="G417" s="57"/>
      <c r="H417" s="65"/>
      <c r="I417" s="64"/>
      <c r="J417" s="65"/>
      <c r="K417" s="64"/>
    </row>
    <row r="418" spans="1:11" x14ac:dyDescent="0.2">
      <c r="A418">
        <v>2018</v>
      </c>
      <c r="B418" s="34">
        <v>548</v>
      </c>
      <c r="C418" s="34" t="s">
        <v>506</v>
      </c>
      <c r="D418" s="36">
        <v>112158</v>
      </c>
      <c r="E418" s="36">
        <v>754478</v>
      </c>
      <c r="F418" s="57"/>
      <c r="G418" s="57"/>
      <c r="H418" s="65"/>
      <c r="I418" s="64"/>
      <c r="J418" s="65"/>
      <c r="K418" s="64"/>
    </row>
    <row r="419" spans="1:11" x14ac:dyDescent="0.2">
      <c r="A419">
        <v>2018</v>
      </c>
      <c r="B419" s="34">
        <v>549</v>
      </c>
      <c r="C419" s="34" t="s">
        <v>507</v>
      </c>
      <c r="D419" s="36">
        <v>54343</v>
      </c>
      <c r="E419" s="36">
        <v>342031</v>
      </c>
      <c r="F419" s="57"/>
      <c r="G419" s="57"/>
      <c r="H419" s="65"/>
      <c r="I419" s="64"/>
      <c r="J419" s="65"/>
      <c r="K419" s="64"/>
    </row>
    <row r="420" spans="1:11" x14ac:dyDescent="0.2">
      <c r="A420">
        <v>2018</v>
      </c>
      <c r="B420" s="34">
        <v>550</v>
      </c>
      <c r="C420" s="34" t="s">
        <v>508</v>
      </c>
      <c r="D420" s="36">
        <v>417789</v>
      </c>
      <c r="E420" s="36">
        <v>2622866</v>
      </c>
      <c r="F420" s="57"/>
      <c r="G420" s="57"/>
      <c r="H420" s="65"/>
      <c r="I420" s="64"/>
      <c r="J420" s="65"/>
      <c r="K420" s="64"/>
    </row>
    <row r="421" spans="1:11" x14ac:dyDescent="0.2">
      <c r="A421">
        <v>2018</v>
      </c>
      <c r="B421" s="34">
        <v>557</v>
      </c>
      <c r="C421" s="34" t="s">
        <v>509</v>
      </c>
      <c r="D421" s="36">
        <v>234965</v>
      </c>
      <c r="E421" s="36">
        <v>1689327</v>
      </c>
      <c r="F421" s="57"/>
      <c r="G421" s="57"/>
      <c r="H421" s="65"/>
      <c r="I421" s="64"/>
      <c r="J421" s="65"/>
      <c r="K421" s="64"/>
    </row>
    <row r="422" spans="1:11" x14ac:dyDescent="0.2">
      <c r="A422">
        <v>2018</v>
      </c>
      <c r="B422" s="34">
        <v>559</v>
      </c>
      <c r="C422" s="34" t="s">
        <v>666</v>
      </c>
      <c r="D422" s="36">
        <v>2232998</v>
      </c>
      <c r="E422" s="36">
        <v>14025948</v>
      </c>
      <c r="F422" s="57"/>
      <c r="G422" s="57"/>
      <c r="H422" s="65"/>
      <c r="I422" s="64"/>
      <c r="J422" s="65"/>
      <c r="K422" s="64"/>
    </row>
    <row r="423" spans="1:11" x14ac:dyDescent="0.2">
      <c r="A423">
        <v>2018</v>
      </c>
      <c r="B423" s="34">
        <v>560</v>
      </c>
      <c r="C423" s="34" t="s">
        <v>667</v>
      </c>
      <c r="D423" s="36">
        <v>1654141</v>
      </c>
      <c r="E423" s="36">
        <v>9558949</v>
      </c>
      <c r="F423" s="57"/>
      <c r="G423" s="57"/>
      <c r="H423" s="65"/>
      <c r="I423" s="64"/>
      <c r="J423" s="65"/>
      <c r="K423" s="64"/>
    </row>
    <row r="424" spans="1:11" x14ac:dyDescent="0.2">
      <c r="A424">
        <v>2018</v>
      </c>
      <c r="B424" s="34">
        <v>561</v>
      </c>
      <c r="C424" s="34" t="s">
        <v>512</v>
      </c>
      <c r="D424" s="36">
        <v>1232198</v>
      </c>
      <c r="E424" s="36">
        <v>6227269</v>
      </c>
      <c r="F424" s="57"/>
      <c r="G424" s="57"/>
      <c r="H424" s="65"/>
      <c r="I424" s="64"/>
      <c r="J424" s="65"/>
      <c r="K424" s="64"/>
    </row>
    <row r="425" spans="1:11" x14ac:dyDescent="0.2">
      <c r="A425">
        <v>2018</v>
      </c>
      <c r="B425" s="34">
        <v>562</v>
      </c>
      <c r="C425" s="34" t="s">
        <v>513</v>
      </c>
      <c r="D425" s="36">
        <v>3048347</v>
      </c>
      <c r="E425" s="36">
        <v>18270766</v>
      </c>
      <c r="F425" s="57"/>
      <c r="G425" s="57"/>
      <c r="H425" s="65"/>
      <c r="I425" s="64"/>
      <c r="J425" s="65"/>
      <c r="K425" s="64"/>
    </row>
    <row r="426" spans="1:11" x14ac:dyDescent="0.2">
      <c r="A426">
        <v>2018</v>
      </c>
      <c r="B426" s="34">
        <v>563</v>
      </c>
      <c r="C426" s="34" t="s">
        <v>514</v>
      </c>
      <c r="D426" s="36">
        <v>784520</v>
      </c>
      <c r="E426" s="36">
        <v>5450219</v>
      </c>
      <c r="F426" s="57"/>
      <c r="G426" s="57"/>
      <c r="H426" s="65"/>
      <c r="I426" s="64"/>
      <c r="J426" s="65"/>
      <c r="K426" s="64"/>
    </row>
    <row r="427" spans="1:11" x14ac:dyDescent="0.2">
      <c r="A427">
        <v>2018</v>
      </c>
      <c r="B427" s="34">
        <v>564</v>
      </c>
      <c r="C427" s="34" t="s">
        <v>515</v>
      </c>
      <c r="D427" s="36">
        <v>681060</v>
      </c>
      <c r="E427" s="36">
        <v>5000461</v>
      </c>
      <c r="F427" s="57"/>
      <c r="G427" s="57"/>
      <c r="H427" s="65"/>
      <c r="I427" s="64"/>
      <c r="J427" s="65"/>
      <c r="K427" s="64"/>
    </row>
    <row r="428" spans="1:11" x14ac:dyDescent="0.2">
      <c r="A428">
        <v>2018</v>
      </c>
      <c r="B428" s="34">
        <v>565</v>
      </c>
      <c r="C428" s="34" t="s">
        <v>516</v>
      </c>
      <c r="D428" s="36">
        <v>1105916</v>
      </c>
      <c r="E428" s="36">
        <v>7736184</v>
      </c>
      <c r="F428" s="57"/>
      <c r="G428" s="57"/>
      <c r="H428" s="65"/>
      <c r="I428" s="64"/>
      <c r="J428" s="65"/>
      <c r="K428" s="64"/>
    </row>
    <row r="429" spans="1:11" x14ac:dyDescent="0.2">
      <c r="A429">
        <v>2018</v>
      </c>
      <c r="B429" s="34">
        <v>566</v>
      </c>
      <c r="C429" s="34" t="s">
        <v>517</v>
      </c>
      <c r="D429" s="36">
        <v>294260</v>
      </c>
      <c r="E429" s="36">
        <v>2084364</v>
      </c>
      <c r="F429" s="57"/>
      <c r="G429" s="57"/>
      <c r="H429" s="65"/>
      <c r="I429" s="64"/>
      <c r="J429" s="65"/>
      <c r="K429" s="64"/>
    </row>
    <row r="430" spans="1:11" x14ac:dyDescent="0.2">
      <c r="A430">
        <v>2018</v>
      </c>
      <c r="B430" s="34">
        <v>567</v>
      </c>
      <c r="C430" s="34" t="s">
        <v>518</v>
      </c>
      <c r="D430" s="36">
        <v>132215</v>
      </c>
      <c r="E430" s="36">
        <v>1265788</v>
      </c>
      <c r="F430" s="57"/>
      <c r="G430" s="57"/>
      <c r="H430" s="65"/>
      <c r="I430" s="64"/>
      <c r="J430" s="65"/>
      <c r="K430" s="64"/>
    </row>
    <row r="431" spans="1:11" x14ac:dyDescent="0.2">
      <c r="A431">
        <v>2018</v>
      </c>
      <c r="B431" s="34">
        <v>569</v>
      </c>
      <c r="C431" s="34" t="s">
        <v>519</v>
      </c>
      <c r="D431" s="36">
        <v>181656</v>
      </c>
      <c r="E431" s="36">
        <v>1100373</v>
      </c>
      <c r="F431" s="57"/>
      <c r="G431" s="57"/>
      <c r="H431" s="65"/>
      <c r="I431" s="64"/>
      <c r="J431" s="65"/>
      <c r="K431" s="64"/>
    </row>
    <row r="432" spans="1:11" x14ac:dyDescent="0.2">
      <c r="A432">
        <v>2018</v>
      </c>
      <c r="B432" s="34">
        <v>570</v>
      </c>
      <c r="C432" s="34" t="s">
        <v>520</v>
      </c>
      <c r="D432" s="36">
        <v>567941</v>
      </c>
      <c r="E432" s="36">
        <v>3843008</v>
      </c>
      <c r="F432" s="57"/>
      <c r="G432" s="57"/>
      <c r="H432" s="65"/>
      <c r="I432" s="64"/>
      <c r="J432" s="65"/>
      <c r="K432" s="64"/>
    </row>
    <row r="433" spans="1:11" x14ac:dyDescent="0.2">
      <c r="A433">
        <v>2018</v>
      </c>
      <c r="B433" s="34">
        <v>571</v>
      </c>
      <c r="C433" s="34" t="s">
        <v>389</v>
      </c>
      <c r="D433" s="36">
        <v>150793</v>
      </c>
      <c r="E433" s="36">
        <v>1322332</v>
      </c>
      <c r="F433" s="57"/>
      <c r="G433" s="57"/>
      <c r="H433" s="65"/>
      <c r="I433" s="64"/>
      <c r="J433" s="65"/>
      <c r="K433" s="64"/>
    </row>
    <row r="434" spans="1:11" x14ac:dyDescent="0.2">
      <c r="A434">
        <v>2018</v>
      </c>
      <c r="B434" s="34">
        <v>572</v>
      </c>
      <c r="C434" s="34" t="s">
        <v>390</v>
      </c>
      <c r="D434" s="36">
        <v>301652</v>
      </c>
      <c r="E434" s="36">
        <v>1987297</v>
      </c>
      <c r="F434" s="57"/>
      <c r="G434" s="57"/>
      <c r="H434" s="65"/>
      <c r="I434" s="64"/>
      <c r="J434" s="65"/>
      <c r="K434" s="64"/>
    </row>
    <row r="435" spans="1:11" x14ac:dyDescent="0.2">
      <c r="A435">
        <v>2018</v>
      </c>
      <c r="B435" s="34">
        <v>574</v>
      </c>
      <c r="C435" s="34" t="s">
        <v>391</v>
      </c>
      <c r="D435" s="36">
        <v>230682</v>
      </c>
      <c r="E435" s="36">
        <v>1349972</v>
      </c>
      <c r="F435" s="57"/>
      <c r="G435" s="57"/>
      <c r="H435" s="65"/>
      <c r="I435" s="64"/>
      <c r="J435" s="65"/>
      <c r="K435" s="64"/>
    </row>
    <row r="436" spans="1:11" x14ac:dyDescent="0.2">
      <c r="A436">
        <v>2018</v>
      </c>
      <c r="B436" s="34">
        <v>575</v>
      </c>
      <c r="C436" s="34" t="s">
        <v>668</v>
      </c>
      <c r="D436" s="36">
        <v>558138</v>
      </c>
      <c r="E436" s="36">
        <v>2480140</v>
      </c>
      <c r="F436" s="57"/>
      <c r="G436" s="57"/>
      <c r="H436" s="65"/>
      <c r="I436" s="64"/>
      <c r="J436" s="65"/>
      <c r="K436" s="64"/>
    </row>
    <row r="437" spans="1:11" x14ac:dyDescent="0.2">
      <c r="A437">
        <v>2018</v>
      </c>
      <c r="B437" s="34">
        <v>576</v>
      </c>
      <c r="C437" s="34" t="s">
        <v>393</v>
      </c>
      <c r="D437" s="36">
        <v>603174</v>
      </c>
      <c r="E437" s="36">
        <v>5025074</v>
      </c>
      <c r="F437" s="57"/>
      <c r="G437" s="57"/>
      <c r="H437" s="65"/>
      <c r="I437" s="64"/>
      <c r="J437" s="65"/>
      <c r="K437" s="64"/>
    </row>
    <row r="438" spans="1:11" x14ac:dyDescent="0.2">
      <c r="A438">
        <v>2018</v>
      </c>
      <c r="B438" s="34">
        <v>577</v>
      </c>
      <c r="C438" s="34" t="s">
        <v>394</v>
      </c>
      <c r="D438" s="36">
        <v>697309</v>
      </c>
      <c r="E438" s="36">
        <v>3754751</v>
      </c>
      <c r="F438" s="57"/>
      <c r="G438" s="57"/>
      <c r="H438" s="65"/>
      <c r="I438" s="64"/>
      <c r="J438" s="65"/>
      <c r="K438" s="64"/>
    </row>
    <row r="439" spans="1:11" x14ac:dyDescent="0.2">
      <c r="A439">
        <v>2018</v>
      </c>
      <c r="B439" s="34">
        <v>578</v>
      </c>
      <c r="C439" s="34" t="s">
        <v>395</v>
      </c>
      <c r="D439" s="36">
        <v>105800</v>
      </c>
      <c r="E439" s="36">
        <v>963080</v>
      </c>
      <c r="F439" s="57"/>
      <c r="G439" s="57"/>
      <c r="H439" s="65"/>
      <c r="I439" s="64"/>
      <c r="J439" s="65"/>
      <c r="K439" s="64"/>
    </row>
    <row r="440" spans="1:11" x14ac:dyDescent="0.2">
      <c r="A440">
        <v>2018</v>
      </c>
      <c r="B440" s="34">
        <v>580</v>
      </c>
      <c r="C440" s="34" t="s">
        <v>396</v>
      </c>
      <c r="D440" s="36">
        <v>385994</v>
      </c>
      <c r="E440" s="36">
        <v>2761030</v>
      </c>
      <c r="F440" s="57"/>
      <c r="G440" s="57"/>
      <c r="H440" s="65"/>
      <c r="I440" s="64"/>
      <c r="J440" s="65"/>
      <c r="K440" s="64"/>
    </row>
    <row r="441" spans="1:11" x14ac:dyDescent="0.2">
      <c r="A441">
        <v>2018</v>
      </c>
      <c r="B441" s="34">
        <v>581</v>
      </c>
      <c r="C441" s="34" t="s">
        <v>397</v>
      </c>
      <c r="D441" s="36">
        <v>567859</v>
      </c>
      <c r="E441" s="36">
        <v>4422037</v>
      </c>
      <c r="F441" s="57"/>
      <c r="G441" s="57"/>
      <c r="H441" s="65"/>
      <c r="I441" s="64"/>
      <c r="J441" s="65"/>
      <c r="K441" s="64"/>
    </row>
    <row r="442" spans="1:11" x14ac:dyDescent="0.2">
      <c r="A442">
        <v>2018</v>
      </c>
      <c r="B442" s="34">
        <v>582</v>
      </c>
      <c r="C442" s="34" t="s">
        <v>398</v>
      </c>
      <c r="D442" s="36">
        <v>400261</v>
      </c>
      <c r="E442" s="36">
        <v>4619711</v>
      </c>
      <c r="F442" s="57"/>
      <c r="G442" s="57"/>
      <c r="H442" s="65"/>
      <c r="I442" s="64"/>
      <c r="J442" s="65"/>
      <c r="K442" s="64"/>
    </row>
    <row r="443" spans="1:11" x14ac:dyDescent="0.2">
      <c r="A443">
        <v>2018</v>
      </c>
      <c r="B443" s="34">
        <v>583</v>
      </c>
      <c r="C443" s="34" t="s">
        <v>399</v>
      </c>
      <c r="D443" s="36">
        <v>2721961</v>
      </c>
      <c r="E443" s="36">
        <v>18091793</v>
      </c>
      <c r="F443" s="57"/>
      <c r="G443" s="57"/>
      <c r="H443" s="65"/>
      <c r="I443" s="64"/>
      <c r="J443" s="65"/>
      <c r="K443" s="64"/>
    </row>
    <row r="444" spans="1:11" x14ac:dyDescent="0.2">
      <c r="A444">
        <v>2018</v>
      </c>
      <c r="B444" s="34">
        <v>584</v>
      </c>
      <c r="C444" s="34" t="s">
        <v>400</v>
      </c>
      <c r="D444" s="36">
        <v>7132493</v>
      </c>
      <c r="E444" s="36">
        <v>28511279</v>
      </c>
      <c r="F444" s="57"/>
      <c r="G444" s="57"/>
      <c r="H444" s="65"/>
      <c r="I444" s="64"/>
      <c r="J444" s="65"/>
      <c r="K444" s="64"/>
    </row>
    <row r="445" spans="1:11" x14ac:dyDescent="0.2">
      <c r="A445">
        <v>2018</v>
      </c>
      <c r="B445" s="34">
        <v>586</v>
      </c>
      <c r="C445" s="34" t="s">
        <v>401</v>
      </c>
      <c r="D445" s="36">
        <v>12299</v>
      </c>
      <c r="E445" s="36">
        <v>73410</v>
      </c>
      <c r="F445" s="57"/>
      <c r="G445" s="57"/>
      <c r="H445" s="65"/>
      <c r="I445" s="64"/>
      <c r="J445" s="65"/>
      <c r="K445" s="64"/>
    </row>
    <row r="446" spans="1:11" x14ac:dyDescent="0.2">
      <c r="A446">
        <v>2018</v>
      </c>
      <c r="B446" s="34">
        <v>588</v>
      </c>
      <c r="C446" s="34" t="s">
        <v>402</v>
      </c>
      <c r="D446" s="36">
        <v>7563</v>
      </c>
      <c r="E446" s="36">
        <v>45930</v>
      </c>
      <c r="F446" s="57"/>
      <c r="G446" s="57"/>
      <c r="H446" s="65"/>
      <c r="I446" s="64"/>
      <c r="J446" s="65"/>
      <c r="K446" s="64"/>
    </row>
    <row r="447" spans="1:11" x14ac:dyDescent="0.2">
      <c r="A447">
        <v>2018</v>
      </c>
      <c r="B447" s="34">
        <v>589</v>
      </c>
      <c r="C447" s="34" t="s">
        <v>403</v>
      </c>
      <c r="D447" s="36">
        <v>15932</v>
      </c>
      <c r="E447" s="36">
        <v>106703</v>
      </c>
      <c r="F447" s="57"/>
      <c r="G447" s="57"/>
      <c r="H447" s="65"/>
      <c r="I447" s="64"/>
      <c r="J447" s="65"/>
      <c r="K447" s="64"/>
    </row>
    <row r="448" spans="1:11" x14ac:dyDescent="0.2">
      <c r="A448">
        <v>2018</v>
      </c>
      <c r="B448" s="34">
        <v>590</v>
      </c>
      <c r="C448" s="34" t="s">
        <v>669</v>
      </c>
      <c r="D448" s="36">
        <v>34312</v>
      </c>
      <c r="E448" s="36">
        <v>296610</v>
      </c>
      <c r="F448" s="57"/>
      <c r="G448" s="57"/>
      <c r="H448" s="65"/>
      <c r="I448" s="64"/>
      <c r="J448" s="65"/>
      <c r="K448" s="64"/>
    </row>
    <row r="449" spans="1:11" x14ac:dyDescent="0.2">
      <c r="A449">
        <v>2018</v>
      </c>
      <c r="B449" s="34">
        <v>592</v>
      </c>
      <c r="C449" s="34" t="s">
        <v>404</v>
      </c>
      <c r="D449" s="36">
        <v>9285</v>
      </c>
      <c r="E449" s="36">
        <v>45958</v>
      </c>
      <c r="F449" s="57"/>
      <c r="G449" s="57"/>
      <c r="H449" s="65"/>
      <c r="I449" s="64"/>
      <c r="J449" s="65"/>
      <c r="K449" s="64"/>
    </row>
    <row r="450" spans="1:11" x14ac:dyDescent="0.2">
      <c r="A450">
        <v>2018</v>
      </c>
      <c r="B450" s="34">
        <v>596</v>
      </c>
      <c r="C450" s="34" t="s">
        <v>405</v>
      </c>
      <c r="D450" s="36">
        <v>5221</v>
      </c>
      <c r="E450" s="36">
        <v>36038</v>
      </c>
      <c r="F450" s="57"/>
      <c r="G450" s="57"/>
      <c r="H450" s="65"/>
      <c r="I450" s="64"/>
      <c r="J450" s="65"/>
      <c r="K450" s="64"/>
    </row>
    <row r="451" spans="1:11" x14ac:dyDescent="0.2">
      <c r="A451">
        <v>2018</v>
      </c>
      <c r="B451" s="34">
        <v>597</v>
      </c>
      <c r="C451" s="34" t="s">
        <v>406</v>
      </c>
      <c r="D451" s="36">
        <v>228075</v>
      </c>
      <c r="E451" s="36">
        <v>1738040</v>
      </c>
      <c r="F451" s="57"/>
      <c r="G451" s="57"/>
      <c r="H451" s="65"/>
      <c r="I451" s="64"/>
      <c r="J451" s="65"/>
      <c r="K451" s="64"/>
    </row>
    <row r="452" spans="1:11" x14ac:dyDescent="0.2">
      <c r="A452">
        <v>2018</v>
      </c>
      <c r="B452" s="34">
        <v>598</v>
      </c>
      <c r="C452" s="34" t="s">
        <v>407</v>
      </c>
      <c r="D452" s="36">
        <v>42806</v>
      </c>
      <c r="E452" s="36">
        <v>246772</v>
      </c>
      <c r="F452" s="57"/>
      <c r="G452" s="57"/>
      <c r="H452" s="65"/>
      <c r="I452" s="64"/>
      <c r="J452" s="65"/>
      <c r="K452" s="64"/>
    </row>
    <row r="453" spans="1:11" x14ac:dyDescent="0.2">
      <c r="A453">
        <v>2018</v>
      </c>
      <c r="B453" s="34">
        <v>601</v>
      </c>
      <c r="C453" s="34" t="s">
        <v>408</v>
      </c>
      <c r="D453" s="36">
        <v>49732</v>
      </c>
      <c r="E453" s="36">
        <v>400116</v>
      </c>
      <c r="F453" s="57"/>
      <c r="G453" s="57"/>
      <c r="H453" s="65"/>
      <c r="I453" s="64"/>
      <c r="J453" s="65"/>
      <c r="K453" s="64"/>
    </row>
    <row r="454" spans="1:11" x14ac:dyDescent="0.2">
      <c r="A454">
        <v>2018</v>
      </c>
      <c r="B454" s="34">
        <v>602</v>
      </c>
      <c r="C454" s="34" t="s">
        <v>409</v>
      </c>
      <c r="D454" s="36">
        <v>76185</v>
      </c>
      <c r="E454" s="36">
        <v>423067</v>
      </c>
      <c r="F454" s="57"/>
      <c r="G454" s="57"/>
      <c r="H454" s="65"/>
      <c r="I454" s="64"/>
      <c r="J454" s="65"/>
      <c r="K454" s="64"/>
    </row>
    <row r="455" spans="1:11" x14ac:dyDescent="0.2">
      <c r="A455">
        <v>2018</v>
      </c>
      <c r="B455" s="34">
        <v>603</v>
      </c>
      <c r="C455" s="34" t="s">
        <v>410</v>
      </c>
      <c r="F455" s="57"/>
      <c r="G455" s="57"/>
      <c r="H455" s="57"/>
      <c r="I455" s="64"/>
      <c r="J455" s="57"/>
      <c r="K455" s="64"/>
    </row>
    <row r="456" spans="1:11" x14ac:dyDescent="0.2">
      <c r="A456">
        <v>2018</v>
      </c>
      <c r="B456" s="34">
        <v>607</v>
      </c>
      <c r="C456" s="34" t="s">
        <v>411</v>
      </c>
      <c r="D456" s="36">
        <v>63533</v>
      </c>
      <c r="E456" s="36">
        <v>610522</v>
      </c>
      <c r="F456" s="57"/>
      <c r="G456" s="57"/>
      <c r="H456" s="65"/>
      <c r="I456" s="64"/>
      <c r="J456" s="65"/>
      <c r="K456" s="64"/>
    </row>
    <row r="457" spans="1:11" x14ac:dyDescent="0.2">
      <c r="A457">
        <v>2018</v>
      </c>
      <c r="B457" s="34">
        <v>608</v>
      </c>
      <c r="C457" s="34" t="s">
        <v>412</v>
      </c>
      <c r="D457" s="36">
        <v>49673</v>
      </c>
      <c r="E457" s="36">
        <v>383981</v>
      </c>
      <c r="F457" s="57"/>
      <c r="G457" s="57"/>
      <c r="H457" s="65"/>
      <c r="I457" s="64"/>
      <c r="J457" s="65"/>
      <c r="K457" s="64"/>
    </row>
    <row r="458" spans="1:11" x14ac:dyDescent="0.2">
      <c r="A458">
        <v>2018</v>
      </c>
      <c r="B458" s="34">
        <v>609</v>
      </c>
      <c r="C458" s="34" t="s">
        <v>413</v>
      </c>
      <c r="D458" s="36">
        <v>19589</v>
      </c>
      <c r="E458" s="36">
        <v>227368</v>
      </c>
      <c r="F458" s="57"/>
      <c r="G458" s="57"/>
      <c r="H458" s="65"/>
      <c r="I458" s="64"/>
      <c r="J458" s="65"/>
      <c r="K458" s="64"/>
    </row>
    <row r="459" spans="1:11" x14ac:dyDescent="0.2">
      <c r="A459">
        <v>2018</v>
      </c>
      <c r="B459" s="34">
        <v>610</v>
      </c>
      <c r="C459" s="34" t="s">
        <v>414</v>
      </c>
      <c r="D459" s="36">
        <v>66410</v>
      </c>
      <c r="E459" s="36">
        <v>598923</v>
      </c>
      <c r="F459" s="57"/>
      <c r="G459" s="57"/>
      <c r="H459" s="65"/>
      <c r="I459" s="64"/>
      <c r="J459" s="65"/>
      <c r="K459" s="64"/>
    </row>
    <row r="460" spans="1:11" x14ac:dyDescent="0.2">
      <c r="A460">
        <v>2018</v>
      </c>
      <c r="B460" s="34">
        <v>611</v>
      </c>
      <c r="C460" s="34" t="s">
        <v>415</v>
      </c>
      <c r="D460" s="36">
        <v>26912</v>
      </c>
      <c r="E460" s="36">
        <v>236363</v>
      </c>
      <c r="F460" s="57"/>
      <c r="G460" s="57"/>
      <c r="H460" s="65"/>
      <c r="I460" s="64"/>
      <c r="J460" s="65"/>
      <c r="K460" s="64"/>
    </row>
    <row r="461" spans="1:11" x14ac:dyDescent="0.2">
      <c r="A461">
        <v>2018</v>
      </c>
      <c r="B461" s="34">
        <v>612</v>
      </c>
      <c r="C461" s="34" t="s">
        <v>416</v>
      </c>
      <c r="D461" s="36">
        <v>303420</v>
      </c>
      <c r="E461" s="36">
        <v>2473474</v>
      </c>
      <c r="F461" s="57"/>
      <c r="G461" s="57"/>
      <c r="H461" s="65"/>
      <c r="I461" s="64"/>
      <c r="J461" s="65"/>
      <c r="K461" s="64"/>
    </row>
    <row r="462" spans="1:11" x14ac:dyDescent="0.2">
      <c r="A462">
        <v>2018</v>
      </c>
      <c r="B462" s="34">
        <v>613</v>
      </c>
      <c r="C462" s="34" t="s">
        <v>417</v>
      </c>
      <c r="D462" s="36">
        <v>12231</v>
      </c>
      <c r="E462" s="36">
        <v>103069</v>
      </c>
      <c r="F462" s="57"/>
      <c r="G462" s="57"/>
      <c r="H462" s="65"/>
      <c r="I462" s="64"/>
      <c r="J462" s="65"/>
      <c r="K462" s="64"/>
    </row>
    <row r="463" spans="1:11" x14ac:dyDescent="0.2">
      <c r="A463">
        <v>2018</v>
      </c>
      <c r="B463" s="34">
        <v>614</v>
      </c>
      <c r="C463" s="34" t="s">
        <v>418</v>
      </c>
      <c r="D463" s="36">
        <v>36588</v>
      </c>
      <c r="E463" s="36">
        <v>176290</v>
      </c>
      <c r="F463" s="57"/>
      <c r="G463" s="57"/>
      <c r="H463" s="65"/>
      <c r="I463" s="64"/>
      <c r="J463" s="65"/>
      <c r="K463" s="64"/>
    </row>
    <row r="464" spans="1:11" x14ac:dyDescent="0.2">
      <c r="A464">
        <v>2018</v>
      </c>
      <c r="B464" s="34">
        <v>615</v>
      </c>
      <c r="C464" s="34" t="s">
        <v>419</v>
      </c>
      <c r="D464" s="36">
        <v>50683</v>
      </c>
      <c r="E464" s="36">
        <v>280816</v>
      </c>
      <c r="F464" s="57"/>
      <c r="G464" s="57"/>
      <c r="H464" s="65"/>
      <c r="I464" s="64"/>
      <c r="J464" s="65"/>
      <c r="K464" s="64"/>
    </row>
    <row r="465" spans="1:11" x14ac:dyDescent="0.2">
      <c r="A465">
        <v>2018</v>
      </c>
      <c r="B465" s="34">
        <v>617</v>
      </c>
      <c r="C465" s="34" t="s">
        <v>420</v>
      </c>
      <c r="D465" s="36">
        <v>89811</v>
      </c>
      <c r="E465" s="36">
        <v>470278</v>
      </c>
      <c r="F465" s="57"/>
      <c r="G465" s="57"/>
      <c r="H465" s="65"/>
      <c r="I465" s="64"/>
      <c r="J465" s="65"/>
      <c r="K465" s="64"/>
    </row>
    <row r="466" spans="1:11" x14ac:dyDescent="0.2">
      <c r="A466">
        <v>2018</v>
      </c>
      <c r="B466" s="34">
        <v>618</v>
      </c>
      <c r="C466" s="34" t="s">
        <v>421</v>
      </c>
      <c r="D466" s="36">
        <v>30767</v>
      </c>
      <c r="E466" s="36">
        <v>251422</v>
      </c>
      <c r="F466" s="57"/>
      <c r="G466" s="57"/>
      <c r="H466" s="65"/>
      <c r="I466" s="64"/>
      <c r="J466" s="65"/>
      <c r="K466" s="64"/>
    </row>
    <row r="467" spans="1:11" x14ac:dyDescent="0.2">
      <c r="A467">
        <v>2018</v>
      </c>
      <c r="B467" s="34">
        <v>619</v>
      </c>
      <c r="C467" s="34" t="s">
        <v>422</v>
      </c>
      <c r="D467" s="36">
        <v>41443</v>
      </c>
      <c r="E467" s="36">
        <v>226436</v>
      </c>
      <c r="F467" s="57"/>
      <c r="G467" s="57"/>
      <c r="H467" s="65"/>
      <c r="I467" s="64"/>
      <c r="J467" s="65"/>
      <c r="K467" s="64"/>
    </row>
    <row r="468" spans="1:11" x14ac:dyDescent="0.2">
      <c r="A468">
        <v>2018</v>
      </c>
      <c r="B468" s="34">
        <v>620</v>
      </c>
      <c r="C468" s="34" t="s">
        <v>423</v>
      </c>
      <c r="D468" s="36">
        <v>31238</v>
      </c>
      <c r="E468" s="36">
        <v>199764</v>
      </c>
      <c r="F468" s="57"/>
      <c r="G468" s="57"/>
      <c r="H468" s="65"/>
      <c r="I468" s="64"/>
      <c r="J468" s="65"/>
      <c r="K468" s="64"/>
    </row>
    <row r="469" spans="1:11" x14ac:dyDescent="0.2">
      <c r="A469">
        <v>2018</v>
      </c>
      <c r="B469" s="34">
        <v>621</v>
      </c>
      <c r="C469" s="34" t="s">
        <v>424</v>
      </c>
      <c r="D469" s="36">
        <v>26196</v>
      </c>
      <c r="E469" s="36">
        <v>284590</v>
      </c>
      <c r="F469" s="57"/>
      <c r="G469" s="57"/>
      <c r="H469" s="65"/>
      <c r="I469" s="64"/>
      <c r="J469" s="65"/>
      <c r="K469" s="64"/>
    </row>
    <row r="470" spans="1:11" x14ac:dyDescent="0.2">
      <c r="A470">
        <v>2018</v>
      </c>
      <c r="B470" s="34">
        <v>622</v>
      </c>
      <c r="C470" s="34" t="s">
        <v>425</v>
      </c>
      <c r="D470" s="36">
        <v>78105</v>
      </c>
      <c r="E470" s="36">
        <v>477490</v>
      </c>
      <c r="F470" s="57"/>
      <c r="G470" s="57"/>
      <c r="H470" s="65"/>
      <c r="I470" s="64"/>
      <c r="J470" s="65"/>
      <c r="K470" s="64"/>
    </row>
    <row r="471" spans="1:11" x14ac:dyDescent="0.2">
      <c r="A471">
        <v>2018</v>
      </c>
      <c r="B471" s="34">
        <v>623</v>
      </c>
      <c r="C471" s="34" t="s">
        <v>426</v>
      </c>
      <c r="D471" s="36">
        <v>120683</v>
      </c>
      <c r="E471" s="36">
        <v>1387060</v>
      </c>
      <c r="F471" s="57"/>
      <c r="G471" s="57"/>
      <c r="H471" s="65"/>
      <c r="I471" s="64"/>
      <c r="J471" s="65"/>
      <c r="K471" s="64"/>
    </row>
    <row r="472" spans="1:11" x14ac:dyDescent="0.2">
      <c r="A472">
        <v>2018</v>
      </c>
      <c r="B472" s="34">
        <v>624</v>
      </c>
      <c r="C472" s="34" t="s">
        <v>427</v>
      </c>
      <c r="D472" s="36">
        <v>33920</v>
      </c>
      <c r="E472" s="36">
        <v>344260</v>
      </c>
      <c r="F472" s="57"/>
      <c r="G472" s="57"/>
      <c r="H472" s="65"/>
      <c r="I472" s="64"/>
      <c r="J472" s="65"/>
      <c r="K472" s="64"/>
    </row>
    <row r="473" spans="1:11" x14ac:dyDescent="0.2">
      <c r="A473">
        <v>2018</v>
      </c>
      <c r="B473" s="34">
        <v>625</v>
      </c>
      <c r="C473" s="34" t="s">
        <v>428</v>
      </c>
      <c r="D473" s="36">
        <v>53146</v>
      </c>
      <c r="E473" s="36">
        <v>410208</v>
      </c>
      <c r="F473" s="57"/>
      <c r="G473" s="57"/>
      <c r="H473" s="65"/>
      <c r="I473" s="64"/>
      <c r="J473" s="65"/>
      <c r="K473" s="64"/>
    </row>
    <row r="474" spans="1:11" x14ac:dyDescent="0.2">
      <c r="A474">
        <v>2018</v>
      </c>
      <c r="B474" s="34">
        <v>626</v>
      </c>
      <c r="C474" s="34" t="s">
        <v>429</v>
      </c>
      <c r="D474" s="36">
        <v>19515</v>
      </c>
      <c r="E474" s="36">
        <v>168801</v>
      </c>
      <c r="F474" s="57"/>
      <c r="G474" s="57"/>
      <c r="H474" s="65"/>
      <c r="I474" s="64"/>
      <c r="J474" s="65"/>
      <c r="K474" s="64"/>
    </row>
    <row r="475" spans="1:11" x14ac:dyDescent="0.2">
      <c r="A475">
        <v>2018</v>
      </c>
      <c r="B475" s="34">
        <v>627</v>
      </c>
      <c r="C475" s="34" t="s">
        <v>430</v>
      </c>
      <c r="D475" s="36">
        <v>49580</v>
      </c>
      <c r="E475" s="36">
        <v>333361</v>
      </c>
      <c r="F475" s="57"/>
      <c r="G475" s="57"/>
      <c r="H475" s="65"/>
      <c r="I475" s="64"/>
      <c r="J475" s="65"/>
      <c r="K475" s="64"/>
    </row>
    <row r="476" spans="1:11" x14ac:dyDescent="0.2">
      <c r="A476">
        <v>2018</v>
      </c>
      <c r="B476" s="34">
        <v>628</v>
      </c>
      <c r="C476" s="34" t="s">
        <v>431</v>
      </c>
      <c r="D476" s="36">
        <v>47191</v>
      </c>
      <c r="E476" s="36">
        <v>388149</v>
      </c>
      <c r="F476" s="57"/>
      <c r="G476" s="57"/>
      <c r="H476" s="65"/>
      <c r="I476" s="64"/>
      <c r="J476" s="65"/>
      <c r="K476" s="64"/>
    </row>
    <row r="477" spans="1:11" x14ac:dyDescent="0.2">
      <c r="A477">
        <v>2018</v>
      </c>
      <c r="B477" s="34">
        <v>629</v>
      </c>
      <c r="C477" s="34" t="s">
        <v>432</v>
      </c>
      <c r="D477" s="36">
        <v>259172</v>
      </c>
      <c r="E477" s="36">
        <v>1432650</v>
      </c>
      <c r="F477" s="57"/>
      <c r="G477" s="57"/>
      <c r="H477" s="65"/>
      <c r="I477" s="64"/>
      <c r="J477" s="65"/>
      <c r="K477" s="64"/>
    </row>
    <row r="478" spans="1:11" x14ac:dyDescent="0.2">
      <c r="A478">
        <v>2018</v>
      </c>
      <c r="B478" s="34">
        <v>630</v>
      </c>
      <c r="C478" s="34" t="s">
        <v>433</v>
      </c>
      <c r="D478" s="36">
        <v>116216</v>
      </c>
      <c r="E478" s="36">
        <v>539567</v>
      </c>
      <c r="F478" s="57"/>
      <c r="G478" s="57"/>
      <c r="H478" s="65"/>
      <c r="I478" s="64"/>
      <c r="J478" s="65"/>
      <c r="K478" s="64"/>
    </row>
    <row r="479" spans="1:11" x14ac:dyDescent="0.2">
      <c r="A479">
        <v>2018</v>
      </c>
      <c r="B479" s="34">
        <v>631</v>
      </c>
      <c r="C479" s="34" t="s">
        <v>434</v>
      </c>
      <c r="D479" s="36">
        <v>36649</v>
      </c>
      <c r="E479" s="36">
        <v>224451</v>
      </c>
      <c r="F479" s="57"/>
      <c r="G479" s="57"/>
      <c r="H479" s="65"/>
      <c r="I479" s="64"/>
      <c r="J479" s="65"/>
      <c r="K479" s="64"/>
    </row>
    <row r="480" spans="1:11" x14ac:dyDescent="0.2">
      <c r="A480">
        <v>2018</v>
      </c>
      <c r="B480" s="34">
        <v>632</v>
      </c>
      <c r="C480" s="34" t="s">
        <v>435</v>
      </c>
      <c r="D480" s="36">
        <v>21176</v>
      </c>
      <c r="E480" s="36">
        <v>108739</v>
      </c>
      <c r="F480" s="57"/>
      <c r="G480" s="57"/>
      <c r="H480" s="65"/>
      <c r="I480" s="64"/>
      <c r="J480" s="65"/>
      <c r="K480" s="64"/>
    </row>
    <row r="481" spans="1:11" x14ac:dyDescent="0.2">
      <c r="A481">
        <v>2018</v>
      </c>
      <c r="B481" s="34">
        <v>633</v>
      </c>
      <c r="C481" s="34" t="s">
        <v>436</v>
      </c>
      <c r="D481" s="36">
        <v>68335</v>
      </c>
      <c r="E481" s="36">
        <v>455797</v>
      </c>
      <c r="F481" s="57"/>
      <c r="G481" s="57"/>
      <c r="H481" s="65"/>
      <c r="I481" s="64"/>
      <c r="J481" s="65"/>
      <c r="K481" s="64"/>
    </row>
    <row r="482" spans="1:11" x14ac:dyDescent="0.2">
      <c r="A482">
        <v>2018</v>
      </c>
      <c r="B482" s="34">
        <v>634</v>
      </c>
      <c r="C482" s="34" t="s">
        <v>437</v>
      </c>
      <c r="D482" s="36">
        <v>27455</v>
      </c>
      <c r="E482" s="36">
        <v>174022</v>
      </c>
      <c r="F482" s="57"/>
      <c r="G482" s="57"/>
      <c r="H482" s="65"/>
      <c r="I482" s="64"/>
      <c r="J482" s="65"/>
      <c r="K482" s="64"/>
    </row>
    <row r="483" spans="1:11" x14ac:dyDescent="0.2">
      <c r="A483">
        <v>2018</v>
      </c>
      <c r="B483" s="34">
        <v>635</v>
      </c>
      <c r="C483" s="34" t="s">
        <v>438</v>
      </c>
      <c r="D483" s="36">
        <v>26059</v>
      </c>
      <c r="E483" s="36">
        <v>121884</v>
      </c>
      <c r="F483" s="57"/>
      <c r="G483" s="57"/>
      <c r="H483" s="65"/>
      <c r="I483" s="64"/>
      <c r="J483" s="65"/>
      <c r="K483" s="64"/>
    </row>
    <row r="484" spans="1:11" x14ac:dyDescent="0.2">
      <c r="A484">
        <v>2018</v>
      </c>
      <c r="B484" s="34">
        <v>636</v>
      </c>
      <c r="C484" s="34" t="s">
        <v>439</v>
      </c>
      <c r="D484" s="36">
        <v>123718</v>
      </c>
      <c r="E484" s="36">
        <v>822050</v>
      </c>
      <c r="F484" s="57"/>
      <c r="G484" s="57"/>
      <c r="H484" s="65"/>
      <c r="I484" s="64"/>
      <c r="J484" s="65"/>
      <c r="K484" s="64"/>
    </row>
    <row r="485" spans="1:11" x14ac:dyDescent="0.2">
      <c r="A485">
        <v>2018</v>
      </c>
      <c r="B485" s="34">
        <v>637</v>
      </c>
      <c r="C485" s="34" t="s">
        <v>440</v>
      </c>
      <c r="D485" s="36">
        <v>606954</v>
      </c>
      <c r="E485" s="36">
        <v>3084932</v>
      </c>
      <c r="F485" s="57"/>
      <c r="G485" s="57"/>
      <c r="H485" s="65"/>
      <c r="I485" s="64"/>
      <c r="J485" s="65"/>
      <c r="K485" s="64"/>
    </row>
    <row r="486" spans="1:11" x14ac:dyDescent="0.2">
      <c r="A486">
        <v>2018</v>
      </c>
      <c r="B486" s="34">
        <v>638</v>
      </c>
      <c r="C486" s="34" t="s">
        <v>441</v>
      </c>
      <c r="D486" s="36">
        <v>198998</v>
      </c>
      <c r="E486" s="36">
        <v>969904</v>
      </c>
      <c r="F486" s="57"/>
      <c r="G486" s="57"/>
      <c r="H486" s="65"/>
      <c r="I486" s="64"/>
      <c r="J486" s="65"/>
      <c r="K486" s="64"/>
    </row>
    <row r="487" spans="1:11" x14ac:dyDescent="0.2">
      <c r="A487">
        <v>2018</v>
      </c>
      <c r="B487" s="34">
        <v>639</v>
      </c>
      <c r="C487" s="34" t="s">
        <v>442</v>
      </c>
      <c r="D487" s="36">
        <v>35073</v>
      </c>
      <c r="E487" s="36">
        <v>206775</v>
      </c>
      <c r="F487" s="57"/>
      <c r="G487" s="57"/>
      <c r="H487" s="65"/>
      <c r="I487" s="64"/>
      <c r="J487" s="65"/>
      <c r="K487" s="64"/>
    </row>
    <row r="488" spans="1:11" x14ac:dyDescent="0.2">
      <c r="A488">
        <v>2018</v>
      </c>
      <c r="B488" s="34">
        <v>641</v>
      </c>
      <c r="C488" s="34" t="s">
        <v>443</v>
      </c>
      <c r="D488" s="36">
        <v>8778</v>
      </c>
      <c r="E488" s="36">
        <v>44755</v>
      </c>
      <c r="F488" s="57"/>
      <c r="G488" s="57"/>
      <c r="H488" s="65"/>
      <c r="I488" s="64"/>
      <c r="J488" s="65"/>
      <c r="K488" s="64"/>
    </row>
    <row r="489" spans="1:11" x14ac:dyDescent="0.2">
      <c r="A489">
        <v>2018</v>
      </c>
      <c r="B489" s="34">
        <v>643</v>
      </c>
      <c r="C489" s="34" t="s">
        <v>444</v>
      </c>
      <c r="D489" s="36">
        <v>107775</v>
      </c>
      <c r="E489" s="36">
        <v>751136</v>
      </c>
      <c r="F489" s="57"/>
      <c r="G489" s="57"/>
      <c r="H489" s="65"/>
      <c r="I489" s="64"/>
      <c r="J489" s="65"/>
      <c r="K489" s="64"/>
    </row>
    <row r="490" spans="1:11" x14ac:dyDescent="0.2">
      <c r="A490">
        <v>2018</v>
      </c>
      <c r="B490" s="34">
        <v>644</v>
      </c>
      <c r="C490" s="34" t="s">
        <v>445</v>
      </c>
      <c r="D490" s="36">
        <v>29532</v>
      </c>
      <c r="E490" s="36">
        <v>272076</v>
      </c>
      <c r="F490" s="57"/>
      <c r="G490" s="57"/>
      <c r="H490" s="65"/>
      <c r="I490" s="64"/>
      <c r="J490" s="65"/>
      <c r="K490" s="64"/>
    </row>
    <row r="491" spans="1:11" x14ac:dyDescent="0.2">
      <c r="A491">
        <v>2018</v>
      </c>
      <c r="B491" s="34">
        <v>645</v>
      </c>
      <c r="C491" s="34" t="s">
        <v>446</v>
      </c>
      <c r="D491" s="36">
        <v>80116</v>
      </c>
      <c r="E491" s="36">
        <v>496854</v>
      </c>
      <c r="F491" s="57"/>
      <c r="G491" s="57"/>
      <c r="H491" s="65"/>
      <c r="I491" s="64"/>
      <c r="J491" s="65"/>
      <c r="K491" s="64"/>
    </row>
    <row r="492" spans="1:11" x14ac:dyDescent="0.2">
      <c r="A492">
        <v>2018</v>
      </c>
      <c r="B492" s="34">
        <v>646</v>
      </c>
      <c r="C492" s="34" t="s">
        <v>447</v>
      </c>
      <c r="D492" s="36">
        <v>51426</v>
      </c>
      <c r="E492" s="36">
        <v>326883</v>
      </c>
      <c r="F492" s="57"/>
      <c r="G492" s="57"/>
      <c r="H492" s="65"/>
      <c r="I492" s="64"/>
      <c r="J492" s="65"/>
      <c r="K492" s="64"/>
    </row>
    <row r="493" spans="1:11" x14ac:dyDescent="0.2">
      <c r="A493">
        <v>2018</v>
      </c>
      <c r="B493" s="34">
        <v>647</v>
      </c>
      <c r="C493" s="34" t="s">
        <v>448</v>
      </c>
      <c r="D493" s="36">
        <v>11071</v>
      </c>
      <c r="E493" s="36">
        <v>81141</v>
      </c>
      <c r="F493" s="57"/>
      <c r="G493" s="57"/>
      <c r="H493" s="65"/>
      <c r="I493" s="64"/>
      <c r="J493" s="65"/>
      <c r="K493" s="64"/>
    </row>
    <row r="494" spans="1:11" x14ac:dyDescent="0.2">
      <c r="A494">
        <v>2018</v>
      </c>
      <c r="B494" s="34">
        <v>648</v>
      </c>
      <c r="C494" s="34" t="s">
        <v>449</v>
      </c>
      <c r="D494" s="36">
        <v>25204</v>
      </c>
      <c r="E494" s="36">
        <v>110309</v>
      </c>
      <c r="F494" s="57"/>
      <c r="G494" s="57"/>
      <c r="H494" s="65"/>
      <c r="I494" s="64"/>
      <c r="J494" s="65"/>
      <c r="K494" s="64"/>
    </row>
    <row r="495" spans="1:11" x14ac:dyDescent="0.2">
      <c r="A495">
        <v>2018</v>
      </c>
      <c r="B495" s="34">
        <v>649</v>
      </c>
      <c r="C495" s="34" t="s">
        <v>450</v>
      </c>
      <c r="D495" s="36">
        <v>86041</v>
      </c>
      <c r="E495" s="36">
        <v>492123</v>
      </c>
      <c r="F495" s="57"/>
      <c r="G495" s="57"/>
      <c r="H495" s="65"/>
      <c r="I495" s="64"/>
      <c r="J495" s="65"/>
      <c r="K495" s="64"/>
    </row>
    <row r="496" spans="1:11" x14ac:dyDescent="0.2">
      <c r="A496">
        <v>2018</v>
      </c>
      <c r="B496" s="34">
        <v>653</v>
      </c>
      <c r="C496" s="34" t="s">
        <v>451</v>
      </c>
      <c r="D496" s="36">
        <v>23793</v>
      </c>
      <c r="E496" s="36">
        <v>140943</v>
      </c>
      <c r="F496" s="57"/>
      <c r="G496" s="57"/>
      <c r="H496" s="65"/>
      <c r="I496" s="64"/>
      <c r="J496" s="65"/>
      <c r="K496" s="64"/>
    </row>
    <row r="497" spans="1:11" x14ac:dyDescent="0.2">
      <c r="A497">
        <v>2018</v>
      </c>
      <c r="B497" s="34">
        <v>656</v>
      </c>
      <c r="C497" s="34" t="s">
        <v>452</v>
      </c>
      <c r="D497" s="36">
        <v>234155</v>
      </c>
      <c r="E497" s="36">
        <v>1843018</v>
      </c>
      <c r="F497" s="57"/>
      <c r="G497" s="57"/>
      <c r="H497" s="65"/>
      <c r="I497" s="64"/>
      <c r="J497" s="65"/>
      <c r="K497" s="64"/>
    </row>
    <row r="498" spans="1:11" x14ac:dyDescent="0.2">
      <c r="A498">
        <v>2018</v>
      </c>
      <c r="B498" s="34">
        <v>657</v>
      </c>
      <c r="C498" s="34" t="s">
        <v>453</v>
      </c>
      <c r="D498" s="36">
        <v>16379</v>
      </c>
      <c r="E498" s="36">
        <v>129441</v>
      </c>
      <c r="F498" s="57"/>
      <c r="G498" s="57"/>
      <c r="H498" s="65"/>
      <c r="I498" s="64"/>
      <c r="J498" s="65"/>
      <c r="K498" s="64"/>
    </row>
    <row r="499" spans="1:11" x14ac:dyDescent="0.2">
      <c r="A499">
        <v>2018</v>
      </c>
      <c r="B499" s="34">
        <v>658</v>
      </c>
      <c r="C499" s="34" t="s">
        <v>454</v>
      </c>
      <c r="D499" s="36">
        <v>13541</v>
      </c>
      <c r="E499" s="36">
        <v>146195</v>
      </c>
      <c r="F499" s="57"/>
      <c r="G499" s="57"/>
      <c r="H499" s="65"/>
      <c r="I499" s="64"/>
      <c r="J499" s="65"/>
      <c r="K499" s="64"/>
    </row>
    <row r="500" spans="1:11" x14ac:dyDescent="0.2">
      <c r="A500">
        <v>2018</v>
      </c>
      <c r="B500" s="34">
        <v>659</v>
      </c>
      <c r="C500" s="34" t="s">
        <v>455</v>
      </c>
      <c r="D500" s="36">
        <v>197164</v>
      </c>
      <c r="E500" s="36">
        <v>1169848</v>
      </c>
      <c r="F500" s="57"/>
      <c r="G500" s="57"/>
      <c r="H500" s="65"/>
      <c r="I500" s="64"/>
      <c r="J500" s="65"/>
      <c r="K500" s="64"/>
    </row>
    <row r="501" spans="1:11" x14ac:dyDescent="0.2">
      <c r="A501">
        <v>2018</v>
      </c>
      <c r="B501" s="34">
        <v>660</v>
      </c>
      <c r="C501" s="34" t="s">
        <v>456</v>
      </c>
      <c r="D501" s="36">
        <v>407186</v>
      </c>
      <c r="E501" s="36">
        <v>2299432</v>
      </c>
      <c r="F501" s="57"/>
      <c r="G501" s="57"/>
      <c r="H501" s="65"/>
      <c r="I501" s="64"/>
      <c r="J501" s="65"/>
      <c r="K501" s="64"/>
    </row>
    <row r="502" spans="1:11" x14ac:dyDescent="0.2">
      <c r="A502">
        <v>2018</v>
      </c>
      <c r="B502" s="34">
        <v>661</v>
      </c>
      <c r="C502" s="34" t="s">
        <v>457</v>
      </c>
      <c r="D502" s="36">
        <v>219062</v>
      </c>
      <c r="E502" s="36">
        <v>1614686</v>
      </c>
      <c r="F502" s="57"/>
      <c r="G502" s="57"/>
      <c r="H502" s="65"/>
      <c r="I502" s="64"/>
      <c r="J502" s="65"/>
      <c r="K502" s="64"/>
    </row>
    <row r="503" spans="1:11" x14ac:dyDescent="0.2">
      <c r="A503">
        <v>2018</v>
      </c>
      <c r="B503" s="34">
        <v>662</v>
      </c>
      <c r="C503" s="34" t="s">
        <v>458</v>
      </c>
      <c r="D503" s="36">
        <v>42144</v>
      </c>
      <c r="E503" s="36">
        <v>266624</v>
      </c>
      <c r="F503" s="57"/>
      <c r="G503" s="57"/>
      <c r="H503" s="65"/>
      <c r="I503" s="64"/>
      <c r="J503" s="65"/>
      <c r="K503" s="64"/>
    </row>
    <row r="504" spans="1:11" x14ac:dyDescent="0.2">
      <c r="A504">
        <v>2018</v>
      </c>
      <c r="B504" s="34">
        <v>663</v>
      </c>
      <c r="C504" s="34" t="s">
        <v>459</v>
      </c>
      <c r="D504" s="36">
        <v>29803</v>
      </c>
      <c r="E504" s="36">
        <v>130996</v>
      </c>
      <c r="F504" s="57"/>
      <c r="G504" s="57"/>
      <c r="H504" s="65"/>
      <c r="I504" s="64"/>
      <c r="J504" s="65"/>
      <c r="K504" s="64"/>
    </row>
    <row r="505" spans="1:11" x14ac:dyDescent="0.2">
      <c r="A505">
        <v>2018</v>
      </c>
      <c r="B505" s="34">
        <v>666</v>
      </c>
      <c r="C505" s="34" t="s">
        <v>460</v>
      </c>
      <c r="D505" s="36">
        <v>95042</v>
      </c>
      <c r="E505" s="36">
        <v>575160</v>
      </c>
      <c r="F505" s="57"/>
      <c r="G505" s="57"/>
      <c r="H505" s="65"/>
      <c r="I505" s="64"/>
      <c r="J505" s="65"/>
      <c r="K505" s="64"/>
    </row>
    <row r="506" spans="1:11" x14ac:dyDescent="0.2">
      <c r="A506">
        <v>2018</v>
      </c>
      <c r="B506" s="34">
        <v>667</v>
      </c>
      <c r="C506" s="34" t="s">
        <v>461</v>
      </c>
      <c r="D506" s="36">
        <v>113578</v>
      </c>
      <c r="E506" s="36">
        <v>589843</v>
      </c>
      <c r="F506" s="57"/>
      <c r="G506" s="57"/>
      <c r="H506" s="65"/>
      <c r="I506" s="64"/>
      <c r="J506" s="65"/>
      <c r="K506" s="64"/>
    </row>
    <row r="507" spans="1:11" x14ac:dyDescent="0.2">
      <c r="A507">
        <v>2018</v>
      </c>
      <c r="B507" s="34">
        <v>668</v>
      </c>
      <c r="C507" s="34" t="s">
        <v>462</v>
      </c>
      <c r="D507" s="36">
        <v>78390</v>
      </c>
      <c r="E507" s="36">
        <v>483771</v>
      </c>
      <c r="F507" s="57"/>
      <c r="G507" s="57"/>
      <c r="H507" s="65"/>
      <c r="I507" s="64"/>
      <c r="J507" s="65"/>
      <c r="K507" s="64"/>
    </row>
    <row r="508" spans="1:11" x14ac:dyDescent="0.2">
      <c r="A508">
        <v>2018</v>
      </c>
      <c r="B508" s="34">
        <v>673</v>
      </c>
      <c r="C508" s="34" t="s">
        <v>463</v>
      </c>
      <c r="D508" s="36">
        <v>200044</v>
      </c>
      <c r="E508" s="36">
        <v>1921666</v>
      </c>
      <c r="F508" s="57"/>
      <c r="G508" s="57"/>
      <c r="H508" s="65"/>
      <c r="I508" s="64"/>
      <c r="J508" s="65"/>
      <c r="K508" s="64"/>
    </row>
    <row r="509" spans="1:11" x14ac:dyDescent="0.2">
      <c r="A509">
        <v>2018</v>
      </c>
      <c r="B509" s="34">
        <v>674</v>
      </c>
      <c r="C509" s="34" t="s">
        <v>464</v>
      </c>
      <c r="D509" s="36">
        <v>65866</v>
      </c>
      <c r="E509" s="36">
        <v>501512</v>
      </c>
      <c r="F509" s="57"/>
      <c r="G509" s="57"/>
      <c r="H509" s="65"/>
      <c r="I509" s="64"/>
      <c r="J509" s="65"/>
      <c r="K509" s="64"/>
    </row>
    <row r="510" spans="1:11" x14ac:dyDescent="0.2">
      <c r="A510">
        <v>2018</v>
      </c>
      <c r="B510" s="34">
        <v>675</v>
      </c>
      <c r="C510" s="34" t="s">
        <v>465</v>
      </c>
      <c r="D510" s="36">
        <v>68711</v>
      </c>
      <c r="E510" s="36">
        <v>358922</v>
      </c>
      <c r="F510" s="57"/>
      <c r="G510" s="57"/>
      <c r="H510" s="65"/>
      <c r="I510" s="64"/>
      <c r="J510" s="65"/>
      <c r="K510" s="64"/>
    </row>
    <row r="511" spans="1:11" x14ac:dyDescent="0.2">
      <c r="A511">
        <v>2018</v>
      </c>
      <c r="B511" s="34">
        <v>676</v>
      </c>
      <c r="C511" s="34" t="s">
        <v>466</v>
      </c>
      <c r="D511" s="36">
        <v>25357</v>
      </c>
      <c r="E511" s="36">
        <v>200102</v>
      </c>
      <c r="F511" s="57"/>
      <c r="G511" s="57"/>
      <c r="H511" s="65"/>
      <c r="I511" s="64"/>
      <c r="J511" s="65"/>
      <c r="K511" s="64"/>
    </row>
    <row r="512" spans="1:11" x14ac:dyDescent="0.2">
      <c r="A512">
        <v>2018</v>
      </c>
      <c r="B512" s="34">
        <v>677</v>
      </c>
      <c r="C512" s="34" t="s">
        <v>467</v>
      </c>
      <c r="D512" s="36">
        <v>29508</v>
      </c>
      <c r="E512" s="36">
        <v>227653</v>
      </c>
      <c r="F512" s="57"/>
      <c r="G512" s="57"/>
      <c r="H512" s="65"/>
      <c r="I512" s="64"/>
      <c r="J512" s="65"/>
      <c r="K512" s="64"/>
    </row>
    <row r="513" spans="1:11" x14ac:dyDescent="0.2">
      <c r="A513">
        <v>2018</v>
      </c>
      <c r="B513" s="34">
        <v>680</v>
      </c>
      <c r="C513" s="34" t="s">
        <v>468</v>
      </c>
      <c r="D513" s="36">
        <v>38801</v>
      </c>
      <c r="E513" s="36">
        <v>288258</v>
      </c>
      <c r="F513" s="57"/>
      <c r="G513" s="57"/>
      <c r="H513" s="65"/>
      <c r="I513" s="64"/>
      <c r="J513" s="65"/>
      <c r="K513" s="64"/>
    </row>
    <row r="514" spans="1:11" x14ac:dyDescent="0.2">
      <c r="A514">
        <v>2018</v>
      </c>
      <c r="B514" s="34">
        <v>681</v>
      </c>
      <c r="C514" s="34" t="s">
        <v>469</v>
      </c>
      <c r="D514" s="36">
        <v>61116</v>
      </c>
      <c r="E514" s="36">
        <v>488373</v>
      </c>
      <c r="F514" s="57"/>
      <c r="G514" s="57"/>
      <c r="H514" s="65"/>
      <c r="I514" s="64"/>
      <c r="J514" s="65"/>
      <c r="K514" s="64"/>
    </row>
    <row r="515" spans="1:11" x14ac:dyDescent="0.2">
      <c r="A515">
        <v>2018</v>
      </c>
      <c r="B515" s="34">
        <v>682</v>
      </c>
      <c r="C515" s="34" t="s">
        <v>470</v>
      </c>
      <c r="D515" s="36">
        <v>126022</v>
      </c>
      <c r="E515" s="36">
        <v>901328</v>
      </c>
      <c r="F515" s="57"/>
      <c r="G515" s="57"/>
      <c r="H515" s="65"/>
      <c r="I515" s="64"/>
      <c r="J515" s="65"/>
      <c r="K515" s="64"/>
    </row>
    <row r="516" spans="1:11" x14ac:dyDescent="0.2">
      <c r="A516">
        <v>2018</v>
      </c>
      <c r="B516" s="34">
        <v>683</v>
      </c>
      <c r="C516" s="34" t="s">
        <v>471</v>
      </c>
      <c r="D516" s="36">
        <v>58603</v>
      </c>
      <c r="E516" s="36">
        <v>480771</v>
      </c>
      <c r="F516" s="57"/>
      <c r="G516" s="57"/>
      <c r="H516" s="65"/>
      <c r="I516" s="64"/>
      <c r="J516" s="65"/>
      <c r="K516" s="64"/>
    </row>
    <row r="517" spans="1:11" x14ac:dyDescent="0.2">
      <c r="A517">
        <v>2018</v>
      </c>
      <c r="B517" s="34">
        <v>684</v>
      </c>
      <c r="C517" s="34" t="s">
        <v>472</v>
      </c>
      <c r="D517" s="36">
        <v>7562</v>
      </c>
      <c r="E517" s="36">
        <v>55820</v>
      </c>
      <c r="F517" s="57"/>
      <c r="G517" s="57"/>
      <c r="H517" s="65"/>
      <c r="I517" s="64"/>
      <c r="J517" s="65"/>
      <c r="K517" s="64"/>
    </row>
    <row r="518" spans="1:11" x14ac:dyDescent="0.2">
      <c r="A518">
        <v>2018</v>
      </c>
      <c r="B518" s="34">
        <v>699</v>
      </c>
      <c r="C518" s="34" t="s">
        <v>473</v>
      </c>
      <c r="D518" s="36">
        <v>34076</v>
      </c>
      <c r="E518" s="36">
        <v>514363</v>
      </c>
      <c r="F518" s="57"/>
      <c r="G518" s="57"/>
      <c r="H518" s="65"/>
      <c r="I518" s="64"/>
      <c r="J518" s="65"/>
      <c r="K518" s="64"/>
    </row>
    <row r="519" spans="1:11" x14ac:dyDescent="0.2">
      <c r="A519">
        <v>2018</v>
      </c>
      <c r="B519" s="34">
        <v>701</v>
      </c>
      <c r="C519" s="34" t="s">
        <v>670</v>
      </c>
      <c r="E519" s="36">
        <v>177615</v>
      </c>
      <c r="F519" s="57"/>
      <c r="G519" s="57"/>
      <c r="H519" s="65"/>
      <c r="I519" s="64"/>
      <c r="J519" s="57"/>
      <c r="K519" s="64"/>
    </row>
    <row r="520" spans="1:11" x14ac:dyDescent="0.2">
      <c r="A520">
        <v>2018</v>
      </c>
      <c r="B520" s="34">
        <v>702</v>
      </c>
      <c r="C520" s="34" t="s">
        <v>671</v>
      </c>
      <c r="E520" s="36">
        <v>142664</v>
      </c>
      <c r="F520" s="57"/>
      <c r="G520" s="57"/>
      <c r="H520" s="65"/>
      <c r="I520" s="64"/>
      <c r="J520" s="57"/>
      <c r="K520" s="64"/>
    </row>
    <row r="521" spans="1:11" x14ac:dyDescent="0.2">
      <c r="A521">
        <v>2018</v>
      </c>
      <c r="B521" s="34">
        <v>704</v>
      </c>
      <c r="C521" s="34" t="s">
        <v>672</v>
      </c>
      <c r="E521" s="36">
        <v>71911</v>
      </c>
      <c r="F521" s="57"/>
      <c r="G521" s="57"/>
      <c r="H521" s="65"/>
      <c r="I521" s="64"/>
      <c r="J521" s="57"/>
      <c r="K521" s="64"/>
    </row>
    <row r="522" spans="1:11" x14ac:dyDescent="0.2">
      <c r="A522">
        <v>2018</v>
      </c>
      <c r="B522" s="34">
        <v>708</v>
      </c>
      <c r="C522" s="34" t="s">
        <v>673</v>
      </c>
      <c r="F522" s="57"/>
      <c r="G522" s="57"/>
      <c r="H522" s="57"/>
      <c r="I522" s="64"/>
      <c r="J522" s="57"/>
      <c r="K522" s="64"/>
    </row>
    <row r="523" spans="1:11" x14ac:dyDescent="0.2">
      <c r="A523">
        <v>2018</v>
      </c>
      <c r="B523" s="34">
        <v>711</v>
      </c>
      <c r="C523" s="34" t="s">
        <v>674</v>
      </c>
      <c r="D523" s="36">
        <v>132440</v>
      </c>
      <c r="E523" s="36">
        <v>228736</v>
      </c>
      <c r="F523" s="57"/>
      <c r="G523" s="57"/>
      <c r="H523" s="65"/>
      <c r="I523" s="64"/>
      <c r="J523" s="65"/>
      <c r="K523" s="64"/>
    </row>
    <row r="524" spans="1:11" x14ac:dyDescent="0.2">
      <c r="A524">
        <v>2018</v>
      </c>
      <c r="B524" s="34">
        <v>714</v>
      </c>
      <c r="C524" s="34" t="s">
        <v>675</v>
      </c>
      <c r="D524" s="36">
        <v>28330</v>
      </c>
      <c r="F524" s="57"/>
      <c r="G524" s="57"/>
      <c r="H524" s="57"/>
      <c r="I524" s="64"/>
      <c r="J524" s="65"/>
      <c r="K524" s="64"/>
    </row>
    <row r="525" spans="1:11" x14ac:dyDescent="0.2">
      <c r="A525">
        <v>2018</v>
      </c>
      <c r="B525" s="34">
        <v>750</v>
      </c>
      <c r="C525" s="34" t="s">
        <v>676</v>
      </c>
      <c r="D525" s="36">
        <v>74808</v>
      </c>
      <c r="E525" s="36">
        <v>351033</v>
      </c>
      <c r="F525" s="57"/>
      <c r="G525" s="57"/>
      <c r="H525" s="65"/>
      <c r="I525" s="64"/>
      <c r="J525" s="65"/>
      <c r="K525" s="64"/>
    </row>
    <row r="526" spans="1:11" x14ac:dyDescent="0.2">
      <c r="A526">
        <v>2018</v>
      </c>
      <c r="B526" s="34">
        <v>801</v>
      </c>
      <c r="C526" s="34" t="s">
        <v>474</v>
      </c>
      <c r="D526" s="36">
        <v>115101</v>
      </c>
      <c r="E526" s="36">
        <v>1173251</v>
      </c>
      <c r="F526" s="57"/>
      <c r="G526" s="57"/>
      <c r="H526" s="65"/>
      <c r="I526" s="64"/>
      <c r="J526" s="65"/>
      <c r="K526" s="64"/>
    </row>
    <row r="527" spans="1:11" x14ac:dyDescent="0.2">
      <c r="A527">
        <v>2018</v>
      </c>
      <c r="B527" s="34">
        <v>802</v>
      </c>
      <c r="C527" s="34" t="s">
        <v>677</v>
      </c>
      <c r="D527" s="36">
        <v>200936</v>
      </c>
      <c r="E527" s="36">
        <v>1225946</v>
      </c>
      <c r="F527" s="57"/>
      <c r="G527" s="57"/>
      <c r="H527" s="65"/>
      <c r="I527" s="64"/>
      <c r="J527" s="65"/>
      <c r="K527" s="64"/>
    </row>
    <row r="528" spans="1:11" x14ac:dyDescent="0.2">
      <c r="A528">
        <v>2018</v>
      </c>
      <c r="B528" s="34">
        <v>803</v>
      </c>
      <c r="C528" s="34" t="s">
        <v>475</v>
      </c>
      <c r="D528" s="36">
        <v>2075850</v>
      </c>
      <c r="E528" s="36">
        <v>4417861</v>
      </c>
      <c r="F528" s="57"/>
      <c r="G528" s="57"/>
      <c r="H528" s="65"/>
      <c r="I528" s="64"/>
      <c r="J528" s="65"/>
      <c r="K528" s="64"/>
    </row>
    <row r="529" spans="1:11" x14ac:dyDescent="0.2">
      <c r="A529">
        <v>2018</v>
      </c>
      <c r="B529" s="34">
        <v>805</v>
      </c>
      <c r="C529" s="34" t="s">
        <v>678</v>
      </c>
      <c r="D529" s="36">
        <v>422062</v>
      </c>
      <c r="E529" s="36">
        <v>1754249</v>
      </c>
      <c r="F529" s="57"/>
      <c r="G529" s="57"/>
      <c r="H529" s="65"/>
      <c r="I529" s="64"/>
      <c r="J529" s="65"/>
      <c r="K529" s="64"/>
    </row>
    <row r="530" spans="1:11" x14ac:dyDescent="0.2">
      <c r="A530">
        <v>2018</v>
      </c>
      <c r="B530" s="34">
        <v>806</v>
      </c>
      <c r="C530" s="34" t="s">
        <v>476</v>
      </c>
      <c r="D530" s="36">
        <v>216765</v>
      </c>
      <c r="E530" s="36">
        <v>2044877</v>
      </c>
      <c r="F530" s="57"/>
      <c r="G530" s="57"/>
      <c r="H530" s="65"/>
      <c r="I530" s="64"/>
      <c r="J530" s="65"/>
      <c r="K530" s="64"/>
    </row>
    <row r="531" spans="1:11" x14ac:dyDescent="0.2">
      <c r="A531">
        <v>2018</v>
      </c>
      <c r="B531" s="34">
        <v>807</v>
      </c>
      <c r="C531" s="34" t="s">
        <v>679</v>
      </c>
      <c r="D531" s="36">
        <v>181685</v>
      </c>
      <c r="E531" s="36">
        <v>1793467</v>
      </c>
      <c r="F531" s="57"/>
      <c r="G531" s="57"/>
      <c r="H531" s="65"/>
      <c r="I531" s="64"/>
      <c r="J531" s="65"/>
      <c r="K531" s="64"/>
    </row>
    <row r="532" spans="1:11" x14ac:dyDescent="0.2">
      <c r="A532">
        <v>2018</v>
      </c>
      <c r="B532" s="34">
        <v>808</v>
      </c>
      <c r="C532" s="34" t="s">
        <v>680</v>
      </c>
      <c r="D532" s="36">
        <v>280623</v>
      </c>
      <c r="E532" s="36">
        <v>1319994</v>
      </c>
      <c r="F532" s="57"/>
      <c r="G532" s="57"/>
      <c r="H532" s="65"/>
      <c r="I532" s="64"/>
      <c r="J532" s="65"/>
      <c r="K532" s="64"/>
    </row>
    <row r="533" spans="1:11" x14ac:dyDescent="0.2">
      <c r="A533">
        <v>2018</v>
      </c>
      <c r="B533" s="34">
        <v>809</v>
      </c>
      <c r="C533" s="34" t="s">
        <v>681</v>
      </c>
      <c r="D533" s="36">
        <v>234367</v>
      </c>
      <c r="E533" s="36">
        <v>1204580</v>
      </c>
      <c r="F533" s="57"/>
      <c r="G533" s="57"/>
      <c r="H533" s="65"/>
      <c r="I533" s="64"/>
      <c r="J533" s="65"/>
      <c r="K533" s="64"/>
    </row>
    <row r="534" spans="1:11" x14ac:dyDescent="0.2">
      <c r="A534">
        <v>2018</v>
      </c>
      <c r="B534" s="34">
        <v>810</v>
      </c>
      <c r="C534" s="34" t="s">
        <v>682</v>
      </c>
      <c r="E534" s="36">
        <v>8799817</v>
      </c>
      <c r="F534" s="57"/>
      <c r="G534" s="57"/>
      <c r="H534" s="65"/>
      <c r="I534" s="64"/>
      <c r="J534" s="57"/>
      <c r="K534" s="64"/>
    </row>
    <row r="535" spans="1:11" x14ac:dyDescent="0.2">
      <c r="A535">
        <v>2018</v>
      </c>
      <c r="B535" s="34">
        <v>811</v>
      </c>
      <c r="C535" s="34" t="s">
        <v>477</v>
      </c>
      <c r="D535" s="36">
        <v>271190</v>
      </c>
      <c r="E535" s="36">
        <v>503900</v>
      </c>
      <c r="F535" s="57"/>
      <c r="G535" s="57"/>
      <c r="H535" s="65"/>
      <c r="I535" s="64"/>
      <c r="J535" s="65"/>
      <c r="K535" s="64"/>
    </row>
    <row r="536" spans="1:11" x14ac:dyDescent="0.2">
      <c r="A536">
        <v>2018</v>
      </c>
      <c r="B536" s="34">
        <v>812</v>
      </c>
      <c r="C536" s="34" t="s">
        <v>683</v>
      </c>
      <c r="D536" s="36">
        <v>748149</v>
      </c>
      <c r="E536" s="36">
        <v>2255509</v>
      </c>
      <c r="F536" s="57"/>
      <c r="G536" s="57"/>
      <c r="H536" s="65"/>
      <c r="I536" s="64"/>
      <c r="J536" s="65"/>
      <c r="K536" s="64"/>
    </row>
    <row r="537" spans="1:11" x14ac:dyDescent="0.2">
      <c r="A537">
        <v>2018</v>
      </c>
      <c r="B537" s="34">
        <v>813</v>
      </c>
      <c r="C537" s="34" t="s">
        <v>684</v>
      </c>
      <c r="D537" s="36">
        <v>654183</v>
      </c>
      <c r="E537" s="36">
        <v>3536244</v>
      </c>
      <c r="F537" s="57"/>
      <c r="G537" s="57"/>
      <c r="H537" s="66"/>
      <c r="I537" s="66"/>
    </row>
    <row r="538" spans="1:11" x14ac:dyDescent="0.2">
      <c r="E538" s="36"/>
    </row>
    <row r="539" spans="1:11" x14ac:dyDescent="0.2">
      <c r="D539" s="36">
        <f>SUM(D2:D537)</f>
        <v>114141743</v>
      </c>
      <c r="E539" s="36">
        <f>SUM(E2:E537)</f>
        <v>697214371</v>
      </c>
    </row>
    <row r="541" spans="1:11" x14ac:dyDescent="0.2">
      <c r="D541" s="36">
        <v>114141743</v>
      </c>
      <c r="E541" s="34">
        <v>697214371</v>
      </c>
    </row>
    <row r="543" spans="1:11" x14ac:dyDescent="0.2">
      <c r="C543" s="61" t="s">
        <v>685</v>
      </c>
      <c r="D543" s="62">
        <f>D539-D541</f>
        <v>0</v>
      </c>
      <c r="E543" s="62">
        <f>E539-E541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B591-8822-CA4B-9FC0-09C6E6C94C1B}">
  <sheetPr>
    <tabColor rgb="FFFFFF00"/>
  </sheetPr>
  <dimension ref="A1:O543"/>
  <sheetViews>
    <sheetView topLeftCell="C513" workbookViewId="0">
      <selection activeCell="E537" sqref="E2:E537"/>
    </sheetView>
  </sheetViews>
  <sheetFormatPr baseColWidth="10" defaultRowHeight="16" x14ac:dyDescent="0.2"/>
  <cols>
    <col min="2" max="2" width="15.6640625" style="34" bestFit="1" customWidth="1"/>
    <col min="3" max="3" width="35.1640625" style="34" bestFit="1" customWidth="1"/>
    <col min="4" max="4" width="19.83203125" style="34" bestFit="1" customWidth="1"/>
    <col min="5" max="5" width="13" style="34" bestFit="1" customWidth="1"/>
  </cols>
  <sheetData>
    <row r="1" spans="1:15" x14ac:dyDescent="0.2">
      <c r="A1" t="s">
        <v>729</v>
      </c>
      <c r="B1" s="33" t="s">
        <v>521</v>
      </c>
      <c r="C1" s="39" t="s">
        <v>522</v>
      </c>
      <c r="D1" s="63" t="s">
        <v>523</v>
      </c>
    </row>
    <row r="2" spans="1:15" x14ac:dyDescent="0.2">
      <c r="A2">
        <v>2019</v>
      </c>
      <c r="B2" s="34">
        <v>1</v>
      </c>
      <c r="C2" s="34" t="s">
        <v>0</v>
      </c>
      <c r="D2" s="36">
        <v>30289</v>
      </c>
      <c r="E2" s="36">
        <v>179422</v>
      </c>
      <c r="F2" s="57"/>
      <c r="G2" s="57"/>
      <c r="H2" s="5"/>
      <c r="I2" s="65"/>
      <c r="J2" s="5"/>
      <c r="K2" s="64"/>
      <c r="L2" s="5"/>
      <c r="M2" s="57"/>
      <c r="N2" s="5"/>
      <c r="O2" s="64"/>
    </row>
    <row r="3" spans="1:15" x14ac:dyDescent="0.2">
      <c r="A3">
        <v>2019</v>
      </c>
      <c r="B3" s="34">
        <v>2</v>
      </c>
      <c r="C3" s="34" t="s">
        <v>1</v>
      </c>
      <c r="D3" s="36">
        <v>22656</v>
      </c>
      <c r="E3" s="36">
        <v>156588</v>
      </c>
      <c r="F3" s="57"/>
      <c r="G3" s="57"/>
      <c r="H3" s="11"/>
      <c r="I3" s="65"/>
      <c r="J3" s="11"/>
      <c r="K3" s="64"/>
      <c r="L3" s="11"/>
      <c r="M3" s="65"/>
      <c r="N3" s="11"/>
      <c r="O3" s="64"/>
    </row>
    <row r="4" spans="1:15" x14ac:dyDescent="0.2">
      <c r="A4">
        <v>2019</v>
      </c>
      <c r="B4" s="34">
        <v>3</v>
      </c>
      <c r="C4" s="34" t="s">
        <v>2</v>
      </c>
      <c r="D4" s="36">
        <v>307005</v>
      </c>
      <c r="E4" s="36">
        <v>1863607</v>
      </c>
      <c r="F4" s="57"/>
      <c r="G4" s="57"/>
      <c r="H4" s="11"/>
      <c r="I4" s="65"/>
      <c r="J4" s="11"/>
      <c r="K4" s="64"/>
      <c r="L4" s="11"/>
      <c r="M4" s="65"/>
      <c r="N4" s="11"/>
      <c r="O4" s="64"/>
    </row>
    <row r="5" spans="1:15" x14ac:dyDescent="0.2">
      <c r="A5">
        <v>2019</v>
      </c>
      <c r="B5" s="34">
        <v>4</v>
      </c>
      <c r="C5" s="34" t="s">
        <v>3</v>
      </c>
      <c r="D5" s="36">
        <v>198348</v>
      </c>
      <c r="E5" s="36">
        <v>1543846</v>
      </c>
      <c r="F5" s="57"/>
      <c r="G5" s="57"/>
      <c r="H5" s="11"/>
      <c r="I5" s="65"/>
      <c r="J5" s="11"/>
      <c r="K5" s="64"/>
      <c r="L5" s="11"/>
      <c r="M5" s="65"/>
      <c r="N5" s="11"/>
      <c r="O5" s="64"/>
    </row>
    <row r="6" spans="1:15" x14ac:dyDescent="0.2">
      <c r="A6">
        <v>2019</v>
      </c>
      <c r="B6" s="34">
        <v>5</v>
      </c>
      <c r="C6" s="34" t="s">
        <v>4</v>
      </c>
      <c r="D6" s="36">
        <v>34194</v>
      </c>
      <c r="E6" s="36">
        <v>300473</v>
      </c>
      <c r="F6" s="57"/>
      <c r="G6" s="57"/>
      <c r="H6" s="11"/>
      <c r="I6" s="65"/>
      <c r="J6" s="11"/>
      <c r="K6" s="64"/>
      <c r="L6" s="11"/>
      <c r="M6" s="65"/>
      <c r="N6" s="11"/>
      <c r="O6" s="64"/>
    </row>
    <row r="7" spans="1:15" x14ac:dyDescent="0.2">
      <c r="A7">
        <v>2019</v>
      </c>
      <c r="B7" s="34">
        <v>6</v>
      </c>
      <c r="C7" s="34" t="s">
        <v>5</v>
      </c>
      <c r="D7" s="36">
        <v>21179</v>
      </c>
      <c r="E7" s="36">
        <v>112395</v>
      </c>
      <c r="F7" s="57"/>
      <c r="G7" s="57"/>
      <c r="H7" s="11"/>
      <c r="I7" s="65"/>
      <c r="J7" s="11"/>
      <c r="K7" s="64"/>
      <c r="L7" s="11"/>
      <c r="M7" s="65"/>
      <c r="N7" s="11"/>
      <c r="O7" s="64"/>
    </row>
    <row r="8" spans="1:15" x14ac:dyDescent="0.2">
      <c r="A8">
        <v>2019</v>
      </c>
      <c r="B8" s="34">
        <v>8</v>
      </c>
      <c r="C8" s="34" t="s">
        <v>6</v>
      </c>
      <c r="D8" s="36">
        <v>45281</v>
      </c>
      <c r="E8" s="36">
        <v>364657</v>
      </c>
      <c r="F8" s="57"/>
      <c r="G8" s="57"/>
      <c r="H8" s="11"/>
      <c r="I8" s="65"/>
      <c r="J8" s="11"/>
      <c r="K8" s="64"/>
      <c r="L8" s="11"/>
      <c r="M8" s="65"/>
      <c r="N8" s="11"/>
      <c r="O8" s="64"/>
    </row>
    <row r="9" spans="1:15" x14ac:dyDescent="0.2">
      <c r="A9">
        <v>2019</v>
      </c>
      <c r="B9" s="34">
        <v>9</v>
      </c>
      <c r="C9" s="34" t="s">
        <v>7</v>
      </c>
      <c r="D9" s="36">
        <v>35998</v>
      </c>
      <c r="E9" s="36">
        <v>288268</v>
      </c>
      <c r="F9" s="57"/>
      <c r="G9" s="57"/>
      <c r="H9" s="11"/>
      <c r="I9" s="65"/>
      <c r="J9" s="11"/>
      <c r="K9" s="64"/>
      <c r="L9" s="11"/>
      <c r="M9" s="65"/>
      <c r="N9" s="11"/>
      <c r="O9" s="64"/>
    </row>
    <row r="10" spans="1:15" x14ac:dyDescent="0.2">
      <c r="A10">
        <v>2019</v>
      </c>
      <c r="B10" s="34">
        <v>10</v>
      </c>
      <c r="C10" s="34" t="s">
        <v>8</v>
      </c>
      <c r="D10" s="36">
        <v>12636</v>
      </c>
      <c r="E10" s="36">
        <v>145082</v>
      </c>
      <c r="F10" s="57"/>
      <c r="G10" s="57"/>
      <c r="H10" s="11"/>
      <c r="I10" s="65"/>
      <c r="J10" s="11"/>
      <c r="K10" s="64"/>
      <c r="L10" s="11"/>
      <c r="M10" s="65"/>
      <c r="N10" s="11"/>
      <c r="O10" s="64"/>
    </row>
    <row r="11" spans="1:15" x14ac:dyDescent="0.2">
      <c r="A11">
        <v>2019</v>
      </c>
      <c r="B11" s="34">
        <v>12</v>
      </c>
      <c r="C11" s="34" t="s">
        <v>9</v>
      </c>
      <c r="D11" s="36">
        <v>62624</v>
      </c>
      <c r="E11" s="36">
        <v>379868</v>
      </c>
      <c r="F11" s="57"/>
      <c r="G11" s="57"/>
      <c r="H11" s="11"/>
      <c r="I11" s="65"/>
      <c r="J11" s="11"/>
      <c r="K11" s="64"/>
      <c r="L11" s="11"/>
      <c r="M11" s="65"/>
      <c r="N11" s="11"/>
      <c r="O11" s="64"/>
    </row>
    <row r="12" spans="1:15" x14ac:dyDescent="0.2">
      <c r="A12">
        <v>2019</v>
      </c>
      <c r="B12" s="34">
        <v>14</v>
      </c>
      <c r="C12" s="34" t="s">
        <v>10</v>
      </c>
      <c r="D12" s="36">
        <v>35687</v>
      </c>
      <c r="E12" s="36">
        <v>272493</v>
      </c>
      <c r="F12" s="57"/>
      <c r="G12" s="57"/>
      <c r="H12" s="11"/>
      <c r="I12" s="65"/>
      <c r="J12" s="11"/>
      <c r="K12" s="64"/>
      <c r="L12" s="11"/>
      <c r="M12" s="65"/>
      <c r="N12" s="11"/>
      <c r="O12" s="64"/>
    </row>
    <row r="13" spans="1:15" x14ac:dyDescent="0.2">
      <c r="A13">
        <v>2019</v>
      </c>
      <c r="B13" s="34">
        <v>15</v>
      </c>
      <c r="C13" s="34" t="s">
        <v>11</v>
      </c>
      <c r="D13" s="36">
        <v>278435</v>
      </c>
      <c r="E13" s="36">
        <v>1668819</v>
      </c>
      <c r="F13" s="57"/>
      <c r="G13" s="57"/>
      <c r="H13" s="11"/>
      <c r="I13" s="65"/>
      <c r="J13" s="11"/>
      <c r="K13" s="64"/>
      <c r="L13" s="11"/>
      <c r="M13" s="65"/>
      <c r="N13" s="11"/>
      <c r="O13" s="64"/>
    </row>
    <row r="14" spans="1:15" x14ac:dyDescent="0.2">
      <c r="A14">
        <v>2019</v>
      </c>
      <c r="B14" s="34">
        <v>19</v>
      </c>
      <c r="C14" s="34" t="s">
        <v>540</v>
      </c>
      <c r="D14" s="36">
        <v>200499</v>
      </c>
      <c r="E14" s="36">
        <v>1836236</v>
      </c>
      <c r="F14" s="57"/>
      <c r="G14" s="57"/>
      <c r="H14" s="11"/>
      <c r="I14" s="65"/>
      <c r="J14" s="11"/>
      <c r="K14" s="64"/>
      <c r="L14" s="11"/>
      <c r="M14" s="65"/>
      <c r="N14" s="11"/>
      <c r="O14" s="64"/>
    </row>
    <row r="15" spans="1:15" x14ac:dyDescent="0.2">
      <c r="A15">
        <v>2019</v>
      </c>
      <c r="B15" s="34">
        <v>20</v>
      </c>
      <c r="C15" s="34" t="s">
        <v>13</v>
      </c>
      <c r="D15" s="36">
        <v>65306</v>
      </c>
      <c r="E15" s="36">
        <v>438113</v>
      </c>
      <c r="F15" s="57"/>
      <c r="G15" s="57"/>
      <c r="H15" s="11"/>
      <c r="I15" s="65"/>
      <c r="J15" s="11"/>
      <c r="K15" s="64"/>
      <c r="L15" s="11"/>
      <c r="M15" s="65"/>
      <c r="N15" s="11"/>
      <c r="O15" s="64"/>
    </row>
    <row r="16" spans="1:15" x14ac:dyDescent="0.2">
      <c r="A16">
        <v>2019</v>
      </c>
      <c r="B16" s="34">
        <v>21</v>
      </c>
      <c r="C16" s="34" t="s">
        <v>14</v>
      </c>
      <c r="D16" s="36">
        <v>49353</v>
      </c>
      <c r="E16" s="36">
        <v>255317</v>
      </c>
      <c r="F16" s="57"/>
      <c r="G16" s="57"/>
      <c r="H16" s="11"/>
      <c r="I16" s="65"/>
      <c r="J16" s="11"/>
      <c r="K16" s="64"/>
      <c r="L16" s="11"/>
      <c r="M16" s="65"/>
      <c r="N16" s="11"/>
      <c r="O16" s="64"/>
    </row>
    <row r="17" spans="1:15" x14ac:dyDescent="0.2">
      <c r="A17">
        <v>2019</v>
      </c>
      <c r="B17" s="34">
        <v>22</v>
      </c>
      <c r="C17" s="34" t="s">
        <v>15</v>
      </c>
      <c r="D17" s="36">
        <v>210860</v>
      </c>
      <c r="E17" s="36">
        <v>1312138</v>
      </c>
      <c r="F17" s="57"/>
      <c r="G17" s="57"/>
      <c r="H17" s="11"/>
      <c r="I17" s="65"/>
      <c r="J17" s="11"/>
      <c r="K17" s="64"/>
      <c r="L17" s="11"/>
      <c r="M17" s="65"/>
      <c r="N17" s="11"/>
      <c r="O17" s="64"/>
    </row>
    <row r="18" spans="1:15" x14ac:dyDescent="0.2">
      <c r="A18">
        <v>2019</v>
      </c>
      <c r="B18" s="34">
        <v>23</v>
      </c>
      <c r="C18" s="34" t="s">
        <v>16</v>
      </c>
      <c r="D18" s="36">
        <v>82108</v>
      </c>
      <c r="E18" s="36">
        <v>484962</v>
      </c>
      <c r="F18" s="57"/>
      <c r="G18" s="57"/>
      <c r="H18" s="11"/>
      <c r="I18" s="65"/>
      <c r="J18" s="11"/>
      <c r="K18" s="64"/>
      <c r="L18" s="11"/>
      <c r="M18" s="65"/>
      <c r="N18" s="11"/>
      <c r="O18" s="64"/>
    </row>
    <row r="19" spans="1:15" x14ac:dyDescent="0.2">
      <c r="A19">
        <v>2019</v>
      </c>
      <c r="B19" s="34">
        <v>24</v>
      </c>
      <c r="C19" s="34" t="s">
        <v>17</v>
      </c>
      <c r="D19" s="36">
        <v>42366</v>
      </c>
      <c r="E19" s="36">
        <v>195430</v>
      </c>
      <c r="F19" s="57"/>
      <c r="G19" s="57"/>
      <c r="H19" s="11"/>
      <c r="I19" s="65"/>
      <c r="J19" s="11"/>
      <c r="K19" s="64"/>
      <c r="L19" s="11"/>
      <c r="M19" s="65"/>
      <c r="N19" s="11"/>
      <c r="O19" s="64"/>
    </row>
    <row r="20" spans="1:15" x14ac:dyDescent="0.2">
      <c r="A20">
        <v>2019</v>
      </c>
      <c r="B20" s="34">
        <v>28</v>
      </c>
      <c r="C20" s="34" t="s">
        <v>18</v>
      </c>
      <c r="D20" s="36">
        <v>50802</v>
      </c>
      <c r="E20" s="36">
        <v>194724</v>
      </c>
      <c r="F20" s="57"/>
      <c r="G20" s="57"/>
      <c r="H20" s="11"/>
      <c r="I20" s="65"/>
      <c r="J20" s="11"/>
      <c r="K20" s="64"/>
      <c r="L20" s="11"/>
      <c r="M20" s="65"/>
      <c r="N20" s="11"/>
      <c r="O20" s="64"/>
    </row>
    <row r="21" spans="1:15" x14ac:dyDescent="0.2">
      <c r="A21">
        <v>2019</v>
      </c>
      <c r="B21" s="34">
        <v>31</v>
      </c>
      <c r="C21" s="34" t="s">
        <v>541</v>
      </c>
      <c r="D21" s="36">
        <v>120658</v>
      </c>
      <c r="E21" s="36">
        <v>901363</v>
      </c>
      <c r="F21" s="57"/>
      <c r="G21" s="57"/>
      <c r="H21" s="11"/>
      <c r="I21" s="65"/>
      <c r="J21" s="11"/>
      <c r="K21" s="64"/>
      <c r="L21" s="11"/>
      <c r="M21" s="65"/>
      <c r="N21" s="11"/>
      <c r="O21" s="64"/>
    </row>
    <row r="22" spans="1:15" x14ac:dyDescent="0.2">
      <c r="A22">
        <v>2019</v>
      </c>
      <c r="B22" s="34">
        <v>32</v>
      </c>
      <c r="C22" s="34" t="s">
        <v>542</v>
      </c>
      <c r="D22" s="36">
        <v>36093</v>
      </c>
      <c r="E22" s="36">
        <v>267872</v>
      </c>
      <c r="F22" s="57"/>
      <c r="G22" s="57"/>
      <c r="H22" s="11"/>
      <c r="I22" s="65"/>
      <c r="J22" s="11"/>
      <c r="K22" s="64"/>
      <c r="L22" s="11"/>
      <c r="M22" s="65"/>
      <c r="N22" s="11"/>
      <c r="O22" s="64"/>
    </row>
    <row r="23" spans="1:15" x14ac:dyDescent="0.2">
      <c r="A23">
        <v>2019</v>
      </c>
      <c r="B23" s="34">
        <v>33</v>
      </c>
      <c r="C23" s="34" t="s">
        <v>21</v>
      </c>
      <c r="D23" s="36">
        <v>22595</v>
      </c>
      <c r="E23" s="36">
        <v>155834</v>
      </c>
      <c r="F23" s="57"/>
      <c r="G23" s="57"/>
      <c r="H23" s="11"/>
      <c r="I23" s="65"/>
      <c r="J23" s="11"/>
      <c r="K23" s="64"/>
      <c r="L23" s="11"/>
      <c r="M23" s="65"/>
      <c r="N23" s="11"/>
      <c r="O23" s="64"/>
    </row>
    <row r="24" spans="1:15" x14ac:dyDescent="0.2">
      <c r="A24">
        <v>2019</v>
      </c>
      <c r="B24" s="34">
        <v>34</v>
      </c>
      <c r="C24" s="34" t="s">
        <v>22</v>
      </c>
      <c r="D24" s="36">
        <v>26132</v>
      </c>
      <c r="E24" s="36">
        <v>146433</v>
      </c>
      <c r="F24" s="57"/>
      <c r="G24" s="57"/>
      <c r="H24" s="11"/>
      <c r="I24" s="65"/>
      <c r="J24" s="11"/>
      <c r="K24" s="64"/>
      <c r="L24" s="11"/>
      <c r="M24" s="65"/>
      <c r="N24" s="11"/>
      <c r="O24" s="64"/>
    </row>
    <row r="25" spans="1:15" x14ac:dyDescent="0.2">
      <c r="A25">
        <v>2019</v>
      </c>
      <c r="B25" s="34">
        <v>35</v>
      </c>
      <c r="C25" s="34" t="s">
        <v>543</v>
      </c>
      <c r="D25" s="36">
        <v>15494</v>
      </c>
      <c r="E25" s="36">
        <v>117171</v>
      </c>
      <c r="F25" s="57"/>
      <c r="G25" s="57"/>
      <c r="H25" s="11"/>
      <c r="I25" s="65"/>
      <c r="J25" s="11"/>
      <c r="K25" s="64"/>
      <c r="L25" s="11"/>
      <c r="M25" s="65"/>
      <c r="N25" s="11"/>
      <c r="O25" s="64"/>
    </row>
    <row r="26" spans="1:15" x14ac:dyDescent="0.2">
      <c r="A26">
        <v>2019</v>
      </c>
      <c r="B26" s="34">
        <v>36</v>
      </c>
      <c r="C26" s="34" t="s">
        <v>24</v>
      </c>
      <c r="D26" s="36">
        <v>55898</v>
      </c>
      <c r="E26" s="36">
        <v>497006</v>
      </c>
      <c r="F26" s="57"/>
      <c r="G26" s="57"/>
      <c r="H26" s="11"/>
      <c r="I26" s="65"/>
      <c r="J26" s="11"/>
      <c r="K26" s="64"/>
      <c r="L26" s="11"/>
      <c r="M26" s="65"/>
      <c r="N26" s="11"/>
      <c r="O26" s="64"/>
    </row>
    <row r="27" spans="1:15" x14ac:dyDescent="0.2">
      <c r="A27">
        <v>2019</v>
      </c>
      <c r="B27" s="34">
        <v>37</v>
      </c>
      <c r="C27" s="34" t="s">
        <v>25</v>
      </c>
      <c r="D27" s="36">
        <v>25232</v>
      </c>
      <c r="E27" s="36">
        <v>236843</v>
      </c>
      <c r="F27" s="57"/>
      <c r="G27" s="57"/>
      <c r="H27" s="11"/>
      <c r="I27" s="65"/>
      <c r="J27" s="11"/>
      <c r="K27" s="64"/>
      <c r="L27" s="11"/>
      <c r="M27" s="65"/>
      <c r="N27" s="11"/>
      <c r="O27" s="64"/>
    </row>
    <row r="28" spans="1:15" x14ac:dyDescent="0.2">
      <c r="A28">
        <v>2019</v>
      </c>
      <c r="B28" s="34">
        <v>38</v>
      </c>
      <c r="C28" s="34" t="s">
        <v>26</v>
      </c>
      <c r="D28" s="36">
        <v>85003</v>
      </c>
      <c r="E28" s="36">
        <v>662270</v>
      </c>
      <c r="F28" s="57"/>
      <c r="G28" s="57"/>
      <c r="H28" s="11"/>
      <c r="I28" s="65"/>
      <c r="J28" s="11"/>
      <c r="K28" s="64"/>
      <c r="L28" s="11"/>
      <c r="M28" s="65"/>
      <c r="N28" s="11"/>
      <c r="O28" s="64"/>
    </row>
    <row r="29" spans="1:15" x14ac:dyDescent="0.2">
      <c r="A29">
        <v>2019</v>
      </c>
      <c r="B29" s="34">
        <v>39</v>
      </c>
      <c r="C29" s="34" t="s">
        <v>27</v>
      </c>
      <c r="D29" s="36">
        <v>16598</v>
      </c>
      <c r="E29" s="36">
        <v>120894</v>
      </c>
      <c r="F29" s="57"/>
      <c r="G29" s="57"/>
      <c r="H29" s="11"/>
      <c r="I29" s="65"/>
      <c r="J29" s="11"/>
      <c r="K29" s="64"/>
      <c r="L29" s="11"/>
      <c r="M29" s="65"/>
      <c r="N29" s="11"/>
      <c r="O29" s="64"/>
    </row>
    <row r="30" spans="1:15" x14ac:dyDescent="0.2">
      <c r="A30">
        <v>2019</v>
      </c>
      <c r="B30" s="34">
        <v>40</v>
      </c>
      <c r="C30" s="34" t="s">
        <v>28</v>
      </c>
      <c r="D30" s="36">
        <v>3587</v>
      </c>
      <c r="E30" s="36">
        <v>30963</v>
      </c>
      <c r="F30" s="57"/>
      <c r="G30" s="57"/>
      <c r="H30" s="11"/>
      <c r="I30" s="65"/>
      <c r="J30" s="11"/>
      <c r="K30" s="64"/>
      <c r="L30" s="11"/>
      <c r="M30" s="65"/>
      <c r="N30" s="11"/>
      <c r="O30" s="64"/>
    </row>
    <row r="31" spans="1:15" x14ac:dyDescent="0.2">
      <c r="A31">
        <v>2019</v>
      </c>
      <c r="B31" s="34">
        <v>41</v>
      </c>
      <c r="C31" s="34" t="s">
        <v>544</v>
      </c>
      <c r="D31" s="36">
        <v>63227</v>
      </c>
      <c r="E31" s="36">
        <v>453943</v>
      </c>
      <c r="F31" s="57"/>
      <c r="G31" s="57"/>
      <c r="H31" s="11"/>
      <c r="I31" s="65"/>
      <c r="J31" s="11"/>
      <c r="K31" s="64"/>
      <c r="L31" s="11"/>
      <c r="M31" s="65"/>
      <c r="N31" s="11"/>
      <c r="O31" s="64"/>
    </row>
    <row r="32" spans="1:15" x14ac:dyDescent="0.2">
      <c r="A32">
        <v>2019</v>
      </c>
      <c r="B32" s="34">
        <v>42</v>
      </c>
      <c r="C32" s="34" t="s">
        <v>545</v>
      </c>
      <c r="D32" s="36">
        <v>48193</v>
      </c>
      <c r="E32" s="36">
        <v>350080</v>
      </c>
      <c r="F32" s="57"/>
      <c r="G32" s="57"/>
      <c r="H32" s="11"/>
      <c r="I32" s="65"/>
      <c r="J32" s="11"/>
      <c r="K32" s="64"/>
      <c r="L32" s="11"/>
      <c r="M32" s="65"/>
      <c r="N32" s="11"/>
      <c r="O32" s="64"/>
    </row>
    <row r="33" spans="1:15" x14ac:dyDescent="0.2">
      <c r="A33">
        <v>2019</v>
      </c>
      <c r="B33" s="34">
        <v>43</v>
      </c>
      <c r="C33" s="34" t="s">
        <v>31</v>
      </c>
      <c r="D33" s="36">
        <v>166137</v>
      </c>
      <c r="E33" s="36">
        <v>856929</v>
      </c>
      <c r="F33" s="57"/>
      <c r="G33" s="57"/>
      <c r="H33" s="11"/>
      <c r="I33" s="65"/>
      <c r="J33" s="11"/>
      <c r="K33" s="64"/>
      <c r="L33" s="11"/>
      <c r="M33" s="65"/>
      <c r="N33" s="11"/>
      <c r="O33" s="64"/>
    </row>
    <row r="34" spans="1:15" x14ac:dyDescent="0.2">
      <c r="A34">
        <v>2019</v>
      </c>
      <c r="B34" s="34">
        <v>46</v>
      </c>
      <c r="C34" s="34" t="s">
        <v>32</v>
      </c>
      <c r="D34" s="36">
        <v>55028</v>
      </c>
      <c r="E34" s="36">
        <v>304337</v>
      </c>
      <c r="F34" s="57"/>
      <c r="G34" s="57"/>
      <c r="H34" s="11"/>
      <c r="I34" s="65"/>
      <c r="J34" s="11"/>
      <c r="K34" s="64"/>
      <c r="L34" s="11"/>
      <c r="M34" s="65"/>
      <c r="N34" s="11"/>
      <c r="O34" s="64"/>
    </row>
    <row r="35" spans="1:15" x14ac:dyDescent="0.2">
      <c r="A35">
        <v>2019</v>
      </c>
      <c r="B35" s="34">
        <v>47</v>
      </c>
      <c r="C35" s="34" t="s">
        <v>33</v>
      </c>
      <c r="D35" s="36">
        <v>14671</v>
      </c>
      <c r="E35" s="36">
        <v>139002</v>
      </c>
      <c r="F35" s="57"/>
      <c r="G35" s="57"/>
      <c r="H35" s="11"/>
      <c r="I35" s="65"/>
      <c r="J35" s="11"/>
      <c r="K35" s="64"/>
      <c r="L35" s="11"/>
      <c r="M35" s="65"/>
      <c r="N35" s="11"/>
      <c r="O35" s="64"/>
    </row>
    <row r="36" spans="1:15" x14ac:dyDescent="0.2">
      <c r="A36">
        <v>2019</v>
      </c>
      <c r="B36" s="34">
        <v>48</v>
      </c>
      <c r="C36" s="34" t="s">
        <v>34</v>
      </c>
      <c r="D36" s="36">
        <v>79478</v>
      </c>
      <c r="E36" s="36">
        <v>573288</v>
      </c>
      <c r="F36" s="57"/>
      <c r="G36" s="57"/>
      <c r="H36" s="11"/>
      <c r="I36" s="65"/>
      <c r="J36" s="11"/>
      <c r="K36" s="64"/>
      <c r="L36" s="11"/>
      <c r="M36" s="65"/>
      <c r="N36" s="11"/>
      <c r="O36" s="64"/>
    </row>
    <row r="37" spans="1:15" x14ac:dyDescent="0.2">
      <c r="A37">
        <v>2019</v>
      </c>
      <c r="B37" s="34">
        <v>49</v>
      </c>
      <c r="C37" s="34" t="s">
        <v>35</v>
      </c>
      <c r="D37" s="36">
        <v>25038</v>
      </c>
      <c r="E37" s="36">
        <v>134086</v>
      </c>
      <c r="F37" s="57"/>
      <c r="G37" s="57"/>
      <c r="H37" s="11"/>
      <c r="I37" s="65"/>
      <c r="J37" s="11"/>
      <c r="K37" s="64"/>
      <c r="L37" s="11"/>
      <c r="M37" s="65"/>
      <c r="N37" s="11"/>
      <c r="O37" s="64"/>
    </row>
    <row r="38" spans="1:15" x14ac:dyDescent="0.2">
      <c r="A38">
        <v>2019</v>
      </c>
      <c r="B38" s="34">
        <v>50</v>
      </c>
      <c r="C38" s="34" t="s">
        <v>36</v>
      </c>
      <c r="D38" s="36">
        <v>144130</v>
      </c>
      <c r="E38" s="36">
        <v>1284452</v>
      </c>
      <c r="F38" s="57"/>
      <c r="G38" s="57"/>
      <c r="H38" s="11"/>
      <c r="I38" s="65"/>
      <c r="J38" s="11"/>
      <c r="K38" s="64"/>
      <c r="L38" s="11"/>
      <c r="M38" s="65"/>
      <c r="N38" s="11"/>
      <c r="O38" s="64"/>
    </row>
    <row r="39" spans="1:15" x14ac:dyDescent="0.2">
      <c r="A39">
        <v>2019</v>
      </c>
      <c r="B39" s="34">
        <v>52</v>
      </c>
      <c r="C39" s="34" t="s">
        <v>37</v>
      </c>
      <c r="D39" s="36">
        <v>127962</v>
      </c>
      <c r="E39" s="36">
        <v>892520</v>
      </c>
      <c r="F39" s="57"/>
      <c r="G39" s="57"/>
      <c r="H39" s="11"/>
      <c r="I39" s="65"/>
      <c r="J39" s="11"/>
      <c r="K39" s="64"/>
      <c r="L39" s="11"/>
      <c r="M39" s="65"/>
      <c r="N39" s="11"/>
      <c r="O39" s="64"/>
    </row>
    <row r="40" spans="1:15" x14ac:dyDescent="0.2">
      <c r="A40">
        <v>2019</v>
      </c>
      <c r="B40" s="34">
        <v>53</v>
      </c>
      <c r="C40" s="34" t="s">
        <v>38</v>
      </c>
      <c r="D40" s="36">
        <v>56806</v>
      </c>
      <c r="E40" s="36">
        <v>325880</v>
      </c>
      <c r="F40" s="57"/>
      <c r="G40" s="57"/>
      <c r="H40" s="11"/>
      <c r="I40" s="65"/>
      <c r="J40" s="11"/>
      <c r="K40" s="64"/>
      <c r="L40" s="11"/>
      <c r="M40" s="65"/>
      <c r="N40" s="11"/>
      <c r="O40" s="64"/>
    </row>
    <row r="41" spans="1:15" x14ac:dyDescent="0.2">
      <c r="A41">
        <v>2019</v>
      </c>
      <c r="B41" s="34">
        <v>54</v>
      </c>
      <c r="C41" s="34" t="s">
        <v>39</v>
      </c>
      <c r="D41" s="36">
        <v>95080</v>
      </c>
      <c r="E41" s="36">
        <v>916550</v>
      </c>
      <c r="F41" s="57"/>
      <c r="G41" s="57"/>
      <c r="H41" s="11"/>
      <c r="I41" s="65"/>
      <c r="J41" s="11"/>
      <c r="K41" s="64"/>
      <c r="L41" s="11"/>
      <c r="M41" s="65"/>
      <c r="N41" s="11"/>
      <c r="O41" s="64"/>
    </row>
    <row r="42" spans="1:15" x14ac:dyDescent="0.2">
      <c r="A42">
        <v>2019</v>
      </c>
      <c r="B42" s="34">
        <v>55</v>
      </c>
      <c r="C42" s="34" t="s">
        <v>40</v>
      </c>
      <c r="D42" s="36">
        <v>43720</v>
      </c>
      <c r="E42" s="36">
        <v>387109</v>
      </c>
      <c r="F42" s="57"/>
      <c r="G42" s="57"/>
      <c r="H42" s="11"/>
      <c r="I42" s="65"/>
      <c r="J42" s="11"/>
      <c r="K42" s="64"/>
      <c r="L42" s="11"/>
      <c r="M42" s="65"/>
      <c r="N42" s="11"/>
      <c r="O42" s="64"/>
    </row>
    <row r="43" spans="1:15" x14ac:dyDescent="0.2">
      <c r="A43">
        <v>2019</v>
      </c>
      <c r="B43" s="34">
        <v>57</v>
      </c>
      <c r="C43" s="34" t="s">
        <v>41</v>
      </c>
      <c r="D43" s="36">
        <v>2775326</v>
      </c>
      <c r="E43" s="36">
        <v>16227615</v>
      </c>
      <c r="F43" s="57"/>
      <c r="G43" s="57"/>
      <c r="H43" s="11"/>
      <c r="I43" s="65"/>
      <c r="J43" s="11"/>
      <c r="K43" s="64"/>
      <c r="L43" s="11"/>
      <c r="M43" s="65"/>
      <c r="N43" s="11"/>
      <c r="O43" s="64"/>
    </row>
    <row r="44" spans="1:15" x14ac:dyDescent="0.2">
      <c r="A44">
        <v>2019</v>
      </c>
      <c r="B44" s="34">
        <v>63</v>
      </c>
      <c r="C44" s="34" t="s">
        <v>42</v>
      </c>
      <c r="D44" s="36">
        <v>41677</v>
      </c>
      <c r="E44" s="36">
        <v>262739</v>
      </c>
      <c r="F44" s="57"/>
      <c r="G44" s="57"/>
      <c r="H44" s="11"/>
      <c r="I44" s="65"/>
      <c r="J44" s="11"/>
      <c r="K44" s="64"/>
      <c r="L44" s="11"/>
      <c r="M44" s="65"/>
      <c r="N44" s="11"/>
      <c r="O44" s="64"/>
    </row>
    <row r="45" spans="1:15" x14ac:dyDescent="0.2">
      <c r="A45">
        <v>2019</v>
      </c>
      <c r="B45" s="34">
        <v>64</v>
      </c>
      <c r="C45" s="34" t="s">
        <v>43</v>
      </c>
      <c r="D45" s="36">
        <v>65534</v>
      </c>
      <c r="E45" s="36">
        <v>508528</v>
      </c>
      <c r="F45" s="57"/>
      <c r="G45" s="57"/>
      <c r="H45" s="5"/>
      <c r="I45" s="65"/>
      <c r="J45" s="5"/>
      <c r="K45" s="64"/>
      <c r="L45" s="5"/>
      <c r="M45" s="65"/>
      <c r="N45" s="5"/>
      <c r="O45" s="64"/>
    </row>
    <row r="46" spans="1:15" x14ac:dyDescent="0.2">
      <c r="A46">
        <v>2019</v>
      </c>
      <c r="B46" s="34">
        <v>65</v>
      </c>
      <c r="C46" s="34" t="s">
        <v>44</v>
      </c>
      <c r="D46" s="36">
        <v>57118</v>
      </c>
      <c r="E46" s="36">
        <v>499246</v>
      </c>
      <c r="F46" s="57"/>
      <c r="G46" s="57"/>
      <c r="H46" s="65"/>
      <c r="I46" s="64"/>
      <c r="J46" s="65"/>
      <c r="K46" s="64"/>
    </row>
    <row r="47" spans="1:15" x14ac:dyDescent="0.2">
      <c r="A47">
        <v>2019</v>
      </c>
      <c r="B47" s="34">
        <v>66</v>
      </c>
      <c r="C47" s="34" t="s">
        <v>45</v>
      </c>
      <c r="D47" s="36">
        <v>1544272</v>
      </c>
      <c r="E47" s="36">
        <v>7874655</v>
      </c>
      <c r="F47" s="57"/>
      <c r="G47" s="57"/>
      <c r="H47" s="65"/>
      <c r="I47" s="64"/>
      <c r="J47" s="65"/>
      <c r="K47" s="64"/>
    </row>
    <row r="48" spans="1:15" x14ac:dyDescent="0.2">
      <c r="A48">
        <v>2019</v>
      </c>
      <c r="B48" s="34">
        <v>67</v>
      </c>
      <c r="C48" s="34" t="s">
        <v>546</v>
      </c>
      <c r="D48" s="36">
        <v>580103</v>
      </c>
      <c r="E48" s="36">
        <v>3352760</v>
      </c>
      <c r="F48" s="57"/>
      <c r="G48" s="57"/>
      <c r="H48" s="65"/>
      <c r="I48" s="64"/>
      <c r="J48" s="65"/>
      <c r="K48" s="64"/>
    </row>
    <row r="49" spans="1:11" x14ac:dyDescent="0.2">
      <c r="A49">
        <v>2019</v>
      </c>
      <c r="B49" s="34">
        <v>68</v>
      </c>
      <c r="C49" s="34" t="s">
        <v>47</v>
      </c>
      <c r="D49" s="36">
        <v>55583</v>
      </c>
      <c r="E49" s="36">
        <v>457637</v>
      </c>
      <c r="F49" s="57"/>
      <c r="G49" s="57"/>
      <c r="H49" s="65"/>
      <c r="I49" s="64"/>
      <c r="J49" s="65"/>
      <c r="K49" s="64"/>
    </row>
    <row r="50" spans="1:11" x14ac:dyDescent="0.2">
      <c r="A50">
        <v>2019</v>
      </c>
      <c r="B50" s="34">
        <v>69</v>
      </c>
      <c r="C50" s="34" t="s">
        <v>48</v>
      </c>
      <c r="D50" s="36">
        <v>120472</v>
      </c>
      <c r="E50" s="36">
        <v>652485</v>
      </c>
      <c r="F50" s="57"/>
      <c r="G50" s="57"/>
      <c r="H50" s="65"/>
      <c r="I50" s="64"/>
      <c r="J50" s="65"/>
      <c r="K50" s="64"/>
    </row>
    <row r="51" spans="1:11" x14ac:dyDescent="0.2">
      <c r="A51">
        <v>2019</v>
      </c>
      <c r="B51" s="34">
        <v>74</v>
      </c>
      <c r="C51" s="34" t="s">
        <v>49</v>
      </c>
      <c r="D51" s="36">
        <v>20795</v>
      </c>
      <c r="E51" s="36">
        <v>66266</v>
      </c>
      <c r="F51" s="57"/>
      <c r="G51" s="57"/>
      <c r="H51" s="65"/>
      <c r="I51" s="64"/>
      <c r="J51" s="65"/>
      <c r="K51" s="64"/>
    </row>
    <row r="52" spans="1:11" x14ac:dyDescent="0.2">
      <c r="A52">
        <v>2019</v>
      </c>
      <c r="B52" s="34">
        <v>75</v>
      </c>
      <c r="C52" s="34" t="s">
        <v>50</v>
      </c>
      <c r="D52" s="36">
        <v>63248</v>
      </c>
      <c r="E52" s="36">
        <v>498706</v>
      </c>
      <c r="F52" s="57"/>
      <c r="G52" s="57"/>
      <c r="H52" s="65"/>
      <c r="I52" s="64"/>
      <c r="J52" s="65"/>
      <c r="K52" s="64"/>
    </row>
    <row r="53" spans="1:11" x14ac:dyDescent="0.2">
      <c r="A53">
        <v>2019</v>
      </c>
      <c r="B53" s="34">
        <v>76</v>
      </c>
      <c r="C53" s="34" t="s">
        <v>51</v>
      </c>
      <c r="D53" s="36">
        <v>1799</v>
      </c>
      <c r="E53" s="36">
        <v>31317</v>
      </c>
      <c r="F53" s="57"/>
      <c r="G53" s="57"/>
      <c r="H53" s="65"/>
      <c r="I53" s="64"/>
      <c r="J53" s="65"/>
      <c r="K53" s="64"/>
    </row>
    <row r="54" spans="1:11" x14ac:dyDescent="0.2">
      <c r="A54">
        <v>2019</v>
      </c>
      <c r="B54" s="34">
        <v>77</v>
      </c>
      <c r="C54" s="34" t="s">
        <v>52</v>
      </c>
      <c r="D54" s="36">
        <v>7169</v>
      </c>
      <c r="E54" s="36">
        <v>42496</v>
      </c>
      <c r="F54" s="57"/>
      <c r="G54" s="57"/>
      <c r="H54" s="65"/>
      <c r="I54" s="64"/>
      <c r="J54" s="65"/>
      <c r="K54" s="64"/>
    </row>
    <row r="55" spans="1:11" x14ac:dyDescent="0.2">
      <c r="A55">
        <v>2019</v>
      </c>
      <c r="B55" s="34">
        <v>78</v>
      </c>
      <c r="C55" s="34" t="s">
        <v>53</v>
      </c>
      <c r="D55" s="36">
        <v>38757</v>
      </c>
      <c r="E55" s="36">
        <v>327628</v>
      </c>
      <c r="F55" s="57"/>
      <c r="G55" s="57"/>
      <c r="H55" s="65"/>
      <c r="I55" s="64"/>
      <c r="J55" s="65"/>
      <c r="K55" s="64"/>
    </row>
    <row r="56" spans="1:11" x14ac:dyDescent="0.2">
      <c r="A56">
        <v>2019</v>
      </c>
      <c r="B56" s="34">
        <v>79</v>
      </c>
      <c r="C56" s="34" t="s">
        <v>54</v>
      </c>
      <c r="D56" s="36">
        <v>6808</v>
      </c>
      <c r="E56" s="36">
        <v>41996</v>
      </c>
      <c r="F56" s="57"/>
      <c r="G56" s="57"/>
      <c r="H56" s="65"/>
      <c r="I56" s="64"/>
      <c r="J56" s="65"/>
      <c r="K56" s="64"/>
    </row>
    <row r="57" spans="1:11" x14ac:dyDescent="0.2">
      <c r="A57">
        <v>2019</v>
      </c>
      <c r="B57" s="34">
        <v>80</v>
      </c>
      <c r="C57" s="34" t="s">
        <v>55</v>
      </c>
      <c r="D57" s="36">
        <v>33465</v>
      </c>
      <c r="E57" s="36">
        <v>226966</v>
      </c>
      <c r="F57" s="57"/>
      <c r="G57" s="57"/>
      <c r="H57" s="65"/>
      <c r="I57" s="64"/>
      <c r="J57" s="65"/>
      <c r="K57" s="64"/>
    </row>
    <row r="58" spans="1:11" x14ac:dyDescent="0.2">
      <c r="A58">
        <v>2019</v>
      </c>
      <c r="B58" s="34">
        <v>82</v>
      </c>
      <c r="C58" s="34" t="s">
        <v>56</v>
      </c>
      <c r="D58" s="36">
        <v>3835</v>
      </c>
      <c r="E58" s="36">
        <v>40735</v>
      </c>
      <c r="F58" s="57"/>
      <c r="G58" s="57"/>
      <c r="H58" s="65"/>
      <c r="I58" s="64"/>
      <c r="J58" s="65"/>
      <c r="K58" s="64"/>
    </row>
    <row r="59" spans="1:11" x14ac:dyDescent="0.2">
      <c r="A59">
        <v>2019</v>
      </c>
      <c r="B59" s="34">
        <v>83</v>
      </c>
      <c r="C59" s="34" t="s">
        <v>547</v>
      </c>
      <c r="D59" s="36">
        <v>99131</v>
      </c>
      <c r="E59" s="36">
        <v>791151</v>
      </c>
      <c r="F59" s="57"/>
      <c r="G59" s="57"/>
      <c r="H59" s="65"/>
      <c r="I59" s="64"/>
      <c r="J59" s="65"/>
      <c r="K59" s="64"/>
    </row>
    <row r="60" spans="1:11" x14ac:dyDescent="0.2">
      <c r="A60">
        <v>2019</v>
      </c>
      <c r="B60" s="34">
        <v>84</v>
      </c>
      <c r="C60" s="34" t="s">
        <v>85</v>
      </c>
      <c r="D60" s="36">
        <v>128498</v>
      </c>
      <c r="E60" s="36">
        <v>666653</v>
      </c>
      <c r="F60" s="57"/>
      <c r="G60" s="57"/>
      <c r="H60" s="65"/>
      <c r="I60" s="64"/>
      <c r="J60" s="65"/>
      <c r="K60" s="64"/>
    </row>
    <row r="61" spans="1:11" x14ac:dyDescent="0.2">
      <c r="A61">
        <v>2019</v>
      </c>
      <c r="B61" s="34">
        <v>85</v>
      </c>
      <c r="C61" s="34" t="s">
        <v>58</v>
      </c>
      <c r="D61" s="36">
        <v>50096</v>
      </c>
      <c r="E61" s="36">
        <v>396171</v>
      </c>
      <c r="F61" s="57"/>
      <c r="G61" s="57"/>
      <c r="H61" s="65"/>
      <c r="I61" s="64"/>
      <c r="J61" s="65"/>
      <c r="K61" s="64"/>
    </row>
    <row r="62" spans="1:11" x14ac:dyDescent="0.2">
      <c r="A62">
        <v>2019</v>
      </c>
      <c r="B62" s="34">
        <v>86</v>
      </c>
      <c r="C62" s="34" t="s">
        <v>59</v>
      </c>
      <c r="D62" s="36">
        <v>294756</v>
      </c>
      <c r="E62" s="36">
        <v>1523735</v>
      </c>
      <c r="F62" s="57"/>
      <c r="G62" s="57"/>
      <c r="H62" s="65"/>
      <c r="I62" s="64"/>
      <c r="J62" s="65"/>
      <c r="K62" s="64"/>
    </row>
    <row r="63" spans="1:11" x14ac:dyDescent="0.2">
      <c r="A63">
        <v>2019</v>
      </c>
      <c r="B63" s="34">
        <v>93</v>
      </c>
      <c r="C63" s="34" t="s">
        <v>60</v>
      </c>
      <c r="D63" s="36">
        <v>48851</v>
      </c>
      <c r="E63" s="36">
        <v>289063</v>
      </c>
      <c r="F63" s="57"/>
      <c r="G63" s="57"/>
      <c r="H63" s="65"/>
      <c r="I63" s="64"/>
      <c r="J63" s="65"/>
      <c r="K63" s="64"/>
    </row>
    <row r="64" spans="1:11" x14ac:dyDescent="0.2">
      <c r="A64">
        <v>2019</v>
      </c>
      <c r="B64" s="34">
        <v>94</v>
      </c>
      <c r="C64" s="34" t="s">
        <v>61</v>
      </c>
      <c r="D64" s="36">
        <v>575649</v>
      </c>
      <c r="E64" s="36">
        <v>3354762</v>
      </c>
      <c r="F64" s="57"/>
      <c r="G64" s="57"/>
      <c r="H64" s="65"/>
      <c r="I64" s="64"/>
      <c r="J64" s="65"/>
      <c r="K64" s="64"/>
    </row>
    <row r="65" spans="1:11" x14ac:dyDescent="0.2">
      <c r="A65">
        <v>2019</v>
      </c>
      <c r="B65" s="34">
        <v>95</v>
      </c>
      <c r="C65" s="34" t="s">
        <v>62</v>
      </c>
      <c r="D65" s="36">
        <v>43376</v>
      </c>
      <c r="E65" s="36">
        <v>187594</v>
      </c>
      <c r="F65" s="57"/>
      <c r="G65" s="57"/>
      <c r="H65" s="65"/>
      <c r="I65" s="64"/>
      <c r="J65" s="65"/>
      <c r="K65" s="64"/>
    </row>
    <row r="66" spans="1:11" x14ac:dyDescent="0.2">
      <c r="A66">
        <v>2019</v>
      </c>
      <c r="B66" s="34">
        <v>96</v>
      </c>
      <c r="C66" s="34" t="s">
        <v>63</v>
      </c>
      <c r="D66" s="36">
        <v>33433</v>
      </c>
      <c r="E66" s="36">
        <v>238212</v>
      </c>
      <c r="F66" s="57"/>
      <c r="G66" s="57"/>
      <c r="H66" s="65"/>
      <c r="I66" s="64"/>
      <c r="J66" s="65"/>
      <c r="K66" s="64"/>
    </row>
    <row r="67" spans="1:11" x14ac:dyDescent="0.2">
      <c r="A67">
        <v>2019</v>
      </c>
      <c r="B67" s="34">
        <v>97</v>
      </c>
      <c r="C67" s="34" t="s">
        <v>548</v>
      </c>
      <c r="D67" s="36">
        <v>697884</v>
      </c>
      <c r="E67" s="36">
        <v>3284487</v>
      </c>
      <c r="F67" s="57"/>
      <c r="G67" s="57"/>
      <c r="H67" s="65"/>
      <c r="I67" s="64"/>
      <c r="J67" s="65"/>
      <c r="K67" s="64"/>
    </row>
    <row r="68" spans="1:11" x14ac:dyDescent="0.2">
      <c r="A68">
        <v>2019</v>
      </c>
      <c r="B68" s="34">
        <v>98</v>
      </c>
      <c r="C68" s="34" t="s">
        <v>65</v>
      </c>
      <c r="D68" s="36">
        <v>24957</v>
      </c>
      <c r="E68" s="36">
        <v>253979</v>
      </c>
      <c r="F68" s="57"/>
      <c r="G68" s="57"/>
      <c r="H68" s="65"/>
      <c r="I68" s="64"/>
      <c r="J68" s="65"/>
      <c r="K68" s="64"/>
    </row>
    <row r="69" spans="1:11" x14ac:dyDescent="0.2">
      <c r="A69">
        <v>2019</v>
      </c>
      <c r="B69" s="34">
        <v>99</v>
      </c>
      <c r="C69" s="34" t="s">
        <v>66</v>
      </c>
      <c r="D69" s="36">
        <v>26421</v>
      </c>
      <c r="E69" s="36">
        <v>218073</v>
      </c>
      <c r="F69" s="57"/>
      <c r="G69" s="57"/>
      <c r="H69" s="65"/>
      <c r="I69" s="64"/>
      <c r="J69" s="65"/>
      <c r="K69" s="64"/>
    </row>
    <row r="70" spans="1:11" x14ac:dyDescent="0.2">
      <c r="A70">
        <v>2019</v>
      </c>
      <c r="B70" s="34">
        <v>100</v>
      </c>
      <c r="C70" s="34" t="s">
        <v>67</v>
      </c>
      <c r="D70" s="36">
        <v>34966</v>
      </c>
      <c r="E70" s="36">
        <v>295730</v>
      </c>
      <c r="F70" s="57"/>
      <c r="G70" s="57"/>
      <c r="H70" s="65"/>
      <c r="I70" s="64"/>
      <c r="J70" s="65"/>
      <c r="K70" s="64"/>
    </row>
    <row r="71" spans="1:11" x14ac:dyDescent="0.2">
      <c r="A71">
        <v>2019</v>
      </c>
      <c r="B71" s="34">
        <v>101</v>
      </c>
      <c r="C71" s="34" t="s">
        <v>68</v>
      </c>
      <c r="D71" s="36">
        <v>527125</v>
      </c>
      <c r="E71" s="36">
        <v>3292628</v>
      </c>
      <c r="F71" s="57"/>
      <c r="G71" s="57"/>
      <c r="H71" s="65"/>
      <c r="I71" s="64"/>
      <c r="J71" s="65"/>
      <c r="K71" s="64"/>
    </row>
    <row r="72" spans="1:11" x14ac:dyDescent="0.2">
      <c r="A72">
        <v>2019</v>
      </c>
      <c r="B72" s="34">
        <v>103</v>
      </c>
      <c r="C72" s="34" t="s">
        <v>69</v>
      </c>
      <c r="D72" s="36">
        <v>16910</v>
      </c>
      <c r="E72" s="36">
        <v>129776</v>
      </c>
      <c r="F72" s="57"/>
      <c r="G72" s="57"/>
      <c r="H72" s="65"/>
      <c r="I72" s="64"/>
      <c r="J72" s="65"/>
      <c r="K72" s="64"/>
    </row>
    <row r="73" spans="1:11" x14ac:dyDescent="0.2">
      <c r="A73">
        <v>2019</v>
      </c>
      <c r="B73" s="34">
        <v>104</v>
      </c>
      <c r="C73" s="34" t="s">
        <v>549</v>
      </c>
      <c r="D73" s="36">
        <v>12834</v>
      </c>
      <c r="E73" s="36">
        <v>154728</v>
      </c>
      <c r="F73" s="57"/>
      <c r="G73" s="57"/>
      <c r="H73" s="65"/>
      <c r="I73" s="64"/>
      <c r="J73" s="65"/>
      <c r="K73" s="64"/>
    </row>
    <row r="74" spans="1:11" x14ac:dyDescent="0.2">
      <c r="A74">
        <v>2019</v>
      </c>
      <c r="B74" s="34">
        <v>106</v>
      </c>
      <c r="C74" s="34" t="s">
        <v>71</v>
      </c>
      <c r="D74" s="36">
        <v>15964</v>
      </c>
      <c r="E74" s="36">
        <v>101480</v>
      </c>
      <c r="F74" s="57"/>
      <c r="G74" s="57"/>
      <c r="H74" s="65"/>
      <c r="I74" s="64"/>
      <c r="J74" s="65"/>
      <c r="K74" s="64"/>
    </row>
    <row r="75" spans="1:11" x14ac:dyDescent="0.2">
      <c r="A75">
        <v>2019</v>
      </c>
      <c r="B75" s="34">
        <v>107</v>
      </c>
      <c r="C75" s="34" t="s">
        <v>72</v>
      </c>
      <c r="D75" s="36">
        <v>100604</v>
      </c>
      <c r="E75" s="36">
        <v>753716</v>
      </c>
      <c r="F75" s="57"/>
      <c r="G75" s="57"/>
      <c r="H75" s="65"/>
      <c r="I75" s="64"/>
      <c r="J75" s="65"/>
      <c r="K75" s="64"/>
    </row>
    <row r="76" spans="1:11" x14ac:dyDescent="0.2">
      <c r="A76">
        <v>2019</v>
      </c>
      <c r="B76" s="34">
        <v>108</v>
      </c>
      <c r="C76" s="34" t="s">
        <v>73</v>
      </c>
      <c r="D76" s="36">
        <v>27079</v>
      </c>
      <c r="E76" s="36">
        <v>172321</v>
      </c>
      <c r="F76" s="57"/>
      <c r="G76" s="57"/>
      <c r="H76" s="65"/>
      <c r="I76" s="64"/>
      <c r="J76" s="65"/>
      <c r="K76" s="64"/>
    </row>
    <row r="77" spans="1:11" x14ac:dyDescent="0.2">
      <c r="A77">
        <v>2019</v>
      </c>
      <c r="B77" s="34">
        <v>110</v>
      </c>
      <c r="C77" s="34" t="s">
        <v>74</v>
      </c>
      <c r="D77" s="36">
        <v>80406</v>
      </c>
      <c r="E77" s="36">
        <v>348407</v>
      </c>
      <c r="F77" s="57"/>
      <c r="G77" s="57"/>
      <c r="H77" s="65"/>
      <c r="I77" s="64"/>
      <c r="J77" s="65"/>
      <c r="K77" s="64"/>
    </row>
    <row r="78" spans="1:11" x14ac:dyDescent="0.2">
      <c r="A78">
        <v>2019</v>
      </c>
      <c r="B78" s="34">
        <v>111</v>
      </c>
      <c r="C78" s="34" t="s">
        <v>86</v>
      </c>
      <c r="D78" s="36">
        <v>71725</v>
      </c>
      <c r="E78" s="36">
        <v>435011</v>
      </c>
      <c r="F78" s="57"/>
      <c r="G78" s="57"/>
      <c r="H78" s="65"/>
      <c r="I78" s="64"/>
      <c r="J78" s="65"/>
      <c r="K78" s="64"/>
    </row>
    <row r="79" spans="1:11" x14ac:dyDescent="0.2">
      <c r="A79">
        <v>2019</v>
      </c>
      <c r="B79" s="34">
        <v>112</v>
      </c>
      <c r="C79" s="34" t="s">
        <v>550</v>
      </c>
      <c r="D79" s="36">
        <v>55080</v>
      </c>
      <c r="E79" s="36">
        <v>370845</v>
      </c>
      <c r="F79" s="57"/>
      <c r="G79" s="57"/>
      <c r="H79" s="65"/>
      <c r="I79" s="64"/>
      <c r="J79" s="65"/>
      <c r="K79" s="64"/>
    </row>
    <row r="80" spans="1:11" x14ac:dyDescent="0.2">
      <c r="A80">
        <v>2019</v>
      </c>
      <c r="B80" s="34">
        <v>113</v>
      </c>
      <c r="C80" s="34" t="s">
        <v>77</v>
      </c>
      <c r="D80" s="36">
        <v>724904</v>
      </c>
      <c r="E80" s="36">
        <v>4498977</v>
      </c>
      <c r="F80" s="57"/>
      <c r="G80" s="57"/>
      <c r="H80" s="65"/>
      <c r="I80" s="64"/>
      <c r="J80" s="65"/>
      <c r="K80" s="64"/>
    </row>
    <row r="81" spans="1:11" x14ac:dyDescent="0.2">
      <c r="A81">
        <v>2019</v>
      </c>
      <c r="B81" s="34">
        <v>114</v>
      </c>
      <c r="C81" s="34" t="s">
        <v>78</v>
      </c>
      <c r="D81" s="36">
        <v>168589</v>
      </c>
      <c r="E81" s="36">
        <v>1476306</v>
      </c>
      <c r="F81" s="57"/>
      <c r="G81" s="57"/>
      <c r="H81" s="65"/>
      <c r="I81" s="64"/>
      <c r="J81" s="65"/>
      <c r="K81" s="64"/>
    </row>
    <row r="82" spans="1:11" x14ac:dyDescent="0.2">
      <c r="A82">
        <v>2019</v>
      </c>
      <c r="B82" s="34">
        <v>115</v>
      </c>
      <c r="C82" s="34" t="s">
        <v>87</v>
      </c>
      <c r="D82" s="36">
        <v>31644</v>
      </c>
      <c r="E82" s="36">
        <v>251150</v>
      </c>
      <c r="F82" s="57"/>
      <c r="G82" s="57"/>
      <c r="H82" s="65"/>
      <c r="I82" s="64"/>
      <c r="J82" s="65"/>
      <c r="K82" s="64"/>
    </row>
    <row r="83" spans="1:11" x14ac:dyDescent="0.2">
      <c r="A83">
        <v>2019</v>
      </c>
      <c r="B83" s="34">
        <v>116</v>
      </c>
      <c r="C83" s="34" t="s">
        <v>79</v>
      </c>
      <c r="D83" s="36">
        <v>34463</v>
      </c>
      <c r="E83" s="36">
        <v>391243</v>
      </c>
      <c r="F83" s="57"/>
      <c r="G83" s="57"/>
      <c r="H83" s="65"/>
      <c r="I83" s="64"/>
      <c r="J83" s="65"/>
      <c r="K83" s="64"/>
    </row>
    <row r="84" spans="1:11" x14ac:dyDescent="0.2">
      <c r="A84">
        <v>2019</v>
      </c>
      <c r="B84" s="34">
        <v>117</v>
      </c>
      <c r="C84" s="34" t="s">
        <v>80</v>
      </c>
      <c r="D84" s="36">
        <v>93252</v>
      </c>
      <c r="E84" s="36">
        <v>539372</v>
      </c>
      <c r="F84" s="57"/>
      <c r="G84" s="57"/>
      <c r="H84" s="65"/>
      <c r="I84" s="64"/>
      <c r="J84" s="65"/>
      <c r="K84" s="64"/>
    </row>
    <row r="85" spans="1:11" x14ac:dyDescent="0.2">
      <c r="A85">
        <v>2019</v>
      </c>
      <c r="B85" s="34">
        <v>118</v>
      </c>
      <c r="C85" s="34" t="s">
        <v>81</v>
      </c>
      <c r="D85" s="36">
        <v>256340</v>
      </c>
      <c r="E85" s="36">
        <v>1875551</v>
      </c>
      <c r="F85" s="57"/>
      <c r="G85" s="57"/>
      <c r="H85" s="65"/>
      <c r="I85" s="64"/>
      <c r="J85" s="65"/>
      <c r="K85" s="64"/>
    </row>
    <row r="86" spans="1:11" x14ac:dyDescent="0.2">
      <c r="A86">
        <v>2019</v>
      </c>
      <c r="B86" s="34">
        <v>119</v>
      </c>
      <c r="C86" s="34" t="s">
        <v>82</v>
      </c>
      <c r="D86" s="36">
        <v>11735</v>
      </c>
      <c r="E86" s="36">
        <v>95423</v>
      </c>
      <c r="F86" s="57"/>
      <c r="G86" s="57"/>
      <c r="H86" s="65"/>
      <c r="I86" s="64"/>
      <c r="J86" s="65"/>
      <c r="K86" s="64"/>
    </row>
    <row r="87" spans="1:11" x14ac:dyDescent="0.2">
      <c r="A87">
        <v>2019</v>
      </c>
      <c r="B87" s="34">
        <v>120</v>
      </c>
      <c r="C87" s="34" t="s">
        <v>83</v>
      </c>
      <c r="D87" s="36">
        <v>578488</v>
      </c>
      <c r="E87" s="36">
        <v>3517228</v>
      </c>
      <c r="F87" s="57"/>
      <c r="G87" s="57"/>
      <c r="H87" s="65"/>
      <c r="I87" s="64"/>
      <c r="J87" s="65"/>
      <c r="K87" s="64"/>
    </row>
    <row r="88" spans="1:11" x14ac:dyDescent="0.2">
      <c r="A88">
        <v>2019</v>
      </c>
      <c r="B88" s="34">
        <v>125</v>
      </c>
      <c r="C88" s="34" t="s">
        <v>84</v>
      </c>
      <c r="D88" s="36">
        <v>17826</v>
      </c>
      <c r="E88" s="36">
        <v>102874</v>
      </c>
      <c r="F88" s="57"/>
      <c r="G88" s="57"/>
      <c r="H88" s="65"/>
      <c r="I88" s="64"/>
      <c r="J88" s="65"/>
      <c r="K88" s="64"/>
    </row>
    <row r="89" spans="1:11" x14ac:dyDescent="0.2">
      <c r="A89">
        <v>2019</v>
      </c>
      <c r="B89" s="34">
        <v>129</v>
      </c>
      <c r="C89" s="34" t="s">
        <v>129</v>
      </c>
      <c r="D89" s="36">
        <v>71019</v>
      </c>
      <c r="E89" s="36">
        <v>657499</v>
      </c>
      <c r="F89" s="57"/>
      <c r="G89" s="57"/>
      <c r="H89" s="65"/>
      <c r="I89" s="64"/>
      <c r="J89" s="65"/>
      <c r="K89" s="64"/>
    </row>
    <row r="90" spans="1:11" x14ac:dyDescent="0.2">
      <c r="A90">
        <v>2019</v>
      </c>
      <c r="B90" s="34">
        <v>130</v>
      </c>
      <c r="C90" s="34" t="s">
        <v>88</v>
      </c>
      <c r="D90" s="36">
        <v>104747</v>
      </c>
      <c r="E90" s="36">
        <v>790303</v>
      </c>
      <c r="F90" s="57"/>
      <c r="G90" s="57"/>
      <c r="H90" s="65"/>
      <c r="I90" s="64"/>
      <c r="J90" s="65"/>
      <c r="K90" s="64"/>
    </row>
    <row r="91" spans="1:11" x14ac:dyDescent="0.2">
      <c r="A91">
        <v>2019</v>
      </c>
      <c r="B91" s="34">
        <v>131</v>
      </c>
      <c r="C91" s="34" t="s">
        <v>89</v>
      </c>
      <c r="D91" s="36">
        <v>27172</v>
      </c>
      <c r="E91" s="36">
        <v>146495</v>
      </c>
      <c r="F91" s="57"/>
      <c r="G91" s="57"/>
      <c r="H91" s="65"/>
      <c r="I91" s="64"/>
      <c r="J91" s="65"/>
      <c r="K91" s="64"/>
    </row>
    <row r="92" spans="1:11" x14ac:dyDescent="0.2">
      <c r="A92">
        <v>2019</v>
      </c>
      <c r="B92" s="34">
        <v>132</v>
      </c>
      <c r="C92" s="34" t="s">
        <v>90</v>
      </c>
      <c r="D92" s="36">
        <v>42721</v>
      </c>
      <c r="E92" s="36">
        <v>212959</v>
      </c>
      <c r="F92" s="57"/>
      <c r="G92" s="57"/>
      <c r="H92" s="65"/>
      <c r="I92" s="64"/>
      <c r="J92" s="65"/>
      <c r="K92" s="64"/>
    </row>
    <row r="93" spans="1:11" x14ac:dyDescent="0.2">
      <c r="A93">
        <v>2019</v>
      </c>
      <c r="B93" s="34">
        <v>133</v>
      </c>
      <c r="C93" s="34" t="s">
        <v>91</v>
      </c>
      <c r="D93" s="36">
        <v>23704</v>
      </c>
      <c r="E93" s="36">
        <v>154203</v>
      </c>
      <c r="F93" s="57"/>
      <c r="G93" s="57"/>
      <c r="H93" s="65"/>
      <c r="I93" s="64"/>
      <c r="J93" s="65"/>
      <c r="K93" s="64"/>
    </row>
    <row r="94" spans="1:11" x14ac:dyDescent="0.2">
      <c r="A94">
        <v>2019</v>
      </c>
      <c r="B94" s="34">
        <v>134</v>
      </c>
      <c r="C94" s="34" t="s">
        <v>92</v>
      </c>
      <c r="D94" s="36">
        <v>59992</v>
      </c>
      <c r="E94" s="36">
        <v>380880</v>
      </c>
      <c r="F94" s="57"/>
      <c r="G94" s="57"/>
      <c r="H94" s="65"/>
      <c r="I94" s="64"/>
      <c r="J94" s="65"/>
      <c r="K94" s="64"/>
    </row>
    <row r="95" spans="1:11" x14ac:dyDescent="0.2">
      <c r="A95">
        <v>2019</v>
      </c>
      <c r="B95" s="34">
        <v>137</v>
      </c>
      <c r="C95" s="34" t="s">
        <v>93</v>
      </c>
      <c r="D95" s="36">
        <v>32593</v>
      </c>
      <c r="E95" s="36">
        <v>173608</v>
      </c>
      <c r="F95" s="57"/>
      <c r="G95" s="57"/>
      <c r="H95" s="65"/>
      <c r="I95" s="64"/>
      <c r="J95" s="65"/>
      <c r="K95" s="64"/>
    </row>
    <row r="96" spans="1:11" x14ac:dyDescent="0.2">
      <c r="A96">
        <v>2019</v>
      </c>
      <c r="B96" s="34">
        <v>138</v>
      </c>
      <c r="C96" s="34" t="s">
        <v>94</v>
      </c>
      <c r="D96" s="36">
        <v>477497</v>
      </c>
      <c r="E96" s="36">
        <v>4322059</v>
      </c>
      <c r="F96" s="57"/>
      <c r="G96" s="57"/>
      <c r="H96" s="65"/>
      <c r="I96" s="64"/>
      <c r="J96" s="65"/>
      <c r="K96" s="64"/>
    </row>
    <row r="97" spans="1:11" x14ac:dyDescent="0.2">
      <c r="A97">
        <v>2019</v>
      </c>
      <c r="B97" s="34">
        <v>139</v>
      </c>
      <c r="C97" s="34" t="s">
        <v>95</v>
      </c>
      <c r="D97" s="36">
        <v>77676</v>
      </c>
      <c r="E97" s="36">
        <v>470962</v>
      </c>
      <c r="F97" s="57"/>
      <c r="G97" s="57"/>
      <c r="H97" s="65"/>
      <c r="I97" s="64"/>
      <c r="J97" s="65"/>
      <c r="K97" s="64"/>
    </row>
    <row r="98" spans="1:11" x14ac:dyDescent="0.2">
      <c r="A98">
        <v>2019</v>
      </c>
      <c r="B98" s="34">
        <v>140</v>
      </c>
      <c r="C98" s="34" t="s">
        <v>96</v>
      </c>
      <c r="D98" s="36">
        <v>34281</v>
      </c>
      <c r="E98" s="36">
        <v>245810</v>
      </c>
      <c r="F98" s="57"/>
      <c r="G98" s="57"/>
      <c r="H98" s="65"/>
      <c r="I98" s="64"/>
      <c r="J98" s="65"/>
      <c r="K98" s="64"/>
    </row>
    <row r="99" spans="1:11" x14ac:dyDescent="0.2">
      <c r="A99">
        <v>2019</v>
      </c>
      <c r="B99" s="34">
        <v>141</v>
      </c>
      <c r="C99" s="34" t="s">
        <v>97</v>
      </c>
      <c r="D99" s="36">
        <v>93314</v>
      </c>
      <c r="E99" s="36">
        <v>759222</v>
      </c>
      <c r="F99" s="57"/>
      <c r="G99" s="57"/>
      <c r="H99" s="65"/>
      <c r="I99" s="64"/>
      <c r="J99" s="65"/>
      <c r="K99" s="64"/>
    </row>
    <row r="100" spans="1:11" x14ac:dyDescent="0.2">
      <c r="A100">
        <v>2019</v>
      </c>
      <c r="B100" s="34">
        <v>142</v>
      </c>
      <c r="C100" s="34" t="s">
        <v>98</v>
      </c>
      <c r="D100" s="36">
        <v>595082</v>
      </c>
      <c r="E100" s="36">
        <v>4360634</v>
      </c>
      <c r="F100" s="57"/>
      <c r="G100" s="57"/>
      <c r="H100" s="65"/>
      <c r="I100" s="64"/>
      <c r="J100" s="65"/>
      <c r="K100" s="64"/>
    </row>
    <row r="101" spans="1:11" x14ac:dyDescent="0.2">
      <c r="A101">
        <v>2019</v>
      </c>
      <c r="B101" s="34">
        <v>143</v>
      </c>
      <c r="C101" s="34" t="s">
        <v>99</v>
      </c>
      <c r="D101" s="36">
        <v>65285</v>
      </c>
      <c r="E101" s="36">
        <v>509321</v>
      </c>
      <c r="F101" s="57"/>
      <c r="G101" s="57"/>
      <c r="H101" s="65"/>
      <c r="I101" s="64"/>
      <c r="J101" s="65"/>
      <c r="K101" s="64"/>
    </row>
    <row r="102" spans="1:11" x14ac:dyDescent="0.2">
      <c r="A102">
        <v>2019</v>
      </c>
      <c r="B102" s="34">
        <v>144</v>
      </c>
      <c r="C102" s="34" t="s">
        <v>100</v>
      </c>
      <c r="D102" s="36">
        <v>103640</v>
      </c>
      <c r="E102" s="36">
        <v>741601</v>
      </c>
      <c r="F102" s="57"/>
      <c r="G102" s="57"/>
      <c r="H102" s="65"/>
      <c r="I102" s="64"/>
      <c r="J102" s="65"/>
      <c r="K102" s="64"/>
    </row>
    <row r="103" spans="1:11" x14ac:dyDescent="0.2">
      <c r="A103">
        <v>2019</v>
      </c>
      <c r="B103" s="34">
        <v>149</v>
      </c>
      <c r="C103" s="34" t="s">
        <v>101</v>
      </c>
      <c r="F103" s="57"/>
      <c r="G103" s="57"/>
      <c r="H103" s="57"/>
      <c r="I103" s="64"/>
      <c r="J103" s="57"/>
      <c r="K103" s="64"/>
    </row>
    <row r="104" spans="1:11" x14ac:dyDescent="0.2">
      <c r="A104">
        <v>2019</v>
      </c>
      <c r="B104" s="34">
        <v>151</v>
      </c>
      <c r="C104" s="34" t="s">
        <v>102</v>
      </c>
      <c r="D104" s="36">
        <v>324773</v>
      </c>
      <c r="E104" s="36">
        <v>2659388</v>
      </c>
      <c r="F104" s="57"/>
      <c r="G104" s="57"/>
      <c r="H104" s="65"/>
      <c r="I104" s="64"/>
      <c r="J104" s="65"/>
      <c r="K104" s="64"/>
    </row>
    <row r="105" spans="1:11" x14ac:dyDescent="0.2">
      <c r="A105">
        <v>2019</v>
      </c>
      <c r="B105" s="34">
        <v>152</v>
      </c>
      <c r="C105" s="34" t="s">
        <v>103</v>
      </c>
      <c r="D105" s="36">
        <v>270823</v>
      </c>
      <c r="E105" s="36">
        <v>1997568</v>
      </c>
      <c r="F105" s="57"/>
      <c r="G105" s="57"/>
      <c r="H105" s="65"/>
      <c r="I105" s="64"/>
      <c r="J105" s="65"/>
      <c r="K105" s="64"/>
    </row>
    <row r="106" spans="1:11" x14ac:dyDescent="0.2">
      <c r="A106">
        <v>2019</v>
      </c>
      <c r="B106" s="34">
        <v>154</v>
      </c>
      <c r="C106" s="34" t="s">
        <v>104</v>
      </c>
      <c r="D106" s="36">
        <v>309680</v>
      </c>
      <c r="E106" s="36">
        <v>2018260</v>
      </c>
      <c r="F106" s="57"/>
      <c r="G106" s="57"/>
      <c r="H106" s="65"/>
      <c r="I106" s="64"/>
      <c r="J106" s="65"/>
      <c r="K106" s="64"/>
    </row>
    <row r="107" spans="1:11" x14ac:dyDescent="0.2">
      <c r="A107">
        <v>2019</v>
      </c>
      <c r="B107" s="34">
        <v>155</v>
      </c>
      <c r="C107" s="34" t="s">
        <v>105</v>
      </c>
      <c r="D107" s="36">
        <v>1853199</v>
      </c>
      <c r="E107" s="36">
        <v>9743579</v>
      </c>
      <c r="F107" s="57"/>
      <c r="G107" s="57"/>
      <c r="H107" s="65"/>
      <c r="I107" s="64"/>
      <c r="J107" s="65"/>
      <c r="K107" s="64"/>
    </row>
    <row r="108" spans="1:11" x14ac:dyDescent="0.2">
      <c r="A108">
        <v>2019</v>
      </c>
      <c r="B108" s="34">
        <v>156</v>
      </c>
      <c r="C108" s="34" t="s">
        <v>106</v>
      </c>
      <c r="D108" s="36">
        <v>3441193</v>
      </c>
      <c r="E108" s="36">
        <v>16936255</v>
      </c>
      <c r="F108" s="57"/>
      <c r="G108" s="57"/>
      <c r="H108" s="65"/>
      <c r="I108" s="64"/>
      <c r="J108" s="65"/>
      <c r="K108" s="64"/>
    </row>
    <row r="109" spans="1:11" x14ac:dyDescent="0.2">
      <c r="A109">
        <v>2019</v>
      </c>
      <c r="B109" s="34">
        <v>165</v>
      </c>
      <c r="C109" s="34" t="s">
        <v>107</v>
      </c>
      <c r="D109" s="36">
        <v>3884</v>
      </c>
      <c r="E109" s="36">
        <v>22281</v>
      </c>
      <c r="F109" s="57"/>
      <c r="G109" s="57"/>
      <c r="H109" s="65"/>
      <c r="I109" s="64"/>
      <c r="J109" s="65"/>
      <c r="K109" s="64"/>
    </row>
    <row r="110" spans="1:11" x14ac:dyDescent="0.2">
      <c r="A110">
        <v>2019</v>
      </c>
      <c r="B110" s="34">
        <v>167</v>
      </c>
      <c r="C110" s="34" t="s">
        <v>108</v>
      </c>
      <c r="D110" s="36">
        <v>156066</v>
      </c>
      <c r="E110" s="36">
        <v>1199911</v>
      </c>
      <c r="F110" s="57"/>
      <c r="G110" s="57"/>
      <c r="H110" s="65"/>
      <c r="I110" s="64"/>
      <c r="J110" s="65"/>
      <c r="K110" s="64"/>
    </row>
    <row r="111" spans="1:11" x14ac:dyDescent="0.2">
      <c r="A111">
        <v>2019</v>
      </c>
      <c r="B111" s="34">
        <v>168</v>
      </c>
      <c r="C111" s="34" t="s">
        <v>109</v>
      </c>
      <c r="D111" s="36">
        <v>82229</v>
      </c>
      <c r="E111" s="36">
        <v>724724</v>
      </c>
      <c r="F111" s="57"/>
      <c r="G111" s="57"/>
      <c r="H111" s="65"/>
      <c r="I111" s="64"/>
      <c r="J111" s="65"/>
      <c r="K111" s="64"/>
    </row>
    <row r="112" spans="1:11" x14ac:dyDescent="0.2">
      <c r="A112">
        <v>2019</v>
      </c>
      <c r="B112" s="34">
        <v>169</v>
      </c>
      <c r="C112" s="34" t="s">
        <v>110</v>
      </c>
      <c r="D112" s="36">
        <v>29774</v>
      </c>
      <c r="E112" s="36">
        <v>515998</v>
      </c>
      <c r="F112" s="57"/>
      <c r="G112" s="57"/>
      <c r="H112" s="65"/>
      <c r="I112" s="64"/>
      <c r="J112" s="65"/>
      <c r="K112" s="64"/>
    </row>
    <row r="113" spans="1:11" x14ac:dyDescent="0.2">
      <c r="A113">
        <v>2019</v>
      </c>
      <c r="B113" s="34">
        <v>170</v>
      </c>
      <c r="C113" s="34" t="s">
        <v>111</v>
      </c>
      <c r="D113" s="36">
        <v>57992</v>
      </c>
      <c r="E113" s="36">
        <v>376630</v>
      </c>
      <c r="F113" s="57"/>
      <c r="G113" s="57"/>
      <c r="H113" s="65"/>
      <c r="I113" s="64"/>
      <c r="J113" s="65"/>
      <c r="K113" s="64"/>
    </row>
    <row r="114" spans="1:11" x14ac:dyDescent="0.2">
      <c r="A114">
        <v>2019</v>
      </c>
      <c r="B114" s="34">
        <v>171</v>
      </c>
      <c r="C114" s="34" t="s">
        <v>112</v>
      </c>
      <c r="D114" s="36">
        <v>85297</v>
      </c>
      <c r="E114" s="36">
        <v>730557</v>
      </c>
      <c r="F114" s="57"/>
      <c r="G114" s="57"/>
      <c r="H114" s="65"/>
      <c r="I114" s="64"/>
      <c r="J114" s="65"/>
      <c r="K114" s="64"/>
    </row>
    <row r="115" spans="1:11" x14ac:dyDescent="0.2">
      <c r="A115">
        <v>2019</v>
      </c>
      <c r="B115" s="34">
        <v>173</v>
      </c>
      <c r="C115" s="34" t="s">
        <v>552</v>
      </c>
      <c r="D115" s="36">
        <v>40553</v>
      </c>
      <c r="E115" s="36">
        <v>341959</v>
      </c>
      <c r="F115" s="57"/>
      <c r="G115" s="57"/>
      <c r="H115" s="65"/>
      <c r="I115" s="64"/>
      <c r="J115" s="65"/>
      <c r="K115" s="64"/>
    </row>
    <row r="116" spans="1:11" x14ac:dyDescent="0.2">
      <c r="A116">
        <v>2019</v>
      </c>
      <c r="B116" s="34">
        <v>174</v>
      </c>
      <c r="C116" s="34" t="s">
        <v>113</v>
      </c>
      <c r="D116" s="36">
        <v>1087921</v>
      </c>
      <c r="E116" s="36">
        <v>6783581</v>
      </c>
      <c r="F116" s="57"/>
      <c r="G116" s="57"/>
      <c r="H116" s="65"/>
      <c r="I116" s="64"/>
      <c r="J116" s="65"/>
      <c r="K116" s="64"/>
    </row>
    <row r="117" spans="1:11" x14ac:dyDescent="0.2">
      <c r="A117">
        <v>2019</v>
      </c>
      <c r="B117" s="34">
        <v>175</v>
      </c>
      <c r="C117" s="34" t="s">
        <v>114</v>
      </c>
      <c r="D117" s="36">
        <v>132608</v>
      </c>
      <c r="E117" s="36">
        <v>1172729</v>
      </c>
      <c r="F117" s="57"/>
      <c r="G117" s="57"/>
      <c r="H117" s="65"/>
      <c r="I117" s="64"/>
      <c r="J117" s="65"/>
      <c r="K117" s="64"/>
    </row>
    <row r="118" spans="1:11" x14ac:dyDescent="0.2">
      <c r="A118">
        <v>2019</v>
      </c>
      <c r="B118" s="34">
        <v>176</v>
      </c>
      <c r="C118" s="34" t="s">
        <v>115</v>
      </c>
      <c r="D118" s="36">
        <v>10939</v>
      </c>
      <c r="E118" s="36">
        <v>87668</v>
      </c>
      <c r="F118" s="57"/>
      <c r="G118" s="57"/>
      <c r="H118" s="65"/>
      <c r="I118" s="64"/>
      <c r="J118" s="65"/>
      <c r="K118" s="64"/>
    </row>
    <row r="119" spans="1:11" x14ac:dyDescent="0.2">
      <c r="A119">
        <v>2019</v>
      </c>
      <c r="B119" s="34">
        <v>177</v>
      </c>
      <c r="C119" s="34" t="s">
        <v>116</v>
      </c>
      <c r="D119" s="36">
        <v>21006</v>
      </c>
      <c r="E119" s="36">
        <v>134859</v>
      </c>
      <c r="F119" s="57"/>
      <c r="G119" s="57"/>
      <c r="H119" s="65"/>
      <c r="I119" s="64"/>
      <c r="J119" s="65"/>
      <c r="K119" s="64"/>
    </row>
    <row r="120" spans="1:11" x14ac:dyDescent="0.2">
      <c r="A120">
        <v>2019</v>
      </c>
      <c r="B120" s="34">
        <v>178</v>
      </c>
      <c r="C120" s="34" t="s">
        <v>117</v>
      </c>
      <c r="D120" s="36">
        <v>15476</v>
      </c>
      <c r="E120" s="36">
        <v>127714</v>
      </c>
      <c r="F120" s="57"/>
      <c r="G120" s="57"/>
      <c r="H120" s="65"/>
      <c r="I120" s="64"/>
      <c r="J120" s="65"/>
      <c r="K120" s="64"/>
    </row>
    <row r="121" spans="1:11" x14ac:dyDescent="0.2">
      <c r="A121">
        <v>2019</v>
      </c>
      <c r="B121" s="34">
        <v>179</v>
      </c>
      <c r="C121" s="34" t="s">
        <v>118</v>
      </c>
      <c r="D121" s="36">
        <v>35885</v>
      </c>
      <c r="E121" s="36">
        <v>160928</v>
      </c>
      <c r="F121" s="57"/>
      <c r="G121" s="57"/>
      <c r="H121" s="65"/>
      <c r="I121" s="64"/>
      <c r="J121" s="65"/>
      <c r="K121" s="64"/>
    </row>
    <row r="122" spans="1:11" x14ac:dyDescent="0.2">
      <c r="A122">
        <v>2019</v>
      </c>
      <c r="B122" s="34">
        <v>180</v>
      </c>
      <c r="C122" s="34" t="s">
        <v>119</v>
      </c>
      <c r="D122" s="36">
        <v>28808</v>
      </c>
      <c r="E122" s="36">
        <v>210725</v>
      </c>
      <c r="F122" s="57"/>
      <c r="G122" s="57"/>
      <c r="H122" s="65"/>
      <c r="I122" s="64"/>
      <c r="J122" s="65"/>
      <c r="K122" s="64"/>
    </row>
    <row r="123" spans="1:11" x14ac:dyDescent="0.2">
      <c r="A123">
        <v>2019</v>
      </c>
      <c r="B123" s="34">
        <v>181</v>
      </c>
      <c r="C123" s="34" t="s">
        <v>120</v>
      </c>
      <c r="D123" s="36">
        <v>76182</v>
      </c>
      <c r="E123" s="36">
        <v>600905</v>
      </c>
      <c r="F123" s="57"/>
      <c r="G123" s="57"/>
      <c r="H123" s="65"/>
      <c r="I123" s="64"/>
      <c r="J123" s="65"/>
      <c r="K123" s="64"/>
    </row>
    <row r="124" spans="1:11" x14ac:dyDescent="0.2">
      <c r="A124">
        <v>2019</v>
      </c>
      <c r="B124" s="34">
        <v>182</v>
      </c>
      <c r="C124" s="34" t="s">
        <v>121</v>
      </c>
      <c r="D124" s="36">
        <v>151083</v>
      </c>
      <c r="E124" s="36">
        <v>952394</v>
      </c>
      <c r="F124" s="57"/>
      <c r="G124" s="57"/>
      <c r="H124" s="65"/>
      <c r="I124" s="64"/>
      <c r="J124" s="65"/>
      <c r="K124" s="64"/>
    </row>
    <row r="125" spans="1:11" x14ac:dyDescent="0.2">
      <c r="A125">
        <v>2019</v>
      </c>
      <c r="B125" s="34">
        <v>183</v>
      </c>
      <c r="C125" s="34" t="s">
        <v>122</v>
      </c>
      <c r="D125" s="36">
        <v>92928</v>
      </c>
      <c r="E125" s="36">
        <v>581115</v>
      </c>
      <c r="F125" s="57"/>
      <c r="G125" s="57"/>
      <c r="H125" s="65"/>
      <c r="I125" s="64"/>
      <c r="J125" s="65"/>
      <c r="K125" s="64"/>
    </row>
    <row r="126" spans="1:11" x14ac:dyDescent="0.2">
      <c r="A126">
        <v>2019</v>
      </c>
      <c r="B126" s="34">
        <v>184</v>
      </c>
      <c r="C126" s="34" t="s">
        <v>123</v>
      </c>
      <c r="D126" s="36">
        <v>34477</v>
      </c>
      <c r="E126" s="36">
        <v>232675</v>
      </c>
      <c r="F126" s="57"/>
      <c r="G126" s="57"/>
      <c r="H126" s="65"/>
      <c r="I126" s="64"/>
      <c r="J126" s="65"/>
      <c r="K126" s="64"/>
    </row>
    <row r="127" spans="1:11" x14ac:dyDescent="0.2">
      <c r="A127">
        <v>2019</v>
      </c>
      <c r="B127" s="34">
        <v>185</v>
      </c>
      <c r="C127" s="34" t="s">
        <v>124</v>
      </c>
      <c r="D127" s="36">
        <v>8335</v>
      </c>
      <c r="E127" s="36">
        <v>127822</v>
      </c>
      <c r="F127" s="57"/>
      <c r="G127" s="57"/>
      <c r="H127" s="65"/>
      <c r="I127" s="64"/>
      <c r="J127" s="65"/>
      <c r="K127" s="64"/>
    </row>
    <row r="128" spans="1:11" x14ac:dyDescent="0.2">
      <c r="A128">
        <v>2019</v>
      </c>
      <c r="B128" s="34">
        <v>186</v>
      </c>
      <c r="C128" s="34" t="s">
        <v>125</v>
      </c>
      <c r="D128" s="36">
        <v>15901</v>
      </c>
      <c r="E128" s="36">
        <v>133157</v>
      </c>
      <c r="F128" s="57"/>
      <c r="G128" s="57"/>
      <c r="H128" s="65"/>
      <c r="I128" s="64"/>
      <c r="J128" s="65"/>
      <c r="K128" s="64"/>
    </row>
    <row r="129" spans="1:11" x14ac:dyDescent="0.2">
      <c r="A129">
        <v>2019</v>
      </c>
      <c r="B129" s="34">
        <v>187</v>
      </c>
      <c r="C129" s="34" t="s">
        <v>126</v>
      </c>
      <c r="D129" s="36">
        <v>46817</v>
      </c>
      <c r="E129" s="36">
        <v>261245</v>
      </c>
      <c r="F129" s="57"/>
      <c r="G129" s="57"/>
      <c r="H129" s="65"/>
      <c r="I129" s="64"/>
      <c r="J129" s="65"/>
      <c r="K129" s="64"/>
    </row>
    <row r="130" spans="1:11" x14ac:dyDescent="0.2">
      <c r="A130">
        <v>2019</v>
      </c>
      <c r="B130" s="34">
        <v>188</v>
      </c>
      <c r="C130" s="34" t="s">
        <v>127</v>
      </c>
      <c r="D130" s="36">
        <v>216008</v>
      </c>
      <c r="E130" s="36">
        <v>1126801</v>
      </c>
      <c r="F130" s="57"/>
      <c r="G130" s="57"/>
      <c r="H130" s="65"/>
      <c r="I130" s="64"/>
      <c r="J130" s="65"/>
      <c r="K130" s="64"/>
    </row>
    <row r="131" spans="1:11" x14ac:dyDescent="0.2">
      <c r="A131">
        <v>2019</v>
      </c>
      <c r="B131" s="34">
        <v>191</v>
      </c>
      <c r="C131" s="34" t="s">
        <v>128</v>
      </c>
      <c r="D131" s="36">
        <v>17743</v>
      </c>
      <c r="E131" s="36">
        <v>167246</v>
      </c>
      <c r="F131" s="57"/>
      <c r="G131" s="57"/>
      <c r="H131" s="65"/>
      <c r="I131" s="64"/>
      <c r="J131" s="65"/>
      <c r="K131" s="64"/>
    </row>
    <row r="132" spans="1:11" x14ac:dyDescent="0.2">
      <c r="A132">
        <v>2019</v>
      </c>
      <c r="B132" s="34">
        <v>192</v>
      </c>
      <c r="C132" s="34" t="s">
        <v>130</v>
      </c>
      <c r="D132" s="36">
        <v>16395</v>
      </c>
      <c r="E132" s="36">
        <v>88380</v>
      </c>
      <c r="F132" s="57"/>
      <c r="G132" s="57"/>
      <c r="H132" s="65"/>
      <c r="I132" s="64"/>
      <c r="J132" s="65"/>
      <c r="K132" s="64"/>
    </row>
    <row r="133" spans="1:11" x14ac:dyDescent="0.2">
      <c r="A133">
        <v>2019</v>
      </c>
      <c r="B133" s="34">
        <v>193</v>
      </c>
      <c r="C133" s="34" t="s">
        <v>131</v>
      </c>
      <c r="D133" s="36">
        <v>69180</v>
      </c>
      <c r="E133" s="36">
        <v>417486</v>
      </c>
      <c r="F133" s="57"/>
      <c r="G133" s="57"/>
      <c r="H133" s="65"/>
      <c r="I133" s="64"/>
      <c r="J133" s="65"/>
      <c r="K133" s="64"/>
    </row>
    <row r="134" spans="1:11" x14ac:dyDescent="0.2">
      <c r="A134">
        <v>2019</v>
      </c>
      <c r="B134" s="34">
        <v>194</v>
      </c>
      <c r="C134" s="34" t="s">
        <v>132</v>
      </c>
      <c r="D134" s="36">
        <v>14768</v>
      </c>
      <c r="E134" s="36">
        <v>173159</v>
      </c>
      <c r="F134" s="57"/>
      <c r="G134" s="57"/>
      <c r="H134" s="65"/>
      <c r="I134" s="64"/>
      <c r="J134" s="65"/>
      <c r="K134" s="64"/>
    </row>
    <row r="135" spans="1:11" x14ac:dyDescent="0.2">
      <c r="A135">
        <v>2019</v>
      </c>
      <c r="B135" s="34">
        <v>195</v>
      </c>
      <c r="C135" s="34" t="s">
        <v>133</v>
      </c>
      <c r="D135" s="36">
        <v>32799</v>
      </c>
      <c r="E135" s="36">
        <v>165535</v>
      </c>
      <c r="F135" s="57"/>
      <c r="G135" s="57"/>
      <c r="H135" s="65"/>
      <c r="I135" s="64"/>
      <c r="J135" s="65"/>
      <c r="K135" s="64"/>
    </row>
    <row r="136" spans="1:11" x14ac:dyDescent="0.2">
      <c r="A136">
        <v>2019</v>
      </c>
      <c r="B136" s="34">
        <v>196</v>
      </c>
      <c r="C136" s="34" t="s">
        <v>134</v>
      </c>
      <c r="D136" s="36">
        <v>13975</v>
      </c>
      <c r="E136" s="36">
        <v>145192</v>
      </c>
      <c r="F136" s="57"/>
      <c r="G136" s="57"/>
      <c r="H136" s="65"/>
      <c r="I136" s="64"/>
      <c r="J136" s="65"/>
      <c r="K136" s="64"/>
    </row>
    <row r="137" spans="1:11" x14ac:dyDescent="0.2">
      <c r="A137">
        <v>2019</v>
      </c>
      <c r="B137" s="34">
        <v>197</v>
      </c>
      <c r="C137" s="34" t="s">
        <v>135</v>
      </c>
      <c r="D137" s="36">
        <v>37432</v>
      </c>
      <c r="E137" s="36">
        <v>415650</v>
      </c>
      <c r="F137" s="57"/>
      <c r="G137" s="57"/>
      <c r="H137" s="65"/>
      <c r="I137" s="64"/>
      <c r="J137" s="65"/>
      <c r="K137" s="64"/>
    </row>
    <row r="138" spans="1:11" x14ac:dyDescent="0.2">
      <c r="A138">
        <v>2019</v>
      </c>
      <c r="B138" s="34">
        <v>198</v>
      </c>
      <c r="C138" s="34" t="s">
        <v>136</v>
      </c>
      <c r="D138" s="36">
        <v>19852</v>
      </c>
      <c r="E138" s="36">
        <v>145099</v>
      </c>
      <c r="F138" s="57"/>
      <c r="G138" s="57"/>
      <c r="H138" s="65"/>
      <c r="I138" s="64"/>
      <c r="J138" s="65"/>
      <c r="K138" s="64"/>
    </row>
    <row r="139" spans="1:11" x14ac:dyDescent="0.2">
      <c r="A139">
        <v>2019</v>
      </c>
      <c r="B139" s="34">
        <v>200</v>
      </c>
      <c r="C139" s="34" t="s">
        <v>137</v>
      </c>
      <c r="D139" s="36">
        <v>20373</v>
      </c>
      <c r="E139" s="36">
        <v>165206</v>
      </c>
      <c r="F139" s="57"/>
      <c r="G139" s="57"/>
      <c r="H139" s="65"/>
      <c r="I139" s="64"/>
      <c r="J139" s="65"/>
      <c r="K139" s="64"/>
    </row>
    <row r="140" spans="1:11" x14ac:dyDescent="0.2">
      <c r="A140">
        <v>2019</v>
      </c>
      <c r="B140" s="34">
        <v>201</v>
      </c>
      <c r="C140" s="34" t="s">
        <v>138</v>
      </c>
      <c r="D140" s="36">
        <v>15026</v>
      </c>
      <c r="E140" s="36">
        <v>93323</v>
      </c>
      <c r="F140" s="57"/>
      <c r="G140" s="57"/>
      <c r="H140" s="65"/>
      <c r="I140" s="64"/>
      <c r="J140" s="65"/>
      <c r="K140" s="64"/>
    </row>
    <row r="141" spans="1:11" x14ac:dyDescent="0.2">
      <c r="A141">
        <v>2019</v>
      </c>
      <c r="B141" s="34">
        <v>202</v>
      </c>
      <c r="C141" s="34" t="s">
        <v>139</v>
      </c>
      <c r="D141" s="36">
        <v>24953</v>
      </c>
      <c r="E141" s="36">
        <v>99788</v>
      </c>
      <c r="F141" s="57"/>
      <c r="G141" s="57"/>
      <c r="H141" s="65"/>
      <c r="I141" s="64"/>
      <c r="J141" s="65"/>
      <c r="K141" s="64"/>
    </row>
    <row r="142" spans="1:11" x14ac:dyDescent="0.2">
      <c r="A142">
        <v>2019</v>
      </c>
      <c r="B142" s="34">
        <v>203</v>
      </c>
      <c r="C142" s="34" t="s">
        <v>140</v>
      </c>
      <c r="D142" s="36">
        <v>25296</v>
      </c>
      <c r="E142" s="36">
        <v>187684</v>
      </c>
      <c r="F142" s="57"/>
      <c r="G142" s="57"/>
      <c r="H142" s="65"/>
      <c r="I142" s="64"/>
      <c r="J142" s="65"/>
      <c r="K142" s="64"/>
    </row>
    <row r="143" spans="1:11" x14ac:dyDescent="0.2">
      <c r="A143">
        <v>2019</v>
      </c>
      <c r="B143" s="34">
        <v>204</v>
      </c>
      <c r="C143" s="34" t="s">
        <v>141</v>
      </c>
      <c r="D143" s="36">
        <v>24685</v>
      </c>
      <c r="E143" s="36">
        <v>133254</v>
      </c>
      <c r="F143" s="57"/>
      <c r="G143" s="57"/>
      <c r="H143" s="65"/>
      <c r="I143" s="64"/>
      <c r="J143" s="65"/>
      <c r="K143" s="64"/>
    </row>
    <row r="144" spans="1:11" x14ac:dyDescent="0.2">
      <c r="A144">
        <v>2019</v>
      </c>
      <c r="B144" s="34">
        <v>205</v>
      </c>
      <c r="C144" s="34" t="s">
        <v>142</v>
      </c>
      <c r="D144" s="36">
        <v>142368</v>
      </c>
      <c r="E144" s="36">
        <v>899781</v>
      </c>
      <c r="F144" s="57"/>
      <c r="G144" s="57"/>
      <c r="H144" s="65"/>
      <c r="I144" s="64"/>
      <c r="J144" s="65"/>
      <c r="K144" s="64"/>
    </row>
    <row r="145" spans="1:11" x14ac:dyDescent="0.2">
      <c r="A145">
        <v>2019</v>
      </c>
      <c r="B145" s="34">
        <v>206</v>
      </c>
      <c r="C145" s="34" t="s">
        <v>553</v>
      </c>
      <c r="D145" s="36">
        <v>127190</v>
      </c>
      <c r="E145" s="36">
        <v>825912</v>
      </c>
      <c r="F145" s="57"/>
      <c r="G145" s="57"/>
      <c r="H145" s="65"/>
      <c r="I145" s="64"/>
      <c r="J145" s="65"/>
      <c r="K145" s="64"/>
    </row>
    <row r="146" spans="1:11" x14ac:dyDescent="0.2">
      <c r="A146">
        <v>2019</v>
      </c>
      <c r="B146" s="34">
        <v>207</v>
      </c>
      <c r="C146" s="34" t="s">
        <v>144</v>
      </c>
      <c r="D146" s="36">
        <v>12889</v>
      </c>
      <c r="E146" s="36">
        <v>70714</v>
      </c>
      <c r="F146" s="57"/>
      <c r="G146" s="57"/>
      <c r="H146" s="65"/>
      <c r="I146" s="64"/>
      <c r="J146" s="65"/>
      <c r="K146" s="64"/>
    </row>
    <row r="147" spans="1:11" x14ac:dyDescent="0.2">
      <c r="A147">
        <v>2019</v>
      </c>
      <c r="B147" s="34">
        <v>208</v>
      </c>
      <c r="C147" s="34" t="s">
        <v>145</v>
      </c>
      <c r="D147" s="36">
        <v>14022</v>
      </c>
      <c r="E147" s="36">
        <v>62841</v>
      </c>
      <c r="F147" s="57"/>
      <c r="G147" s="57"/>
      <c r="H147" s="65"/>
      <c r="I147" s="64"/>
      <c r="J147" s="65"/>
      <c r="K147" s="64"/>
    </row>
    <row r="148" spans="1:11" x14ac:dyDescent="0.2">
      <c r="A148">
        <v>2019</v>
      </c>
      <c r="B148" s="34">
        <v>209</v>
      </c>
      <c r="C148" s="34" t="s">
        <v>146</v>
      </c>
      <c r="D148" s="36">
        <v>119350</v>
      </c>
      <c r="E148" s="36">
        <v>681654</v>
      </c>
      <c r="F148" s="57"/>
      <c r="G148" s="57"/>
      <c r="H148" s="65"/>
      <c r="I148" s="64"/>
      <c r="J148" s="65"/>
      <c r="K148" s="64"/>
    </row>
    <row r="149" spans="1:11" x14ac:dyDescent="0.2">
      <c r="A149">
        <v>2019</v>
      </c>
      <c r="B149" s="34">
        <v>210</v>
      </c>
      <c r="C149" s="34" t="s">
        <v>147</v>
      </c>
      <c r="D149" s="36">
        <v>58582</v>
      </c>
      <c r="E149" s="36">
        <v>372630</v>
      </c>
      <c r="F149" s="57"/>
      <c r="G149" s="57"/>
      <c r="H149" s="65"/>
      <c r="I149" s="64"/>
      <c r="J149" s="65"/>
      <c r="K149" s="64"/>
    </row>
    <row r="150" spans="1:11" x14ac:dyDescent="0.2">
      <c r="A150">
        <v>2019</v>
      </c>
      <c r="B150" s="34">
        <v>211</v>
      </c>
      <c r="C150" s="34" t="s">
        <v>148</v>
      </c>
      <c r="D150" s="36">
        <v>48906</v>
      </c>
      <c r="E150" s="36">
        <v>347509</v>
      </c>
      <c r="F150" s="57"/>
      <c r="G150" s="57"/>
      <c r="H150" s="65"/>
      <c r="I150" s="64"/>
      <c r="J150" s="65"/>
      <c r="K150" s="64"/>
    </row>
    <row r="151" spans="1:11" x14ac:dyDescent="0.2">
      <c r="A151">
        <v>2019</v>
      </c>
      <c r="B151" s="34">
        <v>212</v>
      </c>
      <c r="C151" s="34" t="s">
        <v>149</v>
      </c>
      <c r="D151" s="36">
        <v>34595</v>
      </c>
      <c r="E151" s="36">
        <v>226654</v>
      </c>
      <c r="F151" s="57"/>
      <c r="G151" s="57"/>
      <c r="H151" s="65"/>
      <c r="I151" s="64"/>
      <c r="J151" s="65"/>
      <c r="K151" s="64"/>
    </row>
    <row r="152" spans="1:11" x14ac:dyDescent="0.2">
      <c r="A152">
        <v>2019</v>
      </c>
      <c r="B152" s="34">
        <v>213</v>
      </c>
      <c r="C152" s="34" t="s">
        <v>150</v>
      </c>
      <c r="D152" s="36">
        <v>72003</v>
      </c>
      <c r="E152" s="36">
        <v>490187</v>
      </c>
      <c r="F152" s="57"/>
      <c r="G152" s="57"/>
      <c r="H152" s="65"/>
      <c r="I152" s="64"/>
      <c r="J152" s="65"/>
      <c r="K152" s="64"/>
    </row>
    <row r="153" spans="1:11" x14ac:dyDescent="0.2">
      <c r="A153">
        <v>2019</v>
      </c>
      <c r="B153" s="34">
        <v>214</v>
      </c>
      <c r="C153" s="34" t="s">
        <v>151</v>
      </c>
      <c r="D153" s="36">
        <v>46254</v>
      </c>
      <c r="E153" s="36">
        <v>183685</v>
      </c>
      <c r="F153" s="57"/>
      <c r="G153" s="57"/>
      <c r="H153" s="65"/>
      <c r="I153" s="64"/>
      <c r="J153" s="65"/>
      <c r="K153" s="64"/>
    </row>
    <row r="154" spans="1:11" x14ac:dyDescent="0.2">
      <c r="A154">
        <v>2019</v>
      </c>
      <c r="B154" s="34">
        <v>215</v>
      </c>
      <c r="C154" s="34" t="s">
        <v>152</v>
      </c>
      <c r="D154" s="36">
        <v>165760</v>
      </c>
      <c r="E154" s="36">
        <v>1308689</v>
      </c>
      <c r="F154" s="57"/>
      <c r="G154" s="57"/>
      <c r="H154" s="65"/>
      <c r="I154" s="64"/>
      <c r="J154" s="65"/>
      <c r="K154" s="64"/>
    </row>
    <row r="155" spans="1:11" x14ac:dyDescent="0.2">
      <c r="A155">
        <v>2019</v>
      </c>
      <c r="B155" s="34">
        <v>216</v>
      </c>
      <c r="C155" s="34" t="s">
        <v>153</v>
      </c>
      <c r="D155" s="36">
        <v>22164</v>
      </c>
      <c r="E155" s="36">
        <v>123696</v>
      </c>
      <c r="F155" s="57"/>
      <c r="G155" s="57"/>
      <c r="H155" s="65"/>
      <c r="I155" s="64"/>
      <c r="J155" s="65"/>
      <c r="K155" s="64"/>
    </row>
    <row r="156" spans="1:11" x14ac:dyDescent="0.2">
      <c r="A156">
        <v>2019</v>
      </c>
      <c r="B156" s="34">
        <v>217</v>
      </c>
      <c r="C156" s="34" t="s">
        <v>154</v>
      </c>
      <c r="D156" s="36">
        <v>428252</v>
      </c>
      <c r="E156" s="36">
        <v>2453839</v>
      </c>
      <c r="F156" s="57"/>
      <c r="G156" s="57"/>
      <c r="H156" s="65"/>
      <c r="I156" s="64"/>
      <c r="J156" s="65"/>
      <c r="K156" s="64"/>
    </row>
    <row r="157" spans="1:11" x14ac:dyDescent="0.2">
      <c r="A157">
        <v>2019</v>
      </c>
      <c r="B157" s="34">
        <v>218</v>
      </c>
      <c r="C157" s="34" t="s">
        <v>155</v>
      </c>
      <c r="D157" s="36">
        <v>283275</v>
      </c>
      <c r="E157" s="36">
        <v>2230189</v>
      </c>
      <c r="F157" s="57"/>
      <c r="G157" s="57"/>
      <c r="H157" s="65"/>
      <c r="I157" s="64"/>
      <c r="J157" s="65"/>
      <c r="K157" s="64"/>
    </row>
    <row r="158" spans="1:11" x14ac:dyDescent="0.2">
      <c r="A158">
        <v>2019</v>
      </c>
      <c r="B158" s="34">
        <v>219</v>
      </c>
      <c r="C158" s="34" t="s">
        <v>156</v>
      </c>
      <c r="D158" s="36">
        <v>269325</v>
      </c>
      <c r="E158" s="36">
        <v>1640226</v>
      </c>
      <c r="F158" s="57"/>
      <c r="G158" s="57"/>
      <c r="H158" s="65"/>
      <c r="I158" s="64"/>
      <c r="J158" s="65"/>
      <c r="K158" s="64"/>
    </row>
    <row r="159" spans="1:11" x14ac:dyDescent="0.2">
      <c r="A159">
        <v>2019</v>
      </c>
      <c r="B159" s="34">
        <v>220</v>
      </c>
      <c r="C159" s="34" t="s">
        <v>157</v>
      </c>
      <c r="D159" s="36">
        <v>47885</v>
      </c>
      <c r="E159" s="36">
        <v>230723</v>
      </c>
      <c r="F159" s="57"/>
      <c r="G159" s="57"/>
      <c r="H159" s="65"/>
      <c r="I159" s="64"/>
      <c r="J159" s="65"/>
      <c r="K159" s="64"/>
    </row>
    <row r="160" spans="1:11" x14ac:dyDescent="0.2">
      <c r="A160">
        <v>2019</v>
      </c>
      <c r="B160" s="34">
        <v>221</v>
      </c>
      <c r="C160" s="34" t="s">
        <v>554</v>
      </c>
      <c r="D160" s="36">
        <v>11727</v>
      </c>
      <c r="E160" s="36">
        <v>168520</v>
      </c>
      <c r="F160" s="57"/>
      <c r="G160" s="57"/>
      <c r="H160" s="65"/>
      <c r="I160" s="64"/>
      <c r="J160" s="65"/>
      <c r="K160" s="64"/>
    </row>
    <row r="161" spans="1:11" x14ac:dyDescent="0.2">
      <c r="A161">
        <v>2019</v>
      </c>
      <c r="B161" s="34">
        <v>222</v>
      </c>
      <c r="C161" s="34" t="s">
        <v>159</v>
      </c>
      <c r="D161" s="36">
        <v>6285</v>
      </c>
      <c r="E161" s="36">
        <v>59542</v>
      </c>
      <c r="F161" s="57"/>
      <c r="G161" s="57"/>
      <c r="H161" s="65"/>
      <c r="I161" s="64"/>
      <c r="J161" s="65"/>
      <c r="K161" s="64"/>
    </row>
    <row r="162" spans="1:11" x14ac:dyDescent="0.2">
      <c r="A162">
        <v>2019</v>
      </c>
      <c r="B162" s="34">
        <v>223</v>
      </c>
      <c r="C162" s="34" t="s">
        <v>160</v>
      </c>
      <c r="D162" s="36">
        <v>201411</v>
      </c>
      <c r="E162" s="36">
        <v>1544093</v>
      </c>
      <c r="F162" s="57"/>
      <c r="G162" s="57"/>
      <c r="H162" s="65"/>
      <c r="I162" s="64"/>
      <c r="J162" s="65"/>
      <c r="K162" s="64"/>
    </row>
    <row r="163" spans="1:11" x14ac:dyDescent="0.2">
      <c r="A163">
        <v>2019</v>
      </c>
      <c r="B163" s="34">
        <v>224</v>
      </c>
      <c r="C163" s="34" t="s">
        <v>161</v>
      </c>
      <c r="D163" s="36">
        <v>481917</v>
      </c>
      <c r="E163" s="36">
        <v>3253245</v>
      </c>
      <c r="F163" s="57"/>
      <c r="G163" s="57"/>
      <c r="H163" s="65"/>
      <c r="I163" s="64"/>
      <c r="J163" s="65"/>
      <c r="K163" s="64"/>
    </row>
    <row r="164" spans="1:11" x14ac:dyDescent="0.2">
      <c r="A164">
        <v>2019</v>
      </c>
      <c r="B164" s="34">
        <v>225</v>
      </c>
      <c r="C164" s="34" t="s">
        <v>162</v>
      </c>
      <c r="D164" s="36">
        <v>57726</v>
      </c>
      <c r="E164" s="36">
        <v>369136</v>
      </c>
      <c r="F164" s="57"/>
      <c r="G164" s="57"/>
      <c r="H164" s="65"/>
      <c r="I164" s="64"/>
      <c r="J164" s="65"/>
      <c r="K164" s="64"/>
    </row>
    <row r="165" spans="1:11" x14ac:dyDescent="0.2">
      <c r="A165">
        <v>2019</v>
      </c>
      <c r="B165" s="34">
        <v>229</v>
      </c>
      <c r="C165" s="34" t="s">
        <v>163</v>
      </c>
      <c r="D165" s="36">
        <v>90381</v>
      </c>
      <c r="E165" s="36">
        <v>679867</v>
      </c>
      <c r="F165" s="57"/>
      <c r="G165" s="57"/>
      <c r="H165" s="65"/>
      <c r="I165" s="64"/>
      <c r="J165" s="65"/>
      <c r="K165" s="64"/>
    </row>
    <row r="166" spans="1:11" x14ac:dyDescent="0.2">
      <c r="A166">
        <v>2019</v>
      </c>
      <c r="B166" s="34">
        <v>230</v>
      </c>
      <c r="C166" s="34" t="s">
        <v>164</v>
      </c>
      <c r="D166" s="36">
        <v>199777</v>
      </c>
      <c r="E166" s="36">
        <v>1129818</v>
      </c>
      <c r="F166" s="57"/>
      <c r="G166" s="57"/>
      <c r="H166" s="65"/>
      <c r="I166" s="64"/>
      <c r="J166" s="65"/>
      <c r="K166" s="64"/>
    </row>
    <row r="167" spans="1:11" x14ac:dyDescent="0.2">
      <c r="A167">
        <v>2019</v>
      </c>
      <c r="B167" s="34">
        <v>232</v>
      </c>
      <c r="C167" s="34" t="s">
        <v>165</v>
      </c>
      <c r="D167" s="36">
        <v>34824</v>
      </c>
      <c r="E167" s="36">
        <v>325698</v>
      </c>
      <c r="F167" s="57"/>
      <c r="G167" s="57"/>
      <c r="H167" s="65"/>
      <c r="I167" s="64"/>
      <c r="J167" s="65"/>
      <c r="K167" s="64"/>
    </row>
    <row r="168" spans="1:11" x14ac:dyDescent="0.2">
      <c r="A168">
        <v>2019</v>
      </c>
      <c r="B168" s="34">
        <v>233</v>
      </c>
      <c r="C168" s="34" t="s">
        <v>166</v>
      </c>
      <c r="D168" s="36">
        <v>25447</v>
      </c>
      <c r="E168" s="36">
        <v>253233</v>
      </c>
      <c r="F168" s="57"/>
      <c r="G168" s="57"/>
      <c r="H168" s="65"/>
      <c r="I168" s="64"/>
      <c r="J168" s="65"/>
      <c r="K168" s="64"/>
    </row>
    <row r="169" spans="1:11" x14ac:dyDescent="0.2">
      <c r="A169">
        <v>2019</v>
      </c>
      <c r="B169" s="34">
        <v>234</v>
      </c>
      <c r="C169" s="34" t="s">
        <v>167</v>
      </c>
      <c r="D169" s="36">
        <v>40858</v>
      </c>
      <c r="E169" s="36">
        <v>295634</v>
      </c>
      <c r="F169" s="57"/>
      <c r="G169" s="57"/>
      <c r="H169" s="65"/>
      <c r="I169" s="64"/>
      <c r="J169" s="65"/>
      <c r="K169" s="64"/>
    </row>
    <row r="170" spans="1:11" x14ac:dyDescent="0.2">
      <c r="A170">
        <v>2019</v>
      </c>
      <c r="B170" s="34">
        <v>235</v>
      </c>
      <c r="C170" s="34" t="s">
        <v>168</v>
      </c>
      <c r="D170" s="36">
        <v>512403</v>
      </c>
      <c r="E170" s="36">
        <v>3217948</v>
      </c>
      <c r="F170" s="57"/>
      <c r="G170" s="57"/>
      <c r="H170" s="65"/>
      <c r="I170" s="64"/>
      <c r="J170" s="65"/>
      <c r="K170" s="64"/>
    </row>
    <row r="171" spans="1:11" x14ac:dyDescent="0.2">
      <c r="A171">
        <v>2019</v>
      </c>
      <c r="B171" s="34">
        <v>236</v>
      </c>
      <c r="C171" s="34" t="s">
        <v>169</v>
      </c>
      <c r="D171" s="36">
        <v>541054</v>
      </c>
      <c r="E171" s="36">
        <v>3473284</v>
      </c>
      <c r="F171" s="57"/>
      <c r="G171" s="57"/>
      <c r="H171" s="65"/>
      <c r="I171" s="64"/>
      <c r="J171" s="65"/>
      <c r="K171" s="64"/>
    </row>
    <row r="172" spans="1:11" x14ac:dyDescent="0.2">
      <c r="A172">
        <v>2019</v>
      </c>
      <c r="B172" s="34">
        <v>237</v>
      </c>
      <c r="C172" s="34" t="s">
        <v>170</v>
      </c>
      <c r="D172" s="36">
        <v>60570</v>
      </c>
      <c r="E172" s="36">
        <v>442667</v>
      </c>
      <c r="F172" s="57"/>
      <c r="G172" s="57"/>
      <c r="H172" s="65"/>
      <c r="I172" s="64"/>
      <c r="J172" s="65"/>
      <c r="K172" s="64"/>
    </row>
    <row r="173" spans="1:11" x14ac:dyDescent="0.2">
      <c r="A173">
        <v>2019</v>
      </c>
      <c r="B173" s="34">
        <v>238</v>
      </c>
      <c r="C173" s="34" t="s">
        <v>171</v>
      </c>
      <c r="D173" s="36">
        <v>22318</v>
      </c>
      <c r="E173" s="36">
        <v>195026</v>
      </c>
      <c r="F173" s="57"/>
      <c r="G173" s="57"/>
      <c r="H173" s="65"/>
      <c r="I173" s="64"/>
      <c r="J173" s="65"/>
      <c r="K173" s="64"/>
    </row>
    <row r="174" spans="1:11" x14ac:dyDescent="0.2">
      <c r="A174">
        <v>2019</v>
      </c>
      <c r="B174" s="34">
        <v>239</v>
      </c>
      <c r="C174" s="34" t="s">
        <v>172</v>
      </c>
      <c r="D174" s="36">
        <v>149787</v>
      </c>
      <c r="E174" s="36">
        <v>876165</v>
      </c>
      <c r="F174" s="57"/>
      <c r="G174" s="57"/>
      <c r="H174" s="65"/>
      <c r="I174" s="64"/>
      <c r="J174" s="65"/>
      <c r="K174" s="64"/>
    </row>
    <row r="175" spans="1:11" x14ac:dyDescent="0.2">
      <c r="A175">
        <v>2019</v>
      </c>
      <c r="B175" s="34">
        <v>240</v>
      </c>
      <c r="C175" s="34" t="s">
        <v>216</v>
      </c>
      <c r="D175" s="36">
        <v>290635</v>
      </c>
      <c r="E175" s="36">
        <v>1456357</v>
      </c>
      <c r="F175" s="57"/>
      <c r="G175" s="57"/>
      <c r="H175" s="65"/>
      <c r="I175" s="64"/>
      <c r="J175" s="65"/>
      <c r="K175" s="64"/>
    </row>
    <row r="176" spans="1:11" x14ac:dyDescent="0.2">
      <c r="A176">
        <v>2019</v>
      </c>
      <c r="B176" s="34">
        <v>241</v>
      </c>
      <c r="C176" s="34" t="s">
        <v>173</v>
      </c>
      <c r="D176" s="36">
        <v>105282</v>
      </c>
      <c r="E176" s="36">
        <v>663948</v>
      </c>
      <c r="F176" s="57"/>
      <c r="G176" s="57"/>
      <c r="H176" s="65"/>
      <c r="I176" s="64"/>
      <c r="J176" s="65"/>
      <c r="K176" s="64"/>
    </row>
    <row r="177" spans="1:11" x14ac:dyDescent="0.2">
      <c r="A177">
        <v>2019</v>
      </c>
      <c r="B177" s="34">
        <v>242</v>
      </c>
      <c r="C177" s="34" t="s">
        <v>174</v>
      </c>
      <c r="D177" s="36">
        <v>3503215</v>
      </c>
      <c r="E177" s="36">
        <v>19117419</v>
      </c>
      <c r="F177" s="57"/>
      <c r="G177" s="57"/>
      <c r="H177" s="65"/>
      <c r="I177" s="64"/>
      <c r="J177" s="65"/>
      <c r="K177" s="64"/>
    </row>
    <row r="178" spans="1:11" x14ac:dyDescent="0.2">
      <c r="A178">
        <v>2019</v>
      </c>
      <c r="B178" s="34">
        <v>243</v>
      </c>
      <c r="C178" s="34" t="s">
        <v>175</v>
      </c>
      <c r="D178" s="36">
        <v>5603</v>
      </c>
      <c r="E178" s="36">
        <v>41189</v>
      </c>
      <c r="F178" s="57"/>
      <c r="G178" s="57"/>
      <c r="H178" s="65"/>
      <c r="I178" s="64"/>
      <c r="J178" s="65"/>
      <c r="K178" s="64"/>
    </row>
    <row r="179" spans="1:11" x14ac:dyDescent="0.2">
      <c r="A179">
        <v>2019</v>
      </c>
      <c r="B179" s="34">
        <v>244</v>
      </c>
      <c r="C179" s="34" t="s">
        <v>176</v>
      </c>
      <c r="D179" s="36">
        <v>36994</v>
      </c>
      <c r="E179" s="36">
        <v>122233</v>
      </c>
      <c r="F179" s="57"/>
      <c r="G179" s="57"/>
      <c r="H179" s="65"/>
      <c r="I179" s="64"/>
      <c r="J179" s="65"/>
      <c r="K179" s="64"/>
    </row>
    <row r="180" spans="1:11" x14ac:dyDescent="0.2">
      <c r="A180">
        <v>2019</v>
      </c>
      <c r="B180" s="34">
        <v>245</v>
      </c>
      <c r="C180" s="34" t="s">
        <v>177</v>
      </c>
      <c r="D180" s="36">
        <v>23085</v>
      </c>
      <c r="E180" s="36">
        <v>94387</v>
      </c>
      <c r="F180" s="57"/>
      <c r="G180" s="57"/>
      <c r="H180" s="65"/>
      <c r="I180" s="64"/>
      <c r="J180" s="65"/>
      <c r="K180" s="64"/>
    </row>
    <row r="181" spans="1:11" x14ac:dyDescent="0.2">
      <c r="A181">
        <v>2019</v>
      </c>
      <c r="B181" s="34">
        <v>246</v>
      </c>
      <c r="C181" s="34" t="s">
        <v>178</v>
      </c>
      <c r="D181" s="36">
        <v>6740</v>
      </c>
      <c r="E181" s="36">
        <v>57907</v>
      </c>
      <c r="F181" s="57"/>
      <c r="G181" s="57"/>
      <c r="H181" s="65"/>
      <c r="I181" s="64"/>
      <c r="J181" s="65"/>
      <c r="K181" s="64"/>
    </row>
    <row r="182" spans="1:11" x14ac:dyDescent="0.2">
      <c r="A182">
        <v>2019</v>
      </c>
      <c r="B182" s="34">
        <v>247</v>
      </c>
      <c r="C182" s="34" t="s">
        <v>179</v>
      </c>
      <c r="D182" s="36">
        <v>115101</v>
      </c>
      <c r="E182" s="36">
        <v>837637</v>
      </c>
      <c r="F182" s="57"/>
      <c r="G182" s="57"/>
      <c r="H182" s="65"/>
      <c r="I182" s="64"/>
      <c r="J182" s="65"/>
      <c r="K182" s="64"/>
    </row>
    <row r="183" spans="1:11" x14ac:dyDescent="0.2">
      <c r="A183">
        <v>2019</v>
      </c>
      <c r="B183" s="34">
        <v>248</v>
      </c>
      <c r="C183" s="34" t="s">
        <v>180</v>
      </c>
      <c r="D183" s="36">
        <v>19640</v>
      </c>
      <c r="E183" s="36">
        <v>81073</v>
      </c>
      <c r="F183" s="57"/>
      <c r="G183" s="57"/>
      <c r="H183" s="65"/>
      <c r="I183" s="64"/>
      <c r="J183" s="65"/>
      <c r="K183" s="64"/>
    </row>
    <row r="184" spans="1:11" x14ac:dyDescent="0.2">
      <c r="A184">
        <v>2019</v>
      </c>
      <c r="B184" s="34">
        <v>249</v>
      </c>
      <c r="C184" s="34" t="s">
        <v>181</v>
      </c>
      <c r="D184" s="36">
        <v>99954</v>
      </c>
      <c r="E184" s="36">
        <v>634244</v>
      </c>
      <c r="F184" s="57"/>
      <c r="G184" s="57"/>
      <c r="H184" s="65"/>
      <c r="I184" s="64"/>
      <c r="J184" s="65"/>
      <c r="K184" s="64"/>
    </row>
    <row r="185" spans="1:11" x14ac:dyDescent="0.2">
      <c r="A185">
        <v>2019</v>
      </c>
      <c r="B185" s="34">
        <v>250</v>
      </c>
      <c r="C185" s="34" t="s">
        <v>182</v>
      </c>
      <c r="D185" s="36">
        <v>32412</v>
      </c>
      <c r="E185" s="36">
        <v>166143</v>
      </c>
      <c r="F185" s="57"/>
      <c r="G185" s="57"/>
      <c r="H185" s="65"/>
      <c r="I185" s="64"/>
      <c r="J185" s="65"/>
      <c r="K185" s="64"/>
    </row>
    <row r="186" spans="1:11" x14ac:dyDescent="0.2">
      <c r="A186">
        <v>2019</v>
      </c>
      <c r="B186" s="34">
        <v>251</v>
      </c>
      <c r="C186" s="34" t="s">
        <v>183</v>
      </c>
      <c r="D186" s="36">
        <v>24009</v>
      </c>
      <c r="E186" s="36">
        <v>102255</v>
      </c>
      <c r="F186" s="57"/>
      <c r="G186" s="57"/>
      <c r="H186" s="65"/>
      <c r="I186" s="64"/>
      <c r="J186" s="65"/>
      <c r="K186" s="64"/>
    </row>
    <row r="187" spans="1:11" x14ac:dyDescent="0.2">
      <c r="A187">
        <v>2019</v>
      </c>
      <c r="B187" s="34">
        <v>252</v>
      </c>
      <c r="C187" s="34" t="s">
        <v>184</v>
      </c>
      <c r="D187" s="36">
        <v>13370</v>
      </c>
      <c r="E187" s="36">
        <v>73581</v>
      </c>
      <c r="F187" s="57"/>
      <c r="G187" s="57"/>
      <c r="H187" s="65"/>
      <c r="I187" s="64"/>
      <c r="J187" s="65"/>
      <c r="K187" s="64"/>
    </row>
    <row r="188" spans="1:11" x14ac:dyDescent="0.2">
      <c r="A188">
        <v>2019</v>
      </c>
      <c r="B188" s="34">
        <v>254</v>
      </c>
      <c r="C188" s="34" t="s">
        <v>185</v>
      </c>
      <c r="D188" s="36">
        <v>49030</v>
      </c>
      <c r="E188" s="36">
        <v>471975</v>
      </c>
      <c r="F188" s="57"/>
      <c r="G188" s="57"/>
      <c r="H188" s="65"/>
      <c r="I188" s="64"/>
      <c r="J188" s="65"/>
      <c r="K188" s="64"/>
    </row>
    <row r="189" spans="1:11" x14ac:dyDescent="0.2">
      <c r="A189">
        <v>2019</v>
      </c>
      <c r="B189" s="34">
        <v>256</v>
      </c>
      <c r="C189" s="34" t="s">
        <v>186</v>
      </c>
      <c r="D189" s="36">
        <v>7232</v>
      </c>
      <c r="E189" s="36">
        <v>38540</v>
      </c>
      <c r="F189" s="57"/>
      <c r="G189" s="57"/>
      <c r="H189" s="65"/>
      <c r="I189" s="64"/>
      <c r="J189" s="65"/>
      <c r="K189" s="64"/>
    </row>
    <row r="190" spans="1:11" x14ac:dyDescent="0.2">
      <c r="A190">
        <v>2019</v>
      </c>
      <c r="B190" s="34">
        <v>258</v>
      </c>
      <c r="C190" s="34" t="s">
        <v>187</v>
      </c>
      <c r="D190" s="36">
        <v>38085</v>
      </c>
      <c r="E190" s="36">
        <v>106863</v>
      </c>
      <c r="F190" s="57"/>
      <c r="G190" s="57"/>
      <c r="H190" s="65"/>
      <c r="I190" s="64"/>
      <c r="J190" s="65"/>
      <c r="K190" s="64"/>
    </row>
    <row r="191" spans="1:11" x14ac:dyDescent="0.2">
      <c r="A191">
        <v>2019</v>
      </c>
      <c r="B191" s="34">
        <v>259</v>
      </c>
      <c r="C191" s="34" t="s">
        <v>188</v>
      </c>
      <c r="D191" s="36">
        <v>6863</v>
      </c>
      <c r="E191" s="36">
        <v>72185</v>
      </c>
      <c r="F191" s="57"/>
      <c r="G191" s="57"/>
      <c r="H191" s="65"/>
      <c r="I191" s="64"/>
      <c r="J191" s="65"/>
      <c r="K191" s="64"/>
    </row>
    <row r="192" spans="1:11" x14ac:dyDescent="0.2">
      <c r="A192">
        <v>2019</v>
      </c>
      <c r="B192" s="34">
        <v>260</v>
      </c>
      <c r="C192" s="34" t="s">
        <v>189</v>
      </c>
      <c r="D192" s="36">
        <v>5957</v>
      </c>
      <c r="E192" s="36">
        <v>45306</v>
      </c>
      <c r="F192" s="57"/>
      <c r="G192" s="57"/>
      <c r="H192" s="65"/>
      <c r="I192" s="64"/>
      <c r="J192" s="65"/>
      <c r="K192" s="64"/>
    </row>
    <row r="193" spans="1:11" x14ac:dyDescent="0.2">
      <c r="A193">
        <v>2019</v>
      </c>
      <c r="B193" s="34">
        <v>261</v>
      </c>
      <c r="C193" s="34" t="s">
        <v>190</v>
      </c>
      <c r="D193" s="36">
        <v>6709</v>
      </c>
      <c r="E193" s="36">
        <v>88933</v>
      </c>
      <c r="F193" s="57"/>
      <c r="G193" s="57"/>
      <c r="H193" s="65"/>
      <c r="I193" s="64"/>
      <c r="J193" s="65"/>
      <c r="K193" s="64"/>
    </row>
    <row r="194" spans="1:11" x14ac:dyDescent="0.2">
      <c r="A194">
        <v>2019</v>
      </c>
      <c r="B194" s="34">
        <v>264</v>
      </c>
      <c r="C194" s="34" t="s">
        <v>191</v>
      </c>
      <c r="D194" s="36">
        <v>110174</v>
      </c>
      <c r="E194" s="36">
        <v>1290273</v>
      </c>
      <c r="F194" s="57"/>
      <c r="G194" s="57"/>
      <c r="H194" s="65"/>
      <c r="I194" s="64"/>
      <c r="J194" s="65"/>
      <c r="K194" s="64"/>
    </row>
    <row r="195" spans="1:11" x14ac:dyDescent="0.2">
      <c r="A195">
        <v>2019</v>
      </c>
      <c r="B195" s="34">
        <v>266</v>
      </c>
      <c r="C195" s="34" t="s">
        <v>192</v>
      </c>
      <c r="D195" s="36">
        <v>71794</v>
      </c>
      <c r="E195" s="36">
        <v>487956</v>
      </c>
      <c r="F195" s="57"/>
      <c r="G195" s="57"/>
      <c r="H195" s="65"/>
      <c r="I195" s="64"/>
      <c r="J195" s="65"/>
      <c r="K195" s="64"/>
    </row>
    <row r="196" spans="1:11" x14ac:dyDescent="0.2">
      <c r="A196">
        <v>2019</v>
      </c>
      <c r="B196" s="34">
        <v>267</v>
      </c>
      <c r="C196" s="34" t="s">
        <v>193</v>
      </c>
      <c r="D196" s="36">
        <v>40728</v>
      </c>
      <c r="E196" s="36">
        <v>213600</v>
      </c>
      <c r="F196" s="57"/>
      <c r="G196" s="57"/>
      <c r="H196" s="65"/>
      <c r="I196" s="64"/>
      <c r="J196" s="65"/>
      <c r="K196" s="64"/>
    </row>
    <row r="197" spans="1:11" x14ac:dyDescent="0.2">
      <c r="A197">
        <v>2019</v>
      </c>
      <c r="B197" s="34">
        <v>268</v>
      </c>
      <c r="C197" s="34" t="s">
        <v>194</v>
      </c>
      <c r="D197" s="36">
        <v>27583</v>
      </c>
      <c r="E197" s="36">
        <v>208388</v>
      </c>
      <c r="F197" s="57"/>
      <c r="G197" s="57"/>
      <c r="H197" s="65"/>
      <c r="I197" s="64"/>
      <c r="J197" s="65"/>
      <c r="K197" s="64"/>
    </row>
    <row r="198" spans="1:11" x14ac:dyDescent="0.2">
      <c r="A198">
        <v>2019</v>
      </c>
      <c r="B198" s="34">
        <v>269</v>
      </c>
      <c r="C198" s="34" t="s">
        <v>555</v>
      </c>
      <c r="D198" s="36">
        <v>41486</v>
      </c>
      <c r="E198" s="36">
        <v>185725</v>
      </c>
      <c r="F198" s="57"/>
      <c r="G198" s="57"/>
      <c r="H198" s="65"/>
      <c r="I198" s="64"/>
      <c r="J198" s="65"/>
      <c r="K198" s="64"/>
    </row>
    <row r="199" spans="1:11" x14ac:dyDescent="0.2">
      <c r="A199">
        <v>2019</v>
      </c>
      <c r="B199" s="34">
        <v>270</v>
      </c>
      <c r="C199" s="34" t="s">
        <v>196</v>
      </c>
      <c r="D199" s="36">
        <v>24331</v>
      </c>
      <c r="E199" s="36">
        <v>245440</v>
      </c>
      <c r="F199" s="57"/>
      <c r="G199" s="57"/>
      <c r="H199" s="65"/>
      <c r="I199" s="64"/>
      <c r="J199" s="65"/>
      <c r="K199" s="64"/>
    </row>
    <row r="200" spans="1:11" x14ac:dyDescent="0.2">
      <c r="A200">
        <v>2019</v>
      </c>
      <c r="B200" s="34">
        <v>271</v>
      </c>
      <c r="C200" s="34" t="s">
        <v>197</v>
      </c>
      <c r="D200" s="36">
        <v>33567</v>
      </c>
      <c r="E200" s="36">
        <v>244412</v>
      </c>
      <c r="F200" s="57"/>
      <c r="G200" s="57"/>
      <c r="H200" s="65"/>
      <c r="I200" s="64"/>
      <c r="J200" s="65"/>
      <c r="K200" s="64"/>
    </row>
    <row r="201" spans="1:11" x14ac:dyDescent="0.2">
      <c r="A201">
        <v>2019</v>
      </c>
      <c r="B201" s="34">
        <v>272</v>
      </c>
      <c r="C201" s="34" t="s">
        <v>198</v>
      </c>
      <c r="D201" s="36">
        <v>9340</v>
      </c>
      <c r="E201" s="36">
        <v>110794</v>
      </c>
      <c r="F201" s="57"/>
      <c r="G201" s="57"/>
      <c r="H201" s="65"/>
      <c r="I201" s="64"/>
      <c r="J201" s="65"/>
      <c r="K201" s="64"/>
    </row>
    <row r="202" spans="1:11" x14ac:dyDescent="0.2">
      <c r="A202">
        <v>2019</v>
      </c>
      <c r="B202" s="34">
        <v>273</v>
      </c>
      <c r="C202" s="34" t="s">
        <v>199</v>
      </c>
      <c r="D202" s="36">
        <v>51944</v>
      </c>
      <c r="E202" s="36">
        <v>333160</v>
      </c>
      <c r="F202" s="57"/>
      <c r="G202" s="57"/>
      <c r="H202" s="65"/>
      <c r="I202" s="64"/>
      <c r="J202" s="65"/>
      <c r="K202" s="64"/>
    </row>
    <row r="203" spans="1:11" x14ac:dyDescent="0.2">
      <c r="A203">
        <v>2019</v>
      </c>
      <c r="B203" s="34">
        <v>274</v>
      </c>
      <c r="C203" s="34" t="s">
        <v>200</v>
      </c>
      <c r="D203" s="36">
        <v>28873</v>
      </c>
      <c r="E203" s="36">
        <v>249661</v>
      </c>
      <c r="F203" s="57"/>
      <c r="G203" s="57"/>
      <c r="H203" s="65"/>
      <c r="I203" s="64"/>
      <c r="J203" s="65"/>
      <c r="K203" s="64"/>
    </row>
    <row r="204" spans="1:11" x14ac:dyDescent="0.2">
      <c r="A204">
        <v>2019</v>
      </c>
      <c r="B204" s="34">
        <v>275</v>
      </c>
      <c r="C204" s="34" t="s">
        <v>201</v>
      </c>
      <c r="D204" s="36">
        <v>35898</v>
      </c>
      <c r="E204" s="36">
        <v>423977</v>
      </c>
      <c r="F204" s="57"/>
      <c r="G204" s="57"/>
      <c r="H204" s="65"/>
      <c r="I204" s="64"/>
      <c r="J204" s="65"/>
      <c r="K204" s="64"/>
    </row>
    <row r="205" spans="1:11" x14ac:dyDescent="0.2">
      <c r="A205">
        <v>2019</v>
      </c>
      <c r="B205" s="34">
        <v>276</v>
      </c>
      <c r="C205" s="34" t="s">
        <v>202</v>
      </c>
      <c r="D205" s="36">
        <v>25041</v>
      </c>
      <c r="E205" s="36">
        <v>143506</v>
      </c>
      <c r="F205" s="57"/>
      <c r="G205" s="57"/>
      <c r="H205" s="65"/>
      <c r="I205" s="64"/>
      <c r="J205" s="65"/>
      <c r="K205" s="64"/>
    </row>
    <row r="206" spans="1:11" x14ac:dyDescent="0.2">
      <c r="A206">
        <v>2019</v>
      </c>
      <c r="B206" s="34">
        <v>277</v>
      </c>
      <c r="C206" s="34" t="s">
        <v>203</v>
      </c>
      <c r="D206" s="36">
        <v>101996</v>
      </c>
      <c r="E206" s="36">
        <v>756756</v>
      </c>
      <c r="F206" s="57"/>
      <c r="G206" s="57"/>
      <c r="H206" s="65"/>
      <c r="I206" s="64"/>
      <c r="J206" s="65"/>
      <c r="K206" s="64"/>
    </row>
    <row r="207" spans="1:11" x14ac:dyDescent="0.2">
      <c r="A207">
        <v>2019</v>
      </c>
      <c r="B207" s="34">
        <v>278</v>
      </c>
      <c r="C207" s="34" t="s">
        <v>204</v>
      </c>
      <c r="D207" s="36">
        <v>121713</v>
      </c>
      <c r="E207" s="36">
        <v>961450</v>
      </c>
      <c r="F207" s="57"/>
      <c r="G207" s="57"/>
      <c r="H207" s="65"/>
      <c r="I207" s="64"/>
      <c r="J207" s="65"/>
      <c r="K207" s="64"/>
    </row>
    <row r="208" spans="1:11" x14ac:dyDescent="0.2">
      <c r="A208">
        <v>2019</v>
      </c>
      <c r="B208" s="34">
        <v>279</v>
      </c>
      <c r="C208" s="34" t="s">
        <v>205</v>
      </c>
      <c r="D208" s="36">
        <v>36199</v>
      </c>
      <c r="E208" s="36">
        <v>223173</v>
      </c>
      <c r="F208" s="57"/>
      <c r="G208" s="57"/>
      <c r="H208" s="65"/>
      <c r="I208" s="64"/>
      <c r="J208" s="65"/>
      <c r="K208" s="64"/>
    </row>
    <row r="209" spans="1:11" x14ac:dyDescent="0.2">
      <c r="A209">
        <v>2019</v>
      </c>
      <c r="B209" s="34">
        <v>280</v>
      </c>
      <c r="C209" s="34" t="s">
        <v>206</v>
      </c>
      <c r="D209" s="36">
        <v>300517</v>
      </c>
      <c r="E209" s="36">
        <v>1831653</v>
      </c>
      <c r="F209" s="57"/>
      <c r="G209" s="57"/>
      <c r="H209" s="65"/>
      <c r="I209" s="64"/>
      <c r="J209" s="65"/>
      <c r="K209" s="64"/>
    </row>
    <row r="210" spans="1:11" x14ac:dyDescent="0.2">
      <c r="A210">
        <v>2019</v>
      </c>
      <c r="B210" s="34">
        <v>281</v>
      </c>
      <c r="C210" s="34" t="s">
        <v>207</v>
      </c>
      <c r="D210" s="36">
        <v>19035</v>
      </c>
      <c r="E210" s="36">
        <v>191665</v>
      </c>
      <c r="F210" s="57"/>
      <c r="G210" s="57"/>
      <c r="H210" s="65"/>
      <c r="I210" s="64"/>
      <c r="J210" s="65"/>
      <c r="K210" s="64"/>
    </row>
    <row r="211" spans="1:11" x14ac:dyDescent="0.2">
      <c r="A211">
        <v>2019</v>
      </c>
      <c r="B211" s="34">
        <v>282</v>
      </c>
      <c r="C211" s="34" t="s">
        <v>208</v>
      </c>
      <c r="D211" s="36">
        <v>48946</v>
      </c>
      <c r="E211" s="36">
        <v>333424</v>
      </c>
      <c r="F211" s="57"/>
      <c r="G211" s="57"/>
      <c r="H211" s="65"/>
      <c r="I211" s="64"/>
      <c r="J211" s="65"/>
      <c r="K211" s="64"/>
    </row>
    <row r="212" spans="1:11" x14ac:dyDescent="0.2">
      <c r="A212">
        <v>2019</v>
      </c>
      <c r="B212" s="34">
        <v>284</v>
      </c>
      <c r="C212" s="34" t="s">
        <v>209</v>
      </c>
      <c r="D212" s="36">
        <v>30418</v>
      </c>
      <c r="E212" s="36">
        <v>149875</v>
      </c>
      <c r="F212" s="57"/>
      <c r="G212" s="57"/>
      <c r="H212" s="65"/>
      <c r="I212" s="64"/>
      <c r="J212" s="65"/>
      <c r="K212" s="64"/>
    </row>
    <row r="213" spans="1:11" x14ac:dyDescent="0.2">
      <c r="A213">
        <v>2019</v>
      </c>
      <c r="B213" s="34">
        <v>285</v>
      </c>
      <c r="C213" s="34" t="s">
        <v>210</v>
      </c>
      <c r="D213" s="36">
        <v>42718</v>
      </c>
      <c r="E213" s="36">
        <v>211282</v>
      </c>
      <c r="F213" s="57"/>
      <c r="G213" s="57"/>
      <c r="H213" s="65"/>
      <c r="I213" s="64"/>
      <c r="J213" s="65"/>
      <c r="K213" s="64"/>
    </row>
    <row r="214" spans="1:11" x14ac:dyDescent="0.2">
      <c r="A214">
        <v>2019</v>
      </c>
      <c r="B214" s="34">
        <v>286</v>
      </c>
      <c r="C214" s="34" t="s">
        <v>211</v>
      </c>
      <c r="D214" s="36">
        <v>113649</v>
      </c>
      <c r="E214" s="36">
        <v>791585</v>
      </c>
      <c r="F214" s="57"/>
      <c r="G214" s="57"/>
      <c r="H214" s="65"/>
      <c r="I214" s="64"/>
      <c r="J214" s="65"/>
      <c r="K214" s="64"/>
    </row>
    <row r="215" spans="1:11" x14ac:dyDescent="0.2">
      <c r="A215">
        <v>2019</v>
      </c>
      <c r="B215" s="34">
        <v>287</v>
      </c>
      <c r="C215" s="34" t="s">
        <v>212</v>
      </c>
      <c r="D215" s="36">
        <v>19793</v>
      </c>
      <c r="E215" s="36">
        <v>82681</v>
      </c>
      <c r="F215" s="57"/>
      <c r="G215" s="57"/>
      <c r="H215" s="65"/>
      <c r="I215" s="64"/>
      <c r="J215" s="65"/>
      <c r="K215" s="64"/>
    </row>
    <row r="216" spans="1:11" x14ac:dyDescent="0.2">
      <c r="A216">
        <v>2019</v>
      </c>
      <c r="B216" s="34">
        <v>288</v>
      </c>
      <c r="C216" s="34" t="s">
        <v>213</v>
      </c>
      <c r="D216" s="36">
        <v>55032</v>
      </c>
      <c r="E216" s="36">
        <v>309608</v>
      </c>
      <c r="F216" s="57"/>
      <c r="G216" s="57"/>
      <c r="H216" s="65"/>
      <c r="I216" s="64"/>
      <c r="J216" s="65"/>
      <c r="K216" s="64"/>
    </row>
    <row r="217" spans="1:11" x14ac:dyDescent="0.2">
      <c r="A217">
        <v>2019</v>
      </c>
      <c r="B217" s="34">
        <v>289</v>
      </c>
      <c r="C217" s="34" t="s">
        <v>214</v>
      </c>
      <c r="D217" s="36">
        <v>761840</v>
      </c>
      <c r="E217" s="36">
        <v>3960304</v>
      </c>
      <c r="F217" s="57"/>
      <c r="G217" s="57"/>
      <c r="H217" s="65"/>
      <c r="I217" s="64"/>
      <c r="J217" s="65"/>
      <c r="K217" s="64"/>
    </row>
    <row r="218" spans="1:11" x14ac:dyDescent="0.2">
      <c r="A218">
        <v>2019</v>
      </c>
      <c r="B218" s="34">
        <v>290</v>
      </c>
      <c r="C218" s="34" t="s">
        <v>217</v>
      </c>
      <c r="D218" s="36">
        <v>1908343</v>
      </c>
      <c r="E218" s="36">
        <v>11070519</v>
      </c>
      <c r="F218" s="57"/>
      <c r="G218" s="57"/>
      <c r="H218" s="65"/>
      <c r="I218" s="64"/>
      <c r="J218" s="65"/>
      <c r="K218" s="64"/>
    </row>
    <row r="219" spans="1:11" x14ac:dyDescent="0.2">
      <c r="A219">
        <v>2019</v>
      </c>
      <c r="B219" s="34">
        <v>291</v>
      </c>
      <c r="C219" s="34" t="s">
        <v>218</v>
      </c>
      <c r="D219" s="36">
        <v>557078</v>
      </c>
      <c r="E219" s="36">
        <v>3260311</v>
      </c>
      <c r="F219" s="57"/>
      <c r="G219" s="57"/>
      <c r="H219" s="65"/>
      <c r="I219" s="64"/>
      <c r="J219" s="65"/>
      <c r="K219" s="64"/>
    </row>
    <row r="220" spans="1:11" x14ac:dyDescent="0.2">
      <c r="A220">
        <v>2019</v>
      </c>
      <c r="B220" s="34">
        <v>292</v>
      </c>
      <c r="C220" s="34" t="s">
        <v>219</v>
      </c>
      <c r="D220" s="36">
        <v>145501</v>
      </c>
      <c r="E220" s="36">
        <v>1442865</v>
      </c>
      <c r="F220" s="57"/>
      <c r="G220" s="57"/>
      <c r="H220" s="65"/>
      <c r="I220" s="64"/>
      <c r="J220" s="65"/>
      <c r="K220" s="64"/>
    </row>
    <row r="221" spans="1:11" x14ac:dyDescent="0.2">
      <c r="A221">
        <v>2019</v>
      </c>
      <c r="B221" s="34">
        <v>293</v>
      </c>
      <c r="C221" s="34" t="s">
        <v>220</v>
      </c>
      <c r="D221" s="36">
        <v>3173653</v>
      </c>
      <c r="E221" s="36">
        <v>15289949</v>
      </c>
      <c r="F221" s="57"/>
      <c r="G221" s="57"/>
      <c r="H221" s="65"/>
      <c r="I221" s="64"/>
      <c r="J221" s="65"/>
      <c r="K221" s="64"/>
    </row>
    <row r="222" spans="1:11" x14ac:dyDescent="0.2">
      <c r="A222">
        <v>2019</v>
      </c>
      <c r="B222" s="34">
        <v>294</v>
      </c>
      <c r="C222" s="34" t="s">
        <v>221</v>
      </c>
      <c r="D222" s="36">
        <v>884587</v>
      </c>
      <c r="E222" s="36">
        <v>4492282</v>
      </c>
      <c r="F222" s="57"/>
      <c r="G222" s="57"/>
      <c r="H222" s="65"/>
      <c r="I222" s="64"/>
      <c r="J222" s="65"/>
      <c r="K222" s="64"/>
    </row>
    <row r="223" spans="1:11" x14ac:dyDescent="0.2">
      <c r="A223">
        <v>2019</v>
      </c>
      <c r="B223" s="34">
        <v>295</v>
      </c>
      <c r="C223" s="34" t="s">
        <v>222</v>
      </c>
      <c r="D223" s="36">
        <v>1503732</v>
      </c>
      <c r="E223" s="36">
        <v>7411749</v>
      </c>
      <c r="F223" s="57"/>
      <c r="G223" s="57"/>
      <c r="H223" s="65"/>
      <c r="I223" s="64"/>
      <c r="J223" s="65"/>
      <c r="K223" s="64"/>
    </row>
    <row r="224" spans="1:11" x14ac:dyDescent="0.2">
      <c r="A224">
        <v>2019</v>
      </c>
      <c r="B224" s="34">
        <v>296</v>
      </c>
      <c r="C224" s="34" t="s">
        <v>223</v>
      </c>
      <c r="D224" s="36">
        <v>661199</v>
      </c>
      <c r="E224" s="36">
        <v>3783673</v>
      </c>
      <c r="F224" s="57"/>
      <c r="G224" s="57"/>
      <c r="H224" s="65"/>
      <c r="I224" s="64"/>
      <c r="J224" s="65"/>
      <c r="K224" s="64"/>
    </row>
    <row r="225" spans="1:11" x14ac:dyDescent="0.2">
      <c r="A225">
        <v>2019</v>
      </c>
      <c r="B225" s="34">
        <v>297</v>
      </c>
      <c r="C225" s="34" t="s">
        <v>224</v>
      </c>
      <c r="D225" s="36">
        <v>64080</v>
      </c>
      <c r="E225" s="36">
        <v>460662</v>
      </c>
      <c r="F225" s="57"/>
      <c r="G225" s="57"/>
      <c r="H225" s="65"/>
      <c r="I225" s="64"/>
      <c r="J225" s="65"/>
      <c r="K225" s="64"/>
    </row>
    <row r="226" spans="1:11" x14ac:dyDescent="0.2">
      <c r="A226">
        <v>2019</v>
      </c>
      <c r="B226" s="34">
        <v>298</v>
      </c>
      <c r="C226" s="34" t="s">
        <v>225</v>
      </c>
      <c r="D226" s="36">
        <v>2508589</v>
      </c>
      <c r="E226" s="36">
        <v>10709025</v>
      </c>
      <c r="F226" s="57"/>
      <c r="G226" s="57"/>
      <c r="H226" s="65"/>
      <c r="I226" s="64"/>
      <c r="J226" s="65"/>
      <c r="K226" s="64"/>
    </row>
    <row r="227" spans="1:11" x14ac:dyDescent="0.2">
      <c r="A227">
        <v>2019</v>
      </c>
      <c r="B227" s="34">
        <v>299</v>
      </c>
      <c r="C227" s="34" t="s">
        <v>226</v>
      </c>
      <c r="D227" s="36">
        <v>467720</v>
      </c>
      <c r="E227" s="36">
        <v>2542172</v>
      </c>
      <c r="F227" s="57"/>
      <c r="G227" s="57"/>
      <c r="H227" s="65"/>
      <c r="I227" s="64"/>
      <c r="J227" s="65"/>
      <c r="K227" s="64"/>
    </row>
    <row r="228" spans="1:11" x14ac:dyDescent="0.2">
      <c r="A228">
        <v>2019</v>
      </c>
      <c r="B228" s="34">
        <v>302</v>
      </c>
      <c r="C228" s="34" t="s">
        <v>227</v>
      </c>
      <c r="D228" s="36">
        <v>294590</v>
      </c>
      <c r="E228" s="36">
        <v>2081856</v>
      </c>
      <c r="F228" s="57"/>
      <c r="G228" s="57"/>
      <c r="H228" s="65"/>
      <c r="I228" s="64"/>
      <c r="J228" s="65"/>
      <c r="K228" s="64"/>
    </row>
    <row r="229" spans="1:11" x14ac:dyDescent="0.2">
      <c r="A229">
        <v>2019</v>
      </c>
      <c r="B229" s="34">
        <v>303</v>
      </c>
      <c r="C229" s="34" t="s">
        <v>556</v>
      </c>
      <c r="D229" s="36">
        <v>110410</v>
      </c>
      <c r="E229" s="36">
        <v>492514</v>
      </c>
      <c r="F229" s="57"/>
      <c r="G229" s="57"/>
      <c r="H229" s="65"/>
      <c r="I229" s="64"/>
      <c r="J229" s="65"/>
      <c r="K229" s="64"/>
    </row>
    <row r="230" spans="1:11" x14ac:dyDescent="0.2">
      <c r="A230">
        <v>2019</v>
      </c>
      <c r="B230" s="34">
        <v>304</v>
      </c>
      <c r="C230" s="34" t="s">
        <v>229</v>
      </c>
      <c r="D230" s="36">
        <v>35809</v>
      </c>
      <c r="E230" s="36">
        <v>301913</v>
      </c>
      <c r="F230" s="57"/>
      <c r="G230" s="57"/>
      <c r="H230" s="65"/>
      <c r="I230" s="64"/>
      <c r="J230" s="65"/>
      <c r="K230" s="64"/>
    </row>
    <row r="231" spans="1:11" x14ac:dyDescent="0.2">
      <c r="A231">
        <v>2019</v>
      </c>
      <c r="B231" s="34">
        <v>305</v>
      </c>
      <c r="C231" s="34" t="s">
        <v>230</v>
      </c>
      <c r="D231" s="36">
        <v>531701</v>
      </c>
      <c r="E231" s="36">
        <v>2763558</v>
      </c>
      <c r="F231" s="57"/>
      <c r="G231" s="57"/>
      <c r="H231" s="65"/>
      <c r="I231" s="64"/>
      <c r="J231" s="65"/>
      <c r="K231" s="64"/>
    </row>
    <row r="232" spans="1:11" x14ac:dyDescent="0.2">
      <c r="A232">
        <v>2019</v>
      </c>
      <c r="B232" s="34">
        <v>306</v>
      </c>
      <c r="C232" s="34" t="s">
        <v>231</v>
      </c>
      <c r="D232" s="36">
        <v>943175</v>
      </c>
      <c r="E232" s="36">
        <v>4901769</v>
      </c>
      <c r="F232" s="57"/>
      <c r="G232" s="57"/>
      <c r="H232" s="65"/>
      <c r="I232" s="64"/>
      <c r="J232" s="65"/>
      <c r="K232" s="64"/>
    </row>
    <row r="233" spans="1:11" x14ac:dyDescent="0.2">
      <c r="A233">
        <v>2019</v>
      </c>
      <c r="B233" s="34">
        <v>307</v>
      </c>
      <c r="C233" s="34" t="s">
        <v>232</v>
      </c>
      <c r="D233" s="36">
        <v>458539</v>
      </c>
      <c r="E233" s="36">
        <v>3305030</v>
      </c>
      <c r="F233" s="57"/>
      <c r="G233" s="57"/>
      <c r="H233" s="65"/>
      <c r="I233" s="64"/>
      <c r="J233" s="65"/>
      <c r="K233" s="64"/>
    </row>
    <row r="234" spans="1:11" x14ac:dyDescent="0.2">
      <c r="A234">
        <v>2019</v>
      </c>
      <c r="B234" s="34">
        <v>308</v>
      </c>
      <c r="C234" s="34" t="s">
        <v>233</v>
      </c>
      <c r="D234" s="36">
        <v>19342</v>
      </c>
      <c r="E234" s="36">
        <v>98633</v>
      </c>
      <c r="F234" s="57"/>
      <c r="G234" s="57"/>
      <c r="H234" s="65"/>
      <c r="I234" s="64"/>
      <c r="J234" s="65"/>
      <c r="K234" s="64"/>
    </row>
    <row r="235" spans="1:11" x14ac:dyDescent="0.2">
      <c r="A235">
        <v>2019</v>
      </c>
      <c r="B235" s="34">
        <v>313</v>
      </c>
      <c r="C235" s="34" t="s">
        <v>234</v>
      </c>
      <c r="D235" s="36">
        <v>608695</v>
      </c>
      <c r="E235" s="36">
        <v>4581487</v>
      </c>
      <c r="F235" s="57"/>
      <c r="G235" s="57"/>
      <c r="H235" s="65"/>
      <c r="I235" s="64"/>
      <c r="J235" s="65"/>
      <c r="K235" s="64"/>
    </row>
    <row r="236" spans="1:11" x14ac:dyDescent="0.2">
      <c r="A236">
        <v>2019</v>
      </c>
      <c r="B236" s="34">
        <v>314</v>
      </c>
      <c r="C236" s="34" t="s">
        <v>557</v>
      </c>
      <c r="D236" s="36">
        <v>86078</v>
      </c>
      <c r="E236" s="36">
        <v>472116</v>
      </c>
      <c r="F236" s="57"/>
      <c r="G236" s="57"/>
      <c r="H236" s="65"/>
      <c r="I236" s="64"/>
      <c r="J236" s="65"/>
      <c r="K236" s="64"/>
    </row>
    <row r="237" spans="1:11" x14ac:dyDescent="0.2">
      <c r="A237">
        <v>2019</v>
      </c>
      <c r="B237" s="34">
        <v>315</v>
      </c>
      <c r="C237" s="34" t="s">
        <v>236</v>
      </c>
      <c r="D237" s="36">
        <v>402518</v>
      </c>
      <c r="E237" s="36">
        <v>2373067</v>
      </c>
      <c r="F237" s="57"/>
      <c r="G237" s="57"/>
      <c r="H237" s="65"/>
      <c r="I237" s="64"/>
      <c r="J237" s="65"/>
      <c r="K237" s="64"/>
    </row>
    <row r="238" spans="1:11" x14ac:dyDescent="0.2">
      <c r="A238">
        <v>2019</v>
      </c>
      <c r="B238" s="34">
        <v>317</v>
      </c>
      <c r="C238" s="34" t="s">
        <v>237</v>
      </c>
      <c r="D238" s="36">
        <v>224456</v>
      </c>
      <c r="E238" s="36">
        <v>1235721</v>
      </c>
      <c r="F238" s="57"/>
      <c r="G238" s="57"/>
      <c r="H238" s="65"/>
      <c r="I238" s="64"/>
      <c r="J238" s="65"/>
      <c r="K238" s="64"/>
    </row>
    <row r="239" spans="1:11" x14ac:dyDescent="0.2">
      <c r="A239">
        <v>2019</v>
      </c>
      <c r="B239" s="34">
        <v>318</v>
      </c>
      <c r="C239" s="34" t="s">
        <v>238</v>
      </c>
      <c r="D239" s="36">
        <v>293448</v>
      </c>
      <c r="E239" s="36">
        <v>2193073</v>
      </c>
      <c r="F239" s="57"/>
      <c r="G239" s="57"/>
      <c r="H239" s="65"/>
      <c r="I239" s="64"/>
      <c r="J239" s="65"/>
      <c r="K239" s="64"/>
    </row>
    <row r="240" spans="1:11" x14ac:dyDescent="0.2">
      <c r="A240">
        <v>2019</v>
      </c>
      <c r="B240" s="34">
        <v>319</v>
      </c>
      <c r="C240" s="34" t="s">
        <v>239</v>
      </c>
      <c r="D240" s="36">
        <v>145385</v>
      </c>
      <c r="E240" s="36">
        <v>756303</v>
      </c>
      <c r="F240" s="57"/>
      <c r="G240" s="57"/>
      <c r="H240" s="65"/>
      <c r="I240" s="64"/>
      <c r="J240" s="65"/>
      <c r="K240" s="64"/>
    </row>
    <row r="241" spans="1:11" x14ac:dyDescent="0.2">
      <c r="A241">
        <v>2019</v>
      </c>
      <c r="B241" s="34">
        <v>321</v>
      </c>
      <c r="C241" s="34" t="s">
        <v>240</v>
      </c>
      <c r="D241" s="36">
        <v>44438</v>
      </c>
      <c r="E241" s="36">
        <v>223141</v>
      </c>
      <c r="F241" s="57"/>
      <c r="G241" s="57"/>
      <c r="H241" s="65"/>
      <c r="I241" s="64"/>
      <c r="J241" s="65"/>
      <c r="K241" s="64"/>
    </row>
    <row r="242" spans="1:11" x14ac:dyDescent="0.2">
      <c r="A242">
        <v>2019</v>
      </c>
      <c r="B242" s="34">
        <v>322</v>
      </c>
      <c r="C242" s="34" t="s">
        <v>241</v>
      </c>
      <c r="D242" s="36">
        <v>341768</v>
      </c>
      <c r="E242" s="36">
        <v>2201741</v>
      </c>
      <c r="F242" s="57"/>
      <c r="G242" s="57"/>
      <c r="H242" s="65"/>
      <c r="I242" s="64"/>
      <c r="J242" s="65"/>
      <c r="K242" s="64"/>
    </row>
    <row r="243" spans="1:11" x14ac:dyDescent="0.2">
      <c r="A243">
        <v>2019</v>
      </c>
      <c r="B243" s="34">
        <v>323</v>
      </c>
      <c r="C243" s="34" t="s">
        <v>242</v>
      </c>
      <c r="D243" s="36">
        <v>1182327</v>
      </c>
      <c r="E243" s="36">
        <v>9412237</v>
      </c>
      <c r="F243" s="57"/>
      <c r="G243" s="57"/>
      <c r="H243" s="65"/>
      <c r="I243" s="64"/>
      <c r="J243" s="65"/>
      <c r="K243" s="64"/>
    </row>
    <row r="244" spans="1:11" x14ac:dyDescent="0.2">
      <c r="A244">
        <v>2019</v>
      </c>
      <c r="B244" s="34">
        <v>324</v>
      </c>
      <c r="C244" s="34" t="s">
        <v>243</v>
      </c>
      <c r="D244" s="36">
        <v>41495</v>
      </c>
      <c r="E244" s="36">
        <v>390376</v>
      </c>
      <c r="F244" s="57"/>
      <c r="G244" s="57"/>
      <c r="H244" s="65"/>
      <c r="I244" s="64"/>
      <c r="J244" s="65"/>
      <c r="K244" s="64"/>
    </row>
    <row r="245" spans="1:11" x14ac:dyDescent="0.2">
      <c r="A245">
        <v>2019</v>
      </c>
      <c r="B245" s="34">
        <v>325</v>
      </c>
      <c r="C245" s="34" t="s">
        <v>244</v>
      </c>
      <c r="D245" s="36">
        <v>307865</v>
      </c>
      <c r="E245" s="36">
        <v>2020453</v>
      </c>
      <c r="F245" s="57"/>
      <c r="G245" s="57"/>
      <c r="H245" s="65"/>
      <c r="I245" s="64"/>
      <c r="J245" s="65"/>
      <c r="K245" s="64"/>
    </row>
    <row r="246" spans="1:11" x14ac:dyDescent="0.2">
      <c r="A246">
        <v>2019</v>
      </c>
      <c r="B246" s="34">
        <v>326</v>
      </c>
      <c r="C246" s="34" t="s">
        <v>245</v>
      </c>
      <c r="D246" s="36">
        <v>28425</v>
      </c>
      <c r="E246" s="36">
        <v>165723</v>
      </c>
      <c r="F246" s="57"/>
      <c r="G246" s="57"/>
      <c r="H246" s="65"/>
      <c r="I246" s="64"/>
      <c r="J246" s="65"/>
      <c r="K246" s="64"/>
    </row>
    <row r="247" spans="1:11" x14ac:dyDescent="0.2">
      <c r="A247">
        <v>2019</v>
      </c>
      <c r="B247" s="34">
        <v>328</v>
      </c>
      <c r="C247" s="34" t="s">
        <v>246</v>
      </c>
      <c r="D247" s="36">
        <v>79633</v>
      </c>
      <c r="E247" s="36">
        <v>796216</v>
      </c>
      <c r="F247" s="57"/>
      <c r="G247" s="57"/>
      <c r="H247" s="65"/>
      <c r="I247" s="64"/>
      <c r="J247" s="65"/>
      <c r="K247" s="64"/>
    </row>
    <row r="248" spans="1:11" x14ac:dyDescent="0.2">
      <c r="A248">
        <v>2019</v>
      </c>
      <c r="B248" s="34">
        <v>329</v>
      </c>
      <c r="C248" s="34" t="s">
        <v>247</v>
      </c>
      <c r="D248" s="36">
        <v>16378</v>
      </c>
      <c r="E248" s="36">
        <v>131130</v>
      </c>
      <c r="F248" s="57"/>
      <c r="G248" s="57"/>
      <c r="H248" s="65"/>
      <c r="I248" s="64"/>
      <c r="J248" s="65"/>
      <c r="K248" s="64"/>
    </row>
    <row r="249" spans="1:11" x14ac:dyDescent="0.2">
      <c r="A249">
        <v>2019</v>
      </c>
      <c r="B249" s="34">
        <v>330</v>
      </c>
      <c r="C249" s="34" t="s">
        <v>248</v>
      </c>
      <c r="D249" s="36">
        <v>32324</v>
      </c>
      <c r="E249" s="36">
        <v>369064</v>
      </c>
      <c r="F249" s="57"/>
      <c r="G249" s="57"/>
      <c r="H249" s="65"/>
      <c r="I249" s="64"/>
      <c r="J249" s="65"/>
      <c r="K249" s="64"/>
    </row>
    <row r="250" spans="1:11" x14ac:dyDescent="0.2">
      <c r="A250">
        <v>2019</v>
      </c>
      <c r="B250" s="34">
        <v>331</v>
      </c>
      <c r="C250" s="34" t="s">
        <v>249</v>
      </c>
      <c r="D250" s="36">
        <v>421226</v>
      </c>
      <c r="E250" s="36">
        <v>2551447</v>
      </c>
      <c r="F250" s="57"/>
      <c r="G250" s="57"/>
      <c r="H250" s="65"/>
      <c r="I250" s="64"/>
      <c r="J250" s="65"/>
      <c r="K250" s="64"/>
    </row>
    <row r="251" spans="1:11" x14ac:dyDescent="0.2">
      <c r="A251">
        <v>2019</v>
      </c>
      <c r="B251" s="34">
        <v>332</v>
      </c>
      <c r="C251" s="34" t="s">
        <v>250</v>
      </c>
      <c r="D251" s="36">
        <v>187606</v>
      </c>
      <c r="E251" s="36">
        <v>1216572</v>
      </c>
      <c r="F251" s="57"/>
      <c r="G251" s="57"/>
      <c r="H251" s="65"/>
      <c r="I251" s="64"/>
      <c r="J251" s="65"/>
      <c r="K251" s="64"/>
    </row>
    <row r="252" spans="1:11" x14ac:dyDescent="0.2">
      <c r="A252">
        <v>2019</v>
      </c>
      <c r="B252" s="34">
        <v>333</v>
      </c>
      <c r="C252" s="34" t="s">
        <v>251</v>
      </c>
      <c r="D252" s="36">
        <v>41363</v>
      </c>
      <c r="E252" s="36">
        <v>228791</v>
      </c>
      <c r="F252" s="57"/>
      <c r="G252" s="57"/>
      <c r="H252" s="65"/>
      <c r="I252" s="64"/>
      <c r="J252" s="65"/>
      <c r="K252" s="64"/>
    </row>
    <row r="253" spans="1:11" x14ac:dyDescent="0.2">
      <c r="A253">
        <v>2019</v>
      </c>
      <c r="B253" s="34">
        <v>335</v>
      </c>
      <c r="C253" s="34" t="s">
        <v>558</v>
      </c>
      <c r="D253" s="36">
        <v>73355</v>
      </c>
      <c r="E253" s="36">
        <v>340987</v>
      </c>
      <c r="F253" s="57"/>
      <c r="G253" s="57"/>
      <c r="H253" s="65"/>
      <c r="I253" s="64"/>
      <c r="J253" s="65"/>
      <c r="K253" s="64"/>
    </row>
    <row r="254" spans="1:11" x14ac:dyDescent="0.2">
      <c r="A254">
        <v>2019</v>
      </c>
      <c r="B254" s="34">
        <v>336</v>
      </c>
      <c r="C254" s="34" t="s">
        <v>559</v>
      </c>
      <c r="D254" s="36">
        <v>72467</v>
      </c>
      <c r="E254" s="36">
        <v>505316</v>
      </c>
      <c r="F254" s="57"/>
      <c r="G254" s="57"/>
      <c r="H254" s="65"/>
      <c r="I254" s="64"/>
      <c r="J254" s="65"/>
      <c r="K254" s="64"/>
    </row>
    <row r="255" spans="1:11" x14ac:dyDescent="0.2">
      <c r="A255">
        <v>2019</v>
      </c>
      <c r="B255" s="34">
        <v>337</v>
      </c>
      <c r="C255" s="34" t="s">
        <v>254</v>
      </c>
      <c r="D255" s="36">
        <v>581603</v>
      </c>
      <c r="E255" s="36">
        <v>2892984</v>
      </c>
      <c r="F255" s="57"/>
      <c r="G255" s="57"/>
      <c r="H255" s="65"/>
      <c r="I255" s="64"/>
      <c r="J255" s="65"/>
      <c r="K255" s="64"/>
    </row>
    <row r="256" spans="1:11" x14ac:dyDescent="0.2">
      <c r="A256">
        <v>2019</v>
      </c>
      <c r="B256" s="34">
        <v>339</v>
      </c>
      <c r="C256" s="34" t="s">
        <v>255</v>
      </c>
      <c r="D256" s="36">
        <v>11404</v>
      </c>
      <c r="E256" s="36">
        <v>48636</v>
      </c>
      <c r="F256" s="57"/>
      <c r="G256" s="57"/>
      <c r="H256" s="65"/>
      <c r="I256" s="64"/>
      <c r="J256" s="65"/>
      <c r="K256" s="64"/>
    </row>
    <row r="257" spans="1:11" x14ac:dyDescent="0.2">
      <c r="A257">
        <v>2019</v>
      </c>
      <c r="B257" s="34">
        <v>340</v>
      </c>
      <c r="C257" s="34" t="s">
        <v>256</v>
      </c>
      <c r="D257" s="36">
        <v>53316</v>
      </c>
      <c r="E257" s="36">
        <v>261238</v>
      </c>
      <c r="F257" s="57"/>
      <c r="G257" s="57"/>
      <c r="H257" s="65"/>
      <c r="I257" s="64"/>
      <c r="J257" s="65"/>
      <c r="K257" s="64"/>
    </row>
    <row r="258" spans="1:11" x14ac:dyDescent="0.2">
      <c r="A258">
        <v>2019</v>
      </c>
      <c r="B258" s="34">
        <v>351</v>
      </c>
      <c r="C258" s="34" t="s">
        <v>560</v>
      </c>
      <c r="D258" s="36">
        <v>46957</v>
      </c>
      <c r="E258" s="36">
        <v>332413</v>
      </c>
      <c r="F258" s="57"/>
      <c r="G258" s="57"/>
      <c r="H258" s="65"/>
      <c r="I258" s="64"/>
      <c r="J258" s="65"/>
      <c r="K258" s="64"/>
    </row>
    <row r="259" spans="1:11" x14ac:dyDescent="0.2">
      <c r="A259">
        <v>2019</v>
      </c>
      <c r="B259" s="34">
        <v>352</v>
      </c>
      <c r="C259" s="34" t="s">
        <v>258</v>
      </c>
      <c r="D259" s="36">
        <v>117447</v>
      </c>
      <c r="E259" s="36">
        <v>804045</v>
      </c>
      <c r="F259" s="57"/>
      <c r="G259" s="57"/>
      <c r="H259" s="65"/>
      <c r="I259" s="64"/>
      <c r="J259" s="65"/>
      <c r="K259" s="64"/>
    </row>
    <row r="260" spans="1:11" x14ac:dyDescent="0.2">
      <c r="A260">
        <v>2019</v>
      </c>
      <c r="B260" s="34">
        <v>353</v>
      </c>
      <c r="C260" s="34" t="s">
        <v>259</v>
      </c>
      <c r="D260" s="36">
        <v>171731</v>
      </c>
      <c r="E260" s="36">
        <v>1560880</v>
      </c>
      <c r="F260" s="57"/>
      <c r="G260" s="57"/>
      <c r="H260" s="65"/>
      <c r="I260" s="64"/>
      <c r="J260" s="65"/>
      <c r="K260" s="64"/>
    </row>
    <row r="261" spans="1:11" x14ac:dyDescent="0.2">
      <c r="A261">
        <v>2019</v>
      </c>
      <c r="B261" s="59">
        <v>354</v>
      </c>
      <c r="C261" s="34" t="s">
        <v>686</v>
      </c>
      <c r="D261" s="36">
        <v>32444</v>
      </c>
      <c r="E261" s="36">
        <v>317677</v>
      </c>
      <c r="F261" s="57"/>
      <c r="G261" s="65"/>
      <c r="H261" s="64"/>
      <c r="I261" s="65"/>
      <c r="J261" s="64"/>
    </row>
    <row r="262" spans="1:11" x14ac:dyDescent="0.2">
      <c r="A262">
        <v>2019</v>
      </c>
      <c r="B262" s="59">
        <v>355</v>
      </c>
      <c r="C262" s="34" t="s">
        <v>687</v>
      </c>
      <c r="D262" s="36">
        <v>41964</v>
      </c>
      <c r="E262" s="36">
        <v>302499</v>
      </c>
      <c r="F262" s="57"/>
      <c r="G262" s="65"/>
      <c r="H262" s="64"/>
      <c r="I262" s="65"/>
      <c r="J262" s="64"/>
    </row>
    <row r="263" spans="1:11" x14ac:dyDescent="0.2">
      <c r="A263">
        <v>2019</v>
      </c>
      <c r="B263" s="59">
        <v>356</v>
      </c>
      <c r="C263" s="34" t="s">
        <v>688</v>
      </c>
      <c r="D263" s="36">
        <v>88232</v>
      </c>
      <c r="E263" s="36">
        <v>748093</v>
      </c>
      <c r="F263" s="57"/>
      <c r="G263" s="65"/>
      <c r="H263" s="64"/>
      <c r="I263" s="65"/>
      <c r="J263" s="64"/>
    </row>
    <row r="264" spans="1:11" x14ac:dyDescent="0.2">
      <c r="A264">
        <v>2019</v>
      </c>
      <c r="B264" s="59">
        <v>357</v>
      </c>
      <c r="C264" s="34" t="s">
        <v>689</v>
      </c>
      <c r="D264" s="36">
        <v>52052</v>
      </c>
      <c r="E264" s="36">
        <v>323624</v>
      </c>
      <c r="F264" s="57"/>
      <c r="G264" s="65"/>
      <c r="H264" s="64"/>
      <c r="I264" s="65"/>
      <c r="J264" s="64"/>
    </row>
    <row r="265" spans="1:11" x14ac:dyDescent="0.2">
      <c r="A265">
        <v>2019</v>
      </c>
      <c r="B265" s="59">
        <v>358</v>
      </c>
      <c r="C265" s="34" t="s">
        <v>690</v>
      </c>
      <c r="D265" s="36">
        <v>110306</v>
      </c>
      <c r="E265" s="36">
        <v>982141</v>
      </c>
      <c r="F265" s="57"/>
      <c r="G265" s="65"/>
      <c r="H265" s="64"/>
      <c r="I265" s="65"/>
      <c r="J265" s="64"/>
    </row>
    <row r="266" spans="1:11" x14ac:dyDescent="0.2">
      <c r="A266">
        <v>2019</v>
      </c>
      <c r="B266" s="59">
        <v>359</v>
      </c>
      <c r="C266" s="34" t="s">
        <v>691</v>
      </c>
      <c r="D266" s="36">
        <v>49570</v>
      </c>
      <c r="E266" s="36">
        <v>460445</v>
      </c>
      <c r="F266" s="57"/>
      <c r="G266" s="65"/>
      <c r="H266" s="64"/>
      <c r="I266" s="65"/>
      <c r="J266" s="64"/>
    </row>
    <row r="267" spans="1:11" x14ac:dyDescent="0.2">
      <c r="A267">
        <v>2019</v>
      </c>
      <c r="B267" s="59">
        <v>360</v>
      </c>
      <c r="C267" s="34" t="s">
        <v>692</v>
      </c>
      <c r="D267" s="36">
        <v>42062</v>
      </c>
      <c r="E267" s="36">
        <v>302130</v>
      </c>
      <c r="F267" s="57"/>
      <c r="G267" s="65"/>
      <c r="H267" s="64"/>
      <c r="I267" s="65"/>
      <c r="J267" s="64"/>
    </row>
    <row r="268" spans="1:11" x14ac:dyDescent="0.2">
      <c r="A268">
        <v>2019</v>
      </c>
      <c r="B268" s="59">
        <v>361</v>
      </c>
      <c r="C268" s="34" t="s">
        <v>693</v>
      </c>
      <c r="D268" s="36">
        <v>130768</v>
      </c>
      <c r="E268" s="36">
        <v>1271058</v>
      </c>
      <c r="F268" s="57"/>
      <c r="G268" s="65"/>
      <c r="H268" s="64"/>
      <c r="I268" s="65"/>
      <c r="J268" s="64"/>
    </row>
    <row r="269" spans="1:11" x14ac:dyDescent="0.2">
      <c r="A269">
        <v>2019</v>
      </c>
      <c r="B269" s="59">
        <v>362</v>
      </c>
      <c r="C269" s="34" t="s">
        <v>694</v>
      </c>
      <c r="D269" s="36">
        <v>70459</v>
      </c>
      <c r="E269" s="36">
        <v>479561</v>
      </c>
      <c r="F269" s="57"/>
      <c r="G269" s="65"/>
      <c r="H269" s="64"/>
      <c r="I269" s="65"/>
      <c r="J269" s="64"/>
    </row>
    <row r="270" spans="1:11" x14ac:dyDescent="0.2">
      <c r="A270">
        <v>2019</v>
      </c>
      <c r="B270" s="59">
        <v>363</v>
      </c>
      <c r="C270" s="34" t="s">
        <v>695</v>
      </c>
      <c r="D270" s="36">
        <v>59686</v>
      </c>
      <c r="E270" s="36">
        <v>339838</v>
      </c>
      <c r="F270" s="57"/>
      <c r="G270" s="65"/>
      <c r="H270" s="64"/>
      <c r="I270" s="65"/>
      <c r="J270" s="64"/>
    </row>
    <row r="271" spans="1:11" x14ac:dyDescent="0.2">
      <c r="A271">
        <v>2019</v>
      </c>
      <c r="B271" s="59">
        <v>364</v>
      </c>
      <c r="C271" s="34" t="s">
        <v>696</v>
      </c>
      <c r="D271" s="36">
        <v>94977</v>
      </c>
      <c r="E271" s="36">
        <v>616144</v>
      </c>
      <c r="F271" s="57"/>
      <c r="G271" s="65"/>
      <c r="H271" s="64"/>
      <c r="I271" s="65"/>
      <c r="J271" s="64"/>
    </row>
    <row r="272" spans="1:11" x14ac:dyDescent="0.2">
      <c r="A272">
        <v>2019</v>
      </c>
      <c r="B272" s="59">
        <v>365</v>
      </c>
      <c r="C272" s="34" t="s">
        <v>697</v>
      </c>
      <c r="D272" s="36">
        <v>37923</v>
      </c>
      <c r="E272" s="36">
        <v>255408</v>
      </c>
      <c r="F272" s="57"/>
      <c r="G272" s="65"/>
      <c r="H272" s="64"/>
      <c r="I272" s="65"/>
      <c r="J272" s="64"/>
    </row>
    <row r="273" spans="1:10" x14ac:dyDescent="0.2">
      <c r="A273">
        <v>2019</v>
      </c>
      <c r="B273" s="59">
        <v>366</v>
      </c>
      <c r="C273" s="34" t="s">
        <v>698</v>
      </c>
      <c r="D273" s="36">
        <v>85782</v>
      </c>
      <c r="E273" s="36">
        <v>536260</v>
      </c>
      <c r="F273" s="57"/>
      <c r="G273" s="65"/>
      <c r="H273" s="64"/>
      <c r="I273" s="65"/>
      <c r="J273" s="64"/>
    </row>
    <row r="274" spans="1:10" x14ac:dyDescent="0.2">
      <c r="A274">
        <v>2019</v>
      </c>
      <c r="B274" s="59">
        <v>367</v>
      </c>
      <c r="C274" s="34" t="s">
        <v>699</v>
      </c>
      <c r="D274" s="36">
        <v>767345</v>
      </c>
      <c r="E274" s="36">
        <v>4260372</v>
      </c>
      <c r="F274" s="57"/>
      <c r="G274" s="65"/>
      <c r="H274" s="64"/>
      <c r="I274" s="65"/>
      <c r="J274" s="64"/>
    </row>
    <row r="275" spans="1:10" x14ac:dyDescent="0.2">
      <c r="A275">
        <v>2019</v>
      </c>
      <c r="B275" s="59">
        <v>368</v>
      </c>
      <c r="C275" s="34" t="s">
        <v>700</v>
      </c>
      <c r="D275" s="36">
        <v>163381</v>
      </c>
      <c r="E275" s="36">
        <v>960034</v>
      </c>
      <c r="F275" s="57"/>
      <c r="G275" s="65"/>
      <c r="H275" s="64"/>
      <c r="I275" s="65"/>
      <c r="J275" s="64"/>
    </row>
    <row r="276" spans="1:10" x14ac:dyDescent="0.2">
      <c r="A276">
        <v>2019</v>
      </c>
      <c r="B276" s="59">
        <v>369</v>
      </c>
      <c r="C276" s="34" t="s">
        <v>701</v>
      </c>
      <c r="D276" s="36">
        <v>24107</v>
      </c>
      <c r="E276" s="36">
        <v>180540</v>
      </c>
      <c r="F276" s="57"/>
      <c r="G276" s="65"/>
      <c r="H276" s="64"/>
      <c r="I276" s="65"/>
      <c r="J276" s="64"/>
    </row>
    <row r="277" spans="1:10" x14ac:dyDescent="0.2">
      <c r="A277">
        <v>2019</v>
      </c>
      <c r="B277" s="59">
        <v>370</v>
      </c>
      <c r="C277" s="34" t="s">
        <v>702</v>
      </c>
      <c r="D277" s="36">
        <v>27083</v>
      </c>
      <c r="E277" s="36">
        <v>118940</v>
      </c>
      <c r="F277" s="57"/>
      <c r="G277" s="65"/>
      <c r="H277" s="64"/>
      <c r="I277" s="65"/>
      <c r="J277" s="64"/>
    </row>
    <row r="278" spans="1:10" x14ac:dyDescent="0.2">
      <c r="A278">
        <v>2019</v>
      </c>
      <c r="B278" s="59">
        <v>371</v>
      </c>
      <c r="C278" s="34" t="s">
        <v>703</v>
      </c>
      <c r="D278" s="36">
        <v>93251</v>
      </c>
      <c r="E278" s="36">
        <v>720965</v>
      </c>
      <c r="F278" s="57"/>
      <c r="G278" s="65"/>
      <c r="H278" s="64"/>
      <c r="I278" s="65"/>
      <c r="J278" s="64"/>
    </row>
    <row r="279" spans="1:10" x14ac:dyDescent="0.2">
      <c r="A279">
        <v>2019</v>
      </c>
      <c r="B279" s="59">
        <v>372</v>
      </c>
      <c r="C279" s="34" t="s">
        <v>704</v>
      </c>
      <c r="D279" s="36">
        <v>20082</v>
      </c>
      <c r="E279" s="36">
        <v>159763</v>
      </c>
      <c r="F279" s="57"/>
      <c r="G279" s="65"/>
      <c r="H279" s="64"/>
      <c r="I279" s="65"/>
      <c r="J279" s="64"/>
    </row>
    <row r="280" spans="1:10" x14ac:dyDescent="0.2">
      <c r="A280">
        <v>2019</v>
      </c>
      <c r="B280" s="59">
        <v>373</v>
      </c>
      <c r="C280" s="34" t="s">
        <v>705</v>
      </c>
      <c r="D280" s="36">
        <v>65708</v>
      </c>
      <c r="E280" s="36">
        <v>457582</v>
      </c>
      <c r="F280" s="57"/>
      <c r="G280" s="65"/>
      <c r="H280" s="64"/>
      <c r="I280" s="65"/>
      <c r="J280" s="64"/>
    </row>
    <row r="281" spans="1:10" x14ac:dyDescent="0.2">
      <c r="A281">
        <v>2019</v>
      </c>
      <c r="B281" s="59">
        <v>374</v>
      </c>
      <c r="C281" s="34" t="s">
        <v>706</v>
      </c>
      <c r="D281" s="36">
        <v>19703</v>
      </c>
      <c r="E281" s="36">
        <v>113246</v>
      </c>
      <c r="F281" s="57"/>
      <c r="G281" s="65"/>
      <c r="H281" s="64"/>
      <c r="I281" s="65"/>
      <c r="J281" s="64"/>
    </row>
    <row r="282" spans="1:10" x14ac:dyDescent="0.2">
      <c r="A282">
        <v>2019</v>
      </c>
      <c r="B282" s="59">
        <v>375</v>
      </c>
      <c r="C282" s="34" t="s">
        <v>707</v>
      </c>
      <c r="D282" s="36">
        <v>190907</v>
      </c>
      <c r="E282" s="36">
        <v>1479639</v>
      </c>
      <c r="F282" s="57"/>
      <c r="G282" s="65"/>
      <c r="H282" s="64"/>
      <c r="I282" s="65"/>
      <c r="J282" s="64"/>
    </row>
    <row r="283" spans="1:10" x14ac:dyDescent="0.2">
      <c r="A283">
        <v>2019</v>
      </c>
      <c r="B283" s="59">
        <v>376</v>
      </c>
      <c r="C283" s="34" t="s">
        <v>708</v>
      </c>
      <c r="D283" s="36">
        <v>16591</v>
      </c>
      <c r="E283" s="36">
        <v>40033</v>
      </c>
      <c r="F283" s="57"/>
      <c r="G283" s="65"/>
      <c r="H283" s="64"/>
      <c r="I283" s="65"/>
      <c r="J283" s="64"/>
    </row>
    <row r="284" spans="1:10" x14ac:dyDescent="0.2">
      <c r="A284">
        <v>2019</v>
      </c>
      <c r="B284" s="59">
        <v>378</v>
      </c>
      <c r="C284" s="34" t="s">
        <v>709</v>
      </c>
      <c r="D284" s="36">
        <v>363372</v>
      </c>
      <c r="E284" s="36">
        <v>2452656</v>
      </c>
      <c r="F284" s="57"/>
      <c r="G284" s="65"/>
      <c r="H284" s="64"/>
      <c r="I284" s="65"/>
      <c r="J284" s="64"/>
    </row>
    <row r="285" spans="1:10" x14ac:dyDescent="0.2">
      <c r="A285">
        <v>2019</v>
      </c>
      <c r="B285" s="59">
        <v>379</v>
      </c>
      <c r="C285" s="34" t="s">
        <v>710</v>
      </c>
      <c r="D285" s="36">
        <v>139552</v>
      </c>
      <c r="E285" s="36">
        <v>984989</v>
      </c>
      <c r="F285" s="57"/>
      <c r="G285" s="65"/>
      <c r="H285" s="64"/>
      <c r="I285" s="65"/>
      <c r="J285" s="64"/>
    </row>
    <row r="286" spans="1:10" x14ac:dyDescent="0.2">
      <c r="A286">
        <v>2019</v>
      </c>
      <c r="B286" s="59">
        <v>380</v>
      </c>
      <c r="C286" s="34" t="s">
        <v>711</v>
      </c>
      <c r="D286" s="36">
        <v>29867</v>
      </c>
      <c r="E286" s="36">
        <v>281705</v>
      </c>
      <c r="F286" s="57"/>
      <c r="G286" s="65"/>
      <c r="H286" s="64"/>
      <c r="I286" s="65"/>
      <c r="J286" s="64"/>
    </row>
    <row r="287" spans="1:10" x14ac:dyDescent="0.2">
      <c r="A287">
        <v>2019</v>
      </c>
      <c r="B287" s="59">
        <v>381</v>
      </c>
      <c r="C287" s="34" t="s">
        <v>712</v>
      </c>
      <c r="D287" s="36">
        <v>13449</v>
      </c>
      <c r="E287" s="36">
        <v>112324</v>
      </c>
      <c r="F287" s="57"/>
      <c r="G287" s="65"/>
      <c r="H287" s="64"/>
      <c r="I287" s="65"/>
      <c r="J287" s="64"/>
    </row>
    <row r="288" spans="1:10" x14ac:dyDescent="0.2">
      <c r="A288">
        <v>2019</v>
      </c>
      <c r="B288" s="59">
        <v>383</v>
      </c>
      <c r="C288" s="34" t="s">
        <v>713</v>
      </c>
      <c r="D288" s="36">
        <v>26184</v>
      </c>
      <c r="E288" s="36">
        <v>155448</v>
      </c>
      <c r="F288" s="57"/>
      <c r="G288" s="65"/>
      <c r="H288" s="64"/>
      <c r="I288" s="65"/>
      <c r="J288" s="64"/>
    </row>
    <row r="289" spans="1:10" x14ac:dyDescent="0.2">
      <c r="A289">
        <v>2019</v>
      </c>
      <c r="B289" s="59">
        <v>384</v>
      </c>
      <c r="C289" s="34" t="s">
        <v>714</v>
      </c>
      <c r="D289" s="36">
        <v>13393</v>
      </c>
      <c r="E289" s="36">
        <v>173034</v>
      </c>
      <c r="F289" s="57"/>
      <c r="G289" s="65"/>
      <c r="H289" s="64"/>
      <c r="I289" s="65"/>
      <c r="J289" s="64"/>
    </row>
    <row r="290" spans="1:10" x14ac:dyDescent="0.2">
      <c r="A290">
        <v>2019</v>
      </c>
      <c r="B290" s="59">
        <v>386</v>
      </c>
      <c r="C290" s="34" t="s">
        <v>715</v>
      </c>
      <c r="D290" s="36">
        <v>6622</v>
      </c>
      <c r="E290" s="36">
        <v>51509</v>
      </c>
      <c r="F290" s="57"/>
      <c r="G290" s="65"/>
      <c r="H290" s="64"/>
      <c r="I290" s="65"/>
      <c r="J290" s="64"/>
    </row>
    <row r="291" spans="1:10" x14ac:dyDescent="0.2">
      <c r="A291">
        <v>2019</v>
      </c>
      <c r="B291" s="59">
        <v>388</v>
      </c>
      <c r="C291" s="34" t="s">
        <v>716</v>
      </c>
      <c r="D291" s="36">
        <v>209612</v>
      </c>
      <c r="E291" s="36">
        <v>1283825</v>
      </c>
      <c r="F291" s="57"/>
      <c r="G291" s="65"/>
      <c r="H291" s="64"/>
      <c r="I291" s="65"/>
      <c r="J291" s="64"/>
    </row>
    <row r="292" spans="1:10" x14ac:dyDescent="0.2">
      <c r="A292">
        <v>2019</v>
      </c>
      <c r="B292" s="59">
        <v>389</v>
      </c>
      <c r="C292" s="34" t="s">
        <v>717</v>
      </c>
      <c r="D292" s="36">
        <v>17595</v>
      </c>
      <c r="E292" s="36">
        <v>114852</v>
      </c>
      <c r="F292" s="57"/>
      <c r="G292" s="65"/>
      <c r="H292" s="64"/>
      <c r="I292" s="65"/>
      <c r="J292" s="64"/>
    </row>
    <row r="293" spans="1:10" x14ac:dyDescent="0.2">
      <c r="A293">
        <v>2019</v>
      </c>
      <c r="B293" s="59">
        <v>390</v>
      </c>
      <c r="C293" s="34" t="s">
        <v>718</v>
      </c>
      <c r="D293" s="36">
        <v>47932</v>
      </c>
      <c r="E293" s="36">
        <v>306843</v>
      </c>
      <c r="F293" s="57"/>
      <c r="G293" s="65"/>
      <c r="H293" s="64"/>
      <c r="I293" s="65"/>
      <c r="J293" s="64"/>
    </row>
    <row r="294" spans="1:10" x14ac:dyDescent="0.2">
      <c r="A294">
        <v>2019</v>
      </c>
      <c r="B294" s="59">
        <v>391</v>
      </c>
      <c r="C294" s="34" t="s">
        <v>719</v>
      </c>
      <c r="D294" s="36">
        <v>68273</v>
      </c>
      <c r="E294" s="36">
        <v>501199</v>
      </c>
      <c r="F294" s="57"/>
      <c r="G294" s="65"/>
      <c r="H294" s="64"/>
      <c r="I294" s="65"/>
      <c r="J294" s="64"/>
    </row>
    <row r="295" spans="1:10" x14ac:dyDescent="0.2">
      <c r="A295">
        <v>2019</v>
      </c>
      <c r="B295" s="59">
        <v>392</v>
      </c>
      <c r="C295" s="34" t="s">
        <v>720</v>
      </c>
      <c r="D295" s="36">
        <v>109543</v>
      </c>
      <c r="E295" s="36">
        <v>781177</v>
      </c>
      <c r="F295" s="57"/>
      <c r="G295" s="65"/>
      <c r="H295" s="64"/>
      <c r="I295" s="65"/>
      <c r="J295" s="64"/>
    </row>
    <row r="296" spans="1:10" x14ac:dyDescent="0.2">
      <c r="A296">
        <v>2019</v>
      </c>
      <c r="B296" s="59">
        <v>393</v>
      </c>
      <c r="C296" s="34" t="s">
        <v>721</v>
      </c>
      <c r="D296" s="36">
        <v>25623</v>
      </c>
      <c r="E296" s="36">
        <v>181022</v>
      </c>
      <c r="F296" s="57"/>
      <c r="G296" s="65"/>
      <c r="H296" s="64"/>
      <c r="I296" s="65"/>
      <c r="J296" s="64"/>
    </row>
    <row r="297" spans="1:10" x14ac:dyDescent="0.2">
      <c r="A297">
        <v>2019</v>
      </c>
      <c r="B297" s="59">
        <v>394</v>
      </c>
      <c r="C297" s="34" t="s">
        <v>722</v>
      </c>
      <c r="D297" s="36">
        <v>404094</v>
      </c>
      <c r="E297" s="36">
        <v>2613907</v>
      </c>
      <c r="F297" s="57"/>
      <c r="G297" s="65"/>
      <c r="H297" s="64"/>
      <c r="I297" s="65"/>
      <c r="J297" s="64"/>
    </row>
    <row r="298" spans="1:10" x14ac:dyDescent="0.2">
      <c r="A298">
        <v>2019</v>
      </c>
      <c r="B298" s="59">
        <v>395</v>
      </c>
      <c r="C298" s="34" t="s">
        <v>723</v>
      </c>
      <c r="D298" s="36">
        <v>33913</v>
      </c>
      <c r="E298" s="36">
        <v>171328</v>
      </c>
      <c r="F298" s="57"/>
      <c r="G298" s="65"/>
      <c r="H298" s="64"/>
      <c r="I298" s="65"/>
      <c r="J298" s="64"/>
    </row>
    <row r="299" spans="1:10" x14ac:dyDescent="0.2">
      <c r="A299">
        <v>2019</v>
      </c>
      <c r="B299" s="59">
        <v>397</v>
      </c>
      <c r="C299" s="34" t="s">
        <v>724</v>
      </c>
      <c r="D299" s="36">
        <v>59423</v>
      </c>
      <c r="E299" s="36">
        <v>287987</v>
      </c>
      <c r="F299" s="57"/>
      <c r="G299" s="65"/>
      <c r="H299" s="64"/>
      <c r="I299" s="65"/>
      <c r="J299" s="64"/>
    </row>
    <row r="300" spans="1:10" x14ac:dyDescent="0.2">
      <c r="A300">
        <v>2019</v>
      </c>
      <c r="B300" s="59">
        <v>398</v>
      </c>
      <c r="C300" s="34" t="s">
        <v>725</v>
      </c>
      <c r="D300" s="36">
        <v>240674</v>
      </c>
      <c r="E300" s="36">
        <v>1164475</v>
      </c>
      <c r="F300" s="57"/>
      <c r="G300" s="65"/>
      <c r="H300" s="64"/>
      <c r="I300" s="65"/>
      <c r="J300" s="64"/>
    </row>
    <row r="301" spans="1:10" x14ac:dyDescent="0.2">
      <c r="A301">
        <v>2019</v>
      </c>
      <c r="B301" s="59">
        <v>399</v>
      </c>
      <c r="C301" s="34" t="s">
        <v>726</v>
      </c>
      <c r="D301" s="36">
        <v>249646</v>
      </c>
      <c r="E301" s="36">
        <v>1485525</v>
      </c>
      <c r="F301" s="57"/>
      <c r="G301" s="65"/>
      <c r="H301" s="64"/>
      <c r="I301" s="65"/>
      <c r="J301" s="64"/>
    </row>
    <row r="302" spans="1:10" x14ac:dyDescent="0.2">
      <c r="A302">
        <v>2019</v>
      </c>
      <c r="B302" s="59">
        <v>400</v>
      </c>
      <c r="C302" s="34" t="s">
        <v>727</v>
      </c>
      <c r="D302" s="36">
        <v>25548</v>
      </c>
      <c r="E302" s="36">
        <v>166587</v>
      </c>
      <c r="F302" s="57"/>
      <c r="G302" s="65"/>
      <c r="H302" s="64"/>
      <c r="I302" s="65"/>
      <c r="J302" s="64"/>
    </row>
    <row r="303" spans="1:10" x14ac:dyDescent="0.2">
      <c r="A303">
        <v>2019</v>
      </c>
      <c r="B303" s="59">
        <v>401</v>
      </c>
      <c r="C303" s="34" t="s">
        <v>728</v>
      </c>
      <c r="D303" s="36">
        <v>26438</v>
      </c>
      <c r="E303" s="36">
        <v>159561</v>
      </c>
      <c r="F303" s="57"/>
      <c r="G303" s="65"/>
      <c r="H303" s="64"/>
      <c r="I303" s="65"/>
      <c r="J303" s="64"/>
    </row>
    <row r="304" spans="1:10" x14ac:dyDescent="0.2">
      <c r="A304">
        <v>2019</v>
      </c>
      <c r="B304" s="34">
        <v>402</v>
      </c>
      <c r="C304" s="34" t="s">
        <v>574</v>
      </c>
      <c r="D304" s="36">
        <v>81452</v>
      </c>
      <c r="E304" s="36">
        <v>478219</v>
      </c>
      <c r="F304" s="57"/>
      <c r="G304" s="65"/>
      <c r="H304" s="64"/>
      <c r="I304" s="65"/>
      <c r="J304" s="64"/>
    </row>
    <row r="305" spans="1:10" x14ac:dyDescent="0.2">
      <c r="A305">
        <v>2019</v>
      </c>
      <c r="B305" s="34">
        <v>403</v>
      </c>
      <c r="C305" s="34" t="s">
        <v>575</v>
      </c>
      <c r="D305" s="36">
        <v>96745</v>
      </c>
      <c r="E305" s="36">
        <v>610407</v>
      </c>
      <c r="F305" s="57"/>
      <c r="G305" s="65"/>
      <c r="H305" s="64"/>
      <c r="I305" s="65"/>
      <c r="J305" s="64"/>
    </row>
    <row r="306" spans="1:10" x14ac:dyDescent="0.2">
      <c r="A306">
        <v>2019</v>
      </c>
      <c r="B306" s="34">
        <v>404</v>
      </c>
      <c r="C306" s="34" t="s">
        <v>576</v>
      </c>
      <c r="D306" s="36">
        <v>79129</v>
      </c>
      <c r="E306" s="36">
        <v>708241</v>
      </c>
      <c r="F306" s="57"/>
      <c r="G306" s="65"/>
      <c r="H306" s="64"/>
      <c r="I306" s="65"/>
      <c r="J306" s="64"/>
    </row>
    <row r="307" spans="1:10" x14ac:dyDescent="0.2">
      <c r="A307">
        <v>2019</v>
      </c>
      <c r="B307" s="34">
        <v>405</v>
      </c>
      <c r="C307" s="34" t="s">
        <v>577</v>
      </c>
      <c r="D307" s="36">
        <v>119450</v>
      </c>
      <c r="E307" s="36">
        <v>942579</v>
      </c>
      <c r="F307" s="57"/>
      <c r="G307" s="65"/>
      <c r="H307" s="64"/>
      <c r="I307" s="65"/>
      <c r="J307" s="64"/>
    </row>
    <row r="308" spans="1:10" x14ac:dyDescent="0.2">
      <c r="A308">
        <v>2019</v>
      </c>
      <c r="B308" s="34">
        <v>406</v>
      </c>
      <c r="C308" s="34" t="s">
        <v>578</v>
      </c>
      <c r="D308" s="36">
        <v>12801</v>
      </c>
      <c r="E308" s="36">
        <v>69498</v>
      </c>
      <c r="F308" s="57"/>
      <c r="G308" s="65"/>
      <c r="H308" s="64"/>
      <c r="I308" s="65"/>
      <c r="J308" s="64"/>
    </row>
    <row r="309" spans="1:10" x14ac:dyDescent="0.2">
      <c r="A309">
        <v>2019</v>
      </c>
      <c r="B309" s="34">
        <v>407</v>
      </c>
      <c r="C309" s="34" t="s">
        <v>579</v>
      </c>
      <c r="D309" s="36">
        <v>8977</v>
      </c>
      <c r="E309" s="36">
        <v>37866</v>
      </c>
      <c r="F309" s="57"/>
      <c r="G309" s="65"/>
      <c r="H309" s="64"/>
      <c r="I309" s="65"/>
      <c r="J309" s="64"/>
    </row>
    <row r="310" spans="1:10" x14ac:dyDescent="0.2">
      <c r="A310">
        <v>2019</v>
      </c>
      <c r="B310" s="34">
        <v>408</v>
      </c>
      <c r="C310" s="34" t="s">
        <v>580</v>
      </c>
      <c r="D310" s="36">
        <v>38419</v>
      </c>
      <c r="E310" s="36">
        <v>377935</v>
      </c>
      <c r="F310" s="57"/>
      <c r="G310" s="65"/>
      <c r="H310" s="64"/>
      <c r="I310" s="65"/>
      <c r="J310" s="64"/>
    </row>
    <row r="311" spans="1:10" x14ac:dyDescent="0.2">
      <c r="A311">
        <v>2019</v>
      </c>
      <c r="B311" s="34">
        <v>409</v>
      </c>
      <c r="C311" s="34" t="s">
        <v>581</v>
      </c>
      <c r="D311" s="36">
        <v>30162</v>
      </c>
      <c r="E311" s="36">
        <v>156406</v>
      </c>
      <c r="F311" s="57"/>
      <c r="G311" s="65"/>
      <c r="H311" s="64"/>
      <c r="I311" s="65"/>
      <c r="J311" s="64"/>
    </row>
    <row r="312" spans="1:10" x14ac:dyDescent="0.2">
      <c r="A312">
        <v>2019</v>
      </c>
      <c r="B312" s="34">
        <v>410</v>
      </c>
      <c r="C312" s="34" t="s">
        <v>582</v>
      </c>
      <c r="D312" s="36">
        <v>4744</v>
      </c>
      <c r="E312" s="36">
        <v>73343</v>
      </c>
      <c r="F312" s="57"/>
      <c r="G312" s="65"/>
      <c r="H312" s="64"/>
      <c r="I312" s="65"/>
      <c r="J312" s="64"/>
    </row>
    <row r="313" spans="1:10" x14ac:dyDescent="0.2">
      <c r="A313">
        <v>2019</v>
      </c>
      <c r="B313" s="34">
        <v>412</v>
      </c>
      <c r="C313" s="34" t="s">
        <v>583</v>
      </c>
      <c r="D313" s="36">
        <v>88881</v>
      </c>
      <c r="E313" s="36">
        <v>480883</v>
      </c>
      <c r="F313" s="57"/>
      <c r="G313" s="65"/>
      <c r="H313" s="64"/>
      <c r="I313" s="65"/>
      <c r="J313" s="64"/>
    </row>
    <row r="314" spans="1:10" x14ac:dyDescent="0.2">
      <c r="A314">
        <v>2019</v>
      </c>
      <c r="B314" s="34">
        <v>413</v>
      </c>
      <c r="C314" s="34" t="s">
        <v>584</v>
      </c>
      <c r="D314" s="36">
        <v>48972</v>
      </c>
      <c r="E314" s="36">
        <v>303216</v>
      </c>
      <c r="F314" s="57"/>
      <c r="G314" s="65"/>
      <c r="H314" s="64"/>
      <c r="I314" s="65"/>
      <c r="J314" s="64"/>
    </row>
    <row r="315" spans="1:10" x14ac:dyDescent="0.2">
      <c r="A315">
        <v>2019</v>
      </c>
      <c r="B315" s="34">
        <v>414</v>
      </c>
      <c r="C315" s="34" t="s">
        <v>585</v>
      </c>
      <c r="D315" s="36">
        <v>8530</v>
      </c>
      <c r="E315" s="36">
        <v>34851</v>
      </c>
      <c r="F315" s="57"/>
      <c r="G315" s="65"/>
      <c r="H315" s="64"/>
      <c r="I315" s="65"/>
      <c r="J315" s="64"/>
    </row>
    <row r="316" spans="1:10" x14ac:dyDescent="0.2">
      <c r="A316">
        <v>2019</v>
      </c>
      <c r="B316" s="34">
        <v>415</v>
      </c>
      <c r="C316" s="34" t="s">
        <v>586</v>
      </c>
      <c r="D316" s="36">
        <v>7775</v>
      </c>
      <c r="E316" s="36">
        <v>47605</v>
      </c>
      <c r="F316" s="57"/>
      <c r="G316" s="65"/>
      <c r="H316" s="64"/>
      <c r="I316" s="65"/>
      <c r="J316" s="64"/>
    </row>
    <row r="317" spans="1:10" x14ac:dyDescent="0.2">
      <c r="A317">
        <v>2019</v>
      </c>
      <c r="B317" s="34">
        <v>416</v>
      </c>
      <c r="C317" s="34" t="s">
        <v>587</v>
      </c>
      <c r="D317" s="36">
        <v>13901</v>
      </c>
      <c r="E317" s="36">
        <v>153974</v>
      </c>
      <c r="F317" s="57"/>
      <c r="G317" s="65"/>
      <c r="H317" s="64"/>
      <c r="I317" s="65"/>
      <c r="J317" s="64"/>
    </row>
    <row r="318" spans="1:10" x14ac:dyDescent="0.2">
      <c r="A318">
        <v>2019</v>
      </c>
      <c r="B318" s="34">
        <v>417</v>
      </c>
      <c r="C318" s="34" t="s">
        <v>588</v>
      </c>
      <c r="D318" s="36">
        <v>50985</v>
      </c>
      <c r="E318" s="36">
        <v>283538</v>
      </c>
      <c r="F318" s="57"/>
      <c r="G318" s="65"/>
      <c r="H318" s="64"/>
      <c r="I318" s="65"/>
      <c r="J318" s="64"/>
    </row>
    <row r="319" spans="1:10" x14ac:dyDescent="0.2">
      <c r="A319">
        <v>2019</v>
      </c>
      <c r="B319" s="34">
        <v>418</v>
      </c>
      <c r="C319" s="34" t="s">
        <v>589</v>
      </c>
      <c r="D319" s="36">
        <v>128521</v>
      </c>
      <c r="E319" s="36">
        <v>791358</v>
      </c>
      <c r="F319" s="57"/>
      <c r="G319" s="65"/>
      <c r="H319" s="64"/>
      <c r="I319" s="65"/>
      <c r="J319" s="64"/>
    </row>
    <row r="320" spans="1:10" x14ac:dyDescent="0.2">
      <c r="A320">
        <v>2019</v>
      </c>
      <c r="B320" s="34">
        <v>419</v>
      </c>
      <c r="C320" s="34" t="s">
        <v>590</v>
      </c>
      <c r="D320" s="36">
        <v>81584</v>
      </c>
      <c r="E320" s="36">
        <v>484128</v>
      </c>
      <c r="F320" s="57"/>
      <c r="G320" s="65"/>
      <c r="H320" s="64"/>
      <c r="I320" s="65"/>
      <c r="J320" s="64"/>
    </row>
    <row r="321" spans="1:10" x14ac:dyDescent="0.2">
      <c r="A321">
        <v>2019</v>
      </c>
      <c r="B321" s="34">
        <v>420</v>
      </c>
      <c r="C321" s="34" t="s">
        <v>591</v>
      </c>
      <c r="D321" s="36">
        <v>153682</v>
      </c>
      <c r="E321" s="36">
        <v>933570</v>
      </c>
      <c r="F321" s="57"/>
      <c r="G321" s="65"/>
      <c r="H321" s="64"/>
      <c r="I321" s="65"/>
      <c r="J321" s="64"/>
    </row>
    <row r="322" spans="1:10" x14ac:dyDescent="0.2">
      <c r="A322">
        <v>2019</v>
      </c>
      <c r="B322" s="34">
        <v>421</v>
      </c>
      <c r="C322" s="34" t="s">
        <v>592</v>
      </c>
      <c r="D322" s="36">
        <v>208034</v>
      </c>
      <c r="E322" s="36">
        <v>1110292</v>
      </c>
      <c r="F322" s="57"/>
      <c r="G322" s="65"/>
      <c r="H322" s="64"/>
      <c r="I322" s="65"/>
      <c r="J322" s="64"/>
    </row>
    <row r="323" spans="1:10" x14ac:dyDescent="0.2">
      <c r="A323">
        <v>2019</v>
      </c>
      <c r="B323" s="34">
        <v>422</v>
      </c>
      <c r="C323" s="34" t="s">
        <v>593</v>
      </c>
      <c r="D323" s="36">
        <v>21106</v>
      </c>
      <c r="E323" s="36">
        <v>162977</v>
      </c>
      <c r="F323" s="57"/>
      <c r="G323" s="65"/>
      <c r="H323" s="64"/>
      <c r="I323" s="65"/>
      <c r="J323" s="64"/>
    </row>
    <row r="324" spans="1:10" x14ac:dyDescent="0.2">
      <c r="A324">
        <v>2019</v>
      </c>
      <c r="B324" s="34">
        <v>423</v>
      </c>
      <c r="C324" s="34" t="s">
        <v>594</v>
      </c>
      <c r="D324" s="36">
        <v>31964</v>
      </c>
      <c r="E324" s="36">
        <v>190517</v>
      </c>
      <c r="F324" s="57"/>
      <c r="G324" s="65"/>
      <c r="H324" s="64"/>
      <c r="I324" s="65"/>
      <c r="J324" s="64"/>
    </row>
    <row r="325" spans="1:10" x14ac:dyDescent="0.2">
      <c r="A325">
        <v>2019</v>
      </c>
      <c r="B325" s="34">
        <v>424</v>
      </c>
      <c r="C325" s="34" t="s">
        <v>595</v>
      </c>
      <c r="D325" s="36">
        <v>69415</v>
      </c>
      <c r="E325" s="36">
        <v>532840</v>
      </c>
      <c r="F325" s="57"/>
      <c r="G325" s="65"/>
      <c r="H325" s="64"/>
      <c r="I325" s="65"/>
      <c r="J325" s="64"/>
    </row>
    <row r="326" spans="1:10" x14ac:dyDescent="0.2">
      <c r="A326">
        <v>2019</v>
      </c>
      <c r="B326" s="34">
        <v>425</v>
      </c>
      <c r="C326" s="34" t="s">
        <v>596</v>
      </c>
      <c r="D326" s="36">
        <v>536036</v>
      </c>
      <c r="E326" s="36">
        <v>2823293</v>
      </c>
      <c r="F326" s="57"/>
      <c r="G326" s="65"/>
      <c r="H326" s="64"/>
      <c r="I326" s="65"/>
      <c r="J326" s="64"/>
    </row>
    <row r="327" spans="1:10" x14ac:dyDescent="0.2">
      <c r="A327">
        <v>2019</v>
      </c>
      <c r="B327" s="34">
        <v>426</v>
      </c>
      <c r="C327" s="34" t="s">
        <v>597</v>
      </c>
      <c r="D327" s="36">
        <v>121560</v>
      </c>
      <c r="E327" s="36">
        <v>891000</v>
      </c>
      <c r="F327" s="57"/>
      <c r="G327" s="65"/>
      <c r="H327" s="64"/>
      <c r="I327" s="65"/>
      <c r="J327" s="64"/>
    </row>
    <row r="328" spans="1:10" x14ac:dyDescent="0.2">
      <c r="A328">
        <v>2019</v>
      </c>
      <c r="B328" s="34">
        <v>427</v>
      </c>
      <c r="C328" s="34" t="s">
        <v>598</v>
      </c>
      <c r="D328" s="36">
        <v>155436</v>
      </c>
      <c r="E328" s="36">
        <v>952568</v>
      </c>
      <c r="F328" s="57"/>
      <c r="G328" s="65"/>
      <c r="H328" s="64"/>
      <c r="I328" s="65"/>
      <c r="J328" s="64"/>
    </row>
    <row r="329" spans="1:10" x14ac:dyDescent="0.2">
      <c r="A329">
        <v>2019</v>
      </c>
      <c r="B329" s="34">
        <v>428</v>
      </c>
      <c r="C329" s="34" t="s">
        <v>599</v>
      </c>
      <c r="D329" s="36">
        <v>14488</v>
      </c>
      <c r="E329" s="36">
        <v>101673</v>
      </c>
      <c r="F329" s="57"/>
      <c r="G329" s="65"/>
      <c r="H329" s="64"/>
      <c r="I329" s="65"/>
      <c r="J329" s="64"/>
    </row>
    <row r="330" spans="1:10" x14ac:dyDescent="0.2">
      <c r="A330">
        <v>2019</v>
      </c>
      <c r="B330" s="34">
        <v>429</v>
      </c>
      <c r="C330" s="34" t="s">
        <v>600</v>
      </c>
      <c r="D330" s="36">
        <v>37678</v>
      </c>
      <c r="E330" s="36">
        <v>217696</v>
      </c>
      <c r="F330" s="57"/>
      <c r="G330" s="65"/>
      <c r="H330" s="64"/>
      <c r="I330" s="65"/>
      <c r="J330" s="64"/>
    </row>
    <row r="331" spans="1:10" x14ac:dyDescent="0.2">
      <c r="A331">
        <v>2019</v>
      </c>
      <c r="B331" s="34">
        <v>430</v>
      </c>
      <c r="C331" s="34" t="s">
        <v>601</v>
      </c>
      <c r="D331" s="36">
        <v>145523</v>
      </c>
      <c r="E331" s="36">
        <v>1185100</v>
      </c>
      <c r="F331" s="57"/>
      <c r="G331" s="65"/>
      <c r="H331" s="64"/>
      <c r="I331" s="65"/>
      <c r="J331" s="64"/>
    </row>
    <row r="332" spans="1:10" x14ac:dyDescent="0.2">
      <c r="A332">
        <v>2019</v>
      </c>
      <c r="B332" s="34">
        <v>431</v>
      </c>
      <c r="C332" s="34" t="s">
        <v>602</v>
      </c>
      <c r="D332" s="36">
        <v>22466</v>
      </c>
      <c r="E332" s="36">
        <v>168417</v>
      </c>
      <c r="F332" s="57"/>
      <c r="G332" s="65"/>
      <c r="H332" s="64"/>
      <c r="I332" s="65"/>
      <c r="J332" s="64"/>
    </row>
    <row r="333" spans="1:10" x14ac:dyDescent="0.2">
      <c r="A333">
        <v>2019</v>
      </c>
      <c r="B333" s="34">
        <v>432</v>
      </c>
      <c r="C333" s="34" t="s">
        <v>603</v>
      </c>
      <c r="D333" s="36">
        <v>20172</v>
      </c>
      <c r="E333" s="36">
        <v>192030</v>
      </c>
      <c r="F333" s="57"/>
      <c r="G333" s="65"/>
      <c r="H333" s="64"/>
      <c r="I333" s="65"/>
      <c r="J333" s="64"/>
    </row>
    <row r="334" spans="1:10" x14ac:dyDescent="0.2">
      <c r="A334">
        <v>2019</v>
      </c>
      <c r="B334" s="34">
        <v>433</v>
      </c>
      <c r="C334" s="34" t="s">
        <v>604</v>
      </c>
      <c r="D334" s="36">
        <v>33478</v>
      </c>
      <c r="E334" s="36">
        <v>188227</v>
      </c>
      <c r="F334" s="57"/>
      <c r="G334" s="65"/>
      <c r="H334" s="64"/>
      <c r="I334" s="65"/>
      <c r="J334" s="64"/>
    </row>
    <row r="335" spans="1:10" x14ac:dyDescent="0.2">
      <c r="A335">
        <v>2019</v>
      </c>
      <c r="B335" s="34">
        <v>434</v>
      </c>
      <c r="C335" s="34" t="s">
        <v>605</v>
      </c>
      <c r="D335" s="36">
        <v>34722</v>
      </c>
      <c r="E335" s="36">
        <v>159393</v>
      </c>
      <c r="F335" s="57"/>
      <c r="G335" s="65"/>
      <c r="H335" s="64"/>
      <c r="I335" s="65"/>
      <c r="J335" s="64"/>
    </row>
    <row r="336" spans="1:10" x14ac:dyDescent="0.2">
      <c r="A336">
        <v>2019</v>
      </c>
      <c r="B336" s="34">
        <v>435</v>
      </c>
      <c r="C336" s="34" t="s">
        <v>606</v>
      </c>
      <c r="D336" s="36">
        <v>12563</v>
      </c>
      <c r="E336" s="36">
        <v>164822</v>
      </c>
      <c r="F336" s="57"/>
      <c r="G336" s="65"/>
      <c r="H336" s="64"/>
      <c r="I336" s="65"/>
      <c r="J336" s="64"/>
    </row>
    <row r="337" spans="1:11" x14ac:dyDescent="0.2">
      <c r="A337">
        <v>2019</v>
      </c>
      <c r="B337" s="34">
        <v>436</v>
      </c>
      <c r="C337" s="34" t="s">
        <v>607</v>
      </c>
      <c r="D337" s="36">
        <v>31365</v>
      </c>
      <c r="E337" s="36">
        <v>142465</v>
      </c>
      <c r="F337" s="57"/>
      <c r="G337" s="65"/>
      <c r="H337" s="64"/>
      <c r="I337" s="65"/>
      <c r="J337" s="64"/>
    </row>
    <row r="338" spans="1:11" x14ac:dyDescent="0.2">
      <c r="A338">
        <v>2019</v>
      </c>
      <c r="B338" s="34">
        <v>437</v>
      </c>
      <c r="C338" s="34" t="s">
        <v>608</v>
      </c>
      <c r="D338" s="36">
        <v>62478</v>
      </c>
      <c r="E338" s="36">
        <v>501132</v>
      </c>
      <c r="F338" s="57"/>
      <c r="G338" s="65"/>
      <c r="H338" s="64"/>
      <c r="I338" s="65"/>
      <c r="J338" s="64"/>
    </row>
    <row r="339" spans="1:11" x14ac:dyDescent="0.2">
      <c r="A339">
        <v>2019</v>
      </c>
      <c r="B339" s="34">
        <v>438</v>
      </c>
      <c r="C339" s="34" t="s">
        <v>609</v>
      </c>
      <c r="D339" s="36">
        <v>21443</v>
      </c>
      <c r="E339" s="36">
        <v>184144</v>
      </c>
      <c r="F339" s="57"/>
      <c r="G339" s="65"/>
      <c r="H339" s="64"/>
      <c r="I339" s="65"/>
      <c r="J339" s="64"/>
    </row>
    <row r="340" spans="1:11" x14ac:dyDescent="0.2">
      <c r="A340">
        <v>2019</v>
      </c>
      <c r="B340" s="34">
        <v>439</v>
      </c>
      <c r="C340" s="34" t="s">
        <v>610</v>
      </c>
      <c r="D340" s="36">
        <v>68888</v>
      </c>
      <c r="E340" s="36">
        <v>479659</v>
      </c>
      <c r="F340" s="57"/>
      <c r="G340" s="65"/>
      <c r="H340" s="64"/>
      <c r="I340" s="65"/>
      <c r="J340" s="64"/>
    </row>
    <row r="341" spans="1:11" x14ac:dyDescent="0.2">
      <c r="A341">
        <v>2019</v>
      </c>
      <c r="B341" s="34">
        <v>440</v>
      </c>
      <c r="C341" s="34" t="s">
        <v>611</v>
      </c>
      <c r="D341" s="36">
        <v>20131</v>
      </c>
      <c r="E341" s="36">
        <v>167925</v>
      </c>
      <c r="F341" s="57"/>
      <c r="G341" s="65"/>
      <c r="H341" s="64"/>
      <c r="I341" s="65"/>
      <c r="J341" s="64"/>
    </row>
    <row r="342" spans="1:11" x14ac:dyDescent="0.2">
      <c r="A342">
        <v>2019</v>
      </c>
      <c r="B342" s="34">
        <v>441</v>
      </c>
      <c r="C342" s="34" t="s">
        <v>612</v>
      </c>
      <c r="D342" s="36">
        <v>55002</v>
      </c>
      <c r="E342" s="36">
        <v>414687</v>
      </c>
      <c r="F342" s="57"/>
      <c r="G342" s="65"/>
      <c r="H342" s="64"/>
      <c r="I342" s="65"/>
      <c r="J342" s="64"/>
    </row>
    <row r="343" spans="1:11" x14ac:dyDescent="0.2">
      <c r="A343">
        <v>2019</v>
      </c>
      <c r="B343" s="34">
        <v>442</v>
      </c>
      <c r="C343" s="34" t="s">
        <v>613</v>
      </c>
      <c r="D343" s="36">
        <v>73802</v>
      </c>
      <c r="E343" s="36">
        <v>541632</v>
      </c>
      <c r="F343" s="57"/>
      <c r="G343" s="65"/>
      <c r="H343" s="64"/>
      <c r="I343" s="65"/>
      <c r="J343" s="64"/>
    </row>
    <row r="344" spans="1:11" x14ac:dyDescent="0.2">
      <c r="A344">
        <v>2019</v>
      </c>
      <c r="B344" s="34">
        <v>443</v>
      </c>
      <c r="C344" s="34" t="s">
        <v>614</v>
      </c>
      <c r="D344" s="36">
        <v>5876</v>
      </c>
      <c r="E344" s="36">
        <v>41380</v>
      </c>
      <c r="F344" s="57"/>
      <c r="G344" s="65"/>
      <c r="H344" s="64"/>
      <c r="I344" s="65"/>
      <c r="J344" s="64"/>
    </row>
    <row r="345" spans="1:11" x14ac:dyDescent="0.2">
      <c r="A345">
        <v>2019</v>
      </c>
      <c r="B345" s="34">
        <v>444</v>
      </c>
      <c r="C345" s="34" t="s">
        <v>615</v>
      </c>
      <c r="D345" s="36">
        <v>47292</v>
      </c>
      <c r="E345" s="36">
        <v>204054</v>
      </c>
      <c r="F345" s="57"/>
      <c r="G345" s="65"/>
      <c r="H345" s="64"/>
      <c r="I345" s="65"/>
      <c r="J345" s="64"/>
    </row>
    <row r="346" spans="1:11" x14ac:dyDescent="0.2">
      <c r="A346">
        <v>2019</v>
      </c>
      <c r="B346" s="34">
        <v>445</v>
      </c>
      <c r="C346" s="34" t="s">
        <v>616</v>
      </c>
      <c r="D346" s="36">
        <v>52456</v>
      </c>
      <c r="E346" s="36">
        <v>270740</v>
      </c>
      <c r="F346" s="57"/>
      <c r="G346" s="65"/>
      <c r="H346" s="64"/>
      <c r="I346" s="65"/>
      <c r="J346" s="64"/>
    </row>
    <row r="347" spans="1:11" x14ac:dyDescent="0.2">
      <c r="A347">
        <v>2019</v>
      </c>
      <c r="B347" s="34">
        <v>446</v>
      </c>
      <c r="C347" s="34" t="s">
        <v>617</v>
      </c>
      <c r="D347" s="36">
        <v>64225</v>
      </c>
      <c r="E347" s="36">
        <v>434012</v>
      </c>
      <c r="F347" s="57"/>
      <c r="G347" s="57"/>
      <c r="H347" s="65"/>
      <c r="I347" s="64"/>
      <c r="J347" s="65"/>
      <c r="K347" s="64"/>
    </row>
    <row r="348" spans="1:11" x14ac:dyDescent="0.2">
      <c r="A348">
        <v>2019</v>
      </c>
      <c r="B348" s="34">
        <v>447</v>
      </c>
      <c r="C348" s="34" t="s">
        <v>618</v>
      </c>
      <c r="D348" s="36">
        <v>24226</v>
      </c>
      <c r="E348" s="36">
        <v>127548</v>
      </c>
      <c r="F348" s="57"/>
      <c r="G348" s="57"/>
      <c r="H348" s="65"/>
      <c r="I348" s="64"/>
      <c r="J348" s="65"/>
      <c r="K348" s="64"/>
    </row>
    <row r="349" spans="1:11" x14ac:dyDescent="0.2">
      <c r="A349">
        <v>2019</v>
      </c>
      <c r="B349" s="34">
        <v>448</v>
      </c>
      <c r="C349" s="34" t="s">
        <v>619</v>
      </c>
      <c r="D349" s="36">
        <v>23766</v>
      </c>
      <c r="E349" s="36">
        <v>176861</v>
      </c>
      <c r="F349" s="57"/>
      <c r="G349" s="57"/>
      <c r="H349" s="65"/>
      <c r="I349" s="64"/>
      <c r="J349" s="65"/>
      <c r="K349" s="64"/>
    </row>
    <row r="350" spans="1:11" x14ac:dyDescent="0.2">
      <c r="A350">
        <v>2019</v>
      </c>
      <c r="B350" s="34">
        <v>449</v>
      </c>
      <c r="C350" s="34" t="s">
        <v>620</v>
      </c>
      <c r="D350" s="36">
        <v>39099</v>
      </c>
      <c r="E350" s="36">
        <v>439571</v>
      </c>
      <c r="F350" s="57"/>
      <c r="G350" s="57"/>
      <c r="H350" s="65"/>
      <c r="I350" s="64"/>
      <c r="J350" s="65"/>
      <c r="K350" s="64"/>
    </row>
    <row r="351" spans="1:11" x14ac:dyDescent="0.2">
      <c r="A351">
        <v>2019</v>
      </c>
      <c r="B351" s="34">
        <v>450</v>
      </c>
      <c r="C351" s="34" t="s">
        <v>621</v>
      </c>
      <c r="D351" s="36">
        <v>14496</v>
      </c>
      <c r="E351" s="36">
        <v>110006</v>
      </c>
      <c r="F351" s="57"/>
      <c r="G351" s="57"/>
      <c r="H351" s="65"/>
      <c r="I351" s="64"/>
      <c r="J351" s="65"/>
      <c r="K351" s="64"/>
    </row>
    <row r="352" spans="1:11" x14ac:dyDescent="0.2">
      <c r="A352">
        <v>2019</v>
      </c>
      <c r="B352" s="34">
        <v>451</v>
      </c>
      <c r="C352" s="34" t="s">
        <v>622</v>
      </c>
      <c r="D352" s="36">
        <v>20592</v>
      </c>
      <c r="E352" s="36">
        <v>157026</v>
      </c>
      <c r="F352" s="57"/>
      <c r="G352" s="57"/>
      <c r="H352" s="65"/>
      <c r="I352" s="64"/>
      <c r="J352" s="65"/>
      <c r="K352" s="64"/>
    </row>
    <row r="353" spans="1:11" x14ac:dyDescent="0.2">
      <c r="A353">
        <v>2019</v>
      </c>
      <c r="B353" s="34">
        <v>452</v>
      </c>
      <c r="C353" s="34" t="s">
        <v>623</v>
      </c>
      <c r="D353" s="36">
        <v>28846</v>
      </c>
      <c r="E353" s="36">
        <v>428462</v>
      </c>
      <c r="F353" s="57"/>
      <c r="G353" s="57"/>
      <c r="H353" s="65"/>
      <c r="I353" s="64"/>
      <c r="J353" s="65"/>
      <c r="K353" s="64"/>
    </row>
    <row r="354" spans="1:11" x14ac:dyDescent="0.2">
      <c r="A354">
        <v>2019</v>
      </c>
      <c r="B354" s="34">
        <v>453</v>
      </c>
      <c r="C354" s="34" t="s">
        <v>624</v>
      </c>
      <c r="D354" s="36">
        <v>16414</v>
      </c>
      <c r="E354" s="36">
        <v>153118</v>
      </c>
      <c r="F354" s="57"/>
      <c r="G354" s="57"/>
      <c r="H354" s="65"/>
      <c r="I354" s="64"/>
      <c r="J354" s="65"/>
      <c r="K354" s="64"/>
    </row>
    <row r="355" spans="1:11" x14ac:dyDescent="0.2">
      <c r="A355">
        <v>2019</v>
      </c>
      <c r="B355" s="34">
        <v>454</v>
      </c>
      <c r="C355" s="34" t="s">
        <v>625</v>
      </c>
      <c r="D355" s="36">
        <v>85137</v>
      </c>
      <c r="E355" s="36">
        <v>603754</v>
      </c>
      <c r="F355" s="57"/>
      <c r="G355" s="57"/>
      <c r="H355" s="65"/>
      <c r="I355" s="64"/>
      <c r="J355" s="65"/>
      <c r="K355" s="64"/>
    </row>
    <row r="356" spans="1:11" x14ac:dyDescent="0.2">
      <c r="A356">
        <v>2019</v>
      </c>
      <c r="B356" s="34">
        <v>455</v>
      </c>
      <c r="C356" s="34" t="s">
        <v>626</v>
      </c>
      <c r="D356" s="36">
        <v>264974</v>
      </c>
      <c r="E356" s="36">
        <v>1616075</v>
      </c>
      <c r="F356" s="57"/>
      <c r="G356" s="57"/>
      <c r="H356" s="65"/>
      <c r="I356" s="64"/>
      <c r="J356" s="65"/>
      <c r="K356" s="64"/>
    </row>
    <row r="357" spans="1:11" x14ac:dyDescent="0.2">
      <c r="A357">
        <v>2019</v>
      </c>
      <c r="B357" s="34">
        <v>462</v>
      </c>
      <c r="C357" s="34" t="s">
        <v>627</v>
      </c>
      <c r="D357" s="36">
        <v>10594</v>
      </c>
      <c r="E357" s="36">
        <v>74631</v>
      </c>
      <c r="F357" s="57"/>
      <c r="G357" s="57"/>
      <c r="H357" s="65"/>
      <c r="I357" s="64"/>
      <c r="J357" s="65"/>
      <c r="K357" s="64"/>
    </row>
    <row r="358" spans="1:11" x14ac:dyDescent="0.2">
      <c r="A358">
        <v>2019</v>
      </c>
      <c r="B358" s="34">
        <v>467</v>
      </c>
      <c r="C358" s="34" t="s">
        <v>628</v>
      </c>
      <c r="D358" s="36">
        <v>38156</v>
      </c>
      <c r="E358" s="36">
        <v>245650</v>
      </c>
      <c r="F358" s="57"/>
      <c r="G358" s="57"/>
      <c r="H358" s="65"/>
      <c r="I358" s="64"/>
      <c r="J358" s="65"/>
      <c r="K358" s="64"/>
    </row>
    <row r="359" spans="1:11" x14ac:dyDescent="0.2">
      <c r="A359">
        <v>2019</v>
      </c>
      <c r="B359" s="34">
        <v>468</v>
      </c>
      <c r="C359" s="34" t="s">
        <v>629</v>
      </c>
      <c r="D359" s="36">
        <v>36432</v>
      </c>
      <c r="E359" s="36">
        <v>218117</v>
      </c>
      <c r="F359" s="57"/>
      <c r="G359" s="57"/>
      <c r="H359" s="65"/>
      <c r="I359" s="64"/>
      <c r="J359" s="65"/>
      <c r="K359" s="64"/>
    </row>
    <row r="360" spans="1:11" x14ac:dyDescent="0.2">
      <c r="A360">
        <v>2019</v>
      </c>
      <c r="B360" s="34">
        <v>469</v>
      </c>
      <c r="C360" s="34" t="s">
        <v>630</v>
      </c>
      <c r="D360" s="36">
        <v>43500</v>
      </c>
      <c r="E360" s="36">
        <v>373671</v>
      </c>
      <c r="F360" s="57"/>
      <c r="G360" s="57"/>
      <c r="H360" s="65"/>
      <c r="I360" s="64"/>
      <c r="J360" s="65"/>
      <c r="K360" s="64"/>
    </row>
    <row r="361" spans="1:11" x14ac:dyDescent="0.2">
      <c r="A361">
        <v>2019</v>
      </c>
      <c r="B361" s="34">
        <v>470</v>
      </c>
      <c r="C361" s="34" t="s">
        <v>631</v>
      </c>
      <c r="D361" s="36">
        <v>46235</v>
      </c>
      <c r="E361" s="36">
        <v>254771</v>
      </c>
      <c r="F361" s="57"/>
      <c r="G361" s="57"/>
      <c r="H361" s="65"/>
      <c r="I361" s="64"/>
      <c r="J361" s="65"/>
      <c r="K361" s="64"/>
    </row>
    <row r="362" spans="1:11" x14ac:dyDescent="0.2">
      <c r="A362">
        <v>2019</v>
      </c>
      <c r="B362" s="34">
        <v>471</v>
      </c>
      <c r="C362" s="34" t="s">
        <v>632</v>
      </c>
      <c r="D362" s="36">
        <v>28559</v>
      </c>
      <c r="E362" s="36">
        <v>159758</v>
      </c>
      <c r="F362" s="57"/>
      <c r="G362" s="57"/>
      <c r="H362" s="65"/>
      <c r="I362" s="64"/>
      <c r="J362" s="65"/>
      <c r="K362" s="64"/>
    </row>
    <row r="363" spans="1:11" x14ac:dyDescent="0.2">
      <c r="A363">
        <v>2019</v>
      </c>
      <c r="B363" s="34">
        <v>472</v>
      </c>
      <c r="C363" s="34" t="s">
        <v>633</v>
      </c>
      <c r="D363" s="36">
        <v>555837</v>
      </c>
      <c r="E363" s="36">
        <v>3247362</v>
      </c>
      <c r="F363" s="57"/>
      <c r="G363" s="57"/>
      <c r="H363" s="65"/>
      <c r="I363" s="64"/>
      <c r="J363" s="65"/>
      <c r="K363" s="64"/>
    </row>
    <row r="364" spans="1:11" x14ac:dyDescent="0.2">
      <c r="A364">
        <v>2019</v>
      </c>
      <c r="B364" s="34">
        <v>476</v>
      </c>
      <c r="C364" s="34" t="s">
        <v>634</v>
      </c>
      <c r="D364" s="36">
        <v>180127</v>
      </c>
      <c r="E364" s="36">
        <v>1261162</v>
      </c>
      <c r="F364" s="57"/>
      <c r="G364" s="57"/>
      <c r="H364" s="65"/>
      <c r="I364" s="64"/>
      <c r="J364" s="65"/>
      <c r="K364" s="64"/>
    </row>
    <row r="365" spans="1:11" x14ac:dyDescent="0.2">
      <c r="A365">
        <v>2019</v>
      </c>
      <c r="B365" s="34">
        <v>477</v>
      </c>
      <c r="C365" s="34" t="s">
        <v>635</v>
      </c>
      <c r="D365" s="36">
        <v>52451</v>
      </c>
      <c r="E365" s="36">
        <v>271065</v>
      </c>
      <c r="F365" s="57"/>
      <c r="G365" s="57"/>
      <c r="H365" s="65"/>
      <c r="I365" s="64"/>
      <c r="J365" s="65"/>
      <c r="K365" s="64"/>
    </row>
    <row r="366" spans="1:11" x14ac:dyDescent="0.2">
      <c r="A366">
        <v>2019</v>
      </c>
      <c r="B366" s="34">
        <v>478</v>
      </c>
      <c r="C366" s="34" t="s">
        <v>636</v>
      </c>
      <c r="D366" s="36">
        <v>29740</v>
      </c>
      <c r="E366" s="36">
        <v>129364</v>
      </c>
      <c r="F366" s="57"/>
      <c r="G366" s="57"/>
      <c r="H366" s="65"/>
      <c r="I366" s="64"/>
      <c r="J366" s="65"/>
      <c r="K366" s="64"/>
    </row>
    <row r="367" spans="1:11" x14ac:dyDescent="0.2">
      <c r="A367">
        <v>2019</v>
      </c>
      <c r="B367" s="34">
        <v>479</v>
      </c>
      <c r="C367" s="34" t="s">
        <v>637</v>
      </c>
      <c r="D367" s="36">
        <v>448652</v>
      </c>
      <c r="E367" s="36">
        <v>3243078</v>
      </c>
      <c r="F367" s="57"/>
      <c r="G367" s="57"/>
      <c r="H367" s="65"/>
      <c r="I367" s="64"/>
      <c r="J367" s="65"/>
      <c r="K367" s="64"/>
    </row>
    <row r="368" spans="1:11" x14ac:dyDescent="0.2">
      <c r="A368">
        <v>2019</v>
      </c>
      <c r="B368" s="34">
        <v>485</v>
      </c>
      <c r="C368" s="34" t="s">
        <v>638</v>
      </c>
      <c r="D368" s="36">
        <v>116166</v>
      </c>
      <c r="E368" s="36">
        <v>867889</v>
      </c>
      <c r="F368" s="57"/>
      <c r="G368" s="57"/>
      <c r="H368" s="65"/>
      <c r="I368" s="64"/>
      <c r="J368" s="65"/>
      <c r="K368" s="64"/>
    </row>
    <row r="369" spans="1:11" x14ac:dyDescent="0.2">
      <c r="A369">
        <v>2019</v>
      </c>
      <c r="B369" s="34">
        <v>486</v>
      </c>
      <c r="C369" s="34" t="s">
        <v>639</v>
      </c>
      <c r="D369" s="36">
        <v>85813</v>
      </c>
      <c r="E369" s="36">
        <v>541365</v>
      </c>
      <c r="F369" s="57"/>
      <c r="G369" s="57"/>
      <c r="H369" s="65"/>
      <c r="I369" s="64"/>
      <c r="J369" s="65"/>
      <c r="K369" s="64"/>
    </row>
    <row r="370" spans="1:11" x14ac:dyDescent="0.2">
      <c r="A370">
        <v>2019</v>
      </c>
      <c r="B370" s="34">
        <v>487</v>
      </c>
      <c r="C370" s="34" t="s">
        <v>640</v>
      </c>
      <c r="D370" s="36">
        <v>56181</v>
      </c>
      <c r="E370" s="36">
        <v>356634</v>
      </c>
      <c r="F370" s="57"/>
      <c r="G370" s="57"/>
      <c r="H370" s="65"/>
      <c r="I370" s="64"/>
      <c r="J370" s="65"/>
      <c r="K370" s="64"/>
    </row>
    <row r="371" spans="1:11" x14ac:dyDescent="0.2">
      <c r="A371">
        <v>2019</v>
      </c>
      <c r="B371" s="34">
        <v>489</v>
      </c>
      <c r="C371" s="34" t="s">
        <v>641</v>
      </c>
      <c r="D371" s="36">
        <v>11081</v>
      </c>
      <c r="E371" s="36">
        <v>47795</v>
      </c>
      <c r="F371" s="57"/>
      <c r="G371" s="57"/>
      <c r="H371" s="65"/>
      <c r="I371" s="64"/>
      <c r="J371" s="65"/>
      <c r="K371" s="64"/>
    </row>
    <row r="372" spans="1:11" x14ac:dyDescent="0.2">
      <c r="A372">
        <v>2019</v>
      </c>
      <c r="B372" s="34">
        <v>490</v>
      </c>
      <c r="C372" s="34" t="s">
        <v>642</v>
      </c>
      <c r="D372" s="36">
        <v>59103</v>
      </c>
      <c r="E372" s="36">
        <v>448718</v>
      </c>
      <c r="F372" s="57"/>
      <c r="G372" s="57"/>
      <c r="H372" s="65"/>
      <c r="I372" s="64"/>
      <c r="J372" s="65"/>
      <c r="K372" s="64"/>
    </row>
    <row r="373" spans="1:11" x14ac:dyDescent="0.2">
      <c r="A373">
        <v>2019</v>
      </c>
      <c r="B373" s="34">
        <v>491</v>
      </c>
      <c r="C373" s="34" t="s">
        <v>643</v>
      </c>
      <c r="D373" s="36">
        <v>86248</v>
      </c>
      <c r="E373" s="36">
        <v>715736</v>
      </c>
      <c r="F373" s="57"/>
      <c r="G373" s="57"/>
      <c r="H373" s="65"/>
      <c r="I373" s="64"/>
      <c r="J373" s="65"/>
      <c r="K373" s="64"/>
    </row>
    <row r="374" spans="1:11" x14ac:dyDescent="0.2">
      <c r="A374">
        <v>2019</v>
      </c>
      <c r="B374" s="34">
        <v>492</v>
      </c>
      <c r="C374" s="34" t="s">
        <v>644</v>
      </c>
      <c r="D374" s="36">
        <v>499826</v>
      </c>
      <c r="E374" s="36">
        <v>3298606</v>
      </c>
      <c r="F374" s="57"/>
      <c r="G374" s="57"/>
      <c r="H374" s="65"/>
      <c r="I374" s="64"/>
      <c r="J374" s="65"/>
      <c r="K374" s="64"/>
    </row>
    <row r="375" spans="1:11" x14ac:dyDescent="0.2">
      <c r="A375">
        <v>2019</v>
      </c>
      <c r="B375" s="34">
        <v>493</v>
      </c>
      <c r="C375" s="34" t="s">
        <v>645</v>
      </c>
      <c r="D375" s="36">
        <v>1920285</v>
      </c>
      <c r="E375" s="36">
        <v>9823418</v>
      </c>
      <c r="F375" s="57"/>
      <c r="G375" s="57"/>
      <c r="H375" s="65"/>
      <c r="I375" s="64"/>
      <c r="J375" s="65"/>
      <c r="K375" s="64"/>
    </row>
    <row r="376" spans="1:11" x14ac:dyDescent="0.2">
      <c r="A376">
        <v>2019</v>
      </c>
      <c r="B376" s="34">
        <v>494</v>
      </c>
      <c r="C376" s="34" t="s">
        <v>646</v>
      </c>
      <c r="D376" s="36">
        <v>261779</v>
      </c>
      <c r="E376" s="36">
        <v>1847640</v>
      </c>
      <c r="F376" s="57"/>
      <c r="G376" s="57"/>
      <c r="H376" s="65"/>
      <c r="I376" s="64"/>
      <c r="J376" s="65"/>
      <c r="K376" s="64"/>
    </row>
    <row r="377" spans="1:11" x14ac:dyDescent="0.2">
      <c r="A377">
        <v>2019</v>
      </c>
      <c r="B377" s="34">
        <v>495</v>
      </c>
      <c r="C377" s="34" t="s">
        <v>647</v>
      </c>
      <c r="D377" s="36">
        <v>99980</v>
      </c>
      <c r="E377" s="36">
        <v>445944</v>
      </c>
      <c r="F377" s="57"/>
      <c r="G377" s="57"/>
      <c r="H377" s="65"/>
      <c r="I377" s="64"/>
      <c r="J377" s="65"/>
      <c r="K377" s="64"/>
    </row>
    <row r="378" spans="1:11" x14ac:dyDescent="0.2">
      <c r="A378">
        <v>2019</v>
      </c>
      <c r="B378" s="34">
        <v>496</v>
      </c>
      <c r="C378" s="34" t="s">
        <v>648</v>
      </c>
      <c r="D378" s="36">
        <v>32856</v>
      </c>
      <c r="E378" s="36">
        <v>181014</v>
      </c>
      <c r="F378" s="57"/>
      <c r="G378" s="57"/>
      <c r="H378" s="65"/>
      <c r="I378" s="64"/>
      <c r="J378" s="65"/>
      <c r="K378" s="64"/>
    </row>
    <row r="379" spans="1:11" x14ac:dyDescent="0.2">
      <c r="A379">
        <v>2019</v>
      </c>
      <c r="B379" s="34">
        <v>497</v>
      </c>
      <c r="C379" s="34" t="s">
        <v>649</v>
      </c>
      <c r="D379" s="36">
        <v>36620</v>
      </c>
      <c r="E379" s="36">
        <v>264913</v>
      </c>
      <c r="F379" s="57"/>
      <c r="G379" s="57"/>
      <c r="H379" s="65"/>
      <c r="I379" s="64"/>
      <c r="J379" s="65"/>
      <c r="K379" s="64"/>
    </row>
    <row r="380" spans="1:11" x14ac:dyDescent="0.2">
      <c r="A380">
        <v>2019</v>
      </c>
      <c r="B380" s="34">
        <v>498</v>
      </c>
      <c r="C380" s="34" t="s">
        <v>650</v>
      </c>
      <c r="D380" s="36">
        <v>61273</v>
      </c>
      <c r="E380" s="36">
        <v>327439</v>
      </c>
      <c r="F380" s="57"/>
      <c r="G380" s="57"/>
      <c r="H380" s="65"/>
      <c r="I380" s="64"/>
      <c r="J380" s="65"/>
      <c r="K380" s="64"/>
    </row>
    <row r="381" spans="1:11" x14ac:dyDescent="0.2">
      <c r="A381">
        <v>2019</v>
      </c>
      <c r="B381" s="34">
        <v>499</v>
      </c>
      <c r="C381" s="34" t="s">
        <v>651</v>
      </c>
      <c r="D381" s="36">
        <v>70943</v>
      </c>
      <c r="E381" s="36">
        <v>560848</v>
      </c>
      <c r="F381" s="57"/>
      <c r="G381" s="57"/>
      <c r="H381" s="65"/>
      <c r="I381" s="64"/>
      <c r="J381" s="65"/>
      <c r="K381" s="64"/>
    </row>
    <row r="382" spans="1:11" x14ac:dyDescent="0.2">
      <c r="A382">
        <v>2019</v>
      </c>
      <c r="B382" s="34">
        <v>500</v>
      </c>
      <c r="C382" s="34" t="s">
        <v>652</v>
      </c>
      <c r="D382" s="36">
        <v>112616</v>
      </c>
      <c r="E382" s="36">
        <v>616506</v>
      </c>
      <c r="F382" s="57"/>
      <c r="G382" s="57"/>
      <c r="H382" s="65"/>
      <c r="I382" s="64"/>
      <c r="J382" s="65"/>
      <c r="K382" s="64"/>
    </row>
    <row r="383" spans="1:11" x14ac:dyDescent="0.2">
      <c r="A383">
        <v>2019</v>
      </c>
      <c r="B383" s="34">
        <v>501</v>
      </c>
      <c r="C383" s="34" t="s">
        <v>653</v>
      </c>
      <c r="D383" s="36">
        <v>67021</v>
      </c>
      <c r="E383" s="36">
        <v>354461</v>
      </c>
      <c r="F383" s="57"/>
      <c r="G383" s="57"/>
      <c r="H383" s="65"/>
      <c r="I383" s="64"/>
      <c r="J383" s="65"/>
      <c r="K383" s="64"/>
    </row>
    <row r="384" spans="1:11" x14ac:dyDescent="0.2">
      <c r="A384">
        <v>2019</v>
      </c>
      <c r="B384" s="34">
        <v>502</v>
      </c>
      <c r="C384" s="34" t="s">
        <v>654</v>
      </c>
      <c r="D384" s="36">
        <v>8889</v>
      </c>
      <c r="E384" s="36">
        <v>34745</v>
      </c>
      <c r="F384" s="57"/>
      <c r="G384" s="57"/>
      <c r="H384" s="65"/>
      <c r="I384" s="64"/>
      <c r="J384" s="65"/>
      <c r="K384" s="64"/>
    </row>
    <row r="385" spans="1:11" x14ac:dyDescent="0.2">
      <c r="A385">
        <v>2019</v>
      </c>
      <c r="B385" s="34">
        <v>503</v>
      </c>
      <c r="C385" s="34" t="s">
        <v>655</v>
      </c>
      <c r="D385" s="36">
        <v>68341</v>
      </c>
      <c r="E385" s="36">
        <v>389320</v>
      </c>
      <c r="F385" s="57"/>
      <c r="G385" s="57"/>
      <c r="H385" s="65"/>
      <c r="I385" s="64"/>
      <c r="J385" s="65"/>
      <c r="K385" s="64"/>
    </row>
    <row r="386" spans="1:11" x14ac:dyDescent="0.2">
      <c r="A386">
        <v>2019</v>
      </c>
      <c r="B386" s="34">
        <v>504</v>
      </c>
      <c r="C386" s="34" t="s">
        <v>656</v>
      </c>
      <c r="D386" s="36">
        <v>103158</v>
      </c>
      <c r="E386" s="36">
        <v>455453</v>
      </c>
      <c r="F386" s="57"/>
      <c r="G386" s="57"/>
      <c r="H386" s="65"/>
      <c r="I386" s="64"/>
      <c r="J386" s="65"/>
      <c r="K386" s="64"/>
    </row>
    <row r="387" spans="1:11" x14ac:dyDescent="0.2">
      <c r="A387">
        <v>2019</v>
      </c>
      <c r="B387" s="34">
        <v>505</v>
      </c>
      <c r="C387" s="34" t="s">
        <v>657</v>
      </c>
      <c r="D387" s="36">
        <v>860645</v>
      </c>
      <c r="E387" s="36">
        <v>4791036</v>
      </c>
      <c r="F387" s="57"/>
      <c r="G387" s="57"/>
      <c r="H387" s="65"/>
      <c r="I387" s="64"/>
      <c r="J387" s="65"/>
      <c r="K387" s="64"/>
    </row>
    <row r="388" spans="1:11" x14ac:dyDescent="0.2">
      <c r="A388">
        <v>2019</v>
      </c>
      <c r="B388" s="34">
        <v>507</v>
      </c>
      <c r="C388" s="34" t="s">
        <v>658</v>
      </c>
      <c r="D388" s="36">
        <v>94999</v>
      </c>
      <c r="E388" s="36">
        <v>459779</v>
      </c>
      <c r="F388" s="57"/>
      <c r="G388" s="57"/>
      <c r="H388" s="65"/>
      <c r="I388" s="64"/>
      <c r="J388" s="65"/>
      <c r="K388" s="64"/>
    </row>
    <row r="389" spans="1:11" x14ac:dyDescent="0.2">
      <c r="A389">
        <v>2019</v>
      </c>
      <c r="B389" s="34">
        <v>509</v>
      </c>
      <c r="C389" s="34" t="s">
        <v>659</v>
      </c>
      <c r="D389" s="36">
        <v>54004</v>
      </c>
      <c r="E389" s="36">
        <v>491730</v>
      </c>
      <c r="F389" s="57"/>
      <c r="G389" s="57"/>
      <c r="H389" s="65"/>
      <c r="I389" s="64"/>
      <c r="J389" s="65"/>
      <c r="K389" s="64"/>
    </row>
    <row r="390" spans="1:11" x14ac:dyDescent="0.2">
      <c r="A390">
        <v>2019</v>
      </c>
      <c r="B390" s="34">
        <v>510</v>
      </c>
      <c r="C390" s="34" t="s">
        <v>660</v>
      </c>
      <c r="D390" s="36">
        <v>95618</v>
      </c>
      <c r="E390" s="36">
        <v>636684</v>
      </c>
      <c r="F390" s="57"/>
      <c r="G390" s="57"/>
      <c r="H390" s="65"/>
      <c r="I390" s="64"/>
      <c r="J390" s="65"/>
      <c r="K390" s="64"/>
    </row>
    <row r="391" spans="1:11" x14ac:dyDescent="0.2">
      <c r="A391">
        <v>2019</v>
      </c>
      <c r="B391" s="34">
        <v>511</v>
      </c>
      <c r="C391" s="34" t="s">
        <v>479</v>
      </c>
      <c r="D391" s="36">
        <v>39479</v>
      </c>
      <c r="E391" s="36">
        <v>293868</v>
      </c>
      <c r="F391" s="57"/>
      <c r="G391" s="57"/>
      <c r="H391" s="65"/>
      <c r="I391" s="64"/>
      <c r="J391" s="65"/>
      <c r="K391" s="64"/>
    </row>
    <row r="392" spans="1:11" x14ac:dyDescent="0.2">
      <c r="A392">
        <v>2019</v>
      </c>
      <c r="B392" s="34">
        <v>512</v>
      </c>
      <c r="C392" s="34" t="s">
        <v>480</v>
      </c>
      <c r="D392" s="36">
        <v>22605</v>
      </c>
      <c r="E392" s="36">
        <v>113401</v>
      </c>
      <c r="F392" s="57"/>
      <c r="G392" s="57"/>
      <c r="H392" s="65"/>
      <c r="I392" s="64"/>
      <c r="J392" s="65"/>
      <c r="K392" s="64"/>
    </row>
    <row r="393" spans="1:11" x14ac:dyDescent="0.2">
      <c r="A393">
        <v>2019</v>
      </c>
      <c r="B393" s="34">
        <v>514</v>
      </c>
      <c r="C393" s="34" t="s">
        <v>481</v>
      </c>
      <c r="D393" s="36">
        <v>22442</v>
      </c>
      <c r="E393" s="36">
        <v>155424</v>
      </c>
      <c r="F393" s="57"/>
      <c r="G393" s="57"/>
      <c r="H393" s="65"/>
      <c r="I393" s="64"/>
      <c r="J393" s="65"/>
      <c r="K393" s="64"/>
    </row>
    <row r="394" spans="1:11" x14ac:dyDescent="0.2">
      <c r="A394">
        <v>2019</v>
      </c>
      <c r="B394" s="34">
        <v>516</v>
      </c>
      <c r="C394" s="34" t="s">
        <v>482</v>
      </c>
      <c r="D394" s="36">
        <v>238321</v>
      </c>
      <c r="E394" s="36">
        <v>1709505</v>
      </c>
      <c r="F394" s="57"/>
      <c r="G394" s="57"/>
      <c r="H394" s="65"/>
      <c r="I394" s="64"/>
      <c r="J394" s="65"/>
      <c r="K394" s="64"/>
    </row>
    <row r="395" spans="1:11" x14ac:dyDescent="0.2">
      <c r="A395">
        <v>2019</v>
      </c>
      <c r="B395" s="34">
        <v>522</v>
      </c>
      <c r="C395" s="34" t="s">
        <v>483</v>
      </c>
      <c r="D395" s="36">
        <v>33317</v>
      </c>
      <c r="E395" s="36">
        <v>260666</v>
      </c>
      <c r="F395" s="57"/>
      <c r="G395" s="57"/>
      <c r="H395" s="65"/>
      <c r="I395" s="64"/>
      <c r="J395" s="65"/>
      <c r="K395" s="64"/>
    </row>
    <row r="396" spans="1:11" x14ac:dyDescent="0.2">
      <c r="A396">
        <v>2019</v>
      </c>
      <c r="B396" s="34">
        <v>523</v>
      </c>
      <c r="C396" s="34" t="s">
        <v>484</v>
      </c>
      <c r="D396" s="36">
        <v>77470</v>
      </c>
      <c r="E396" s="36">
        <v>762814</v>
      </c>
      <c r="F396" s="57"/>
      <c r="G396" s="57"/>
      <c r="H396" s="65"/>
      <c r="I396" s="64"/>
      <c r="J396" s="65"/>
      <c r="K396" s="64"/>
    </row>
    <row r="397" spans="1:11" x14ac:dyDescent="0.2">
      <c r="A397">
        <v>2019</v>
      </c>
      <c r="B397" s="34">
        <v>524</v>
      </c>
      <c r="C397" s="34" t="s">
        <v>485</v>
      </c>
      <c r="D397" s="36">
        <v>116527</v>
      </c>
      <c r="E397" s="36">
        <v>966497</v>
      </c>
      <c r="F397" s="57"/>
      <c r="G397" s="57"/>
      <c r="H397" s="65"/>
      <c r="I397" s="64"/>
      <c r="J397" s="65"/>
      <c r="K397" s="64"/>
    </row>
    <row r="398" spans="1:11" x14ac:dyDescent="0.2">
      <c r="A398">
        <v>2019</v>
      </c>
      <c r="B398" s="34">
        <v>525</v>
      </c>
      <c r="C398" s="34" t="s">
        <v>486</v>
      </c>
      <c r="D398" s="36">
        <v>23406</v>
      </c>
      <c r="E398" s="36">
        <v>182941</v>
      </c>
      <c r="F398" s="57"/>
      <c r="G398" s="57"/>
      <c r="H398" s="65"/>
      <c r="I398" s="64"/>
      <c r="J398" s="65"/>
      <c r="K398" s="64"/>
    </row>
    <row r="399" spans="1:11" x14ac:dyDescent="0.2">
      <c r="A399">
        <v>2019</v>
      </c>
      <c r="B399" s="34">
        <v>526</v>
      </c>
      <c r="C399" s="34" t="s">
        <v>661</v>
      </c>
      <c r="D399" s="36">
        <v>9965</v>
      </c>
      <c r="E399" s="36">
        <v>51044</v>
      </c>
      <c r="F399" s="57"/>
      <c r="G399" s="57"/>
      <c r="H399" s="65"/>
      <c r="I399" s="64"/>
      <c r="J399" s="65"/>
      <c r="K399" s="64"/>
    </row>
    <row r="400" spans="1:11" x14ac:dyDescent="0.2">
      <c r="A400">
        <v>2019</v>
      </c>
      <c r="B400" s="34">
        <v>527</v>
      </c>
      <c r="C400" s="34" t="s">
        <v>662</v>
      </c>
      <c r="D400" s="36">
        <v>50518</v>
      </c>
      <c r="E400" s="36">
        <v>301721</v>
      </c>
      <c r="F400" s="57"/>
      <c r="G400" s="57"/>
      <c r="H400" s="65"/>
      <c r="I400" s="64"/>
      <c r="J400" s="65"/>
      <c r="K400" s="64"/>
    </row>
    <row r="401" spans="1:11" x14ac:dyDescent="0.2">
      <c r="A401">
        <v>2019</v>
      </c>
      <c r="B401" s="34">
        <v>528</v>
      </c>
      <c r="C401" s="34" t="s">
        <v>489</v>
      </c>
      <c r="D401" s="36">
        <v>33556</v>
      </c>
      <c r="E401" s="36">
        <v>157955</v>
      </c>
      <c r="F401" s="57"/>
      <c r="G401" s="57"/>
      <c r="H401" s="65"/>
      <c r="I401" s="64"/>
      <c r="J401" s="65"/>
      <c r="K401" s="64"/>
    </row>
    <row r="402" spans="1:11" x14ac:dyDescent="0.2">
      <c r="A402">
        <v>2019</v>
      </c>
      <c r="B402" s="34">
        <v>529</v>
      </c>
      <c r="C402" s="34" t="s">
        <v>490</v>
      </c>
      <c r="D402" s="36">
        <v>52088</v>
      </c>
      <c r="E402" s="36">
        <v>340896</v>
      </c>
      <c r="F402" s="57"/>
      <c r="G402" s="57"/>
      <c r="H402" s="65"/>
      <c r="I402" s="64"/>
      <c r="J402" s="65"/>
      <c r="K402" s="64"/>
    </row>
    <row r="403" spans="1:11" x14ac:dyDescent="0.2">
      <c r="A403">
        <v>2019</v>
      </c>
      <c r="B403" s="34">
        <v>532</v>
      </c>
      <c r="C403" s="34" t="s">
        <v>663</v>
      </c>
      <c r="D403" s="36">
        <v>184004</v>
      </c>
      <c r="E403" s="36">
        <v>1004028</v>
      </c>
      <c r="F403" s="57"/>
      <c r="G403" s="57"/>
      <c r="H403" s="65"/>
      <c r="I403" s="64"/>
      <c r="J403" s="65"/>
      <c r="K403" s="64"/>
    </row>
    <row r="404" spans="1:11" x14ac:dyDescent="0.2">
      <c r="A404">
        <v>2019</v>
      </c>
      <c r="B404" s="34">
        <v>533</v>
      </c>
      <c r="C404" s="34" t="s">
        <v>664</v>
      </c>
      <c r="D404" s="36">
        <v>34398</v>
      </c>
      <c r="E404" s="36">
        <v>246593</v>
      </c>
      <c r="F404" s="57"/>
      <c r="G404" s="57"/>
      <c r="H404" s="65"/>
      <c r="I404" s="64"/>
      <c r="J404" s="65"/>
      <c r="K404" s="64"/>
    </row>
    <row r="405" spans="1:11" x14ac:dyDescent="0.2">
      <c r="A405">
        <v>2019</v>
      </c>
      <c r="B405" s="34">
        <v>534</v>
      </c>
      <c r="C405" s="34" t="s">
        <v>493</v>
      </c>
      <c r="D405" s="36">
        <v>11385</v>
      </c>
      <c r="E405" s="36">
        <v>72113</v>
      </c>
      <c r="F405" s="57"/>
      <c r="G405" s="57"/>
      <c r="H405" s="65"/>
      <c r="I405" s="64"/>
      <c r="J405" s="65"/>
      <c r="K405" s="64"/>
    </row>
    <row r="406" spans="1:11" x14ac:dyDescent="0.2">
      <c r="A406">
        <v>2019</v>
      </c>
      <c r="B406" s="34">
        <v>535</v>
      </c>
      <c r="C406" s="34" t="s">
        <v>494</v>
      </c>
      <c r="D406" s="36">
        <v>23351</v>
      </c>
      <c r="E406" s="36">
        <v>96979</v>
      </c>
      <c r="F406" s="57"/>
      <c r="G406" s="57"/>
      <c r="H406" s="65"/>
      <c r="I406" s="64"/>
      <c r="J406" s="65"/>
      <c r="K406" s="64"/>
    </row>
    <row r="407" spans="1:11" x14ac:dyDescent="0.2">
      <c r="A407">
        <v>2019</v>
      </c>
      <c r="B407" s="34">
        <v>536</v>
      </c>
      <c r="C407" s="34" t="s">
        <v>495</v>
      </c>
      <c r="D407" s="36">
        <v>2933984</v>
      </c>
      <c r="E407" s="36">
        <v>16841110</v>
      </c>
      <c r="F407" s="57"/>
      <c r="G407" s="57"/>
      <c r="H407" s="65"/>
      <c r="I407" s="64"/>
      <c r="J407" s="65"/>
      <c r="K407" s="64"/>
    </row>
    <row r="408" spans="1:11" x14ac:dyDescent="0.2">
      <c r="A408">
        <v>2019</v>
      </c>
      <c r="B408" s="34">
        <v>537</v>
      </c>
      <c r="C408" s="34" t="s">
        <v>496</v>
      </c>
      <c r="D408" s="36">
        <v>1987656</v>
      </c>
      <c r="E408" s="36">
        <v>15228281</v>
      </c>
      <c r="F408" s="57"/>
      <c r="G408" s="57"/>
      <c r="H408" s="65"/>
      <c r="I408" s="64"/>
      <c r="J408" s="65"/>
      <c r="K408" s="64"/>
    </row>
    <row r="409" spans="1:11" x14ac:dyDescent="0.2">
      <c r="A409">
        <v>2019</v>
      </c>
      <c r="B409" s="34">
        <v>538</v>
      </c>
      <c r="C409" s="34" t="s">
        <v>497</v>
      </c>
      <c r="D409" s="36">
        <v>2477489</v>
      </c>
      <c r="E409" s="36">
        <v>13717148</v>
      </c>
      <c r="F409" s="57"/>
      <c r="G409" s="57"/>
      <c r="H409" s="65"/>
      <c r="I409" s="64"/>
      <c r="J409" s="65"/>
      <c r="K409" s="64"/>
    </row>
    <row r="410" spans="1:11" x14ac:dyDescent="0.2">
      <c r="A410">
        <v>2019</v>
      </c>
      <c r="B410" s="34">
        <v>539</v>
      </c>
      <c r="C410" s="34" t="s">
        <v>498</v>
      </c>
      <c r="D410" s="36">
        <v>393592</v>
      </c>
      <c r="E410" s="36">
        <v>1858917</v>
      </c>
      <c r="F410" s="57"/>
      <c r="G410" s="57"/>
      <c r="H410" s="65"/>
      <c r="I410" s="64"/>
      <c r="J410" s="65"/>
      <c r="K410" s="64"/>
    </row>
    <row r="411" spans="1:11" x14ac:dyDescent="0.2">
      <c r="A411">
        <v>2019</v>
      </c>
      <c r="B411" s="34">
        <v>540</v>
      </c>
      <c r="C411" s="34" t="s">
        <v>499</v>
      </c>
      <c r="D411" s="36">
        <v>851703</v>
      </c>
      <c r="E411" s="36">
        <v>5596916</v>
      </c>
      <c r="F411" s="57"/>
      <c r="G411" s="57"/>
      <c r="H411" s="65"/>
      <c r="I411" s="64"/>
      <c r="J411" s="65"/>
      <c r="K411" s="64"/>
    </row>
    <row r="412" spans="1:11" x14ac:dyDescent="0.2">
      <c r="A412">
        <v>2019</v>
      </c>
      <c r="B412" s="34">
        <v>541</v>
      </c>
      <c r="C412" s="34" t="s">
        <v>500</v>
      </c>
      <c r="D412" s="36">
        <v>34129</v>
      </c>
      <c r="E412" s="36">
        <v>244519</v>
      </c>
      <c r="F412" s="57"/>
      <c r="G412" s="57"/>
      <c r="H412" s="65"/>
      <c r="I412" s="64"/>
      <c r="J412" s="65"/>
      <c r="K412" s="64"/>
    </row>
    <row r="413" spans="1:11" x14ac:dyDescent="0.2">
      <c r="A413">
        <v>2019</v>
      </c>
      <c r="B413" s="34">
        <v>542</v>
      </c>
      <c r="C413" s="34" t="s">
        <v>501</v>
      </c>
      <c r="D413" s="36">
        <v>8784</v>
      </c>
      <c r="E413" s="36">
        <v>35364</v>
      </c>
      <c r="F413" s="57"/>
      <c r="G413" s="57"/>
      <c r="H413" s="65"/>
      <c r="I413" s="64"/>
      <c r="J413" s="65"/>
      <c r="K413" s="64"/>
    </row>
    <row r="414" spans="1:11" x14ac:dyDescent="0.2">
      <c r="A414">
        <v>2019</v>
      </c>
      <c r="B414" s="34">
        <v>544</v>
      </c>
      <c r="C414" s="34" t="s">
        <v>502</v>
      </c>
      <c r="D414" s="36">
        <v>34310</v>
      </c>
      <c r="E414" s="36">
        <v>265477</v>
      </c>
      <c r="F414" s="57"/>
      <c r="G414" s="57"/>
      <c r="H414" s="65"/>
      <c r="I414" s="64"/>
      <c r="J414" s="65"/>
      <c r="K414" s="64"/>
    </row>
    <row r="415" spans="1:11" x14ac:dyDescent="0.2">
      <c r="A415">
        <v>2019</v>
      </c>
      <c r="B415" s="34">
        <v>545</v>
      </c>
      <c r="C415" s="34" t="s">
        <v>503</v>
      </c>
      <c r="D415" s="36">
        <v>36544</v>
      </c>
      <c r="E415" s="36">
        <v>329433</v>
      </c>
      <c r="F415" s="57"/>
      <c r="G415" s="57"/>
      <c r="H415" s="65"/>
      <c r="I415" s="64"/>
      <c r="J415" s="65"/>
      <c r="K415" s="64"/>
    </row>
    <row r="416" spans="1:11" x14ac:dyDescent="0.2">
      <c r="A416">
        <v>2019</v>
      </c>
      <c r="B416" s="34">
        <v>546</v>
      </c>
      <c r="C416" s="34" t="s">
        <v>665</v>
      </c>
      <c r="D416" s="36">
        <v>326276</v>
      </c>
      <c r="E416" s="36">
        <v>2191847</v>
      </c>
      <c r="F416" s="57"/>
      <c r="G416" s="57"/>
      <c r="H416" s="65"/>
      <c r="I416" s="64"/>
      <c r="J416" s="65"/>
      <c r="K416" s="64"/>
    </row>
    <row r="417" spans="1:11" x14ac:dyDescent="0.2">
      <c r="A417">
        <v>2019</v>
      </c>
      <c r="B417" s="34">
        <v>547</v>
      </c>
      <c r="C417" s="34" t="s">
        <v>505</v>
      </c>
      <c r="D417" s="36">
        <v>227568</v>
      </c>
      <c r="E417" s="36">
        <v>1592307</v>
      </c>
      <c r="F417" s="57"/>
      <c r="G417" s="57"/>
      <c r="H417" s="65"/>
      <c r="I417" s="64"/>
      <c r="J417" s="65"/>
      <c r="K417" s="64"/>
    </row>
    <row r="418" spans="1:11" x14ac:dyDescent="0.2">
      <c r="A418">
        <v>2019</v>
      </c>
      <c r="B418" s="34">
        <v>548</v>
      </c>
      <c r="C418" s="34" t="s">
        <v>506</v>
      </c>
      <c r="D418" s="36">
        <v>120233</v>
      </c>
      <c r="E418" s="36">
        <v>766657</v>
      </c>
      <c r="F418" s="57"/>
      <c r="G418" s="57"/>
      <c r="H418" s="65"/>
      <c r="I418" s="64"/>
      <c r="J418" s="65"/>
      <c r="K418" s="64"/>
    </row>
    <row r="419" spans="1:11" x14ac:dyDescent="0.2">
      <c r="A419">
        <v>2019</v>
      </c>
      <c r="B419" s="34">
        <v>549</v>
      </c>
      <c r="C419" s="34" t="s">
        <v>507</v>
      </c>
      <c r="D419" s="36">
        <v>57642</v>
      </c>
      <c r="E419" s="36">
        <v>358463</v>
      </c>
      <c r="F419" s="57"/>
      <c r="G419" s="57"/>
      <c r="H419" s="65"/>
      <c r="I419" s="64"/>
      <c r="J419" s="65"/>
      <c r="K419" s="64"/>
    </row>
    <row r="420" spans="1:11" x14ac:dyDescent="0.2">
      <c r="A420">
        <v>2019</v>
      </c>
      <c r="B420" s="34">
        <v>550</v>
      </c>
      <c r="C420" s="34" t="s">
        <v>508</v>
      </c>
      <c r="D420" s="36">
        <v>435176</v>
      </c>
      <c r="E420" s="36">
        <v>2607655</v>
      </c>
      <c r="F420" s="57"/>
      <c r="G420" s="57"/>
      <c r="H420" s="65"/>
      <c r="I420" s="64"/>
      <c r="J420" s="65"/>
      <c r="K420" s="64"/>
    </row>
    <row r="421" spans="1:11" x14ac:dyDescent="0.2">
      <c r="A421">
        <v>2019</v>
      </c>
      <c r="B421" s="34">
        <v>557</v>
      </c>
      <c r="C421" s="34" t="s">
        <v>509</v>
      </c>
      <c r="D421" s="36">
        <v>235673</v>
      </c>
      <c r="E421" s="36">
        <v>1740340</v>
      </c>
      <c r="F421" s="57"/>
      <c r="G421" s="57"/>
      <c r="H421" s="65"/>
      <c r="I421" s="64"/>
      <c r="J421" s="65"/>
      <c r="K421" s="64"/>
    </row>
    <row r="422" spans="1:11" x14ac:dyDescent="0.2">
      <c r="A422">
        <v>2019</v>
      </c>
      <c r="B422" s="34">
        <v>559</v>
      </c>
      <c r="C422" s="34" t="s">
        <v>666</v>
      </c>
      <c r="D422" s="36">
        <v>2398390</v>
      </c>
      <c r="E422" s="36">
        <v>14389963</v>
      </c>
      <c r="F422" s="57"/>
      <c r="G422" s="57"/>
      <c r="H422" s="65"/>
      <c r="I422" s="64"/>
      <c r="J422" s="65"/>
      <c r="K422" s="64"/>
    </row>
    <row r="423" spans="1:11" x14ac:dyDescent="0.2">
      <c r="A423">
        <v>2019</v>
      </c>
      <c r="B423" s="34">
        <v>560</v>
      </c>
      <c r="C423" s="34" t="s">
        <v>667</v>
      </c>
      <c r="D423" s="36">
        <v>1648536</v>
      </c>
      <c r="E423" s="36">
        <v>9485493</v>
      </c>
      <c r="F423" s="57"/>
      <c r="G423" s="57"/>
      <c r="H423" s="65"/>
      <c r="I423" s="64"/>
      <c r="J423" s="65"/>
      <c r="K423" s="64"/>
    </row>
    <row r="424" spans="1:11" x14ac:dyDescent="0.2">
      <c r="A424">
        <v>2019</v>
      </c>
      <c r="B424" s="34">
        <v>561</v>
      </c>
      <c r="C424" s="34" t="s">
        <v>512</v>
      </c>
      <c r="D424" s="36">
        <v>1301021</v>
      </c>
      <c r="E424" s="36">
        <v>6530416</v>
      </c>
      <c r="F424" s="57"/>
      <c r="G424" s="57"/>
      <c r="H424" s="65"/>
      <c r="I424" s="64"/>
      <c r="J424" s="65"/>
      <c r="K424" s="64"/>
    </row>
    <row r="425" spans="1:11" x14ac:dyDescent="0.2">
      <c r="A425">
        <v>2019</v>
      </c>
      <c r="B425" s="34">
        <v>562</v>
      </c>
      <c r="C425" s="34" t="s">
        <v>513</v>
      </c>
      <c r="D425" s="36">
        <v>3109363</v>
      </c>
      <c r="E425" s="36">
        <v>18601787</v>
      </c>
      <c r="F425" s="57"/>
      <c r="G425" s="57"/>
      <c r="H425" s="65"/>
      <c r="I425" s="64"/>
      <c r="J425" s="65"/>
      <c r="K425" s="64"/>
    </row>
    <row r="426" spans="1:11" x14ac:dyDescent="0.2">
      <c r="A426">
        <v>2019</v>
      </c>
      <c r="B426" s="34">
        <v>563</v>
      </c>
      <c r="C426" s="34" t="s">
        <v>514</v>
      </c>
      <c r="D426" s="36">
        <v>836670</v>
      </c>
      <c r="E426" s="36">
        <v>5530396</v>
      </c>
      <c r="F426" s="57"/>
      <c r="G426" s="57"/>
      <c r="H426" s="65"/>
      <c r="I426" s="64"/>
      <c r="J426" s="65"/>
      <c r="K426" s="64"/>
    </row>
    <row r="427" spans="1:11" x14ac:dyDescent="0.2">
      <c r="A427">
        <v>2019</v>
      </c>
      <c r="B427" s="34">
        <v>564</v>
      </c>
      <c r="C427" s="34" t="s">
        <v>515</v>
      </c>
      <c r="D427" s="36">
        <v>696974</v>
      </c>
      <c r="E427" s="36">
        <v>5177870</v>
      </c>
      <c r="F427" s="57"/>
      <c r="G427" s="57"/>
      <c r="H427" s="65"/>
      <c r="I427" s="64"/>
      <c r="J427" s="65"/>
      <c r="K427" s="64"/>
    </row>
    <row r="428" spans="1:11" x14ac:dyDescent="0.2">
      <c r="A428">
        <v>2019</v>
      </c>
      <c r="B428" s="34">
        <v>565</v>
      </c>
      <c r="C428" s="34" t="s">
        <v>516</v>
      </c>
      <c r="D428" s="36">
        <v>1161677</v>
      </c>
      <c r="E428" s="36">
        <v>7987345</v>
      </c>
      <c r="F428" s="57"/>
      <c r="G428" s="57"/>
      <c r="H428" s="65"/>
      <c r="I428" s="64"/>
      <c r="J428" s="65"/>
      <c r="K428" s="64"/>
    </row>
    <row r="429" spans="1:11" x14ac:dyDescent="0.2">
      <c r="A429">
        <v>2019</v>
      </c>
      <c r="B429" s="34">
        <v>566</v>
      </c>
      <c r="C429" s="34" t="s">
        <v>517</v>
      </c>
      <c r="D429" s="36">
        <v>329757</v>
      </c>
      <c r="E429" s="36">
        <v>2164337</v>
      </c>
      <c r="F429" s="57"/>
      <c r="G429" s="57"/>
      <c r="H429" s="65"/>
      <c r="I429" s="64"/>
      <c r="J429" s="65"/>
      <c r="K429" s="64"/>
    </row>
    <row r="430" spans="1:11" x14ac:dyDescent="0.2">
      <c r="A430">
        <v>2019</v>
      </c>
      <c r="B430" s="34">
        <v>567</v>
      </c>
      <c r="C430" s="34" t="s">
        <v>518</v>
      </c>
      <c r="D430" s="36">
        <v>154094</v>
      </c>
      <c r="E430" s="36">
        <v>1386716</v>
      </c>
      <c r="F430" s="57"/>
      <c r="G430" s="57"/>
      <c r="H430" s="65"/>
      <c r="I430" s="64"/>
      <c r="J430" s="65"/>
      <c r="K430" s="64"/>
    </row>
    <row r="431" spans="1:11" x14ac:dyDescent="0.2">
      <c r="A431">
        <v>2019</v>
      </c>
      <c r="B431" s="34">
        <v>569</v>
      </c>
      <c r="C431" s="34" t="s">
        <v>519</v>
      </c>
      <c r="D431" s="36">
        <v>187131</v>
      </c>
      <c r="E431" s="36">
        <v>1115302</v>
      </c>
      <c r="F431" s="57"/>
      <c r="G431" s="57"/>
      <c r="H431" s="65"/>
      <c r="I431" s="64"/>
      <c r="J431" s="65"/>
      <c r="K431" s="64"/>
    </row>
    <row r="432" spans="1:11" x14ac:dyDescent="0.2">
      <c r="A432">
        <v>2019</v>
      </c>
      <c r="B432" s="34">
        <v>570</v>
      </c>
      <c r="C432" s="34" t="s">
        <v>520</v>
      </c>
      <c r="D432" s="36">
        <v>588545</v>
      </c>
      <c r="E432" s="36">
        <v>3925649</v>
      </c>
      <c r="F432" s="57"/>
      <c r="G432" s="57"/>
      <c r="H432" s="65"/>
      <c r="I432" s="64"/>
      <c r="J432" s="65"/>
      <c r="K432" s="64"/>
    </row>
    <row r="433" spans="1:11" x14ac:dyDescent="0.2">
      <c r="A433">
        <v>2019</v>
      </c>
      <c r="B433" s="34">
        <v>571</v>
      </c>
      <c r="C433" s="34" t="s">
        <v>389</v>
      </c>
      <c r="D433" s="36">
        <v>158804</v>
      </c>
      <c r="E433" s="36">
        <v>1338435</v>
      </c>
      <c r="F433" s="57"/>
      <c r="G433" s="57"/>
      <c r="H433" s="65"/>
      <c r="I433" s="64"/>
      <c r="J433" s="65"/>
      <c r="K433" s="64"/>
    </row>
    <row r="434" spans="1:11" x14ac:dyDescent="0.2">
      <c r="A434">
        <v>2019</v>
      </c>
      <c r="B434" s="34">
        <v>572</v>
      </c>
      <c r="C434" s="34" t="s">
        <v>390</v>
      </c>
      <c r="D434" s="36">
        <v>320331</v>
      </c>
      <c r="E434" s="36">
        <v>2062149</v>
      </c>
      <c r="F434" s="57"/>
      <c r="G434" s="57"/>
      <c r="H434" s="65"/>
      <c r="I434" s="64"/>
      <c r="J434" s="65"/>
      <c r="K434" s="64"/>
    </row>
    <row r="435" spans="1:11" x14ac:dyDescent="0.2">
      <c r="A435">
        <v>2019</v>
      </c>
      <c r="B435" s="34">
        <v>574</v>
      </c>
      <c r="C435" s="34" t="s">
        <v>391</v>
      </c>
      <c r="D435" s="36">
        <v>233787</v>
      </c>
      <c r="E435" s="36">
        <v>1384292</v>
      </c>
      <c r="F435" s="57"/>
      <c r="G435" s="57"/>
      <c r="H435" s="65"/>
      <c r="I435" s="64"/>
      <c r="J435" s="65"/>
      <c r="K435" s="64"/>
    </row>
    <row r="436" spans="1:11" x14ac:dyDescent="0.2">
      <c r="A436">
        <v>2019</v>
      </c>
      <c r="B436" s="34">
        <v>575</v>
      </c>
      <c r="C436" s="34" t="s">
        <v>668</v>
      </c>
      <c r="D436" s="36">
        <v>646388</v>
      </c>
      <c r="E436" s="36">
        <v>2562571</v>
      </c>
      <c r="F436" s="57"/>
      <c r="G436" s="57"/>
      <c r="H436" s="65"/>
      <c r="I436" s="64"/>
      <c r="J436" s="65"/>
      <c r="K436" s="64"/>
    </row>
    <row r="437" spans="1:11" x14ac:dyDescent="0.2">
      <c r="A437">
        <v>2019</v>
      </c>
      <c r="B437" s="34">
        <v>576</v>
      </c>
      <c r="C437" s="34" t="s">
        <v>393</v>
      </c>
      <c r="D437" s="36">
        <v>584350</v>
      </c>
      <c r="E437" s="36">
        <v>5105056</v>
      </c>
      <c r="F437" s="57"/>
      <c r="G437" s="57"/>
      <c r="H437" s="65"/>
      <c r="I437" s="64"/>
      <c r="J437" s="65"/>
      <c r="K437" s="64"/>
    </row>
    <row r="438" spans="1:11" x14ac:dyDescent="0.2">
      <c r="A438">
        <v>2019</v>
      </c>
      <c r="B438" s="34">
        <v>577</v>
      </c>
      <c r="C438" s="34" t="s">
        <v>394</v>
      </c>
      <c r="D438" s="36">
        <v>677375</v>
      </c>
      <c r="E438" s="36">
        <v>3718535</v>
      </c>
      <c r="F438" s="57"/>
      <c r="G438" s="57"/>
      <c r="H438" s="65"/>
      <c r="I438" s="64"/>
      <c r="J438" s="65"/>
      <c r="K438" s="64"/>
    </row>
    <row r="439" spans="1:11" x14ac:dyDescent="0.2">
      <c r="A439">
        <v>2019</v>
      </c>
      <c r="B439" s="34">
        <v>578</v>
      </c>
      <c r="C439" s="34" t="s">
        <v>395</v>
      </c>
      <c r="D439" s="36">
        <v>110496</v>
      </c>
      <c r="E439" s="36">
        <v>990490</v>
      </c>
      <c r="F439" s="57"/>
      <c r="G439" s="57"/>
      <c r="H439" s="65"/>
      <c r="I439" s="64"/>
      <c r="J439" s="65"/>
      <c r="K439" s="64"/>
    </row>
    <row r="440" spans="1:11" x14ac:dyDescent="0.2">
      <c r="A440">
        <v>2019</v>
      </c>
      <c r="B440" s="34">
        <v>580</v>
      </c>
      <c r="C440" s="34" t="s">
        <v>396</v>
      </c>
      <c r="D440" s="36">
        <v>408075</v>
      </c>
      <c r="E440" s="36">
        <v>2772326</v>
      </c>
      <c r="F440" s="57"/>
      <c r="G440" s="57"/>
      <c r="H440" s="65"/>
      <c r="I440" s="64"/>
      <c r="J440" s="65"/>
      <c r="K440" s="64"/>
    </row>
    <row r="441" spans="1:11" x14ac:dyDescent="0.2">
      <c r="A441">
        <v>2019</v>
      </c>
      <c r="B441" s="34">
        <v>581</v>
      </c>
      <c r="C441" s="34" t="s">
        <v>397</v>
      </c>
      <c r="D441" s="36">
        <v>565392</v>
      </c>
      <c r="E441" s="36">
        <v>4548739</v>
      </c>
      <c r="F441" s="57"/>
      <c r="G441" s="57"/>
      <c r="H441" s="65"/>
      <c r="I441" s="64"/>
      <c r="J441" s="65"/>
      <c r="K441" s="64"/>
    </row>
    <row r="442" spans="1:11" x14ac:dyDescent="0.2">
      <c r="A442">
        <v>2019</v>
      </c>
      <c r="B442" s="34">
        <v>582</v>
      </c>
      <c r="C442" s="34" t="s">
        <v>398</v>
      </c>
      <c r="D442" s="36">
        <v>398059</v>
      </c>
      <c r="E442" s="36">
        <v>4740055</v>
      </c>
      <c r="F442" s="57"/>
      <c r="G442" s="57"/>
      <c r="H442" s="65"/>
      <c r="I442" s="64"/>
      <c r="J442" s="65"/>
      <c r="K442" s="64"/>
    </row>
    <row r="443" spans="1:11" x14ac:dyDescent="0.2">
      <c r="A443">
        <v>2019</v>
      </c>
      <c r="B443" s="34">
        <v>583</v>
      </c>
      <c r="C443" s="34" t="s">
        <v>399</v>
      </c>
      <c r="D443" s="36">
        <v>2722245</v>
      </c>
      <c r="E443" s="36">
        <v>18396766</v>
      </c>
      <c r="F443" s="57"/>
      <c r="G443" s="57"/>
      <c r="H443" s="65"/>
      <c r="I443" s="64"/>
      <c r="J443" s="65"/>
      <c r="K443" s="64"/>
    </row>
    <row r="444" spans="1:11" x14ac:dyDescent="0.2">
      <c r="A444">
        <v>2019</v>
      </c>
      <c r="B444" s="34">
        <v>584</v>
      </c>
      <c r="C444" s="34" t="s">
        <v>400</v>
      </c>
      <c r="D444" s="36">
        <v>7532423</v>
      </c>
      <c r="E444" s="36">
        <v>29188387</v>
      </c>
      <c r="F444" s="57"/>
      <c r="G444" s="57"/>
      <c r="H444" s="65"/>
      <c r="I444" s="64"/>
      <c r="J444" s="65"/>
      <c r="K444" s="64"/>
    </row>
    <row r="445" spans="1:11" x14ac:dyDescent="0.2">
      <c r="A445">
        <v>2019</v>
      </c>
      <c r="B445" s="34">
        <v>586</v>
      </c>
      <c r="C445" s="34" t="s">
        <v>401</v>
      </c>
      <c r="D445" s="36">
        <v>13780</v>
      </c>
      <c r="E445" s="36">
        <v>68080</v>
      </c>
      <c r="F445" s="57"/>
      <c r="G445" s="57"/>
      <c r="H445" s="65"/>
      <c r="I445" s="64"/>
      <c r="J445" s="65"/>
      <c r="K445" s="64"/>
    </row>
    <row r="446" spans="1:11" x14ac:dyDescent="0.2">
      <c r="A446">
        <v>2019</v>
      </c>
      <c r="B446" s="34">
        <v>588</v>
      </c>
      <c r="C446" s="34" t="s">
        <v>402</v>
      </c>
      <c r="D446" s="36">
        <v>8264</v>
      </c>
      <c r="E446" s="36">
        <v>44135</v>
      </c>
      <c r="F446" s="57"/>
      <c r="G446" s="57"/>
      <c r="H446" s="65"/>
      <c r="I446" s="64"/>
      <c r="J446" s="65"/>
      <c r="K446" s="64"/>
    </row>
    <row r="447" spans="1:11" x14ac:dyDescent="0.2">
      <c r="A447">
        <v>2019</v>
      </c>
      <c r="B447" s="34">
        <v>589</v>
      </c>
      <c r="C447" s="34" t="s">
        <v>403</v>
      </c>
      <c r="D447" s="36">
        <v>15532</v>
      </c>
      <c r="E447" s="36">
        <v>110326</v>
      </c>
      <c r="F447" s="57"/>
      <c r="G447" s="57"/>
      <c r="H447" s="65"/>
      <c r="I447" s="64"/>
      <c r="J447" s="65"/>
      <c r="K447" s="64"/>
    </row>
    <row r="448" spans="1:11" x14ac:dyDescent="0.2">
      <c r="A448">
        <v>2019</v>
      </c>
      <c r="B448" s="34">
        <v>590</v>
      </c>
      <c r="C448" s="34" t="s">
        <v>669</v>
      </c>
      <c r="D448" s="36">
        <v>38478</v>
      </c>
      <c r="E448" s="36">
        <v>297651</v>
      </c>
      <c r="F448" s="57"/>
      <c r="G448" s="57"/>
      <c r="H448" s="65"/>
      <c r="I448" s="64"/>
      <c r="J448" s="65"/>
      <c r="K448" s="64"/>
    </row>
    <row r="449" spans="1:11" x14ac:dyDescent="0.2">
      <c r="A449">
        <v>2019</v>
      </c>
      <c r="B449" s="34">
        <v>592</v>
      </c>
      <c r="C449" s="34" t="s">
        <v>404</v>
      </c>
      <c r="D449" s="36">
        <v>9108</v>
      </c>
      <c r="E449" s="36">
        <v>47890</v>
      </c>
      <c r="F449" s="57"/>
      <c r="G449" s="57"/>
      <c r="H449" s="65"/>
      <c r="I449" s="64"/>
      <c r="J449" s="65"/>
      <c r="K449" s="64"/>
    </row>
    <row r="450" spans="1:11" x14ac:dyDescent="0.2">
      <c r="A450">
        <v>2019</v>
      </c>
      <c r="B450" s="34">
        <v>596</v>
      </c>
      <c r="C450" s="34" t="s">
        <v>405</v>
      </c>
      <c r="D450" s="36">
        <v>6695</v>
      </c>
      <c r="E450" s="36">
        <v>33911</v>
      </c>
      <c r="F450" s="57"/>
      <c r="G450" s="57"/>
      <c r="H450" s="65"/>
      <c r="I450" s="64"/>
      <c r="J450" s="65"/>
      <c r="K450" s="64"/>
    </row>
    <row r="451" spans="1:11" x14ac:dyDescent="0.2">
      <c r="A451">
        <v>2019</v>
      </c>
      <c r="B451" s="34">
        <v>597</v>
      </c>
      <c r="C451" s="34" t="s">
        <v>406</v>
      </c>
      <c r="D451" s="36">
        <v>243752</v>
      </c>
      <c r="E451" s="36">
        <v>1771678</v>
      </c>
      <c r="F451" s="57"/>
      <c r="G451" s="57"/>
      <c r="H451" s="65"/>
      <c r="I451" s="64"/>
      <c r="J451" s="65"/>
      <c r="K451" s="64"/>
    </row>
    <row r="452" spans="1:11" x14ac:dyDescent="0.2">
      <c r="A452">
        <v>2019</v>
      </c>
      <c r="B452" s="34">
        <v>598</v>
      </c>
      <c r="C452" s="34" t="s">
        <v>407</v>
      </c>
      <c r="D452" s="36">
        <v>44374</v>
      </c>
      <c r="E452" s="36">
        <v>261328</v>
      </c>
      <c r="F452" s="57"/>
      <c r="G452" s="57"/>
      <c r="H452" s="65"/>
      <c r="I452" s="64"/>
      <c r="J452" s="65"/>
      <c r="K452" s="64"/>
    </row>
    <row r="453" spans="1:11" x14ac:dyDescent="0.2">
      <c r="A453">
        <v>2019</v>
      </c>
      <c r="B453" s="34">
        <v>601</v>
      </c>
      <c r="C453" s="34" t="s">
        <v>408</v>
      </c>
      <c r="D453" s="36">
        <v>46480</v>
      </c>
      <c r="E453" s="36">
        <v>422031</v>
      </c>
      <c r="F453" s="57"/>
      <c r="G453" s="57"/>
      <c r="H453" s="65"/>
      <c r="I453" s="64"/>
      <c r="J453" s="65"/>
      <c r="K453" s="64"/>
    </row>
    <row r="454" spans="1:11" x14ac:dyDescent="0.2">
      <c r="A454">
        <v>2019</v>
      </c>
      <c r="B454" s="34">
        <v>602</v>
      </c>
      <c r="C454" s="34" t="s">
        <v>409</v>
      </c>
      <c r="D454" s="36">
        <v>78842</v>
      </c>
      <c r="E454" s="36">
        <v>440134</v>
      </c>
      <c r="F454" s="57"/>
      <c r="G454" s="57"/>
      <c r="H454" s="65"/>
      <c r="I454" s="64"/>
      <c r="J454" s="65"/>
      <c r="K454" s="64"/>
    </row>
    <row r="455" spans="1:11" x14ac:dyDescent="0.2">
      <c r="A455">
        <v>2019</v>
      </c>
      <c r="B455" s="34">
        <v>603</v>
      </c>
      <c r="C455" s="34" t="s">
        <v>410</v>
      </c>
      <c r="F455" s="57"/>
      <c r="G455" s="57"/>
      <c r="H455" s="57"/>
      <c r="I455" s="64"/>
      <c r="J455" s="57"/>
      <c r="K455" s="64"/>
    </row>
    <row r="456" spans="1:11" x14ac:dyDescent="0.2">
      <c r="A456">
        <v>2019</v>
      </c>
      <c r="B456" s="34">
        <v>607</v>
      </c>
      <c r="C456" s="34" t="s">
        <v>411</v>
      </c>
      <c r="D456" s="36">
        <v>66873</v>
      </c>
      <c r="E456" s="36">
        <v>590100</v>
      </c>
      <c r="F456" s="57"/>
      <c r="G456" s="57"/>
      <c r="H456" s="65"/>
      <c r="I456" s="64"/>
      <c r="J456" s="65"/>
      <c r="K456" s="64"/>
    </row>
    <row r="457" spans="1:11" x14ac:dyDescent="0.2">
      <c r="A457">
        <v>2019</v>
      </c>
      <c r="B457" s="34">
        <v>608</v>
      </c>
      <c r="C457" s="34" t="s">
        <v>412</v>
      </c>
      <c r="D457" s="36">
        <v>52144</v>
      </c>
      <c r="E457" s="36">
        <v>409489</v>
      </c>
      <c r="F457" s="57"/>
      <c r="G457" s="57"/>
      <c r="H457" s="65"/>
      <c r="I457" s="64"/>
      <c r="J457" s="65"/>
      <c r="K457" s="64"/>
    </row>
    <row r="458" spans="1:11" x14ac:dyDescent="0.2">
      <c r="A458">
        <v>2019</v>
      </c>
      <c r="B458" s="34">
        <v>609</v>
      </c>
      <c r="C458" s="34" t="s">
        <v>413</v>
      </c>
      <c r="D458" s="36">
        <v>16908</v>
      </c>
      <c r="E458" s="36">
        <v>229981</v>
      </c>
      <c r="F458" s="57"/>
      <c r="G458" s="57"/>
      <c r="H458" s="65"/>
      <c r="I458" s="64"/>
      <c r="J458" s="65"/>
      <c r="K458" s="64"/>
    </row>
    <row r="459" spans="1:11" x14ac:dyDescent="0.2">
      <c r="A459">
        <v>2019</v>
      </c>
      <c r="B459" s="34">
        <v>610</v>
      </c>
      <c r="C459" s="34" t="s">
        <v>414</v>
      </c>
      <c r="D459" s="36">
        <v>66499</v>
      </c>
      <c r="E459" s="36">
        <v>607367</v>
      </c>
      <c r="F459" s="57"/>
      <c r="G459" s="57"/>
      <c r="H459" s="65"/>
      <c r="I459" s="64"/>
      <c r="J459" s="65"/>
      <c r="K459" s="64"/>
    </row>
    <row r="460" spans="1:11" x14ac:dyDescent="0.2">
      <c r="A460">
        <v>2019</v>
      </c>
      <c r="B460" s="34">
        <v>611</v>
      </c>
      <c r="C460" s="34" t="s">
        <v>415</v>
      </c>
      <c r="D460" s="36">
        <v>30550</v>
      </c>
      <c r="E460" s="36">
        <v>238919</v>
      </c>
      <c r="F460" s="57"/>
      <c r="G460" s="57"/>
      <c r="H460" s="65"/>
      <c r="I460" s="64"/>
      <c r="J460" s="65"/>
      <c r="K460" s="64"/>
    </row>
    <row r="461" spans="1:11" x14ac:dyDescent="0.2">
      <c r="A461">
        <v>2019</v>
      </c>
      <c r="B461" s="34">
        <v>612</v>
      </c>
      <c r="C461" s="34" t="s">
        <v>416</v>
      </c>
      <c r="D461" s="36">
        <v>303755</v>
      </c>
      <c r="E461" s="36">
        <v>2439190</v>
      </c>
      <c r="F461" s="57"/>
      <c r="G461" s="57"/>
      <c r="H461" s="65"/>
      <c r="I461" s="64"/>
      <c r="J461" s="65"/>
      <c r="K461" s="64"/>
    </row>
    <row r="462" spans="1:11" x14ac:dyDescent="0.2">
      <c r="A462">
        <v>2019</v>
      </c>
      <c r="B462" s="34">
        <v>613</v>
      </c>
      <c r="C462" s="34" t="s">
        <v>417</v>
      </c>
      <c r="D462" s="36">
        <v>16551</v>
      </c>
      <c r="E462" s="36">
        <v>105355</v>
      </c>
      <c r="F462" s="57"/>
      <c r="G462" s="57"/>
      <c r="H462" s="65"/>
      <c r="I462" s="64"/>
      <c r="J462" s="65"/>
      <c r="K462" s="64"/>
    </row>
    <row r="463" spans="1:11" x14ac:dyDescent="0.2">
      <c r="A463">
        <v>2019</v>
      </c>
      <c r="B463" s="34">
        <v>614</v>
      </c>
      <c r="C463" s="34" t="s">
        <v>418</v>
      </c>
      <c r="D463" s="36">
        <v>37848</v>
      </c>
      <c r="E463" s="36">
        <v>173415</v>
      </c>
      <c r="F463" s="57"/>
      <c r="G463" s="57"/>
      <c r="H463" s="65"/>
      <c r="I463" s="64"/>
      <c r="J463" s="65"/>
      <c r="K463" s="64"/>
    </row>
    <row r="464" spans="1:11" x14ac:dyDescent="0.2">
      <c r="A464">
        <v>2019</v>
      </c>
      <c r="B464" s="34">
        <v>615</v>
      </c>
      <c r="C464" s="34" t="s">
        <v>419</v>
      </c>
      <c r="D464" s="36">
        <v>45876</v>
      </c>
      <c r="E464" s="36">
        <v>296098</v>
      </c>
      <c r="F464" s="57"/>
      <c r="G464" s="57"/>
      <c r="H464" s="65"/>
      <c r="I464" s="64"/>
      <c r="J464" s="65"/>
      <c r="K464" s="64"/>
    </row>
    <row r="465" spans="1:11" x14ac:dyDescent="0.2">
      <c r="A465">
        <v>2019</v>
      </c>
      <c r="B465" s="34">
        <v>617</v>
      </c>
      <c r="C465" s="34" t="s">
        <v>420</v>
      </c>
      <c r="D465" s="36">
        <v>89386</v>
      </c>
      <c r="E465" s="36">
        <v>482291</v>
      </c>
      <c r="F465" s="57"/>
      <c r="G465" s="57"/>
      <c r="H465" s="65"/>
      <c r="I465" s="64"/>
      <c r="J465" s="65"/>
      <c r="K465" s="64"/>
    </row>
    <row r="466" spans="1:11" x14ac:dyDescent="0.2">
      <c r="A466">
        <v>2019</v>
      </c>
      <c r="B466" s="34">
        <v>618</v>
      </c>
      <c r="C466" s="34" t="s">
        <v>421</v>
      </c>
      <c r="D466" s="36">
        <v>36039</v>
      </c>
      <c r="E466" s="36">
        <v>260897</v>
      </c>
      <c r="F466" s="57"/>
      <c r="G466" s="57"/>
      <c r="H466" s="65"/>
      <c r="I466" s="64"/>
      <c r="J466" s="65"/>
      <c r="K466" s="64"/>
    </row>
    <row r="467" spans="1:11" x14ac:dyDescent="0.2">
      <c r="A467">
        <v>2019</v>
      </c>
      <c r="B467" s="34">
        <v>619</v>
      </c>
      <c r="C467" s="34" t="s">
        <v>422</v>
      </c>
      <c r="D467" s="36">
        <v>41069</v>
      </c>
      <c r="E467" s="36">
        <v>231964</v>
      </c>
      <c r="F467" s="57"/>
      <c r="G467" s="57"/>
      <c r="H467" s="65"/>
      <c r="I467" s="64"/>
      <c r="J467" s="65"/>
      <c r="K467" s="64"/>
    </row>
    <row r="468" spans="1:11" x14ac:dyDescent="0.2">
      <c r="A468">
        <v>2019</v>
      </c>
      <c r="B468" s="34">
        <v>620</v>
      </c>
      <c r="C468" s="34" t="s">
        <v>423</v>
      </c>
      <c r="D468" s="36">
        <v>27472</v>
      </c>
      <c r="E468" s="36">
        <v>200452</v>
      </c>
      <c r="F468" s="57"/>
      <c r="G468" s="57"/>
      <c r="H468" s="65"/>
      <c r="I468" s="64"/>
      <c r="J468" s="65"/>
      <c r="K468" s="64"/>
    </row>
    <row r="469" spans="1:11" x14ac:dyDescent="0.2">
      <c r="A469">
        <v>2019</v>
      </c>
      <c r="B469" s="34">
        <v>621</v>
      </c>
      <c r="C469" s="34" t="s">
        <v>424</v>
      </c>
      <c r="D469" s="36">
        <v>29472</v>
      </c>
      <c r="E469" s="36">
        <v>286778</v>
      </c>
      <c r="F469" s="57"/>
      <c r="G469" s="57"/>
      <c r="H469" s="65"/>
      <c r="I469" s="64"/>
      <c r="J469" s="65"/>
      <c r="K469" s="64"/>
    </row>
    <row r="470" spans="1:11" x14ac:dyDescent="0.2">
      <c r="A470">
        <v>2019</v>
      </c>
      <c r="B470" s="34">
        <v>622</v>
      </c>
      <c r="C470" s="34" t="s">
        <v>425</v>
      </c>
      <c r="D470" s="36">
        <v>76763</v>
      </c>
      <c r="E470" s="36">
        <v>492996</v>
      </c>
      <c r="F470" s="57"/>
      <c r="G470" s="57"/>
      <c r="H470" s="65"/>
      <c r="I470" s="64"/>
      <c r="J470" s="65"/>
      <c r="K470" s="64"/>
    </row>
    <row r="471" spans="1:11" x14ac:dyDescent="0.2">
      <c r="A471">
        <v>2019</v>
      </c>
      <c r="B471" s="34">
        <v>623</v>
      </c>
      <c r="C471" s="34" t="s">
        <v>426</v>
      </c>
      <c r="D471" s="36">
        <v>133768</v>
      </c>
      <c r="E471" s="36">
        <v>1397859</v>
      </c>
      <c r="F471" s="57"/>
      <c r="G471" s="57"/>
      <c r="H471" s="65"/>
      <c r="I471" s="64"/>
      <c r="J471" s="65"/>
      <c r="K471" s="64"/>
    </row>
    <row r="472" spans="1:11" x14ac:dyDescent="0.2">
      <c r="A472">
        <v>2019</v>
      </c>
      <c r="B472" s="34">
        <v>624</v>
      </c>
      <c r="C472" s="34" t="s">
        <v>427</v>
      </c>
      <c r="D472" s="36">
        <v>35047</v>
      </c>
      <c r="E472" s="36">
        <v>353165</v>
      </c>
      <c r="F472" s="57"/>
      <c r="G472" s="57"/>
      <c r="H472" s="65"/>
      <c r="I472" s="64"/>
      <c r="J472" s="65"/>
      <c r="K472" s="64"/>
    </row>
    <row r="473" spans="1:11" x14ac:dyDescent="0.2">
      <c r="A473">
        <v>2019</v>
      </c>
      <c r="B473" s="34">
        <v>625</v>
      </c>
      <c r="C473" s="34" t="s">
        <v>428</v>
      </c>
      <c r="D473" s="36">
        <v>59071</v>
      </c>
      <c r="E473" s="36">
        <v>402457</v>
      </c>
      <c r="F473" s="57"/>
      <c r="G473" s="57"/>
      <c r="H473" s="65"/>
      <c r="I473" s="64"/>
      <c r="J473" s="65"/>
      <c r="K473" s="64"/>
    </row>
    <row r="474" spans="1:11" x14ac:dyDescent="0.2">
      <c r="A474">
        <v>2019</v>
      </c>
      <c r="B474" s="34">
        <v>626</v>
      </c>
      <c r="C474" s="34" t="s">
        <v>429</v>
      </c>
      <c r="D474" s="36">
        <v>22276</v>
      </c>
      <c r="E474" s="36">
        <v>162203</v>
      </c>
      <c r="F474" s="57"/>
      <c r="G474" s="57"/>
      <c r="H474" s="65"/>
      <c r="I474" s="64"/>
      <c r="J474" s="65"/>
      <c r="K474" s="64"/>
    </row>
    <row r="475" spans="1:11" x14ac:dyDescent="0.2">
      <c r="A475">
        <v>2019</v>
      </c>
      <c r="B475" s="34">
        <v>627</v>
      </c>
      <c r="C475" s="34" t="s">
        <v>430</v>
      </c>
      <c r="D475" s="36">
        <v>53448</v>
      </c>
      <c r="E475" s="36">
        <v>339025</v>
      </c>
      <c r="F475" s="57"/>
      <c r="G475" s="57"/>
      <c r="H475" s="65"/>
      <c r="I475" s="64"/>
      <c r="J475" s="65"/>
      <c r="K475" s="64"/>
    </row>
    <row r="476" spans="1:11" x14ac:dyDescent="0.2">
      <c r="A476">
        <v>2019</v>
      </c>
      <c r="B476" s="34">
        <v>628</v>
      </c>
      <c r="C476" s="34" t="s">
        <v>431</v>
      </c>
      <c r="D476" s="36">
        <v>46956</v>
      </c>
      <c r="E476" s="36">
        <v>396083</v>
      </c>
      <c r="F476" s="57"/>
      <c r="G476" s="57"/>
      <c r="H476" s="65"/>
      <c r="I476" s="64"/>
      <c r="J476" s="65"/>
      <c r="K476" s="64"/>
    </row>
    <row r="477" spans="1:11" x14ac:dyDescent="0.2">
      <c r="A477">
        <v>2019</v>
      </c>
      <c r="B477" s="34">
        <v>629</v>
      </c>
      <c r="C477" s="34" t="s">
        <v>432</v>
      </c>
      <c r="D477" s="36">
        <v>258997</v>
      </c>
      <c r="E477" s="36">
        <v>1455252</v>
      </c>
      <c r="F477" s="57"/>
      <c r="G477" s="57"/>
      <c r="H477" s="65"/>
      <c r="I477" s="64"/>
      <c r="J477" s="65"/>
      <c r="K477" s="64"/>
    </row>
    <row r="478" spans="1:11" x14ac:dyDescent="0.2">
      <c r="A478">
        <v>2019</v>
      </c>
      <c r="B478" s="34">
        <v>630</v>
      </c>
      <c r="C478" s="34" t="s">
        <v>433</v>
      </c>
      <c r="D478" s="36">
        <v>121507</v>
      </c>
      <c r="E478" s="36">
        <v>521177</v>
      </c>
      <c r="F478" s="57"/>
      <c r="G478" s="57"/>
      <c r="H478" s="65"/>
      <c r="I478" s="64"/>
      <c r="J478" s="65"/>
      <c r="K478" s="64"/>
    </row>
    <row r="479" spans="1:11" x14ac:dyDescent="0.2">
      <c r="A479">
        <v>2019</v>
      </c>
      <c r="B479" s="34">
        <v>631</v>
      </c>
      <c r="C479" s="34" t="s">
        <v>434</v>
      </c>
      <c r="D479" s="36">
        <v>49022</v>
      </c>
      <c r="E479" s="36">
        <v>228783</v>
      </c>
      <c r="F479" s="57"/>
      <c r="G479" s="57"/>
      <c r="H479" s="65"/>
      <c r="I479" s="64"/>
      <c r="J479" s="65"/>
      <c r="K479" s="64"/>
    </row>
    <row r="480" spans="1:11" x14ac:dyDescent="0.2">
      <c r="A480">
        <v>2019</v>
      </c>
      <c r="B480" s="34">
        <v>632</v>
      </c>
      <c r="C480" s="34" t="s">
        <v>435</v>
      </c>
      <c r="D480" s="36">
        <v>25354</v>
      </c>
      <c r="E480" s="36">
        <v>111731</v>
      </c>
      <c r="F480" s="57"/>
      <c r="G480" s="57"/>
      <c r="H480" s="65"/>
      <c r="I480" s="64"/>
      <c r="J480" s="65"/>
      <c r="K480" s="64"/>
    </row>
    <row r="481" spans="1:11" x14ac:dyDescent="0.2">
      <c r="A481">
        <v>2019</v>
      </c>
      <c r="B481" s="34">
        <v>633</v>
      </c>
      <c r="C481" s="34" t="s">
        <v>436</v>
      </c>
      <c r="D481" s="36">
        <v>72061</v>
      </c>
      <c r="E481" s="36">
        <v>472038</v>
      </c>
      <c r="F481" s="57"/>
      <c r="G481" s="57"/>
      <c r="H481" s="65"/>
      <c r="I481" s="64"/>
      <c r="J481" s="65"/>
      <c r="K481" s="64"/>
    </row>
    <row r="482" spans="1:11" x14ac:dyDescent="0.2">
      <c r="A482">
        <v>2019</v>
      </c>
      <c r="B482" s="34">
        <v>634</v>
      </c>
      <c r="C482" s="34" t="s">
        <v>437</v>
      </c>
      <c r="D482" s="36">
        <v>27395</v>
      </c>
      <c r="E482" s="36">
        <v>170689</v>
      </c>
      <c r="F482" s="57"/>
      <c r="G482" s="57"/>
      <c r="H482" s="65"/>
      <c r="I482" s="64"/>
      <c r="J482" s="65"/>
      <c r="K482" s="64"/>
    </row>
    <row r="483" spans="1:11" x14ac:dyDescent="0.2">
      <c r="A483">
        <v>2019</v>
      </c>
      <c r="B483" s="34">
        <v>635</v>
      </c>
      <c r="C483" s="34" t="s">
        <v>438</v>
      </c>
      <c r="D483" s="36">
        <v>27382</v>
      </c>
      <c r="E483" s="36">
        <v>124703</v>
      </c>
      <c r="F483" s="57"/>
      <c r="G483" s="57"/>
      <c r="H483" s="65"/>
      <c r="I483" s="64"/>
      <c r="J483" s="65"/>
      <c r="K483" s="64"/>
    </row>
    <row r="484" spans="1:11" x14ac:dyDescent="0.2">
      <c r="A484">
        <v>2019</v>
      </c>
      <c r="B484" s="34">
        <v>636</v>
      </c>
      <c r="C484" s="34" t="s">
        <v>439</v>
      </c>
      <c r="D484" s="36">
        <v>139298</v>
      </c>
      <c r="E484" s="36">
        <v>837059</v>
      </c>
      <c r="F484" s="57"/>
      <c r="G484" s="57"/>
      <c r="H484" s="65"/>
      <c r="I484" s="64"/>
      <c r="J484" s="65"/>
      <c r="K484" s="64"/>
    </row>
    <row r="485" spans="1:11" x14ac:dyDescent="0.2">
      <c r="A485">
        <v>2019</v>
      </c>
      <c r="B485" s="34">
        <v>637</v>
      </c>
      <c r="C485" s="34" t="s">
        <v>440</v>
      </c>
      <c r="D485" s="36">
        <v>607681</v>
      </c>
      <c r="E485" s="36">
        <v>3144324</v>
      </c>
      <c r="F485" s="57"/>
      <c r="G485" s="57"/>
      <c r="H485" s="65"/>
      <c r="I485" s="64"/>
      <c r="J485" s="65"/>
      <c r="K485" s="64"/>
    </row>
    <row r="486" spans="1:11" x14ac:dyDescent="0.2">
      <c r="A486">
        <v>2019</v>
      </c>
      <c r="B486" s="34">
        <v>638</v>
      </c>
      <c r="C486" s="34" t="s">
        <v>441</v>
      </c>
      <c r="D486" s="36">
        <v>202226</v>
      </c>
      <c r="E486" s="36">
        <v>1001796</v>
      </c>
      <c r="F486" s="57"/>
      <c r="G486" s="57"/>
      <c r="H486" s="65"/>
      <c r="I486" s="64"/>
      <c r="J486" s="65"/>
      <c r="K486" s="64"/>
    </row>
    <row r="487" spans="1:11" x14ac:dyDescent="0.2">
      <c r="A487">
        <v>2019</v>
      </c>
      <c r="B487" s="34">
        <v>639</v>
      </c>
      <c r="C487" s="34" t="s">
        <v>442</v>
      </c>
      <c r="D487" s="36">
        <v>37924</v>
      </c>
      <c r="E487" s="36">
        <v>207802</v>
      </c>
      <c r="F487" s="57"/>
      <c r="G487" s="57"/>
      <c r="H487" s="65"/>
      <c r="I487" s="64"/>
      <c r="J487" s="65"/>
      <c r="K487" s="64"/>
    </row>
    <row r="488" spans="1:11" x14ac:dyDescent="0.2">
      <c r="A488">
        <v>2019</v>
      </c>
      <c r="B488" s="34">
        <v>641</v>
      </c>
      <c r="C488" s="34" t="s">
        <v>443</v>
      </c>
      <c r="D488" s="36">
        <v>7434</v>
      </c>
      <c r="E488" s="36">
        <v>44704</v>
      </c>
      <c r="F488" s="57"/>
      <c r="G488" s="57"/>
      <c r="H488" s="65"/>
      <c r="I488" s="64"/>
      <c r="J488" s="65"/>
      <c r="K488" s="64"/>
    </row>
    <row r="489" spans="1:11" x14ac:dyDescent="0.2">
      <c r="A489">
        <v>2019</v>
      </c>
      <c r="B489" s="34">
        <v>643</v>
      </c>
      <c r="C489" s="34" t="s">
        <v>444</v>
      </c>
      <c r="D489" s="36">
        <v>127123</v>
      </c>
      <c r="E489" s="36">
        <v>718840</v>
      </c>
      <c r="F489" s="57"/>
      <c r="G489" s="57"/>
      <c r="H489" s="65"/>
      <c r="I489" s="64"/>
      <c r="J489" s="65"/>
      <c r="K489" s="64"/>
    </row>
    <row r="490" spans="1:11" x14ac:dyDescent="0.2">
      <c r="A490">
        <v>2019</v>
      </c>
      <c r="B490" s="34">
        <v>644</v>
      </c>
      <c r="C490" s="34" t="s">
        <v>445</v>
      </c>
      <c r="D490" s="36">
        <v>31531</v>
      </c>
      <c r="E490" s="36">
        <v>274703</v>
      </c>
      <c r="F490" s="57"/>
      <c r="G490" s="57"/>
      <c r="H490" s="65"/>
      <c r="I490" s="64"/>
      <c r="J490" s="65"/>
      <c r="K490" s="64"/>
    </row>
    <row r="491" spans="1:11" x14ac:dyDescent="0.2">
      <c r="A491">
        <v>2019</v>
      </c>
      <c r="B491" s="34">
        <v>645</v>
      </c>
      <c r="C491" s="34" t="s">
        <v>446</v>
      </c>
      <c r="D491" s="36">
        <v>81560</v>
      </c>
      <c r="E491" s="36">
        <v>499575</v>
      </c>
      <c r="F491" s="57"/>
      <c r="G491" s="57"/>
      <c r="H491" s="65"/>
      <c r="I491" s="64"/>
      <c r="J491" s="65"/>
      <c r="K491" s="64"/>
    </row>
    <row r="492" spans="1:11" x14ac:dyDescent="0.2">
      <c r="A492">
        <v>2019</v>
      </c>
      <c r="B492" s="34">
        <v>646</v>
      </c>
      <c r="C492" s="34" t="s">
        <v>447</v>
      </c>
      <c r="D492" s="36">
        <v>60140</v>
      </c>
      <c r="E492" s="36">
        <v>311130</v>
      </c>
      <c r="F492" s="57"/>
      <c r="G492" s="57"/>
      <c r="H492" s="65"/>
      <c r="I492" s="64"/>
      <c r="J492" s="65"/>
      <c r="K492" s="64"/>
    </row>
    <row r="493" spans="1:11" x14ac:dyDescent="0.2">
      <c r="A493">
        <v>2019</v>
      </c>
      <c r="B493" s="34">
        <v>647</v>
      </c>
      <c r="C493" s="34" t="s">
        <v>448</v>
      </c>
      <c r="D493" s="36">
        <v>12291</v>
      </c>
      <c r="E493" s="36">
        <v>83374</v>
      </c>
      <c r="F493" s="57"/>
      <c r="G493" s="57"/>
      <c r="H493" s="65"/>
      <c r="I493" s="64"/>
      <c r="J493" s="65"/>
      <c r="K493" s="64"/>
    </row>
    <row r="494" spans="1:11" x14ac:dyDescent="0.2">
      <c r="A494">
        <v>2019</v>
      </c>
      <c r="B494" s="34">
        <v>648</v>
      </c>
      <c r="C494" s="34" t="s">
        <v>449</v>
      </c>
      <c r="D494" s="36">
        <v>26636</v>
      </c>
      <c r="E494" s="36">
        <v>105674</v>
      </c>
      <c r="F494" s="57"/>
      <c r="G494" s="57"/>
      <c r="H494" s="65"/>
      <c r="I494" s="64"/>
      <c r="J494" s="65"/>
      <c r="K494" s="64"/>
    </row>
    <row r="495" spans="1:11" x14ac:dyDescent="0.2">
      <c r="A495">
        <v>2019</v>
      </c>
      <c r="B495" s="34">
        <v>649</v>
      </c>
      <c r="C495" s="34" t="s">
        <v>450</v>
      </c>
      <c r="D495" s="36">
        <v>85914</v>
      </c>
      <c r="E495" s="36">
        <v>480434</v>
      </c>
      <c r="F495" s="57"/>
      <c r="G495" s="57"/>
      <c r="H495" s="65"/>
      <c r="I495" s="64"/>
      <c r="J495" s="65"/>
      <c r="K495" s="64"/>
    </row>
    <row r="496" spans="1:11" x14ac:dyDescent="0.2">
      <c r="A496">
        <v>2019</v>
      </c>
      <c r="B496" s="34">
        <v>653</v>
      </c>
      <c r="C496" s="34" t="s">
        <v>451</v>
      </c>
      <c r="D496" s="36">
        <v>25515</v>
      </c>
      <c r="E496" s="36">
        <v>143534</v>
      </c>
      <c r="F496" s="57"/>
      <c r="G496" s="57"/>
      <c r="H496" s="65"/>
      <c r="I496" s="64"/>
      <c r="J496" s="65"/>
      <c r="K496" s="64"/>
    </row>
    <row r="497" spans="1:11" x14ac:dyDescent="0.2">
      <c r="A497">
        <v>2019</v>
      </c>
      <c r="B497" s="34">
        <v>656</v>
      </c>
      <c r="C497" s="34" t="s">
        <v>452</v>
      </c>
      <c r="D497" s="36">
        <v>234839</v>
      </c>
      <c r="E497" s="36">
        <v>1805036</v>
      </c>
      <c r="F497" s="57"/>
      <c r="G497" s="57"/>
      <c r="H497" s="65"/>
      <c r="I497" s="64"/>
      <c r="J497" s="65"/>
      <c r="K497" s="64"/>
    </row>
    <row r="498" spans="1:11" x14ac:dyDescent="0.2">
      <c r="A498">
        <v>2019</v>
      </c>
      <c r="B498" s="34">
        <v>657</v>
      </c>
      <c r="C498" s="34" t="s">
        <v>453</v>
      </c>
      <c r="D498" s="36">
        <v>16046</v>
      </c>
      <c r="E498" s="36">
        <v>121198</v>
      </c>
      <c r="F498" s="57"/>
      <c r="G498" s="57"/>
      <c r="H498" s="65"/>
      <c r="I498" s="64"/>
      <c r="J498" s="65"/>
      <c r="K498" s="64"/>
    </row>
    <row r="499" spans="1:11" x14ac:dyDescent="0.2">
      <c r="A499">
        <v>2019</v>
      </c>
      <c r="B499" s="34">
        <v>658</v>
      </c>
      <c r="C499" s="34" t="s">
        <v>454</v>
      </c>
      <c r="D499" s="36">
        <v>12243</v>
      </c>
      <c r="E499" s="36">
        <v>147644</v>
      </c>
      <c r="F499" s="57"/>
      <c r="G499" s="57"/>
      <c r="H499" s="65"/>
      <c r="I499" s="64"/>
      <c r="J499" s="65"/>
      <c r="K499" s="64"/>
    </row>
    <row r="500" spans="1:11" x14ac:dyDescent="0.2">
      <c r="A500">
        <v>2019</v>
      </c>
      <c r="B500" s="34">
        <v>659</v>
      </c>
      <c r="C500" s="34" t="s">
        <v>455</v>
      </c>
      <c r="D500" s="36">
        <v>199591</v>
      </c>
      <c r="E500" s="36">
        <v>1257909</v>
      </c>
      <c r="F500" s="57"/>
      <c r="G500" s="57"/>
      <c r="H500" s="65"/>
      <c r="I500" s="64"/>
      <c r="J500" s="65"/>
      <c r="K500" s="64"/>
    </row>
    <row r="501" spans="1:11" x14ac:dyDescent="0.2">
      <c r="A501">
        <v>2019</v>
      </c>
      <c r="B501" s="34">
        <v>660</v>
      </c>
      <c r="C501" s="34" t="s">
        <v>456</v>
      </c>
      <c r="D501" s="36">
        <v>440732</v>
      </c>
      <c r="E501" s="36">
        <v>2377231</v>
      </c>
      <c r="F501" s="57"/>
      <c r="G501" s="57"/>
      <c r="H501" s="65"/>
      <c r="I501" s="64"/>
      <c r="J501" s="65"/>
      <c r="K501" s="64"/>
    </row>
    <row r="502" spans="1:11" x14ac:dyDescent="0.2">
      <c r="A502">
        <v>2019</v>
      </c>
      <c r="B502" s="34">
        <v>661</v>
      </c>
      <c r="C502" s="34" t="s">
        <v>457</v>
      </c>
      <c r="D502" s="36">
        <v>225106</v>
      </c>
      <c r="E502" s="36">
        <v>1663293</v>
      </c>
      <c r="F502" s="57"/>
      <c r="G502" s="57"/>
      <c r="H502" s="65"/>
      <c r="I502" s="64"/>
      <c r="J502" s="65"/>
      <c r="K502" s="64"/>
    </row>
    <row r="503" spans="1:11" x14ac:dyDescent="0.2">
      <c r="A503">
        <v>2019</v>
      </c>
      <c r="B503" s="34">
        <v>662</v>
      </c>
      <c r="C503" s="34" t="s">
        <v>458</v>
      </c>
      <c r="D503" s="36">
        <v>46902</v>
      </c>
      <c r="E503" s="36">
        <v>280903</v>
      </c>
      <c r="F503" s="57"/>
      <c r="G503" s="57"/>
      <c r="H503" s="65"/>
      <c r="I503" s="64"/>
      <c r="J503" s="65"/>
      <c r="K503" s="64"/>
    </row>
    <row r="504" spans="1:11" x14ac:dyDescent="0.2">
      <c r="A504">
        <v>2019</v>
      </c>
      <c r="B504" s="34">
        <v>663</v>
      </c>
      <c r="C504" s="34" t="s">
        <v>459</v>
      </c>
      <c r="D504" s="36">
        <v>38700</v>
      </c>
      <c r="E504" s="36">
        <v>135225</v>
      </c>
      <c r="F504" s="57"/>
      <c r="G504" s="57"/>
      <c r="H504" s="65"/>
      <c r="I504" s="64"/>
      <c r="J504" s="65"/>
      <c r="K504" s="64"/>
    </row>
    <row r="505" spans="1:11" x14ac:dyDescent="0.2">
      <c r="A505">
        <v>2019</v>
      </c>
      <c r="B505" s="34">
        <v>666</v>
      </c>
      <c r="C505" s="34" t="s">
        <v>460</v>
      </c>
      <c r="D505" s="36">
        <v>101338</v>
      </c>
      <c r="E505" s="36">
        <v>575681</v>
      </c>
      <c r="F505" s="57"/>
      <c r="G505" s="57"/>
      <c r="H505" s="65"/>
      <c r="I505" s="64"/>
      <c r="J505" s="65"/>
      <c r="K505" s="64"/>
    </row>
    <row r="506" spans="1:11" x14ac:dyDescent="0.2">
      <c r="A506">
        <v>2019</v>
      </c>
      <c r="B506" s="34">
        <v>667</v>
      </c>
      <c r="C506" s="34" t="s">
        <v>461</v>
      </c>
      <c r="D506" s="36">
        <v>118433</v>
      </c>
      <c r="E506" s="36">
        <v>604251</v>
      </c>
      <c r="F506" s="57"/>
      <c r="G506" s="57"/>
      <c r="H506" s="65"/>
      <c r="I506" s="64"/>
      <c r="J506" s="65"/>
      <c r="K506" s="64"/>
    </row>
    <row r="507" spans="1:11" x14ac:dyDescent="0.2">
      <c r="A507">
        <v>2019</v>
      </c>
      <c r="B507" s="34">
        <v>668</v>
      </c>
      <c r="C507" s="34" t="s">
        <v>462</v>
      </c>
      <c r="D507" s="36">
        <v>77637</v>
      </c>
      <c r="E507" s="36">
        <v>506443</v>
      </c>
      <c r="F507" s="57"/>
      <c r="G507" s="57"/>
      <c r="H507" s="65"/>
      <c r="I507" s="64"/>
      <c r="J507" s="65"/>
      <c r="K507" s="64"/>
    </row>
    <row r="508" spans="1:11" x14ac:dyDescent="0.2">
      <c r="A508">
        <v>2019</v>
      </c>
      <c r="B508" s="34">
        <v>673</v>
      </c>
      <c r="C508" s="34" t="s">
        <v>463</v>
      </c>
      <c r="D508" s="36">
        <v>219192</v>
      </c>
      <c r="E508" s="36">
        <v>2049960</v>
      </c>
      <c r="F508" s="57"/>
      <c r="G508" s="57"/>
      <c r="H508" s="65"/>
      <c r="I508" s="64"/>
      <c r="J508" s="65"/>
      <c r="K508" s="64"/>
    </row>
    <row r="509" spans="1:11" x14ac:dyDescent="0.2">
      <c r="A509">
        <v>2019</v>
      </c>
      <c r="B509" s="34">
        <v>674</v>
      </c>
      <c r="C509" s="34" t="s">
        <v>464</v>
      </c>
      <c r="D509" s="36">
        <v>68343</v>
      </c>
      <c r="E509" s="36">
        <v>539319</v>
      </c>
      <c r="F509" s="57"/>
      <c r="G509" s="57"/>
      <c r="H509" s="65"/>
      <c r="I509" s="64"/>
      <c r="J509" s="65"/>
      <c r="K509" s="64"/>
    </row>
    <row r="510" spans="1:11" x14ac:dyDescent="0.2">
      <c r="A510">
        <v>2019</v>
      </c>
      <c r="B510" s="34">
        <v>675</v>
      </c>
      <c r="C510" s="34" t="s">
        <v>465</v>
      </c>
      <c r="D510" s="36">
        <v>68338</v>
      </c>
      <c r="E510" s="36">
        <v>349961</v>
      </c>
      <c r="F510" s="57"/>
      <c r="G510" s="57"/>
      <c r="H510" s="65"/>
      <c r="I510" s="64"/>
      <c r="J510" s="65"/>
      <c r="K510" s="64"/>
    </row>
    <row r="511" spans="1:11" x14ac:dyDescent="0.2">
      <c r="A511">
        <v>2019</v>
      </c>
      <c r="B511" s="34">
        <v>676</v>
      </c>
      <c r="C511" s="34" t="s">
        <v>466</v>
      </c>
      <c r="D511" s="36">
        <v>30365</v>
      </c>
      <c r="E511" s="36">
        <v>206960</v>
      </c>
      <c r="F511" s="57"/>
      <c r="G511" s="57"/>
      <c r="H511" s="65"/>
      <c r="I511" s="64"/>
      <c r="J511" s="65"/>
      <c r="K511" s="64"/>
    </row>
    <row r="512" spans="1:11" x14ac:dyDescent="0.2">
      <c r="A512">
        <v>2019</v>
      </c>
      <c r="B512" s="34">
        <v>677</v>
      </c>
      <c r="C512" s="34" t="s">
        <v>467</v>
      </c>
      <c r="D512" s="36">
        <v>32141</v>
      </c>
      <c r="E512" s="36">
        <v>224846</v>
      </c>
      <c r="F512" s="57"/>
      <c r="G512" s="57"/>
      <c r="H512" s="65"/>
      <c r="I512" s="64"/>
      <c r="J512" s="65"/>
      <c r="K512" s="64"/>
    </row>
    <row r="513" spans="1:12" x14ac:dyDescent="0.2">
      <c r="A513">
        <v>2019</v>
      </c>
      <c r="B513" s="34">
        <v>680</v>
      </c>
      <c r="C513" s="34" t="s">
        <v>468</v>
      </c>
      <c r="D513" s="36">
        <v>38422</v>
      </c>
      <c r="E513" s="36">
        <v>290529</v>
      </c>
      <c r="F513" s="57"/>
      <c r="G513" s="57"/>
      <c r="H513" s="65"/>
      <c r="I513" s="64"/>
      <c r="J513" s="65"/>
      <c r="K513" s="64"/>
    </row>
    <row r="514" spans="1:12" x14ac:dyDescent="0.2">
      <c r="A514">
        <v>2019</v>
      </c>
      <c r="B514" s="34">
        <v>681</v>
      </c>
      <c r="C514" s="34" t="s">
        <v>469</v>
      </c>
      <c r="D514" s="36">
        <v>63017</v>
      </c>
      <c r="E514" s="36">
        <v>498946</v>
      </c>
      <c r="F514" s="57"/>
      <c r="G514" s="57"/>
      <c r="H514" s="65"/>
      <c r="I514" s="64"/>
      <c r="J514" s="65"/>
      <c r="K514" s="64"/>
    </row>
    <row r="515" spans="1:12" x14ac:dyDescent="0.2">
      <c r="A515">
        <v>2019</v>
      </c>
      <c r="B515" s="34">
        <v>682</v>
      </c>
      <c r="C515" s="34" t="s">
        <v>470</v>
      </c>
      <c r="D515" s="36">
        <v>132491</v>
      </c>
      <c r="E515" s="36">
        <v>950662</v>
      </c>
      <c r="F515" s="57"/>
      <c r="G515" s="57"/>
      <c r="H515" s="65"/>
      <c r="I515" s="64"/>
      <c r="J515" s="65"/>
      <c r="K515" s="64"/>
    </row>
    <row r="516" spans="1:12" x14ac:dyDescent="0.2">
      <c r="A516">
        <v>2019</v>
      </c>
      <c r="B516" s="34">
        <v>683</v>
      </c>
      <c r="C516" s="34" t="s">
        <v>471</v>
      </c>
      <c r="D516" s="36">
        <v>59984</v>
      </c>
      <c r="E516" s="36">
        <v>493439</v>
      </c>
      <c r="F516" s="57"/>
      <c r="G516" s="57"/>
      <c r="H516" s="65"/>
      <c r="I516" s="64"/>
      <c r="J516" s="65"/>
      <c r="K516" s="64"/>
    </row>
    <row r="517" spans="1:12" x14ac:dyDescent="0.2">
      <c r="A517">
        <v>2019</v>
      </c>
      <c r="B517" s="34">
        <v>684</v>
      </c>
      <c r="C517" s="34" t="s">
        <v>472</v>
      </c>
      <c r="D517" s="36">
        <v>7360</v>
      </c>
      <c r="E517" s="36">
        <v>57795</v>
      </c>
      <c r="F517" s="57"/>
      <c r="G517" s="57"/>
      <c r="H517" s="65"/>
      <c r="I517" s="64"/>
      <c r="J517" s="65"/>
      <c r="K517" s="64"/>
    </row>
    <row r="518" spans="1:12" x14ac:dyDescent="0.2">
      <c r="A518">
        <v>2019</v>
      </c>
      <c r="B518" s="34">
        <v>699</v>
      </c>
      <c r="C518" s="34" t="s">
        <v>473</v>
      </c>
      <c r="D518" s="36">
        <v>39311</v>
      </c>
      <c r="E518" s="36">
        <v>533366</v>
      </c>
      <c r="F518" s="57"/>
      <c r="G518" s="57"/>
      <c r="H518" s="65"/>
      <c r="I518" s="64"/>
      <c r="J518" s="65"/>
      <c r="K518" s="64"/>
    </row>
    <row r="519" spans="1:12" x14ac:dyDescent="0.2">
      <c r="A519">
        <v>2019</v>
      </c>
      <c r="B519" s="34">
        <v>701</v>
      </c>
      <c r="C519" s="34" t="s">
        <v>670</v>
      </c>
      <c r="E519" s="36">
        <v>171984</v>
      </c>
      <c r="G519" s="57"/>
      <c r="H519" s="57"/>
      <c r="I519" s="65"/>
      <c r="J519" s="64"/>
      <c r="K519" s="57"/>
      <c r="L519" s="64"/>
    </row>
    <row r="520" spans="1:12" x14ac:dyDescent="0.2">
      <c r="A520">
        <v>2019</v>
      </c>
      <c r="B520" s="34">
        <v>702</v>
      </c>
      <c r="C520" s="34" t="s">
        <v>671</v>
      </c>
      <c r="E520" s="36">
        <v>145880</v>
      </c>
      <c r="G520" s="57"/>
      <c r="H520" s="57"/>
      <c r="I520" s="65"/>
      <c r="J520" s="64"/>
      <c r="K520" s="57"/>
      <c r="L520" s="64"/>
    </row>
    <row r="521" spans="1:12" x14ac:dyDescent="0.2">
      <c r="A521">
        <v>2019</v>
      </c>
      <c r="B521" s="34">
        <v>704</v>
      </c>
      <c r="C521" s="34" t="s">
        <v>672</v>
      </c>
      <c r="E521" s="36">
        <v>56833</v>
      </c>
      <c r="G521" s="57"/>
      <c r="H521" s="57"/>
      <c r="I521" s="65"/>
      <c r="J521" s="64"/>
      <c r="K521" s="57"/>
      <c r="L521" s="64"/>
    </row>
    <row r="522" spans="1:12" x14ac:dyDescent="0.2">
      <c r="A522">
        <v>2019</v>
      </c>
      <c r="B522" s="34">
        <v>708</v>
      </c>
      <c r="C522" s="34" t="s">
        <v>673</v>
      </c>
      <c r="G522" s="57"/>
      <c r="H522" s="57"/>
      <c r="I522" s="57"/>
      <c r="J522" s="64"/>
      <c r="K522" s="57"/>
      <c r="L522" s="64"/>
    </row>
    <row r="523" spans="1:12" x14ac:dyDescent="0.2">
      <c r="A523">
        <v>2019</v>
      </c>
      <c r="B523" s="34">
        <v>711</v>
      </c>
      <c r="C523" s="34" t="s">
        <v>674</v>
      </c>
      <c r="D523" s="36">
        <v>120559</v>
      </c>
      <c r="E523" s="36">
        <v>205557</v>
      </c>
      <c r="G523" s="57"/>
      <c r="H523" s="57"/>
      <c r="I523" s="65"/>
      <c r="J523" s="64"/>
      <c r="K523" s="65"/>
      <c r="L523" s="64"/>
    </row>
    <row r="524" spans="1:12" x14ac:dyDescent="0.2">
      <c r="A524">
        <v>2019</v>
      </c>
      <c r="B524" s="34">
        <v>714</v>
      </c>
      <c r="C524" s="34" t="s">
        <v>675</v>
      </c>
      <c r="D524" s="36">
        <v>25867</v>
      </c>
      <c r="G524" s="57"/>
      <c r="H524" s="57"/>
      <c r="I524" s="57"/>
      <c r="J524" s="64"/>
      <c r="K524" s="65"/>
      <c r="L524" s="64"/>
    </row>
    <row r="525" spans="1:12" x14ac:dyDescent="0.2">
      <c r="A525">
        <v>2019</v>
      </c>
      <c r="B525" s="34">
        <v>750</v>
      </c>
      <c r="C525" s="34" t="s">
        <v>676</v>
      </c>
      <c r="D525" s="36">
        <v>74941</v>
      </c>
      <c r="E525" s="36">
        <v>356087</v>
      </c>
      <c r="G525" s="57"/>
      <c r="H525" s="57"/>
      <c r="I525" s="65"/>
      <c r="J525" s="64"/>
      <c r="K525" s="65"/>
      <c r="L525" s="64"/>
    </row>
    <row r="526" spans="1:12" x14ac:dyDescent="0.2">
      <c r="A526">
        <v>2019</v>
      </c>
      <c r="B526" s="34">
        <v>801</v>
      </c>
      <c r="C526" s="34" t="s">
        <v>474</v>
      </c>
      <c r="D526" s="36">
        <v>138010</v>
      </c>
      <c r="E526" s="36">
        <v>1113906</v>
      </c>
      <c r="G526" s="57"/>
      <c r="H526" s="57"/>
      <c r="I526" s="65"/>
      <c r="J526" s="64"/>
      <c r="K526" s="65"/>
      <c r="L526" s="64"/>
    </row>
    <row r="527" spans="1:12" x14ac:dyDescent="0.2">
      <c r="A527">
        <v>2019</v>
      </c>
      <c r="B527" s="34">
        <v>802</v>
      </c>
      <c r="C527" s="34" t="s">
        <v>677</v>
      </c>
      <c r="D527" s="36">
        <v>204767</v>
      </c>
      <c r="E527" s="36">
        <v>1230157</v>
      </c>
      <c r="G527" s="57"/>
      <c r="H527" s="57"/>
      <c r="I527" s="65"/>
      <c r="J527" s="64"/>
      <c r="K527" s="65"/>
      <c r="L527" s="64"/>
    </row>
    <row r="528" spans="1:12" x14ac:dyDescent="0.2">
      <c r="A528">
        <v>2019</v>
      </c>
      <c r="B528" s="34">
        <v>803</v>
      </c>
      <c r="C528" s="34" t="s">
        <v>475</v>
      </c>
      <c r="D528" s="36">
        <v>2073906</v>
      </c>
      <c r="E528" s="36">
        <v>4457300</v>
      </c>
      <c r="G528" s="57"/>
      <c r="H528" s="57"/>
      <c r="I528" s="65"/>
      <c r="J528" s="64"/>
      <c r="K528" s="65"/>
      <c r="L528" s="64"/>
    </row>
    <row r="529" spans="1:12" x14ac:dyDescent="0.2">
      <c r="A529">
        <v>2019</v>
      </c>
      <c r="B529" s="34">
        <v>805</v>
      </c>
      <c r="C529" s="34" t="s">
        <v>678</v>
      </c>
      <c r="D529" s="36">
        <v>442074</v>
      </c>
      <c r="E529" s="36">
        <v>1701859</v>
      </c>
      <c r="G529" s="57"/>
      <c r="H529" s="57"/>
      <c r="I529" s="65"/>
      <c r="J529" s="64"/>
      <c r="K529" s="65"/>
      <c r="L529" s="64"/>
    </row>
    <row r="530" spans="1:12" x14ac:dyDescent="0.2">
      <c r="A530">
        <v>2019</v>
      </c>
      <c r="B530" s="34">
        <v>806</v>
      </c>
      <c r="C530" s="34" t="s">
        <v>476</v>
      </c>
      <c r="D530" s="36">
        <v>227272</v>
      </c>
      <c r="E530" s="36">
        <v>2097954</v>
      </c>
      <c r="G530" s="57"/>
      <c r="H530" s="57"/>
      <c r="I530" s="65"/>
      <c r="J530" s="64"/>
      <c r="K530" s="65"/>
      <c r="L530" s="64"/>
    </row>
    <row r="531" spans="1:12" x14ac:dyDescent="0.2">
      <c r="A531">
        <v>2019</v>
      </c>
      <c r="B531" s="34">
        <v>807</v>
      </c>
      <c r="C531" s="34" t="s">
        <v>679</v>
      </c>
      <c r="D531" s="36">
        <v>184152</v>
      </c>
      <c r="E531" s="36">
        <v>1760067</v>
      </c>
      <c r="G531" s="57"/>
      <c r="H531" s="57"/>
      <c r="I531" s="65"/>
      <c r="J531" s="64"/>
      <c r="K531" s="65"/>
      <c r="L531" s="64"/>
    </row>
    <row r="532" spans="1:12" x14ac:dyDescent="0.2">
      <c r="A532">
        <v>2019</v>
      </c>
      <c r="B532" s="34">
        <v>808</v>
      </c>
      <c r="C532" s="34" t="s">
        <v>680</v>
      </c>
      <c r="D532" s="36">
        <v>296664</v>
      </c>
      <c r="E532" s="36">
        <v>1367421</v>
      </c>
      <c r="G532" s="57"/>
      <c r="H532" s="57"/>
      <c r="I532" s="65"/>
      <c r="J532" s="64"/>
      <c r="K532" s="65"/>
      <c r="L532" s="64"/>
    </row>
    <row r="533" spans="1:12" x14ac:dyDescent="0.2">
      <c r="A533">
        <v>2019</v>
      </c>
      <c r="B533" s="34">
        <v>809</v>
      </c>
      <c r="C533" s="34" t="s">
        <v>681</v>
      </c>
      <c r="D533" s="36">
        <v>246777</v>
      </c>
      <c r="E533" s="36">
        <v>1066422</v>
      </c>
      <c r="G533" s="57"/>
      <c r="H533" s="57"/>
      <c r="I533" s="65"/>
      <c r="J533" s="64"/>
      <c r="K533" s="65"/>
      <c r="L533" s="64"/>
    </row>
    <row r="534" spans="1:12" x14ac:dyDescent="0.2">
      <c r="A534">
        <v>2019</v>
      </c>
      <c r="B534" s="34">
        <v>810</v>
      </c>
      <c r="C534" s="34" t="s">
        <v>682</v>
      </c>
      <c r="E534" s="36">
        <v>8534660</v>
      </c>
      <c r="G534" s="57"/>
      <c r="H534" s="57"/>
      <c r="I534" s="65"/>
      <c r="J534" s="64"/>
      <c r="K534" s="57"/>
      <c r="L534" s="64"/>
    </row>
    <row r="535" spans="1:12" x14ac:dyDescent="0.2">
      <c r="A535">
        <v>2019</v>
      </c>
      <c r="B535" s="34">
        <v>811</v>
      </c>
      <c r="C535" s="34" t="s">
        <v>477</v>
      </c>
      <c r="D535" s="36">
        <v>286247</v>
      </c>
      <c r="E535" s="36">
        <v>519072</v>
      </c>
      <c r="G535" s="57"/>
      <c r="H535" s="57"/>
      <c r="I535" s="65"/>
      <c r="J535" s="64"/>
      <c r="K535" s="65"/>
      <c r="L535" s="64"/>
    </row>
    <row r="536" spans="1:12" x14ac:dyDescent="0.2">
      <c r="A536">
        <v>2019</v>
      </c>
      <c r="B536" s="34">
        <v>812</v>
      </c>
      <c r="C536" s="34" t="s">
        <v>683</v>
      </c>
      <c r="D536" s="36">
        <v>746009</v>
      </c>
      <c r="E536" s="36">
        <v>2242151</v>
      </c>
      <c r="G536" s="57"/>
      <c r="H536" s="57"/>
      <c r="I536" s="65"/>
      <c r="J536" s="64"/>
      <c r="K536" s="65"/>
      <c r="L536" s="64"/>
    </row>
    <row r="537" spans="1:12" x14ac:dyDescent="0.2">
      <c r="A537">
        <v>2019</v>
      </c>
      <c r="B537" s="34">
        <v>813</v>
      </c>
      <c r="C537" s="34" t="s">
        <v>684</v>
      </c>
      <c r="D537" s="36">
        <v>814044</v>
      </c>
      <c r="E537" s="36">
        <v>3574134</v>
      </c>
      <c r="G537" s="57"/>
      <c r="H537" s="57"/>
      <c r="I537" s="66"/>
      <c r="J537" s="66"/>
    </row>
    <row r="539" spans="1:12" x14ac:dyDescent="0.2">
      <c r="D539" s="36">
        <f>SUM(D2:D537)</f>
        <v>119080046</v>
      </c>
      <c r="E539" s="36">
        <f>SUM(E2:E537)</f>
        <v>711760160</v>
      </c>
    </row>
    <row r="541" spans="1:12" x14ac:dyDescent="0.2">
      <c r="D541" s="36">
        <v>119080046</v>
      </c>
      <c r="E541" s="34">
        <v>711760160</v>
      </c>
    </row>
    <row r="543" spans="1:12" x14ac:dyDescent="0.2">
      <c r="C543" s="61" t="s">
        <v>685</v>
      </c>
      <c r="D543" s="67">
        <f>D539-D541</f>
        <v>0</v>
      </c>
      <c r="E543" s="67">
        <f>E539-E541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E26A-6C3F-0B47-9423-2BE5B91157D8}">
  <sheetPr>
    <tabColor rgb="FFFFFF00"/>
  </sheetPr>
  <dimension ref="A1:O543"/>
  <sheetViews>
    <sheetView topLeftCell="C1" workbookViewId="0">
      <selection activeCell="E2" sqref="E2:E537"/>
    </sheetView>
  </sheetViews>
  <sheetFormatPr baseColWidth="10" defaultRowHeight="16" x14ac:dyDescent="0.2"/>
  <cols>
    <col min="2" max="2" width="10.83203125" style="34"/>
    <col min="3" max="3" width="35.1640625" style="34" bestFit="1" customWidth="1"/>
    <col min="4" max="4" width="19.83203125" style="34" bestFit="1" customWidth="1"/>
    <col min="5" max="5" width="10.83203125" style="34"/>
  </cols>
  <sheetData>
    <row r="1" spans="1:15" x14ac:dyDescent="0.2">
      <c r="A1" t="s">
        <v>729</v>
      </c>
      <c r="B1" s="33" t="s">
        <v>521</v>
      </c>
      <c r="C1" s="39" t="s">
        <v>522</v>
      </c>
      <c r="D1" s="63" t="s">
        <v>523</v>
      </c>
    </row>
    <row r="2" spans="1:15" x14ac:dyDescent="0.2">
      <c r="A2">
        <v>2020</v>
      </c>
      <c r="B2" s="34">
        <v>1</v>
      </c>
      <c r="C2" s="34" t="s">
        <v>0</v>
      </c>
      <c r="D2" s="36">
        <v>29091</v>
      </c>
      <c r="E2" s="65">
        <v>180074</v>
      </c>
      <c r="F2" s="57"/>
      <c r="G2" s="57"/>
      <c r="H2" s="5"/>
      <c r="I2" s="57"/>
      <c r="J2" s="5"/>
      <c r="K2" s="64"/>
      <c r="L2" s="5"/>
      <c r="M2" s="57"/>
      <c r="N2" s="5"/>
      <c r="O2" s="64"/>
    </row>
    <row r="3" spans="1:15" x14ac:dyDescent="0.2">
      <c r="A3">
        <v>2020</v>
      </c>
      <c r="B3" s="34">
        <v>2</v>
      </c>
      <c r="C3" s="34" t="s">
        <v>1</v>
      </c>
      <c r="D3" s="36">
        <v>21510</v>
      </c>
      <c r="E3" s="65">
        <v>166807</v>
      </c>
      <c r="F3" s="57"/>
      <c r="G3" s="57"/>
      <c r="H3" s="11"/>
      <c r="I3" s="65"/>
      <c r="J3" s="11"/>
      <c r="K3" s="64"/>
      <c r="L3" s="11"/>
      <c r="M3" s="65"/>
      <c r="N3" s="11"/>
      <c r="O3" s="64"/>
    </row>
    <row r="4" spans="1:15" x14ac:dyDescent="0.2">
      <c r="A4">
        <v>2020</v>
      </c>
      <c r="B4" s="34">
        <v>3</v>
      </c>
      <c r="C4" s="34" t="s">
        <v>2</v>
      </c>
      <c r="D4" s="36">
        <v>309258</v>
      </c>
      <c r="E4" s="65">
        <v>1863479</v>
      </c>
      <c r="F4" s="57"/>
      <c r="G4" s="57"/>
      <c r="H4" s="11"/>
      <c r="I4" s="65"/>
      <c r="J4" s="11"/>
      <c r="K4" s="64"/>
      <c r="L4" s="11"/>
      <c r="M4" s="65"/>
      <c r="N4" s="11"/>
      <c r="O4" s="64"/>
    </row>
    <row r="5" spans="1:15" x14ac:dyDescent="0.2">
      <c r="A5">
        <v>2020</v>
      </c>
      <c r="B5" s="34">
        <v>4</v>
      </c>
      <c r="C5" s="34" t="s">
        <v>3</v>
      </c>
      <c r="D5" s="36">
        <v>189961</v>
      </c>
      <c r="E5" s="65">
        <v>1488889</v>
      </c>
      <c r="F5" s="57"/>
      <c r="G5" s="57"/>
      <c r="H5" s="11"/>
      <c r="I5" s="65"/>
      <c r="J5" s="11"/>
      <c r="K5" s="64"/>
      <c r="L5" s="11"/>
      <c r="M5" s="65"/>
      <c r="N5" s="11"/>
      <c r="O5" s="64"/>
    </row>
    <row r="6" spans="1:15" x14ac:dyDescent="0.2">
      <c r="A6">
        <v>2020</v>
      </c>
      <c r="B6" s="34">
        <v>5</v>
      </c>
      <c r="C6" s="34" t="s">
        <v>4</v>
      </c>
      <c r="D6" s="36">
        <v>37261</v>
      </c>
      <c r="E6" s="65">
        <v>301204</v>
      </c>
      <c r="F6" s="57"/>
      <c r="G6" s="57"/>
      <c r="H6" s="11"/>
      <c r="I6" s="65"/>
      <c r="J6" s="11"/>
      <c r="K6" s="64"/>
      <c r="L6" s="11"/>
      <c r="M6" s="65"/>
      <c r="N6" s="11"/>
      <c r="O6" s="64"/>
    </row>
    <row r="7" spans="1:15" x14ac:dyDescent="0.2">
      <c r="A7">
        <v>2020</v>
      </c>
      <c r="B7" s="34">
        <v>6</v>
      </c>
      <c r="C7" s="34" t="s">
        <v>5</v>
      </c>
      <c r="D7" s="36">
        <v>19113</v>
      </c>
      <c r="E7" s="65">
        <v>116946</v>
      </c>
      <c r="F7" s="57"/>
      <c r="G7" s="57"/>
      <c r="H7" s="11"/>
      <c r="I7" s="65"/>
      <c r="J7" s="11"/>
      <c r="K7" s="64"/>
      <c r="L7" s="11"/>
      <c r="M7" s="65"/>
      <c r="N7" s="11"/>
      <c r="O7" s="64"/>
    </row>
    <row r="8" spans="1:15" x14ac:dyDescent="0.2">
      <c r="A8">
        <v>2020</v>
      </c>
      <c r="B8" s="34">
        <v>8</v>
      </c>
      <c r="C8" s="34" t="s">
        <v>6</v>
      </c>
      <c r="D8" s="36">
        <v>44848</v>
      </c>
      <c r="E8" s="65">
        <v>358330</v>
      </c>
      <c r="F8" s="57"/>
      <c r="G8" s="57"/>
      <c r="H8" s="11"/>
      <c r="I8" s="65"/>
      <c r="J8" s="11"/>
      <c r="K8" s="64"/>
      <c r="L8" s="11"/>
      <c r="M8" s="65"/>
      <c r="N8" s="11"/>
      <c r="O8" s="64"/>
    </row>
    <row r="9" spans="1:15" x14ac:dyDescent="0.2">
      <c r="A9">
        <v>2020</v>
      </c>
      <c r="B9" s="34">
        <v>9</v>
      </c>
      <c r="C9" s="34" t="s">
        <v>7</v>
      </c>
      <c r="D9" s="36">
        <v>36740</v>
      </c>
      <c r="E9" s="65">
        <v>289537</v>
      </c>
      <c r="F9" s="57"/>
      <c r="G9" s="57"/>
      <c r="H9" s="11"/>
      <c r="I9" s="65"/>
      <c r="J9" s="11"/>
      <c r="K9" s="64"/>
      <c r="L9" s="11"/>
      <c r="M9" s="65"/>
      <c r="N9" s="11"/>
      <c r="O9" s="64"/>
    </row>
    <row r="10" spans="1:15" x14ac:dyDescent="0.2">
      <c r="A10">
        <v>2020</v>
      </c>
      <c r="B10" s="34">
        <v>10</v>
      </c>
      <c r="C10" s="34" t="s">
        <v>8</v>
      </c>
      <c r="D10" s="36">
        <v>11166</v>
      </c>
      <c r="E10" s="65">
        <v>149210</v>
      </c>
      <c r="F10" s="57"/>
      <c r="G10" s="57"/>
      <c r="H10" s="11"/>
      <c r="I10" s="65"/>
      <c r="J10" s="11"/>
      <c r="K10" s="64"/>
      <c r="L10" s="11"/>
      <c r="M10" s="65"/>
      <c r="N10" s="11"/>
      <c r="O10" s="64"/>
    </row>
    <row r="11" spans="1:15" x14ac:dyDescent="0.2">
      <c r="A11">
        <v>2020</v>
      </c>
      <c r="B11" s="34">
        <v>12</v>
      </c>
      <c r="C11" s="34" t="s">
        <v>9</v>
      </c>
      <c r="D11" s="36">
        <v>66271</v>
      </c>
      <c r="E11" s="65">
        <v>367494</v>
      </c>
      <c r="F11" s="57"/>
      <c r="G11" s="57"/>
      <c r="H11" s="11"/>
      <c r="I11" s="65"/>
      <c r="J11" s="11"/>
      <c r="K11" s="64"/>
      <c r="L11" s="11"/>
      <c r="M11" s="65"/>
      <c r="N11" s="11"/>
      <c r="O11" s="64"/>
    </row>
    <row r="12" spans="1:15" x14ac:dyDescent="0.2">
      <c r="A12">
        <v>2020</v>
      </c>
      <c r="B12" s="34">
        <v>14</v>
      </c>
      <c r="C12" s="34" t="s">
        <v>10</v>
      </c>
      <c r="D12" s="36">
        <v>36153</v>
      </c>
      <c r="E12" s="65">
        <v>279421</v>
      </c>
      <c r="F12" s="57"/>
      <c r="G12" s="57"/>
      <c r="H12" s="11"/>
      <c r="I12" s="65"/>
      <c r="J12" s="11"/>
      <c r="K12" s="64"/>
      <c r="L12" s="11"/>
      <c r="M12" s="65"/>
      <c r="N12" s="11"/>
      <c r="O12" s="64"/>
    </row>
    <row r="13" spans="1:15" x14ac:dyDescent="0.2">
      <c r="A13">
        <v>2020</v>
      </c>
      <c r="B13" s="34">
        <v>15</v>
      </c>
      <c r="C13" s="34" t="s">
        <v>11</v>
      </c>
      <c r="D13" s="36">
        <v>295995</v>
      </c>
      <c r="E13" s="65">
        <v>1685144</v>
      </c>
      <c r="F13" s="57"/>
      <c r="G13" s="57"/>
      <c r="H13" s="11"/>
      <c r="I13" s="65"/>
      <c r="J13" s="11"/>
      <c r="K13" s="64"/>
      <c r="L13" s="11"/>
      <c r="M13" s="65"/>
      <c r="N13" s="11"/>
      <c r="O13" s="64"/>
    </row>
    <row r="14" spans="1:15" x14ac:dyDescent="0.2">
      <c r="A14">
        <v>2020</v>
      </c>
      <c r="B14" s="34">
        <v>19</v>
      </c>
      <c r="C14" s="34" t="s">
        <v>540</v>
      </c>
      <c r="D14" s="36">
        <v>246972</v>
      </c>
      <c r="E14" s="65">
        <v>2008703</v>
      </c>
      <c r="F14" s="57"/>
      <c r="G14" s="57"/>
      <c r="H14" s="11"/>
      <c r="I14" s="65"/>
      <c r="J14" s="11"/>
      <c r="K14" s="64"/>
      <c r="L14" s="11"/>
      <c r="M14" s="65"/>
      <c r="N14" s="11"/>
      <c r="O14" s="64"/>
    </row>
    <row r="15" spans="1:15" x14ac:dyDescent="0.2">
      <c r="A15">
        <v>2020</v>
      </c>
      <c r="B15" s="34">
        <v>20</v>
      </c>
      <c r="C15" s="34" t="s">
        <v>13</v>
      </c>
      <c r="D15" s="36">
        <v>71163</v>
      </c>
      <c r="E15" s="65">
        <v>432589</v>
      </c>
      <c r="F15" s="57"/>
      <c r="G15" s="57"/>
      <c r="H15" s="11"/>
      <c r="I15" s="65"/>
      <c r="J15" s="11"/>
      <c r="K15" s="64"/>
      <c r="L15" s="11"/>
      <c r="M15" s="65"/>
      <c r="N15" s="11"/>
      <c r="O15" s="64"/>
    </row>
    <row r="16" spans="1:15" x14ac:dyDescent="0.2">
      <c r="A16">
        <v>2020</v>
      </c>
      <c r="B16" s="34">
        <v>21</v>
      </c>
      <c r="C16" s="34" t="s">
        <v>14</v>
      </c>
      <c r="D16" s="36">
        <v>50700</v>
      </c>
      <c r="E16" s="65">
        <v>264241</v>
      </c>
      <c r="F16" s="57"/>
      <c r="G16" s="57"/>
      <c r="H16" s="11"/>
      <c r="I16" s="65"/>
      <c r="J16" s="11"/>
      <c r="K16" s="64"/>
      <c r="L16" s="11"/>
      <c r="M16" s="65"/>
      <c r="N16" s="11"/>
      <c r="O16" s="64"/>
    </row>
    <row r="17" spans="1:15" x14ac:dyDescent="0.2">
      <c r="A17">
        <v>2020</v>
      </c>
      <c r="B17" s="34">
        <v>22</v>
      </c>
      <c r="C17" s="34" t="s">
        <v>15</v>
      </c>
      <c r="D17" s="36">
        <v>219838</v>
      </c>
      <c r="E17" s="65">
        <v>1375556</v>
      </c>
      <c r="F17" s="57"/>
      <c r="G17" s="57"/>
      <c r="H17" s="11"/>
      <c r="I17" s="65"/>
      <c r="J17" s="11"/>
      <c r="K17" s="64"/>
      <c r="L17" s="11"/>
      <c r="M17" s="65"/>
      <c r="N17" s="11"/>
      <c r="O17" s="64"/>
    </row>
    <row r="18" spans="1:15" x14ac:dyDescent="0.2">
      <c r="A18">
        <v>2020</v>
      </c>
      <c r="B18" s="34">
        <v>23</v>
      </c>
      <c r="C18" s="34" t="s">
        <v>16</v>
      </c>
      <c r="D18" s="36">
        <v>97054</v>
      </c>
      <c r="E18" s="65">
        <v>470573</v>
      </c>
      <c r="F18" s="57"/>
      <c r="G18" s="57"/>
      <c r="H18" s="11"/>
      <c r="I18" s="65"/>
      <c r="J18" s="11"/>
      <c r="K18" s="64"/>
      <c r="L18" s="11"/>
      <c r="M18" s="65"/>
      <c r="N18" s="11"/>
      <c r="O18" s="64"/>
    </row>
    <row r="19" spans="1:15" x14ac:dyDescent="0.2">
      <c r="A19">
        <v>2020</v>
      </c>
      <c r="B19" s="34">
        <v>24</v>
      </c>
      <c r="C19" s="34" t="s">
        <v>17</v>
      </c>
      <c r="D19" s="36">
        <v>39950</v>
      </c>
      <c r="E19" s="65">
        <v>203273</v>
      </c>
      <c r="F19" s="57"/>
      <c r="G19" s="57"/>
      <c r="H19" s="11"/>
      <c r="I19" s="65"/>
      <c r="J19" s="11"/>
      <c r="K19" s="64"/>
      <c r="L19" s="11"/>
      <c r="M19" s="65"/>
      <c r="N19" s="11"/>
      <c r="O19" s="64"/>
    </row>
    <row r="20" spans="1:15" x14ac:dyDescent="0.2">
      <c r="A20">
        <v>2020</v>
      </c>
      <c r="B20" s="34">
        <v>28</v>
      </c>
      <c r="C20" s="34" t="s">
        <v>18</v>
      </c>
      <c r="D20" s="36">
        <v>87801</v>
      </c>
      <c r="E20" s="65">
        <v>291863</v>
      </c>
      <c r="F20" s="57"/>
      <c r="G20" s="57"/>
      <c r="H20" s="11"/>
      <c r="I20" s="65"/>
      <c r="J20" s="11"/>
      <c r="K20" s="64"/>
      <c r="L20" s="11"/>
      <c r="M20" s="65"/>
      <c r="N20" s="11"/>
      <c r="O20" s="64"/>
    </row>
    <row r="21" spans="1:15" x14ac:dyDescent="0.2">
      <c r="A21">
        <v>2020</v>
      </c>
      <c r="B21" s="34">
        <v>31</v>
      </c>
      <c r="C21" s="34" t="s">
        <v>541</v>
      </c>
      <c r="D21" s="36">
        <v>123394</v>
      </c>
      <c r="E21" s="65">
        <v>915431</v>
      </c>
      <c r="F21" s="57"/>
      <c r="G21" s="57"/>
      <c r="H21" s="11"/>
      <c r="I21" s="65"/>
      <c r="J21" s="11"/>
      <c r="K21" s="64"/>
      <c r="L21" s="11"/>
      <c r="M21" s="65"/>
      <c r="N21" s="11"/>
      <c r="O21" s="64"/>
    </row>
    <row r="22" spans="1:15" x14ac:dyDescent="0.2">
      <c r="A22">
        <v>2020</v>
      </c>
      <c r="B22" s="34">
        <v>32</v>
      </c>
      <c r="C22" s="34" t="s">
        <v>542</v>
      </c>
      <c r="D22" s="36">
        <v>30445</v>
      </c>
      <c r="E22" s="65">
        <v>245903</v>
      </c>
      <c r="F22" s="57"/>
      <c r="G22" s="57"/>
      <c r="H22" s="11"/>
      <c r="I22" s="65"/>
      <c r="J22" s="11"/>
      <c r="K22" s="64"/>
      <c r="L22" s="11"/>
      <c r="M22" s="65"/>
      <c r="N22" s="11"/>
      <c r="O22" s="64"/>
    </row>
    <row r="23" spans="1:15" x14ac:dyDescent="0.2">
      <c r="A23">
        <v>2020</v>
      </c>
      <c r="B23" s="34">
        <v>33</v>
      </c>
      <c r="C23" s="34" t="s">
        <v>21</v>
      </c>
      <c r="D23" s="36">
        <v>26010</v>
      </c>
      <c r="E23" s="65">
        <v>148568</v>
      </c>
      <c r="F23" s="57"/>
      <c r="G23" s="57"/>
      <c r="H23" s="11"/>
      <c r="I23" s="65"/>
      <c r="J23" s="11"/>
      <c r="K23" s="64"/>
      <c r="L23" s="11"/>
      <c r="M23" s="65"/>
      <c r="N23" s="11"/>
      <c r="O23" s="64"/>
    </row>
    <row r="24" spans="1:15" x14ac:dyDescent="0.2">
      <c r="A24">
        <v>2020</v>
      </c>
      <c r="B24" s="34">
        <v>34</v>
      </c>
      <c r="C24" s="34" t="s">
        <v>22</v>
      </c>
      <c r="D24" s="36">
        <v>23127</v>
      </c>
      <c r="E24" s="65">
        <v>152517</v>
      </c>
      <c r="F24" s="57"/>
      <c r="G24" s="57"/>
      <c r="H24" s="11"/>
      <c r="I24" s="65"/>
      <c r="J24" s="11"/>
      <c r="K24" s="64"/>
      <c r="L24" s="11"/>
      <c r="M24" s="65"/>
      <c r="N24" s="11"/>
      <c r="O24" s="64"/>
    </row>
    <row r="25" spans="1:15" x14ac:dyDescent="0.2">
      <c r="A25">
        <v>2020</v>
      </c>
      <c r="B25" s="34">
        <v>35</v>
      </c>
      <c r="C25" s="34" t="s">
        <v>543</v>
      </c>
      <c r="D25" s="36">
        <v>13587</v>
      </c>
      <c r="E25" s="65">
        <v>104328</v>
      </c>
      <c r="F25" s="57"/>
      <c r="G25" s="57"/>
      <c r="H25" s="11"/>
      <c r="I25" s="65"/>
      <c r="J25" s="11"/>
      <c r="K25" s="64"/>
      <c r="L25" s="11"/>
      <c r="M25" s="65"/>
      <c r="N25" s="11"/>
      <c r="O25" s="64"/>
    </row>
    <row r="26" spans="1:15" x14ac:dyDescent="0.2">
      <c r="A26">
        <v>2020</v>
      </c>
      <c r="B26" s="34">
        <v>36</v>
      </c>
      <c r="C26" s="34" t="s">
        <v>24</v>
      </c>
      <c r="D26" s="36">
        <v>55749</v>
      </c>
      <c r="E26" s="65">
        <v>500841</v>
      </c>
      <c r="F26" s="57"/>
      <c r="G26" s="57"/>
      <c r="H26" s="11"/>
      <c r="I26" s="65"/>
      <c r="J26" s="11"/>
      <c r="K26" s="64"/>
      <c r="L26" s="11"/>
      <c r="M26" s="65"/>
      <c r="N26" s="11"/>
      <c r="O26" s="64"/>
    </row>
    <row r="27" spans="1:15" x14ac:dyDescent="0.2">
      <c r="A27">
        <v>2020</v>
      </c>
      <c r="B27" s="34">
        <v>37</v>
      </c>
      <c r="C27" s="34" t="s">
        <v>25</v>
      </c>
      <c r="D27" s="36">
        <v>26919</v>
      </c>
      <c r="E27" s="65">
        <v>250197</v>
      </c>
      <c r="F27" s="57"/>
      <c r="G27" s="57"/>
      <c r="H27" s="11"/>
      <c r="I27" s="65"/>
      <c r="J27" s="11"/>
      <c r="K27" s="64"/>
      <c r="L27" s="11"/>
      <c r="M27" s="65"/>
      <c r="N27" s="11"/>
      <c r="O27" s="64"/>
    </row>
    <row r="28" spans="1:15" x14ac:dyDescent="0.2">
      <c r="A28">
        <v>2020</v>
      </c>
      <c r="B28" s="34">
        <v>38</v>
      </c>
      <c r="C28" s="34" t="s">
        <v>26</v>
      </c>
      <c r="D28" s="36">
        <v>91168</v>
      </c>
      <c r="E28" s="65">
        <v>694233</v>
      </c>
      <c r="F28" s="57"/>
      <c r="G28" s="57"/>
      <c r="H28" s="11"/>
      <c r="I28" s="65"/>
      <c r="J28" s="11"/>
      <c r="K28" s="64"/>
      <c r="L28" s="11"/>
      <c r="M28" s="65"/>
      <c r="N28" s="11"/>
      <c r="O28" s="64"/>
    </row>
    <row r="29" spans="1:15" x14ac:dyDescent="0.2">
      <c r="A29">
        <v>2020</v>
      </c>
      <c r="B29" s="34">
        <v>39</v>
      </c>
      <c r="C29" s="34" t="s">
        <v>27</v>
      </c>
      <c r="D29" s="36">
        <v>18211</v>
      </c>
      <c r="E29" s="65">
        <v>122954</v>
      </c>
      <c r="F29" s="57"/>
      <c r="G29" s="57"/>
      <c r="H29" s="11"/>
      <c r="I29" s="65"/>
      <c r="J29" s="11"/>
      <c r="K29" s="64"/>
      <c r="L29" s="11"/>
      <c r="M29" s="65"/>
      <c r="N29" s="11"/>
      <c r="O29" s="64"/>
    </row>
    <row r="30" spans="1:15" x14ac:dyDescent="0.2">
      <c r="A30">
        <v>2020</v>
      </c>
      <c r="B30" s="34">
        <v>40</v>
      </c>
      <c r="C30" s="34" t="s">
        <v>28</v>
      </c>
      <c r="D30" s="36">
        <v>3604</v>
      </c>
      <c r="E30" s="65">
        <v>32386</v>
      </c>
      <c r="F30" s="57"/>
      <c r="G30" s="57"/>
      <c r="H30" s="11"/>
      <c r="I30" s="65"/>
      <c r="J30" s="11"/>
      <c r="K30" s="64"/>
      <c r="L30" s="11"/>
      <c r="M30" s="65"/>
      <c r="N30" s="11"/>
      <c r="O30" s="64"/>
    </row>
    <row r="31" spans="1:15" x14ac:dyDescent="0.2">
      <c r="A31">
        <v>2020</v>
      </c>
      <c r="B31" s="34">
        <v>41</v>
      </c>
      <c r="C31" s="34" t="s">
        <v>544</v>
      </c>
      <c r="D31" s="36">
        <v>65158</v>
      </c>
      <c r="E31" s="65">
        <v>463046</v>
      </c>
      <c r="F31" s="57"/>
      <c r="G31" s="57"/>
      <c r="H31" s="11"/>
      <c r="I31" s="65"/>
      <c r="J31" s="11"/>
      <c r="K31" s="64"/>
      <c r="L31" s="11"/>
      <c r="M31" s="65"/>
      <c r="N31" s="11"/>
      <c r="O31" s="64"/>
    </row>
    <row r="32" spans="1:15" x14ac:dyDescent="0.2">
      <c r="A32">
        <v>2020</v>
      </c>
      <c r="B32" s="34">
        <v>42</v>
      </c>
      <c r="C32" s="34" t="s">
        <v>545</v>
      </c>
      <c r="D32" s="36">
        <v>44225</v>
      </c>
      <c r="E32" s="65">
        <v>358190</v>
      </c>
      <c r="F32" s="57"/>
      <c r="G32" s="57"/>
      <c r="H32" s="11"/>
      <c r="I32" s="65"/>
      <c r="J32" s="11"/>
      <c r="K32" s="64"/>
      <c r="L32" s="11"/>
      <c r="M32" s="65"/>
      <c r="N32" s="11"/>
      <c r="O32" s="64"/>
    </row>
    <row r="33" spans="1:15" x14ac:dyDescent="0.2">
      <c r="A33">
        <v>2020</v>
      </c>
      <c r="B33" s="34">
        <v>43</v>
      </c>
      <c r="C33" s="34" t="s">
        <v>31</v>
      </c>
      <c r="D33" s="36">
        <v>160231</v>
      </c>
      <c r="E33" s="65">
        <v>799754</v>
      </c>
      <c r="F33" s="57"/>
      <c r="G33" s="57"/>
      <c r="H33" s="11"/>
      <c r="I33" s="65"/>
      <c r="J33" s="11"/>
      <c r="K33" s="64"/>
      <c r="L33" s="11"/>
      <c r="M33" s="65"/>
      <c r="N33" s="11"/>
      <c r="O33" s="64"/>
    </row>
    <row r="34" spans="1:15" x14ac:dyDescent="0.2">
      <c r="A34">
        <v>2020</v>
      </c>
      <c r="B34" s="34">
        <v>46</v>
      </c>
      <c r="C34" s="34" t="s">
        <v>32</v>
      </c>
      <c r="D34" s="36">
        <v>59052</v>
      </c>
      <c r="E34" s="65">
        <v>309976</v>
      </c>
      <c r="F34" s="57"/>
      <c r="G34" s="57"/>
      <c r="H34" s="11"/>
      <c r="I34" s="65"/>
      <c r="J34" s="11"/>
      <c r="K34" s="64"/>
      <c r="L34" s="11"/>
      <c r="M34" s="65"/>
      <c r="N34" s="11"/>
      <c r="O34" s="64"/>
    </row>
    <row r="35" spans="1:15" x14ac:dyDescent="0.2">
      <c r="A35">
        <v>2020</v>
      </c>
      <c r="B35" s="34">
        <v>47</v>
      </c>
      <c r="C35" s="34" t="s">
        <v>33</v>
      </c>
      <c r="D35" s="36">
        <v>15220</v>
      </c>
      <c r="E35" s="65">
        <v>123486</v>
      </c>
      <c r="F35" s="57"/>
      <c r="G35" s="57"/>
      <c r="H35" s="11"/>
      <c r="I35" s="65"/>
      <c r="J35" s="11"/>
      <c r="K35" s="64"/>
      <c r="L35" s="11"/>
      <c r="M35" s="65"/>
      <c r="N35" s="11"/>
      <c r="O35" s="64"/>
    </row>
    <row r="36" spans="1:15" x14ac:dyDescent="0.2">
      <c r="A36">
        <v>2020</v>
      </c>
      <c r="B36" s="34">
        <v>48</v>
      </c>
      <c r="C36" s="34" t="s">
        <v>34</v>
      </c>
      <c r="D36" s="36">
        <v>88550</v>
      </c>
      <c r="E36" s="65">
        <v>577977</v>
      </c>
      <c r="F36" s="57"/>
      <c r="G36" s="57"/>
      <c r="H36" s="11"/>
      <c r="I36" s="65"/>
      <c r="J36" s="11"/>
      <c r="K36" s="64"/>
      <c r="L36" s="11"/>
      <c r="M36" s="65"/>
      <c r="N36" s="11"/>
      <c r="O36" s="64"/>
    </row>
    <row r="37" spans="1:15" x14ac:dyDescent="0.2">
      <c r="A37">
        <v>2020</v>
      </c>
      <c r="B37" s="34">
        <v>49</v>
      </c>
      <c r="C37" s="34" t="s">
        <v>35</v>
      </c>
      <c r="D37" s="36">
        <v>26135</v>
      </c>
      <c r="E37" s="65">
        <v>127072</v>
      </c>
      <c r="F37" s="57"/>
      <c r="G37" s="57"/>
      <c r="H37" s="11"/>
      <c r="I37" s="65"/>
      <c r="J37" s="11"/>
      <c r="K37" s="64"/>
      <c r="L37" s="11"/>
      <c r="M37" s="65"/>
      <c r="N37" s="11"/>
      <c r="O37" s="64"/>
    </row>
    <row r="38" spans="1:15" x14ac:dyDescent="0.2">
      <c r="A38">
        <v>2020</v>
      </c>
      <c r="B38" s="34">
        <v>50</v>
      </c>
      <c r="C38" s="34" t="s">
        <v>36</v>
      </c>
      <c r="D38" s="36">
        <v>156793</v>
      </c>
      <c r="E38" s="65">
        <v>1294556</v>
      </c>
      <c r="F38" s="57"/>
      <c r="G38" s="57"/>
      <c r="H38" s="11"/>
      <c r="I38" s="65"/>
      <c r="J38" s="11"/>
      <c r="K38" s="64"/>
      <c r="L38" s="11"/>
      <c r="M38" s="65"/>
      <c r="N38" s="11"/>
      <c r="O38" s="64"/>
    </row>
    <row r="39" spans="1:15" x14ac:dyDescent="0.2">
      <c r="A39">
        <v>2020</v>
      </c>
      <c r="B39" s="34">
        <v>52</v>
      </c>
      <c r="C39" s="34" t="s">
        <v>37</v>
      </c>
      <c r="D39" s="36">
        <v>131149</v>
      </c>
      <c r="E39" s="65">
        <v>925133</v>
      </c>
      <c r="F39" s="57"/>
      <c r="G39" s="57"/>
      <c r="H39" s="11"/>
      <c r="I39" s="65"/>
      <c r="J39" s="11"/>
      <c r="K39" s="64"/>
      <c r="L39" s="11"/>
      <c r="M39" s="65"/>
      <c r="N39" s="11"/>
      <c r="O39" s="64"/>
    </row>
    <row r="40" spans="1:15" x14ac:dyDescent="0.2">
      <c r="A40">
        <v>2020</v>
      </c>
      <c r="B40" s="34">
        <v>53</v>
      </c>
      <c r="C40" s="34" t="s">
        <v>38</v>
      </c>
      <c r="D40" s="36">
        <v>50783</v>
      </c>
      <c r="E40" s="65">
        <v>301171</v>
      </c>
      <c r="F40" s="57"/>
      <c r="G40" s="57"/>
      <c r="H40" s="11"/>
      <c r="I40" s="65"/>
      <c r="J40" s="11"/>
      <c r="K40" s="64"/>
      <c r="L40" s="11"/>
      <c r="M40" s="65"/>
      <c r="N40" s="11"/>
      <c r="O40" s="64"/>
    </row>
    <row r="41" spans="1:15" x14ac:dyDescent="0.2">
      <c r="A41">
        <v>2020</v>
      </c>
      <c r="B41" s="34">
        <v>54</v>
      </c>
      <c r="C41" s="34" t="s">
        <v>39</v>
      </c>
      <c r="D41" s="36">
        <v>89602</v>
      </c>
      <c r="E41" s="65">
        <v>914583</v>
      </c>
      <c r="F41" s="57"/>
      <c r="G41" s="57"/>
      <c r="H41" s="11"/>
      <c r="I41" s="65"/>
      <c r="J41" s="11"/>
      <c r="K41" s="64"/>
      <c r="L41" s="11"/>
      <c r="M41" s="65"/>
      <c r="N41" s="11"/>
      <c r="O41" s="64"/>
    </row>
    <row r="42" spans="1:15" x14ac:dyDescent="0.2">
      <c r="A42">
        <v>2020</v>
      </c>
      <c r="B42" s="34">
        <v>55</v>
      </c>
      <c r="C42" s="34" t="s">
        <v>40</v>
      </c>
      <c r="D42" s="36">
        <v>46295</v>
      </c>
      <c r="E42" s="65">
        <v>401454</v>
      </c>
      <c r="F42" s="57"/>
      <c r="G42" s="57"/>
      <c r="H42" s="11"/>
      <c r="I42" s="65"/>
      <c r="J42" s="11"/>
      <c r="K42" s="64"/>
      <c r="L42" s="11"/>
      <c r="M42" s="65"/>
      <c r="N42" s="11"/>
      <c r="O42" s="64"/>
    </row>
    <row r="43" spans="1:15" x14ac:dyDescent="0.2">
      <c r="A43">
        <v>2020</v>
      </c>
      <c r="B43" s="34">
        <v>57</v>
      </c>
      <c r="C43" s="34" t="s">
        <v>41</v>
      </c>
      <c r="D43" s="36">
        <v>2922462</v>
      </c>
      <c r="E43" s="65">
        <v>16727251</v>
      </c>
      <c r="F43" s="57"/>
      <c r="G43" s="57"/>
      <c r="H43" s="11"/>
      <c r="I43" s="65"/>
      <c r="J43" s="11"/>
      <c r="K43" s="64"/>
      <c r="L43" s="11"/>
      <c r="M43" s="65"/>
      <c r="N43" s="11"/>
      <c r="O43" s="64"/>
    </row>
    <row r="44" spans="1:15" x14ac:dyDescent="0.2">
      <c r="A44">
        <v>2020</v>
      </c>
      <c r="B44" s="34">
        <v>63</v>
      </c>
      <c r="C44" s="34" t="s">
        <v>42</v>
      </c>
      <c r="D44" s="36">
        <v>44557</v>
      </c>
      <c r="E44" s="65">
        <v>256763</v>
      </c>
      <c r="F44" s="57"/>
      <c r="G44" s="57"/>
      <c r="H44" s="11"/>
      <c r="I44" s="65"/>
      <c r="J44" s="11"/>
      <c r="K44" s="64"/>
      <c r="L44" s="11"/>
      <c r="M44" s="65"/>
      <c r="N44" s="11"/>
      <c r="O44" s="64"/>
    </row>
    <row r="45" spans="1:15" x14ac:dyDescent="0.2">
      <c r="A45">
        <v>2020</v>
      </c>
      <c r="B45" s="34">
        <v>64</v>
      </c>
      <c r="C45" s="34" t="s">
        <v>43</v>
      </c>
      <c r="D45" s="36">
        <v>62405</v>
      </c>
      <c r="E45" s="65">
        <v>502477</v>
      </c>
      <c r="F45" s="57"/>
      <c r="G45" s="57"/>
      <c r="H45" s="5"/>
      <c r="I45" s="65"/>
      <c r="J45" s="5"/>
      <c r="K45" s="64"/>
      <c r="L45" s="5"/>
      <c r="M45" s="65"/>
      <c r="N45" s="5"/>
      <c r="O45" s="64"/>
    </row>
    <row r="46" spans="1:15" x14ac:dyDescent="0.2">
      <c r="A46">
        <v>2020</v>
      </c>
      <c r="B46" s="34">
        <v>65</v>
      </c>
      <c r="C46" s="34" t="s">
        <v>44</v>
      </c>
      <c r="D46" s="36">
        <v>54981</v>
      </c>
      <c r="E46" s="65">
        <v>525006</v>
      </c>
      <c r="F46" s="57"/>
      <c r="G46" s="57"/>
      <c r="H46" s="65"/>
      <c r="I46" s="64"/>
      <c r="J46" s="65"/>
      <c r="K46" s="64"/>
    </row>
    <row r="47" spans="1:15" x14ac:dyDescent="0.2">
      <c r="A47">
        <v>2020</v>
      </c>
      <c r="B47" s="34">
        <v>66</v>
      </c>
      <c r="C47" s="34" t="s">
        <v>45</v>
      </c>
      <c r="D47" s="36">
        <v>1570848</v>
      </c>
      <c r="E47" s="65">
        <v>8089708</v>
      </c>
      <c r="F47" s="57"/>
      <c r="G47" s="57"/>
      <c r="H47" s="65"/>
      <c r="I47" s="64"/>
      <c r="J47" s="65"/>
      <c r="K47" s="64"/>
    </row>
    <row r="48" spans="1:15" x14ac:dyDescent="0.2">
      <c r="A48">
        <v>2020</v>
      </c>
      <c r="B48" s="34">
        <v>67</v>
      </c>
      <c r="C48" s="34" t="s">
        <v>546</v>
      </c>
      <c r="D48" s="36">
        <v>632171</v>
      </c>
      <c r="E48" s="65">
        <v>3377904</v>
      </c>
      <c r="F48" s="57"/>
      <c r="G48" s="57"/>
      <c r="H48" s="65"/>
      <c r="I48" s="64"/>
      <c r="J48" s="65"/>
      <c r="K48" s="64"/>
    </row>
    <row r="49" spans="1:11" x14ac:dyDescent="0.2">
      <c r="A49">
        <v>2020</v>
      </c>
      <c r="B49" s="34">
        <v>68</v>
      </c>
      <c r="C49" s="34" t="s">
        <v>47</v>
      </c>
      <c r="D49" s="36">
        <v>55979</v>
      </c>
      <c r="E49" s="65">
        <v>442588</v>
      </c>
      <c r="F49" s="57"/>
      <c r="G49" s="57"/>
      <c r="H49" s="65"/>
      <c r="I49" s="64"/>
      <c r="J49" s="65"/>
      <c r="K49" s="64"/>
    </row>
    <row r="50" spans="1:11" x14ac:dyDescent="0.2">
      <c r="A50">
        <v>2020</v>
      </c>
      <c r="B50" s="34">
        <v>69</v>
      </c>
      <c r="C50" s="34" t="s">
        <v>48</v>
      </c>
      <c r="D50" s="36">
        <v>126208</v>
      </c>
      <c r="E50" s="65">
        <v>640805</v>
      </c>
      <c r="F50" s="57"/>
      <c r="G50" s="57"/>
      <c r="H50" s="65"/>
      <c r="I50" s="64"/>
      <c r="J50" s="65"/>
      <c r="K50" s="64"/>
    </row>
    <row r="51" spans="1:11" x14ac:dyDescent="0.2">
      <c r="A51">
        <v>2020</v>
      </c>
      <c r="B51" s="34">
        <v>74</v>
      </c>
      <c r="C51" s="34" t="s">
        <v>49</v>
      </c>
      <c r="D51" s="36">
        <v>19116</v>
      </c>
      <c r="E51" s="65">
        <v>74058</v>
      </c>
      <c r="F51" s="57"/>
      <c r="G51" s="57"/>
      <c r="H51" s="65"/>
      <c r="I51" s="64"/>
      <c r="J51" s="65"/>
      <c r="K51" s="64"/>
    </row>
    <row r="52" spans="1:11" x14ac:dyDescent="0.2">
      <c r="A52">
        <v>2020</v>
      </c>
      <c r="B52" s="34">
        <v>75</v>
      </c>
      <c r="C52" s="34" t="s">
        <v>50</v>
      </c>
      <c r="D52" s="36">
        <v>61289</v>
      </c>
      <c r="E52" s="65">
        <v>516640</v>
      </c>
      <c r="F52" s="57"/>
      <c r="G52" s="57"/>
      <c r="H52" s="65"/>
      <c r="I52" s="64"/>
      <c r="J52" s="65"/>
      <c r="K52" s="64"/>
    </row>
    <row r="53" spans="1:11" x14ac:dyDescent="0.2">
      <c r="A53">
        <v>2020</v>
      </c>
      <c r="B53" s="34">
        <v>76</v>
      </c>
      <c r="C53" s="34" t="s">
        <v>51</v>
      </c>
      <c r="D53" s="36">
        <v>2018</v>
      </c>
      <c r="E53" s="65">
        <v>32891</v>
      </c>
      <c r="F53" s="57"/>
      <c r="G53" s="57"/>
      <c r="H53" s="65"/>
      <c r="I53" s="64"/>
      <c r="J53" s="65"/>
      <c r="K53" s="64"/>
    </row>
    <row r="54" spans="1:11" x14ac:dyDescent="0.2">
      <c r="A54">
        <v>2020</v>
      </c>
      <c r="B54" s="34">
        <v>77</v>
      </c>
      <c r="C54" s="34" t="s">
        <v>52</v>
      </c>
      <c r="D54" s="36">
        <v>12516</v>
      </c>
      <c r="E54" s="65">
        <v>49545</v>
      </c>
      <c r="F54" s="57"/>
      <c r="G54" s="57"/>
      <c r="H54" s="65"/>
      <c r="I54" s="64"/>
      <c r="J54" s="65"/>
      <c r="K54" s="64"/>
    </row>
    <row r="55" spans="1:11" x14ac:dyDescent="0.2">
      <c r="A55">
        <v>2020</v>
      </c>
      <c r="B55" s="34">
        <v>78</v>
      </c>
      <c r="C55" s="34" t="s">
        <v>53</v>
      </c>
      <c r="D55" s="36">
        <v>39493</v>
      </c>
      <c r="E55" s="65">
        <v>335810</v>
      </c>
      <c r="F55" s="57"/>
      <c r="G55" s="57"/>
      <c r="H55" s="65"/>
      <c r="I55" s="64"/>
      <c r="J55" s="65"/>
      <c r="K55" s="64"/>
    </row>
    <row r="56" spans="1:11" x14ac:dyDescent="0.2">
      <c r="A56">
        <v>2020</v>
      </c>
      <c r="B56" s="34">
        <v>79</v>
      </c>
      <c r="C56" s="34" t="s">
        <v>54</v>
      </c>
      <c r="D56" s="36">
        <v>7915</v>
      </c>
      <c r="E56" s="65">
        <v>32682</v>
      </c>
      <c r="F56" s="57"/>
      <c r="G56" s="57"/>
      <c r="H56" s="65"/>
      <c r="I56" s="64"/>
      <c r="J56" s="65"/>
      <c r="K56" s="64"/>
    </row>
    <row r="57" spans="1:11" x14ac:dyDescent="0.2">
      <c r="A57">
        <v>2020</v>
      </c>
      <c r="B57" s="34">
        <v>80</v>
      </c>
      <c r="C57" s="34" t="s">
        <v>55</v>
      </c>
      <c r="D57" s="36">
        <v>33239</v>
      </c>
      <c r="E57" s="65">
        <v>226643</v>
      </c>
      <c r="F57" s="57"/>
      <c r="G57" s="57"/>
      <c r="H57" s="65"/>
      <c r="I57" s="64"/>
      <c r="J57" s="65"/>
      <c r="K57" s="64"/>
    </row>
    <row r="58" spans="1:11" x14ac:dyDescent="0.2">
      <c r="A58">
        <v>2020</v>
      </c>
      <c r="B58" s="34">
        <v>82</v>
      </c>
      <c r="C58" s="34" t="s">
        <v>56</v>
      </c>
      <c r="D58" s="36">
        <v>4408</v>
      </c>
      <c r="E58" s="65">
        <v>36707</v>
      </c>
      <c r="F58" s="57"/>
      <c r="G58" s="57"/>
      <c r="H58" s="65"/>
      <c r="I58" s="64"/>
      <c r="J58" s="65"/>
      <c r="K58" s="64"/>
    </row>
    <row r="59" spans="1:11" x14ac:dyDescent="0.2">
      <c r="A59">
        <v>2020</v>
      </c>
      <c r="B59" s="34">
        <v>83</v>
      </c>
      <c r="C59" s="34" t="s">
        <v>547</v>
      </c>
      <c r="D59" s="36">
        <v>99075</v>
      </c>
      <c r="E59" s="65">
        <v>770896</v>
      </c>
      <c r="F59" s="57"/>
      <c r="G59" s="57"/>
      <c r="H59" s="65"/>
      <c r="I59" s="64"/>
      <c r="J59" s="65"/>
      <c r="K59" s="64"/>
    </row>
    <row r="60" spans="1:11" x14ac:dyDescent="0.2">
      <c r="A60">
        <v>2020</v>
      </c>
      <c r="B60" s="34">
        <v>84</v>
      </c>
      <c r="C60" s="34" t="s">
        <v>85</v>
      </c>
      <c r="D60" s="36">
        <v>125245</v>
      </c>
      <c r="E60" s="65">
        <v>673790</v>
      </c>
      <c r="F60" s="57"/>
      <c r="G60" s="57"/>
      <c r="H60" s="65"/>
      <c r="I60" s="64"/>
      <c r="J60" s="65"/>
      <c r="K60" s="64"/>
    </row>
    <row r="61" spans="1:11" x14ac:dyDescent="0.2">
      <c r="A61">
        <v>2020</v>
      </c>
      <c r="B61" s="34">
        <v>85</v>
      </c>
      <c r="C61" s="34" t="s">
        <v>58</v>
      </c>
      <c r="D61" s="36">
        <v>54138</v>
      </c>
      <c r="E61" s="65">
        <v>408392</v>
      </c>
      <c r="F61" s="57"/>
      <c r="G61" s="57"/>
      <c r="H61" s="65"/>
      <c r="I61" s="64"/>
      <c r="J61" s="65"/>
      <c r="K61" s="64"/>
    </row>
    <row r="62" spans="1:11" x14ac:dyDescent="0.2">
      <c r="A62">
        <v>2020</v>
      </c>
      <c r="B62" s="34">
        <v>86</v>
      </c>
      <c r="C62" s="34" t="s">
        <v>59</v>
      </c>
      <c r="D62" s="36">
        <v>314916</v>
      </c>
      <c r="E62" s="65">
        <v>1564443</v>
      </c>
      <c r="F62" s="57"/>
      <c r="G62" s="57"/>
      <c r="H62" s="65"/>
      <c r="I62" s="64"/>
      <c r="J62" s="65"/>
      <c r="K62" s="64"/>
    </row>
    <row r="63" spans="1:11" x14ac:dyDescent="0.2">
      <c r="A63">
        <v>2020</v>
      </c>
      <c r="B63" s="34">
        <v>93</v>
      </c>
      <c r="C63" s="34" t="s">
        <v>60</v>
      </c>
      <c r="D63" s="36">
        <v>47243</v>
      </c>
      <c r="E63" s="65">
        <v>284057</v>
      </c>
      <c r="F63" s="57"/>
      <c r="G63" s="57"/>
      <c r="H63" s="65"/>
      <c r="I63" s="64"/>
      <c r="J63" s="65"/>
      <c r="K63" s="64"/>
    </row>
    <row r="64" spans="1:11" x14ac:dyDescent="0.2">
      <c r="A64">
        <v>2020</v>
      </c>
      <c r="B64" s="34">
        <v>94</v>
      </c>
      <c r="C64" s="34" t="s">
        <v>61</v>
      </c>
      <c r="D64" s="36">
        <v>587601</v>
      </c>
      <c r="E64" s="65">
        <v>3392294</v>
      </c>
      <c r="F64" s="57"/>
      <c r="G64" s="57"/>
      <c r="H64" s="65"/>
      <c r="I64" s="64"/>
      <c r="J64" s="65"/>
      <c r="K64" s="64"/>
    </row>
    <row r="65" spans="1:11" x14ac:dyDescent="0.2">
      <c r="A65">
        <v>2020</v>
      </c>
      <c r="B65" s="34">
        <v>95</v>
      </c>
      <c r="C65" s="34" t="s">
        <v>62</v>
      </c>
      <c r="D65" s="36">
        <v>40863</v>
      </c>
      <c r="E65" s="65">
        <v>192701</v>
      </c>
      <c r="F65" s="57"/>
      <c r="G65" s="57"/>
      <c r="H65" s="65"/>
      <c r="I65" s="64"/>
      <c r="J65" s="65"/>
      <c r="K65" s="64"/>
    </row>
    <row r="66" spans="1:11" x14ac:dyDescent="0.2">
      <c r="A66">
        <v>2020</v>
      </c>
      <c r="B66" s="34">
        <v>96</v>
      </c>
      <c r="C66" s="34" t="s">
        <v>63</v>
      </c>
      <c r="D66" s="36">
        <v>35399</v>
      </c>
      <c r="E66" s="65">
        <v>251807</v>
      </c>
      <c r="F66" s="57"/>
      <c r="G66" s="57"/>
      <c r="H66" s="65"/>
      <c r="I66" s="64"/>
      <c r="J66" s="65"/>
      <c r="K66" s="64"/>
    </row>
    <row r="67" spans="1:11" x14ac:dyDescent="0.2">
      <c r="A67">
        <v>2020</v>
      </c>
      <c r="B67" s="34">
        <v>97</v>
      </c>
      <c r="C67" s="34" t="s">
        <v>548</v>
      </c>
      <c r="D67" s="36">
        <v>736400</v>
      </c>
      <c r="E67" s="65">
        <v>3462811</v>
      </c>
      <c r="F67" s="57"/>
      <c r="G67" s="57"/>
      <c r="H67" s="65"/>
      <c r="I67" s="64"/>
      <c r="J67" s="65"/>
      <c r="K67" s="64"/>
    </row>
    <row r="68" spans="1:11" x14ac:dyDescent="0.2">
      <c r="A68">
        <v>2020</v>
      </c>
      <c r="B68" s="34">
        <v>98</v>
      </c>
      <c r="C68" s="34" t="s">
        <v>65</v>
      </c>
      <c r="D68" s="36">
        <v>33490</v>
      </c>
      <c r="E68" s="65">
        <v>244436</v>
      </c>
      <c r="F68" s="57"/>
      <c r="G68" s="57"/>
      <c r="H68" s="65"/>
      <c r="I68" s="64"/>
      <c r="J68" s="65"/>
      <c r="K68" s="64"/>
    </row>
    <row r="69" spans="1:11" x14ac:dyDescent="0.2">
      <c r="A69">
        <v>2020</v>
      </c>
      <c r="B69" s="34">
        <v>99</v>
      </c>
      <c r="C69" s="34" t="s">
        <v>66</v>
      </c>
      <c r="D69" s="36">
        <v>24452</v>
      </c>
      <c r="E69" s="65">
        <v>197762</v>
      </c>
      <c r="F69" s="57"/>
      <c r="G69" s="57"/>
      <c r="H69" s="65"/>
      <c r="I69" s="64"/>
      <c r="J69" s="65"/>
      <c r="K69" s="64"/>
    </row>
    <row r="70" spans="1:11" x14ac:dyDescent="0.2">
      <c r="A70">
        <v>2020</v>
      </c>
      <c r="B70" s="34">
        <v>100</v>
      </c>
      <c r="C70" s="34" t="s">
        <v>67</v>
      </c>
      <c r="D70" s="36">
        <v>35839</v>
      </c>
      <c r="E70" s="65">
        <v>291334</v>
      </c>
      <c r="F70" s="57"/>
      <c r="G70" s="57"/>
      <c r="H70" s="65"/>
      <c r="I70" s="64"/>
      <c r="J70" s="65"/>
      <c r="K70" s="64"/>
    </row>
    <row r="71" spans="1:11" x14ac:dyDescent="0.2">
      <c r="A71">
        <v>2020</v>
      </c>
      <c r="B71" s="34">
        <v>101</v>
      </c>
      <c r="C71" s="34" t="s">
        <v>68</v>
      </c>
      <c r="D71" s="36">
        <v>559111</v>
      </c>
      <c r="E71" s="65">
        <v>3304298</v>
      </c>
      <c r="F71" s="57"/>
      <c r="G71" s="57"/>
      <c r="H71" s="65"/>
      <c r="I71" s="64"/>
      <c r="J71" s="65"/>
      <c r="K71" s="64"/>
    </row>
    <row r="72" spans="1:11" x14ac:dyDescent="0.2">
      <c r="A72">
        <v>2020</v>
      </c>
      <c r="B72" s="34">
        <v>103</v>
      </c>
      <c r="C72" s="34" t="s">
        <v>69</v>
      </c>
      <c r="D72" s="36">
        <v>15968</v>
      </c>
      <c r="E72" s="65">
        <v>138613</v>
      </c>
      <c r="F72" s="57"/>
      <c r="G72" s="57"/>
      <c r="H72" s="65"/>
      <c r="I72" s="64"/>
      <c r="J72" s="65"/>
      <c r="K72" s="64"/>
    </row>
    <row r="73" spans="1:11" x14ac:dyDescent="0.2">
      <c r="A73">
        <v>2020</v>
      </c>
      <c r="B73" s="34">
        <v>104</v>
      </c>
      <c r="C73" s="34" t="s">
        <v>549</v>
      </c>
      <c r="D73" s="36">
        <v>19042</v>
      </c>
      <c r="E73" s="65">
        <v>135825</v>
      </c>
      <c r="F73" s="57"/>
      <c r="G73" s="57"/>
      <c r="H73" s="65"/>
      <c r="I73" s="64"/>
      <c r="J73" s="65"/>
      <c r="K73" s="64"/>
    </row>
    <row r="74" spans="1:11" x14ac:dyDescent="0.2">
      <c r="A74">
        <v>2020</v>
      </c>
      <c r="B74" s="34">
        <v>106</v>
      </c>
      <c r="C74" s="34" t="s">
        <v>71</v>
      </c>
      <c r="D74" s="36">
        <v>18921</v>
      </c>
      <c r="E74" s="65">
        <v>87708</v>
      </c>
      <c r="F74" s="57"/>
      <c r="G74" s="57"/>
      <c r="H74" s="65"/>
      <c r="I74" s="64"/>
      <c r="J74" s="65"/>
      <c r="K74" s="64"/>
    </row>
    <row r="75" spans="1:11" x14ac:dyDescent="0.2">
      <c r="A75">
        <v>2020</v>
      </c>
      <c r="B75" s="34">
        <v>107</v>
      </c>
      <c r="C75" s="34" t="s">
        <v>72</v>
      </c>
      <c r="D75" s="36">
        <v>102466</v>
      </c>
      <c r="E75" s="65">
        <v>758355</v>
      </c>
      <c r="F75" s="57"/>
      <c r="G75" s="57"/>
      <c r="H75" s="65"/>
      <c r="I75" s="64"/>
      <c r="J75" s="65"/>
      <c r="K75" s="64"/>
    </row>
    <row r="76" spans="1:11" x14ac:dyDescent="0.2">
      <c r="A76">
        <v>2020</v>
      </c>
      <c r="B76" s="34">
        <v>108</v>
      </c>
      <c r="C76" s="34" t="s">
        <v>73</v>
      </c>
      <c r="D76" s="36">
        <v>28096</v>
      </c>
      <c r="E76" s="65">
        <v>179041</v>
      </c>
      <c r="F76" s="57"/>
      <c r="G76" s="57"/>
      <c r="H76" s="65"/>
      <c r="I76" s="64"/>
      <c r="J76" s="65"/>
      <c r="K76" s="64"/>
    </row>
    <row r="77" spans="1:11" x14ac:dyDescent="0.2">
      <c r="A77">
        <v>2020</v>
      </c>
      <c r="B77" s="34">
        <v>110</v>
      </c>
      <c r="C77" s="34" t="s">
        <v>74</v>
      </c>
      <c r="D77" s="36">
        <v>71117</v>
      </c>
      <c r="E77" s="65">
        <v>344252</v>
      </c>
      <c r="F77" s="57"/>
      <c r="G77" s="57"/>
      <c r="H77" s="65"/>
      <c r="I77" s="64"/>
      <c r="J77" s="65"/>
      <c r="K77" s="64"/>
    </row>
    <row r="78" spans="1:11" x14ac:dyDescent="0.2">
      <c r="A78">
        <v>2020</v>
      </c>
      <c r="B78" s="34">
        <v>111</v>
      </c>
      <c r="C78" s="34" t="s">
        <v>86</v>
      </c>
      <c r="D78" s="36">
        <v>75333</v>
      </c>
      <c r="E78" s="65">
        <v>443512</v>
      </c>
      <c r="F78" s="57"/>
      <c r="G78" s="57"/>
      <c r="H78" s="65"/>
      <c r="I78" s="64"/>
      <c r="J78" s="65"/>
      <c r="K78" s="64"/>
    </row>
    <row r="79" spans="1:11" x14ac:dyDescent="0.2">
      <c r="A79">
        <v>2020</v>
      </c>
      <c r="B79" s="34">
        <v>112</v>
      </c>
      <c r="C79" s="34" t="s">
        <v>550</v>
      </c>
      <c r="D79" s="36">
        <v>54948</v>
      </c>
      <c r="E79" s="65">
        <v>380744</v>
      </c>
      <c r="F79" s="57"/>
      <c r="G79" s="57"/>
      <c r="H79" s="65"/>
      <c r="I79" s="64"/>
      <c r="J79" s="65"/>
      <c r="K79" s="64"/>
    </row>
    <row r="80" spans="1:11" x14ac:dyDescent="0.2">
      <c r="A80">
        <v>2020</v>
      </c>
      <c r="B80" s="34">
        <v>113</v>
      </c>
      <c r="C80" s="34" t="s">
        <v>77</v>
      </c>
      <c r="D80" s="36">
        <v>775579</v>
      </c>
      <c r="E80" s="65">
        <v>4773747</v>
      </c>
      <c r="F80" s="57"/>
      <c r="G80" s="57"/>
      <c r="H80" s="65"/>
      <c r="I80" s="64"/>
      <c r="J80" s="65"/>
      <c r="K80" s="64"/>
    </row>
    <row r="81" spans="1:11" x14ac:dyDescent="0.2">
      <c r="A81">
        <v>2020</v>
      </c>
      <c r="B81" s="34">
        <v>114</v>
      </c>
      <c r="C81" s="34" t="s">
        <v>78</v>
      </c>
      <c r="D81" s="36">
        <v>182285</v>
      </c>
      <c r="E81" s="65">
        <v>1463141</v>
      </c>
      <c r="F81" s="57"/>
      <c r="G81" s="57"/>
      <c r="H81" s="65"/>
      <c r="I81" s="64"/>
      <c r="J81" s="65"/>
      <c r="K81" s="64"/>
    </row>
    <row r="82" spans="1:11" x14ac:dyDescent="0.2">
      <c r="A82">
        <v>2020</v>
      </c>
      <c r="B82" s="34">
        <v>115</v>
      </c>
      <c r="C82" s="34" t="s">
        <v>87</v>
      </c>
      <c r="D82" s="36">
        <v>31334</v>
      </c>
      <c r="E82" s="65">
        <v>251909</v>
      </c>
      <c r="F82" s="57"/>
      <c r="G82" s="57"/>
      <c r="H82" s="65"/>
      <c r="I82" s="64"/>
      <c r="J82" s="65"/>
      <c r="K82" s="64"/>
    </row>
    <row r="83" spans="1:11" x14ac:dyDescent="0.2">
      <c r="A83">
        <v>2020</v>
      </c>
      <c r="B83" s="34">
        <v>116</v>
      </c>
      <c r="C83" s="34" t="s">
        <v>79</v>
      </c>
      <c r="D83" s="36">
        <v>33501</v>
      </c>
      <c r="E83" s="65">
        <v>378925</v>
      </c>
      <c r="F83" s="57"/>
      <c r="G83" s="57"/>
      <c r="H83" s="65"/>
      <c r="I83" s="64"/>
      <c r="J83" s="65"/>
      <c r="K83" s="64"/>
    </row>
    <row r="84" spans="1:11" x14ac:dyDescent="0.2">
      <c r="A84">
        <v>2020</v>
      </c>
      <c r="B84" s="34">
        <v>117</v>
      </c>
      <c r="C84" s="34" t="s">
        <v>80</v>
      </c>
      <c r="D84" s="36">
        <v>96992</v>
      </c>
      <c r="E84" s="65">
        <v>547914</v>
      </c>
      <c r="F84" s="57"/>
      <c r="G84" s="57"/>
      <c r="H84" s="65"/>
      <c r="I84" s="64"/>
      <c r="J84" s="65"/>
      <c r="K84" s="64"/>
    </row>
    <row r="85" spans="1:11" x14ac:dyDescent="0.2">
      <c r="A85">
        <v>2020</v>
      </c>
      <c r="B85" s="34">
        <v>118</v>
      </c>
      <c r="C85" s="34" t="s">
        <v>81</v>
      </c>
      <c r="D85" s="36">
        <v>173386</v>
      </c>
      <c r="E85" s="65">
        <v>1839406</v>
      </c>
      <c r="F85" s="57"/>
      <c r="G85" s="57"/>
      <c r="H85" s="65"/>
      <c r="I85" s="64"/>
      <c r="J85" s="65"/>
      <c r="K85" s="64"/>
    </row>
    <row r="86" spans="1:11" x14ac:dyDescent="0.2">
      <c r="A86">
        <v>2020</v>
      </c>
      <c r="B86" s="34">
        <v>119</v>
      </c>
      <c r="C86" s="34" t="s">
        <v>82</v>
      </c>
      <c r="D86" s="36">
        <v>14613</v>
      </c>
      <c r="E86" s="65">
        <v>93683</v>
      </c>
      <c r="F86" s="57"/>
      <c r="G86" s="57"/>
      <c r="H86" s="65"/>
      <c r="I86" s="64"/>
      <c r="J86" s="65"/>
      <c r="K86" s="64"/>
    </row>
    <row r="87" spans="1:11" x14ac:dyDescent="0.2">
      <c r="A87">
        <v>2020</v>
      </c>
      <c r="B87" s="34">
        <v>120</v>
      </c>
      <c r="C87" s="34" t="s">
        <v>83</v>
      </c>
      <c r="D87" s="36">
        <v>599535</v>
      </c>
      <c r="E87" s="65">
        <v>3507883</v>
      </c>
      <c r="F87" s="57"/>
      <c r="G87" s="57"/>
      <c r="H87" s="65"/>
      <c r="I87" s="64"/>
      <c r="J87" s="65"/>
      <c r="K87" s="64"/>
    </row>
    <row r="88" spans="1:11" x14ac:dyDescent="0.2">
      <c r="A88">
        <v>2020</v>
      </c>
      <c r="B88" s="34">
        <v>125</v>
      </c>
      <c r="C88" s="34" t="s">
        <v>84</v>
      </c>
      <c r="D88" s="36">
        <v>20360</v>
      </c>
      <c r="E88" s="65">
        <v>112206</v>
      </c>
      <c r="F88" s="57"/>
      <c r="G88" s="57"/>
      <c r="H88" s="65"/>
      <c r="I88" s="64"/>
      <c r="J88" s="65"/>
      <c r="K88" s="64"/>
    </row>
    <row r="89" spans="1:11" x14ac:dyDescent="0.2">
      <c r="A89">
        <v>2020</v>
      </c>
      <c r="B89" s="34">
        <v>129</v>
      </c>
      <c r="C89" s="34" t="s">
        <v>129</v>
      </c>
      <c r="D89" s="36">
        <v>128078</v>
      </c>
      <c r="E89" s="65">
        <v>867207</v>
      </c>
      <c r="F89" s="57"/>
      <c r="G89" s="57"/>
      <c r="H89" s="65"/>
      <c r="I89" s="64"/>
      <c r="J89" s="65"/>
      <c r="K89" s="64"/>
    </row>
    <row r="90" spans="1:11" x14ac:dyDescent="0.2">
      <c r="A90">
        <v>2020</v>
      </c>
      <c r="B90" s="34">
        <v>130</v>
      </c>
      <c r="C90" s="34" t="s">
        <v>88</v>
      </c>
      <c r="D90" s="36">
        <v>125532</v>
      </c>
      <c r="E90" s="65">
        <v>797285</v>
      </c>
      <c r="F90" s="57"/>
      <c r="G90" s="57"/>
      <c r="H90" s="65"/>
      <c r="I90" s="64"/>
      <c r="J90" s="65"/>
      <c r="K90" s="64"/>
    </row>
    <row r="91" spans="1:11" x14ac:dyDescent="0.2">
      <c r="A91">
        <v>2020</v>
      </c>
      <c r="B91" s="34">
        <v>131</v>
      </c>
      <c r="C91" s="34" t="s">
        <v>89</v>
      </c>
      <c r="D91" s="36">
        <v>29761</v>
      </c>
      <c r="E91" s="65">
        <v>159499</v>
      </c>
      <c r="F91" s="57"/>
      <c r="G91" s="57"/>
      <c r="H91" s="65"/>
      <c r="I91" s="64"/>
      <c r="J91" s="65"/>
      <c r="K91" s="64"/>
    </row>
    <row r="92" spans="1:11" x14ac:dyDescent="0.2">
      <c r="A92">
        <v>2020</v>
      </c>
      <c r="B92" s="34">
        <v>132</v>
      </c>
      <c r="C92" s="34" t="s">
        <v>90</v>
      </c>
      <c r="D92" s="36">
        <v>45701</v>
      </c>
      <c r="E92" s="65">
        <v>204066</v>
      </c>
      <c r="F92" s="57"/>
      <c r="G92" s="57"/>
      <c r="H92" s="65"/>
      <c r="I92" s="64"/>
      <c r="J92" s="65"/>
      <c r="K92" s="64"/>
    </row>
    <row r="93" spans="1:11" x14ac:dyDescent="0.2">
      <c r="A93">
        <v>2020</v>
      </c>
      <c r="B93" s="34">
        <v>133</v>
      </c>
      <c r="C93" s="34" t="s">
        <v>91</v>
      </c>
      <c r="D93" s="36">
        <v>22937</v>
      </c>
      <c r="E93" s="65">
        <v>151689</v>
      </c>
      <c r="F93" s="57"/>
      <c r="G93" s="57"/>
      <c r="H93" s="65"/>
      <c r="I93" s="64"/>
      <c r="J93" s="65"/>
      <c r="K93" s="64"/>
    </row>
    <row r="94" spans="1:11" x14ac:dyDescent="0.2">
      <c r="A94">
        <v>2020</v>
      </c>
      <c r="B94" s="34">
        <v>134</v>
      </c>
      <c r="C94" s="34" t="s">
        <v>92</v>
      </c>
      <c r="D94" s="36">
        <v>63686</v>
      </c>
      <c r="E94" s="65">
        <v>404200</v>
      </c>
      <c r="F94" s="57"/>
      <c r="G94" s="57"/>
      <c r="H94" s="65"/>
      <c r="I94" s="64"/>
      <c r="J94" s="65"/>
      <c r="K94" s="64"/>
    </row>
    <row r="95" spans="1:11" x14ac:dyDescent="0.2">
      <c r="A95">
        <v>2020</v>
      </c>
      <c r="B95" s="34">
        <v>137</v>
      </c>
      <c r="C95" s="34" t="s">
        <v>93</v>
      </c>
      <c r="D95" s="36">
        <v>36100</v>
      </c>
      <c r="E95" s="65">
        <v>174734</v>
      </c>
      <c r="F95" s="57"/>
      <c r="G95" s="57"/>
      <c r="H95" s="65"/>
      <c r="I95" s="64"/>
      <c r="J95" s="65"/>
      <c r="K95" s="64"/>
    </row>
    <row r="96" spans="1:11" x14ac:dyDescent="0.2">
      <c r="A96">
        <v>2020</v>
      </c>
      <c r="B96" s="34">
        <v>138</v>
      </c>
      <c r="C96" s="34" t="s">
        <v>94</v>
      </c>
      <c r="D96" s="36">
        <v>526073</v>
      </c>
      <c r="E96" s="65">
        <v>4506449</v>
      </c>
      <c r="F96" s="57"/>
      <c r="G96" s="57"/>
      <c r="H96" s="65"/>
      <c r="I96" s="64"/>
      <c r="J96" s="65"/>
      <c r="K96" s="64"/>
    </row>
    <row r="97" spans="1:11" x14ac:dyDescent="0.2">
      <c r="A97">
        <v>2020</v>
      </c>
      <c r="B97" s="34">
        <v>139</v>
      </c>
      <c r="C97" s="34" t="s">
        <v>95</v>
      </c>
      <c r="D97" s="36">
        <v>76742</v>
      </c>
      <c r="E97" s="65">
        <v>458387</v>
      </c>
      <c r="F97" s="57"/>
      <c r="G97" s="57"/>
      <c r="H97" s="65"/>
      <c r="I97" s="64"/>
      <c r="J97" s="65"/>
      <c r="K97" s="64"/>
    </row>
    <row r="98" spans="1:11" x14ac:dyDescent="0.2">
      <c r="A98">
        <v>2020</v>
      </c>
      <c r="B98" s="34">
        <v>140</v>
      </c>
      <c r="C98" s="34" t="s">
        <v>96</v>
      </c>
      <c r="D98" s="36">
        <v>34477</v>
      </c>
      <c r="E98" s="65">
        <v>262898</v>
      </c>
      <c r="F98" s="57"/>
      <c r="G98" s="57"/>
      <c r="H98" s="65"/>
      <c r="I98" s="64"/>
      <c r="J98" s="65"/>
      <c r="K98" s="64"/>
    </row>
    <row r="99" spans="1:11" x14ac:dyDescent="0.2">
      <c r="A99">
        <v>2020</v>
      </c>
      <c r="B99" s="34">
        <v>141</v>
      </c>
      <c r="C99" s="34" t="s">
        <v>97</v>
      </c>
      <c r="D99" s="36">
        <v>104661</v>
      </c>
      <c r="E99" s="65">
        <v>738790</v>
      </c>
      <c r="F99" s="57"/>
      <c r="G99" s="57"/>
      <c r="H99" s="65"/>
      <c r="I99" s="64"/>
      <c r="J99" s="65"/>
      <c r="K99" s="64"/>
    </row>
    <row r="100" spans="1:11" x14ac:dyDescent="0.2">
      <c r="A100">
        <v>2020</v>
      </c>
      <c r="B100" s="34">
        <v>142</v>
      </c>
      <c r="C100" s="34" t="s">
        <v>98</v>
      </c>
      <c r="D100" s="36">
        <v>631841</v>
      </c>
      <c r="E100" s="65">
        <v>4477381</v>
      </c>
      <c r="F100" s="57"/>
      <c r="G100" s="57"/>
      <c r="H100" s="65"/>
      <c r="I100" s="64"/>
      <c r="J100" s="65"/>
      <c r="K100" s="64"/>
    </row>
    <row r="101" spans="1:11" x14ac:dyDescent="0.2">
      <c r="A101">
        <v>2020</v>
      </c>
      <c r="B101" s="34">
        <v>143</v>
      </c>
      <c r="C101" s="34" t="s">
        <v>99</v>
      </c>
      <c r="D101" s="36">
        <v>70555</v>
      </c>
      <c r="E101" s="65">
        <v>475520</v>
      </c>
      <c r="F101" s="57"/>
      <c r="G101" s="57"/>
      <c r="H101" s="65"/>
      <c r="I101" s="64"/>
      <c r="J101" s="65"/>
      <c r="K101" s="64"/>
    </row>
    <row r="102" spans="1:11" x14ac:dyDescent="0.2">
      <c r="A102">
        <v>2020</v>
      </c>
      <c r="B102" s="34">
        <v>144</v>
      </c>
      <c r="C102" s="34" t="s">
        <v>100</v>
      </c>
      <c r="D102" s="36">
        <v>99165</v>
      </c>
      <c r="E102" s="65">
        <v>750149</v>
      </c>
      <c r="F102" s="57"/>
      <c r="G102" s="57"/>
      <c r="H102" s="65"/>
      <c r="I102" s="64"/>
      <c r="J102" s="65"/>
      <c r="K102" s="64"/>
    </row>
    <row r="103" spans="1:11" x14ac:dyDescent="0.2">
      <c r="A103">
        <v>2020</v>
      </c>
      <c r="B103" s="34">
        <v>149</v>
      </c>
      <c r="C103" s="34" t="s">
        <v>101</v>
      </c>
      <c r="E103" s="57"/>
      <c r="F103" s="57"/>
      <c r="G103" s="57"/>
      <c r="H103" s="57"/>
      <c r="I103" s="64"/>
      <c r="J103" s="57"/>
      <c r="K103" s="64"/>
    </row>
    <row r="104" spans="1:11" x14ac:dyDescent="0.2">
      <c r="A104">
        <v>2020</v>
      </c>
      <c r="B104" s="34">
        <v>151</v>
      </c>
      <c r="C104" s="34" t="s">
        <v>102</v>
      </c>
      <c r="D104" s="36">
        <v>354340</v>
      </c>
      <c r="E104" s="65">
        <v>2740625</v>
      </c>
      <c r="F104" s="57"/>
      <c r="G104" s="57"/>
      <c r="H104" s="65"/>
      <c r="I104" s="64"/>
      <c r="J104" s="65"/>
      <c r="K104" s="64"/>
    </row>
    <row r="105" spans="1:11" x14ac:dyDescent="0.2">
      <c r="A105">
        <v>2020</v>
      </c>
      <c r="B105" s="34">
        <v>152</v>
      </c>
      <c r="C105" s="34" t="s">
        <v>103</v>
      </c>
      <c r="D105" s="36">
        <v>269163</v>
      </c>
      <c r="E105" s="65">
        <v>1929395</v>
      </c>
      <c r="F105" s="57"/>
      <c r="G105" s="57"/>
      <c r="H105" s="65"/>
      <c r="I105" s="64"/>
      <c r="J105" s="65"/>
      <c r="K105" s="64"/>
    </row>
    <row r="106" spans="1:11" x14ac:dyDescent="0.2">
      <c r="A106">
        <v>2020</v>
      </c>
      <c r="B106" s="34">
        <v>154</v>
      </c>
      <c r="C106" s="34" t="s">
        <v>104</v>
      </c>
      <c r="D106" s="36">
        <v>336196</v>
      </c>
      <c r="E106" s="65">
        <v>2019235</v>
      </c>
      <c r="F106" s="57"/>
      <c r="G106" s="57"/>
      <c r="H106" s="65"/>
      <c r="I106" s="64"/>
      <c r="J106" s="65"/>
      <c r="K106" s="64"/>
    </row>
    <row r="107" spans="1:11" x14ac:dyDescent="0.2">
      <c r="A107">
        <v>2020</v>
      </c>
      <c r="B107" s="34">
        <v>155</v>
      </c>
      <c r="C107" s="34" t="s">
        <v>105</v>
      </c>
      <c r="D107" s="36">
        <v>1968163</v>
      </c>
      <c r="E107" s="65">
        <v>10263578</v>
      </c>
      <c r="F107" s="57"/>
      <c r="G107" s="57"/>
      <c r="H107" s="65"/>
      <c r="I107" s="64"/>
      <c r="J107" s="65"/>
      <c r="K107" s="64"/>
    </row>
    <row r="108" spans="1:11" x14ac:dyDescent="0.2">
      <c r="A108">
        <v>2020</v>
      </c>
      <c r="B108" s="34">
        <v>156</v>
      </c>
      <c r="C108" s="34" t="s">
        <v>106</v>
      </c>
      <c r="D108" s="36">
        <v>3482176</v>
      </c>
      <c r="E108" s="65">
        <v>17536934</v>
      </c>
      <c r="F108" s="57"/>
      <c r="G108" s="57"/>
      <c r="H108" s="65"/>
      <c r="I108" s="64"/>
      <c r="J108" s="65"/>
      <c r="K108" s="64"/>
    </row>
    <row r="109" spans="1:11" x14ac:dyDescent="0.2">
      <c r="A109">
        <v>2020</v>
      </c>
      <c r="B109" s="34">
        <v>165</v>
      </c>
      <c r="C109" s="34" t="s">
        <v>107</v>
      </c>
      <c r="D109" s="36">
        <v>4393</v>
      </c>
      <c r="E109" s="65">
        <v>25144</v>
      </c>
      <c r="F109" s="57"/>
      <c r="G109" s="57"/>
      <c r="H109" s="65"/>
      <c r="I109" s="64"/>
      <c r="J109" s="65"/>
      <c r="K109" s="64"/>
    </row>
    <row r="110" spans="1:11" x14ac:dyDescent="0.2">
      <c r="A110">
        <v>2020</v>
      </c>
      <c r="B110" s="34">
        <v>167</v>
      </c>
      <c r="C110" s="34" t="s">
        <v>108</v>
      </c>
      <c r="D110" s="36">
        <v>157384</v>
      </c>
      <c r="E110" s="65">
        <v>1237291</v>
      </c>
      <c r="F110" s="57"/>
      <c r="G110" s="57"/>
      <c r="H110" s="65"/>
      <c r="I110" s="64"/>
      <c r="J110" s="65"/>
      <c r="K110" s="64"/>
    </row>
    <row r="111" spans="1:11" x14ac:dyDescent="0.2">
      <c r="A111">
        <v>2020</v>
      </c>
      <c r="B111" s="34">
        <v>168</v>
      </c>
      <c r="C111" s="34" t="s">
        <v>109</v>
      </c>
      <c r="D111" s="36">
        <v>85387</v>
      </c>
      <c r="E111" s="65">
        <v>733600</v>
      </c>
      <c r="F111" s="57"/>
      <c r="G111" s="57"/>
      <c r="H111" s="65"/>
      <c r="I111" s="64"/>
      <c r="J111" s="65"/>
      <c r="K111" s="64"/>
    </row>
    <row r="112" spans="1:11" x14ac:dyDescent="0.2">
      <c r="A112">
        <v>2020</v>
      </c>
      <c r="B112" s="34">
        <v>169</v>
      </c>
      <c r="C112" s="34" t="s">
        <v>110</v>
      </c>
      <c r="D112" s="36">
        <v>32144</v>
      </c>
      <c r="E112" s="65">
        <v>526865</v>
      </c>
      <c r="F112" s="57"/>
      <c r="G112" s="57"/>
      <c r="H112" s="65"/>
      <c r="I112" s="64"/>
      <c r="J112" s="65"/>
      <c r="K112" s="64"/>
    </row>
    <row r="113" spans="1:11" x14ac:dyDescent="0.2">
      <c r="A113">
        <v>2020</v>
      </c>
      <c r="B113" s="34">
        <v>170</v>
      </c>
      <c r="C113" s="34" t="s">
        <v>111</v>
      </c>
      <c r="D113" s="36">
        <v>56633</v>
      </c>
      <c r="E113" s="65">
        <v>386832</v>
      </c>
      <c r="F113" s="57"/>
      <c r="G113" s="57"/>
      <c r="H113" s="65"/>
      <c r="I113" s="64"/>
      <c r="J113" s="65"/>
      <c r="K113" s="64"/>
    </row>
    <row r="114" spans="1:11" x14ac:dyDescent="0.2">
      <c r="A114">
        <v>2020</v>
      </c>
      <c r="B114" s="34">
        <v>171</v>
      </c>
      <c r="C114" s="34" t="s">
        <v>112</v>
      </c>
      <c r="D114" s="36">
        <v>90592</v>
      </c>
      <c r="E114" s="65">
        <v>737716</v>
      </c>
      <c r="F114" s="57"/>
      <c r="G114" s="57"/>
      <c r="H114" s="65"/>
      <c r="I114" s="64"/>
      <c r="J114" s="65"/>
      <c r="K114" s="64"/>
    </row>
    <row r="115" spans="1:11" x14ac:dyDescent="0.2">
      <c r="A115">
        <v>2020</v>
      </c>
      <c r="B115" s="34">
        <v>173</v>
      </c>
      <c r="C115" s="34" t="s">
        <v>552</v>
      </c>
      <c r="D115" s="36">
        <v>40867</v>
      </c>
      <c r="E115" s="65">
        <v>362781</v>
      </c>
      <c r="F115" s="57"/>
      <c r="G115" s="57"/>
      <c r="H115" s="65"/>
      <c r="I115" s="64"/>
      <c r="J115" s="65"/>
      <c r="K115" s="64"/>
    </row>
    <row r="116" spans="1:11" x14ac:dyDescent="0.2">
      <c r="A116">
        <v>2020</v>
      </c>
      <c r="B116" s="34">
        <v>174</v>
      </c>
      <c r="C116" s="34" t="s">
        <v>113</v>
      </c>
      <c r="D116" s="36">
        <v>1145192</v>
      </c>
      <c r="E116" s="65">
        <v>7069094</v>
      </c>
      <c r="F116" s="57"/>
      <c r="G116" s="57"/>
      <c r="H116" s="65"/>
      <c r="I116" s="64"/>
      <c r="J116" s="65"/>
      <c r="K116" s="64"/>
    </row>
    <row r="117" spans="1:11" x14ac:dyDescent="0.2">
      <c r="A117">
        <v>2020</v>
      </c>
      <c r="B117" s="34">
        <v>175</v>
      </c>
      <c r="C117" s="34" t="s">
        <v>114</v>
      </c>
      <c r="D117" s="36">
        <v>155763</v>
      </c>
      <c r="E117" s="65">
        <v>1182178</v>
      </c>
      <c r="F117" s="57"/>
      <c r="G117" s="57"/>
      <c r="H117" s="65"/>
      <c r="I117" s="64"/>
      <c r="J117" s="65"/>
      <c r="K117" s="64"/>
    </row>
    <row r="118" spans="1:11" x14ac:dyDescent="0.2">
      <c r="A118">
        <v>2020</v>
      </c>
      <c r="B118" s="34">
        <v>176</v>
      </c>
      <c r="C118" s="34" t="s">
        <v>115</v>
      </c>
      <c r="D118" s="36">
        <v>10831</v>
      </c>
      <c r="E118" s="65">
        <v>91868</v>
      </c>
      <c r="F118" s="57"/>
      <c r="G118" s="57"/>
      <c r="H118" s="65"/>
      <c r="I118" s="64"/>
      <c r="J118" s="65"/>
      <c r="K118" s="64"/>
    </row>
    <row r="119" spans="1:11" x14ac:dyDescent="0.2">
      <c r="A119">
        <v>2020</v>
      </c>
      <c r="B119" s="34">
        <v>177</v>
      </c>
      <c r="C119" s="34" t="s">
        <v>116</v>
      </c>
      <c r="D119" s="36">
        <v>20504</v>
      </c>
      <c r="E119" s="65">
        <v>138107</v>
      </c>
      <c r="F119" s="57"/>
      <c r="G119" s="57"/>
      <c r="H119" s="65"/>
      <c r="I119" s="64"/>
      <c r="J119" s="65"/>
      <c r="K119" s="64"/>
    </row>
    <row r="120" spans="1:11" x14ac:dyDescent="0.2">
      <c r="A120">
        <v>2020</v>
      </c>
      <c r="B120" s="34">
        <v>178</v>
      </c>
      <c r="C120" s="34" t="s">
        <v>117</v>
      </c>
      <c r="D120" s="36">
        <v>15918</v>
      </c>
      <c r="E120" s="65">
        <v>121592</v>
      </c>
      <c r="F120" s="57"/>
      <c r="G120" s="57"/>
      <c r="H120" s="65"/>
      <c r="I120" s="64"/>
      <c r="J120" s="65"/>
      <c r="K120" s="64"/>
    </row>
    <row r="121" spans="1:11" x14ac:dyDescent="0.2">
      <c r="A121">
        <v>2020</v>
      </c>
      <c r="B121" s="34">
        <v>179</v>
      </c>
      <c r="C121" s="34" t="s">
        <v>118</v>
      </c>
      <c r="D121" s="36">
        <v>48446</v>
      </c>
      <c r="E121" s="65">
        <v>147759</v>
      </c>
      <c r="F121" s="57"/>
      <c r="G121" s="57"/>
      <c r="H121" s="65"/>
      <c r="I121" s="64"/>
      <c r="J121" s="65"/>
      <c r="K121" s="64"/>
    </row>
    <row r="122" spans="1:11" x14ac:dyDescent="0.2">
      <c r="A122">
        <v>2020</v>
      </c>
      <c r="B122" s="34">
        <v>180</v>
      </c>
      <c r="C122" s="34" t="s">
        <v>119</v>
      </c>
      <c r="D122" s="36">
        <v>28594</v>
      </c>
      <c r="E122" s="65">
        <v>217155</v>
      </c>
      <c r="F122" s="57"/>
      <c r="G122" s="57"/>
      <c r="H122" s="65"/>
      <c r="I122" s="64"/>
      <c r="J122" s="65"/>
      <c r="K122" s="64"/>
    </row>
    <row r="123" spans="1:11" x14ac:dyDescent="0.2">
      <c r="A123">
        <v>2020</v>
      </c>
      <c r="B123" s="34">
        <v>181</v>
      </c>
      <c r="C123" s="34" t="s">
        <v>120</v>
      </c>
      <c r="D123" s="36">
        <v>82330</v>
      </c>
      <c r="E123" s="65">
        <v>598687</v>
      </c>
      <c r="F123" s="57"/>
      <c r="G123" s="57"/>
      <c r="H123" s="65"/>
      <c r="I123" s="64"/>
      <c r="J123" s="65"/>
      <c r="K123" s="64"/>
    </row>
    <row r="124" spans="1:11" x14ac:dyDescent="0.2">
      <c r="A124">
        <v>2020</v>
      </c>
      <c r="B124" s="34">
        <v>182</v>
      </c>
      <c r="C124" s="34" t="s">
        <v>121</v>
      </c>
      <c r="D124" s="36">
        <v>155419</v>
      </c>
      <c r="E124" s="65">
        <v>908875</v>
      </c>
      <c r="F124" s="57"/>
      <c r="G124" s="57"/>
      <c r="H124" s="65"/>
      <c r="I124" s="64"/>
      <c r="J124" s="65"/>
      <c r="K124" s="64"/>
    </row>
    <row r="125" spans="1:11" x14ac:dyDescent="0.2">
      <c r="A125">
        <v>2020</v>
      </c>
      <c r="B125" s="34">
        <v>183</v>
      </c>
      <c r="C125" s="34" t="s">
        <v>122</v>
      </c>
      <c r="D125" s="36">
        <v>91062</v>
      </c>
      <c r="E125" s="65">
        <v>588065</v>
      </c>
      <c r="F125" s="57"/>
      <c r="G125" s="57"/>
      <c r="H125" s="65"/>
      <c r="I125" s="64"/>
      <c r="J125" s="65"/>
      <c r="K125" s="64"/>
    </row>
    <row r="126" spans="1:11" x14ac:dyDescent="0.2">
      <c r="A126">
        <v>2020</v>
      </c>
      <c r="B126" s="34">
        <v>184</v>
      </c>
      <c r="C126" s="34" t="s">
        <v>123</v>
      </c>
      <c r="D126" s="36">
        <v>32906</v>
      </c>
      <c r="E126" s="65">
        <v>243790</v>
      </c>
      <c r="F126" s="57"/>
      <c r="G126" s="57"/>
      <c r="H126" s="65"/>
      <c r="I126" s="64"/>
      <c r="J126" s="65"/>
      <c r="K126" s="64"/>
    </row>
    <row r="127" spans="1:11" x14ac:dyDescent="0.2">
      <c r="A127">
        <v>2020</v>
      </c>
      <c r="B127" s="34">
        <v>185</v>
      </c>
      <c r="C127" s="34" t="s">
        <v>124</v>
      </c>
      <c r="D127" s="36">
        <v>8639</v>
      </c>
      <c r="E127" s="65">
        <v>130671</v>
      </c>
      <c r="F127" s="57"/>
      <c r="G127" s="57"/>
      <c r="H127" s="65"/>
      <c r="I127" s="64"/>
      <c r="J127" s="65"/>
      <c r="K127" s="64"/>
    </row>
    <row r="128" spans="1:11" x14ac:dyDescent="0.2">
      <c r="A128">
        <v>2020</v>
      </c>
      <c r="B128" s="34">
        <v>186</v>
      </c>
      <c r="C128" s="34" t="s">
        <v>125</v>
      </c>
      <c r="D128" s="36">
        <v>14150</v>
      </c>
      <c r="E128" s="65">
        <v>126201</v>
      </c>
      <c r="F128" s="57"/>
      <c r="G128" s="57"/>
      <c r="H128" s="65"/>
      <c r="I128" s="64"/>
      <c r="J128" s="65"/>
      <c r="K128" s="64"/>
    </row>
    <row r="129" spans="1:11" x14ac:dyDescent="0.2">
      <c r="A129">
        <v>2020</v>
      </c>
      <c r="B129" s="34">
        <v>187</v>
      </c>
      <c r="C129" s="34" t="s">
        <v>126</v>
      </c>
      <c r="D129" s="36">
        <v>48002</v>
      </c>
      <c r="E129" s="65">
        <v>266212</v>
      </c>
      <c r="F129" s="57"/>
      <c r="G129" s="57"/>
      <c r="H129" s="65"/>
      <c r="I129" s="64"/>
      <c r="J129" s="65"/>
      <c r="K129" s="64"/>
    </row>
    <row r="130" spans="1:11" x14ac:dyDescent="0.2">
      <c r="A130">
        <v>2020</v>
      </c>
      <c r="B130" s="34">
        <v>188</v>
      </c>
      <c r="C130" s="34" t="s">
        <v>127</v>
      </c>
      <c r="D130" s="36">
        <v>222706</v>
      </c>
      <c r="E130" s="65">
        <v>1199479</v>
      </c>
      <c r="F130" s="57"/>
      <c r="G130" s="57"/>
      <c r="H130" s="65"/>
      <c r="I130" s="64"/>
      <c r="J130" s="65"/>
      <c r="K130" s="64"/>
    </row>
    <row r="131" spans="1:11" x14ac:dyDescent="0.2">
      <c r="A131">
        <v>2020</v>
      </c>
      <c r="B131" s="34">
        <v>191</v>
      </c>
      <c r="C131" s="34" t="s">
        <v>128</v>
      </c>
      <c r="D131" s="36">
        <v>17856</v>
      </c>
      <c r="E131" s="65">
        <v>157587</v>
      </c>
      <c r="F131" s="57"/>
      <c r="G131" s="57"/>
      <c r="H131" s="65"/>
      <c r="I131" s="64"/>
      <c r="J131" s="65"/>
      <c r="K131" s="64"/>
    </row>
    <row r="132" spans="1:11" x14ac:dyDescent="0.2">
      <c r="A132">
        <v>2020</v>
      </c>
      <c r="B132" s="34">
        <v>192</v>
      </c>
      <c r="C132" s="34" t="s">
        <v>130</v>
      </c>
      <c r="D132" s="36">
        <v>15677</v>
      </c>
      <c r="E132" s="65">
        <v>93571</v>
      </c>
      <c r="F132" s="57"/>
      <c r="G132" s="57"/>
      <c r="H132" s="65"/>
      <c r="I132" s="64"/>
      <c r="J132" s="65"/>
      <c r="K132" s="64"/>
    </row>
    <row r="133" spans="1:11" x14ac:dyDescent="0.2">
      <c r="A133">
        <v>2020</v>
      </c>
      <c r="B133" s="34">
        <v>193</v>
      </c>
      <c r="C133" s="34" t="s">
        <v>131</v>
      </c>
      <c r="D133" s="36">
        <v>73385</v>
      </c>
      <c r="E133" s="65">
        <v>401059</v>
      </c>
      <c r="F133" s="57"/>
      <c r="G133" s="57"/>
      <c r="H133" s="65"/>
      <c r="I133" s="64"/>
      <c r="J133" s="65"/>
      <c r="K133" s="64"/>
    </row>
    <row r="134" spans="1:11" x14ac:dyDescent="0.2">
      <c r="A134">
        <v>2020</v>
      </c>
      <c r="B134" s="34">
        <v>194</v>
      </c>
      <c r="C134" s="34" t="s">
        <v>132</v>
      </c>
      <c r="D134" s="36">
        <v>16791</v>
      </c>
      <c r="E134" s="65">
        <v>173940</v>
      </c>
      <c r="F134" s="57"/>
      <c r="G134" s="57"/>
      <c r="H134" s="65"/>
      <c r="I134" s="64"/>
      <c r="J134" s="65"/>
      <c r="K134" s="64"/>
    </row>
    <row r="135" spans="1:11" x14ac:dyDescent="0.2">
      <c r="A135">
        <v>2020</v>
      </c>
      <c r="B135" s="34">
        <v>195</v>
      </c>
      <c r="C135" s="34" t="s">
        <v>133</v>
      </c>
      <c r="D135" s="36">
        <v>38468</v>
      </c>
      <c r="E135" s="65">
        <v>169375</v>
      </c>
      <c r="F135" s="57"/>
      <c r="G135" s="57"/>
      <c r="H135" s="65"/>
      <c r="I135" s="64"/>
      <c r="J135" s="65"/>
      <c r="K135" s="64"/>
    </row>
    <row r="136" spans="1:11" x14ac:dyDescent="0.2">
      <c r="A136">
        <v>2020</v>
      </c>
      <c r="B136" s="34">
        <v>196</v>
      </c>
      <c r="C136" s="34" t="s">
        <v>134</v>
      </c>
      <c r="D136" s="36">
        <v>12948</v>
      </c>
      <c r="E136" s="65">
        <v>145621</v>
      </c>
      <c r="F136" s="57"/>
      <c r="G136" s="57"/>
      <c r="H136" s="65"/>
      <c r="I136" s="64"/>
      <c r="J136" s="65"/>
      <c r="K136" s="64"/>
    </row>
    <row r="137" spans="1:11" x14ac:dyDescent="0.2">
      <c r="A137">
        <v>2020</v>
      </c>
      <c r="B137" s="34">
        <v>197</v>
      </c>
      <c r="C137" s="34" t="s">
        <v>135</v>
      </c>
      <c r="D137" s="36">
        <v>38408</v>
      </c>
      <c r="E137" s="65">
        <v>417767</v>
      </c>
      <c r="F137" s="57"/>
      <c r="G137" s="57"/>
      <c r="H137" s="65"/>
      <c r="I137" s="64"/>
      <c r="J137" s="65"/>
      <c r="K137" s="64"/>
    </row>
    <row r="138" spans="1:11" x14ac:dyDescent="0.2">
      <c r="A138">
        <v>2020</v>
      </c>
      <c r="B138" s="34">
        <v>198</v>
      </c>
      <c r="C138" s="34" t="s">
        <v>136</v>
      </c>
      <c r="D138" s="36">
        <v>20356</v>
      </c>
      <c r="E138" s="65">
        <v>157152</v>
      </c>
      <c r="F138" s="57"/>
      <c r="G138" s="57"/>
      <c r="H138" s="65"/>
      <c r="I138" s="64"/>
      <c r="J138" s="65"/>
      <c r="K138" s="64"/>
    </row>
    <row r="139" spans="1:11" x14ac:dyDescent="0.2">
      <c r="A139">
        <v>2020</v>
      </c>
      <c r="B139" s="34">
        <v>200</v>
      </c>
      <c r="C139" s="34" t="s">
        <v>137</v>
      </c>
      <c r="D139" s="36">
        <v>20902</v>
      </c>
      <c r="E139" s="65">
        <v>178710</v>
      </c>
      <c r="F139" s="57"/>
      <c r="G139" s="57"/>
      <c r="H139" s="65"/>
      <c r="I139" s="64"/>
      <c r="J139" s="65"/>
      <c r="K139" s="64"/>
    </row>
    <row r="140" spans="1:11" x14ac:dyDescent="0.2">
      <c r="A140">
        <v>2020</v>
      </c>
      <c r="B140" s="34">
        <v>201</v>
      </c>
      <c r="C140" s="34" t="s">
        <v>138</v>
      </c>
      <c r="D140" s="36">
        <v>16703</v>
      </c>
      <c r="E140" s="65">
        <v>98388</v>
      </c>
      <c r="F140" s="57"/>
      <c r="G140" s="57"/>
      <c r="H140" s="65"/>
      <c r="I140" s="64"/>
      <c r="J140" s="65"/>
      <c r="K140" s="64"/>
    </row>
    <row r="141" spans="1:11" x14ac:dyDescent="0.2">
      <c r="A141">
        <v>2020</v>
      </c>
      <c r="B141" s="34">
        <v>202</v>
      </c>
      <c r="C141" s="34" t="s">
        <v>139</v>
      </c>
      <c r="D141" s="36">
        <v>28375</v>
      </c>
      <c r="E141" s="65">
        <v>101962</v>
      </c>
      <c r="F141" s="57"/>
      <c r="G141" s="57"/>
      <c r="H141" s="65"/>
      <c r="I141" s="64"/>
      <c r="J141" s="65"/>
      <c r="K141" s="64"/>
    </row>
    <row r="142" spans="1:11" x14ac:dyDescent="0.2">
      <c r="A142">
        <v>2020</v>
      </c>
      <c r="B142" s="34">
        <v>203</v>
      </c>
      <c r="C142" s="34" t="s">
        <v>140</v>
      </c>
      <c r="D142" s="36">
        <v>22932</v>
      </c>
      <c r="E142" s="65">
        <v>189811</v>
      </c>
      <c r="F142" s="57"/>
      <c r="G142" s="57"/>
      <c r="H142" s="65"/>
      <c r="I142" s="64"/>
      <c r="J142" s="65"/>
      <c r="K142" s="64"/>
    </row>
    <row r="143" spans="1:11" x14ac:dyDescent="0.2">
      <c r="A143">
        <v>2020</v>
      </c>
      <c r="B143" s="34">
        <v>204</v>
      </c>
      <c r="C143" s="34" t="s">
        <v>141</v>
      </c>
      <c r="D143" s="36">
        <v>22841</v>
      </c>
      <c r="E143" s="65">
        <v>135785</v>
      </c>
      <c r="F143" s="57"/>
      <c r="G143" s="57"/>
      <c r="H143" s="65"/>
      <c r="I143" s="64"/>
      <c r="J143" s="65"/>
      <c r="K143" s="64"/>
    </row>
    <row r="144" spans="1:11" x14ac:dyDescent="0.2">
      <c r="A144">
        <v>2020</v>
      </c>
      <c r="B144" s="34">
        <v>205</v>
      </c>
      <c r="C144" s="34" t="s">
        <v>142</v>
      </c>
      <c r="D144" s="36">
        <v>132454</v>
      </c>
      <c r="E144" s="65">
        <v>935047</v>
      </c>
      <c r="F144" s="57"/>
      <c r="G144" s="57"/>
      <c r="H144" s="65"/>
      <c r="I144" s="64"/>
      <c r="J144" s="65"/>
      <c r="K144" s="64"/>
    </row>
    <row r="145" spans="1:11" x14ac:dyDescent="0.2">
      <c r="A145">
        <v>2020</v>
      </c>
      <c r="B145" s="34">
        <v>206</v>
      </c>
      <c r="C145" s="34" t="s">
        <v>553</v>
      </c>
      <c r="D145" s="36">
        <v>126861</v>
      </c>
      <c r="E145" s="65">
        <v>827502</v>
      </c>
      <c r="F145" s="57"/>
      <c r="G145" s="57"/>
      <c r="H145" s="65"/>
      <c r="I145" s="64"/>
      <c r="J145" s="65"/>
      <c r="K145" s="64"/>
    </row>
    <row r="146" spans="1:11" x14ac:dyDescent="0.2">
      <c r="A146">
        <v>2020</v>
      </c>
      <c r="B146" s="34">
        <v>207</v>
      </c>
      <c r="C146" s="34" t="s">
        <v>144</v>
      </c>
      <c r="D146" s="36">
        <v>11731</v>
      </c>
      <c r="E146" s="65">
        <v>68554</v>
      </c>
      <c r="F146" s="57"/>
      <c r="G146" s="57"/>
      <c r="H146" s="65"/>
      <c r="I146" s="64"/>
      <c r="J146" s="65"/>
      <c r="K146" s="64"/>
    </row>
    <row r="147" spans="1:11" x14ac:dyDescent="0.2">
      <c r="A147">
        <v>2020</v>
      </c>
      <c r="B147" s="34">
        <v>208</v>
      </c>
      <c r="C147" s="34" t="s">
        <v>145</v>
      </c>
      <c r="D147" s="36">
        <v>14438</v>
      </c>
      <c r="E147" s="65">
        <v>60216</v>
      </c>
      <c r="F147" s="57"/>
      <c r="G147" s="57"/>
      <c r="H147" s="65"/>
      <c r="I147" s="64"/>
      <c r="J147" s="65"/>
      <c r="K147" s="64"/>
    </row>
    <row r="148" spans="1:11" x14ac:dyDescent="0.2">
      <c r="A148">
        <v>2020</v>
      </c>
      <c r="B148" s="34">
        <v>209</v>
      </c>
      <c r="C148" s="34" t="s">
        <v>146</v>
      </c>
      <c r="D148" s="36">
        <v>100667</v>
      </c>
      <c r="E148" s="65">
        <v>593602</v>
      </c>
      <c r="F148" s="57"/>
      <c r="G148" s="57"/>
      <c r="H148" s="65"/>
      <c r="I148" s="64"/>
      <c r="J148" s="65"/>
      <c r="K148" s="64"/>
    </row>
    <row r="149" spans="1:11" x14ac:dyDescent="0.2">
      <c r="A149">
        <v>2020</v>
      </c>
      <c r="B149" s="34">
        <v>210</v>
      </c>
      <c r="C149" s="34" t="s">
        <v>147</v>
      </c>
      <c r="D149" s="36">
        <v>53612</v>
      </c>
      <c r="E149" s="65">
        <v>368335</v>
      </c>
      <c r="F149" s="57"/>
      <c r="G149" s="57"/>
      <c r="H149" s="65"/>
      <c r="I149" s="64"/>
      <c r="J149" s="65"/>
      <c r="K149" s="64"/>
    </row>
    <row r="150" spans="1:11" x14ac:dyDescent="0.2">
      <c r="A150">
        <v>2020</v>
      </c>
      <c r="B150" s="34">
        <v>211</v>
      </c>
      <c r="C150" s="34" t="s">
        <v>148</v>
      </c>
      <c r="D150" s="36">
        <v>53892</v>
      </c>
      <c r="E150" s="65">
        <v>332288</v>
      </c>
      <c r="F150" s="57"/>
      <c r="G150" s="57"/>
      <c r="H150" s="65"/>
      <c r="I150" s="64"/>
      <c r="J150" s="65"/>
      <c r="K150" s="64"/>
    </row>
    <row r="151" spans="1:11" x14ac:dyDescent="0.2">
      <c r="A151">
        <v>2020</v>
      </c>
      <c r="B151" s="34">
        <v>212</v>
      </c>
      <c r="C151" s="34" t="s">
        <v>149</v>
      </c>
      <c r="D151" s="36">
        <v>51892</v>
      </c>
      <c r="E151" s="65">
        <v>210371</v>
      </c>
      <c r="F151" s="57"/>
      <c r="G151" s="57"/>
      <c r="H151" s="65"/>
      <c r="I151" s="64"/>
      <c r="J151" s="65"/>
      <c r="K151" s="64"/>
    </row>
    <row r="152" spans="1:11" x14ac:dyDescent="0.2">
      <c r="A152">
        <v>2020</v>
      </c>
      <c r="B152" s="34">
        <v>213</v>
      </c>
      <c r="C152" s="34" t="s">
        <v>150</v>
      </c>
      <c r="D152" s="36">
        <v>72241</v>
      </c>
      <c r="E152" s="65">
        <v>476330</v>
      </c>
      <c r="F152" s="57"/>
      <c r="G152" s="57"/>
      <c r="H152" s="65"/>
      <c r="I152" s="64"/>
      <c r="J152" s="65"/>
      <c r="K152" s="64"/>
    </row>
    <row r="153" spans="1:11" x14ac:dyDescent="0.2">
      <c r="A153">
        <v>2020</v>
      </c>
      <c r="B153" s="34">
        <v>214</v>
      </c>
      <c r="C153" s="34" t="s">
        <v>151</v>
      </c>
      <c r="D153" s="36">
        <v>45433</v>
      </c>
      <c r="E153" s="65">
        <v>189578</v>
      </c>
      <c r="F153" s="57"/>
      <c r="G153" s="57"/>
      <c r="H153" s="65"/>
      <c r="I153" s="64"/>
      <c r="J153" s="65"/>
      <c r="K153" s="64"/>
    </row>
    <row r="154" spans="1:11" x14ac:dyDescent="0.2">
      <c r="A154">
        <v>2020</v>
      </c>
      <c r="B154" s="34">
        <v>215</v>
      </c>
      <c r="C154" s="34" t="s">
        <v>152</v>
      </c>
      <c r="D154" s="36">
        <v>169060</v>
      </c>
      <c r="E154" s="65">
        <v>1285274</v>
      </c>
      <c r="F154" s="57"/>
      <c r="G154" s="57"/>
      <c r="H154" s="65"/>
      <c r="I154" s="64"/>
      <c r="J154" s="65"/>
      <c r="K154" s="64"/>
    </row>
    <row r="155" spans="1:11" x14ac:dyDescent="0.2">
      <c r="A155">
        <v>2020</v>
      </c>
      <c r="B155" s="34">
        <v>216</v>
      </c>
      <c r="C155" s="34" t="s">
        <v>153</v>
      </c>
      <c r="D155" s="36">
        <v>23047</v>
      </c>
      <c r="E155" s="65">
        <v>123932</v>
      </c>
      <c r="F155" s="57"/>
      <c r="G155" s="57"/>
      <c r="H155" s="65"/>
      <c r="I155" s="64"/>
      <c r="J155" s="65"/>
      <c r="K155" s="64"/>
    </row>
    <row r="156" spans="1:11" x14ac:dyDescent="0.2">
      <c r="A156">
        <v>2020</v>
      </c>
      <c r="B156" s="34">
        <v>217</v>
      </c>
      <c r="C156" s="34" t="s">
        <v>154</v>
      </c>
      <c r="D156" s="36">
        <v>450896</v>
      </c>
      <c r="E156" s="65">
        <v>2500324</v>
      </c>
      <c r="F156" s="57"/>
      <c r="G156" s="57"/>
      <c r="H156" s="65"/>
      <c r="I156" s="64"/>
      <c r="J156" s="65"/>
      <c r="K156" s="64"/>
    </row>
    <row r="157" spans="1:11" x14ac:dyDescent="0.2">
      <c r="A157">
        <v>2020</v>
      </c>
      <c r="B157" s="34">
        <v>218</v>
      </c>
      <c r="C157" s="34" t="s">
        <v>155</v>
      </c>
      <c r="D157" s="36">
        <v>289992</v>
      </c>
      <c r="E157" s="65">
        <v>2290665</v>
      </c>
      <c r="F157" s="57"/>
      <c r="G157" s="57"/>
      <c r="H157" s="65"/>
      <c r="I157" s="64"/>
      <c r="J157" s="65"/>
      <c r="K157" s="64"/>
    </row>
    <row r="158" spans="1:11" x14ac:dyDescent="0.2">
      <c r="A158">
        <v>2020</v>
      </c>
      <c r="B158" s="34">
        <v>219</v>
      </c>
      <c r="C158" s="34" t="s">
        <v>156</v>
      </c>
      <c r="D158" s="36">
        <v>274810</v>
      </c>
      <c r="E158" s="65">
        <v>1627887</v>
      </c>
      <c r="F158" s="57"/>
      <c r="G158" s="57"/>
      <c r="H158" s="65"/>
      <c r="I158" s="64"/>
      <c r="J158" s="65"/>
      <c r="K158" s="64"/>
    </row>
    <row r="159" spans="1:11" x14ac:dyDescent="0.2">
      <c r="A159">
        <v>2020</v>
      </c>
      <c r="B159" s="34">
        <v>220</v>
      </c>
      <c r="C159" s="34" t="s">
        <v>157</v>
      </c>
      <c r="D159" s="36">
        <v>46739</v>
      </c>
      <c r="E159" s="65">
        <v>228774</v>
      </c>
      <c r="F159" s="57"/>
      <c r="G159" s="57"/>
      <c r="H159" s="65"/>
      <c r="I159" s="64"/>
      <c r="J159" s="65"/>
      <c r="K159" s="64"/>
    </row>
    <row r="160" spans="1:11" x14ac:dyDescent="0.2">
      <c r="A160">
        <v>2020</v>
      </c>
      <c r="B160" s="34">
        <v>221</v>
      </c>
      <c r="C160" s="34" t="s">
        <v>554</v>
      </c>
      <c r="D160" s="36">
        <v>13272</v>
      </c>
      <c r="E160" s="65">
        <v>160630</v>
      </c>
      <c r="F160" s="57"/>
      <c r="G160" s="57"/>
      <c r="H160" s="65"/>
      <c r="I160" s="64"/>
      <c r="J160" s="65"/>
      <c r="K160" s="64"/>
    </row>
    <row r="161" spans="1:11" x14ac:dyDescent="0.2">
      <c r="A161">
        <v>2020</v>
      </c>
      <c r="B161" s="34">
        <v>222</v>
      </c>
      <c r="C161" s="34" t="s">
        <v>159</v>
      </c>
      <c r="D161" s="36">
        <v>6311</v>
      </c>
      <c r="E161" s="65">
        <v>54433</v>
      </c>
      <c r="F161" s="57"/>
      <c r="G161" s="57"/>
      <c r="H161" s="65"/>
      <c r="I161" s="64"/>
      <c r="J161" s="65"/>
      <c r="K161" s="64"/>
    </row>
    <row r="162" spans="1:11" x14ac:dyDescent="0.2">
      <c r="A162">
        <v>2020</v>
      </c>
      <c r="B162" s="34">
        <v>223</v>
      </c>
      <c r="C162" s="34" t="s">
        <v>160</v>
      </c>
      <c r="D162" s="36">
        <v>196061</v>
      </c>
      <c r="E162" s="65">
        <v>1549442</v>
      </c>
      <c r="F162" s="57"/>
      <c r="G162" s="57"/>
      <c r="H162" s="65"/>
      <c r="I162" s="64"/>
      <c r="J162" s="65"/>
      <c r="K162" s="64"/>
    </row>
    <row r="163" spans="1:11" x14ac:dyDescent="0.2">
      <c r="A163">
        <v>2020</v>
      </c>
      <c r="B163" s="34">
        <v>224</v>
      </c>
      <c r="C163" s="34" t="s">
        <v>161</v>
      </c>
      <c r="D163" s="36">
        <v>493825</v>
      </c>
      <c r="E163" s="65">
        <v>3295917</v>
      </c>
      <c r="F163" s="57"/>
      <c r="G163" s="57"/>
      <c r="H163" s="65"/>
      <c r="I163" s="64"/>
      <c r="J163" s="65"/>
      <c r="K163" s="64"/>
    </row>
    <row r="164" spans="1:11" x14ac:dyDescent="0.2">
      <c r="A164">
        <v>2020</v>
      </c>
      <c r="B164" s="34">
        <v>225</v>
      </c>
      <c r="C164" s="34" t="s">
        <v>162</v>
      </c>
      <c r="D164" s="36">
        <v>54731</v>
      </c>
      <c r="E164" s="65">
        <v>372282</v>
      </c>
      <c r="F164" s="57"/>
      <c r="G164" s="57"/>
      <c r="H164" s="65"/>
      <c r="I164" s="64"/>
      <c r="J164" s="65"/>
      <c r="K164" s="64"/>
    </row>
    <row r="165" spans="1:11" x14ac:dyDescent="0.2">
      <c r="A165">
        <v>2020</v>
      </c>
      <c r="B165" s="34">
        <v>229</v>
      </c>
      <c r="C165" s="34" t="s">
        <v>163</v>
      </c>
      <c r="D165" s="36">
        <v>90960</v>
      </c>
      <c r="E165" s="65">
        <v>670685</v>
      </c>
      <c r="F165" s="57"/>
      <c r="G165" s="57"/>
      <c r="H165" s="65"/>
      <c r="I165" s="64"/>
      <c r="J165" s="65"/>
      <c r="K165" s="64"/>
    </row>
    <row r="166" spans="1:11" x14ac:dyDescent="0.2">
      <c r="A166">
        <v>2020</v>
      </c>
      <c r="B166" s="34">
        <v>230</v>
      </c>
      <c r="C166" s="34" t="s">
        <v>164</v>
      </c>
      <c r="D166" s="36">
        <v>211789</v>
      </c>
      <c r="E166" s="65">
        <v>1127838</v>
      </c>
      <c r="F166" s="57"/>
      <c r="G166" s="57"/>
      <c r="H166" s="65"/>
      <c r="I166" s="64"/>
      <c r="J166" s="65"/>
      <c r="K166" s="64"/>
    </row>
    <row r="167" spans="1:11" x14ac:dyDescent="0.2">
      <c r="A167">
        <v>2020</v>
      </c>
      <c r="B167" s="34">
        <v>232</v>
      </c>
      <c r="C167" s="34" t="s">
        <v>165</v>
      </c>
      <c r="D167" s="36">
        <v>36822</v>
      </c>
      <c r="E167" s="65">
        <v>309934</v>
      </c>
      <c r="F167" s="57"/>
      <c r="G167" s="57"/>
      <c r="H167" s="65"/>
      <c r="I167" s="64"/>
      <c r="J167" s="65"/>
      <c r="K167" s="64"/>
    </row>
    <row r="168" spans="1:11" x14ac:dyDescent="0.2">
      <c r="A168">
        <v>2020</v>
      </c>
      <c r="B168" s="34">
        <v>233</v>
      </c>
      <c r="C168" s="34" t="s">
        <v>166</v>
      </c>
      <c r="D168" s="36">
        <v>25589</v>
      </c>
      <c r="E168" s="65">
        <v>258984</v>
      </c>
      <c r="F168" s="57"/>
      <c r="G168" s="57"/>
      <c r="H168" s="65"/>
      <c r="I168" s="64"/>
      <c r="J168" s="65"/>
      <c r="K168" s="64"/>
    </row>
    <row r="169" spans="1:11" x14ac:dyDescent="0.2">
      <c r="A169">
        <v>2020</v>
      </c>
      <c r="B169" s="34">
        <v>234</v>
      </c>
      <c r="C169" s="34" t="s">
        <v>167</v>
      </c>
      <c r="D169" s="36">
        <v>42358</v>
      </c>
      <c r="E169" s="65">
        <v>293249</v>
      </c>
      <c r="F169" s="57"/>
      <c r="G169" s="57"/>
      <c r="H169" s="65"/>
      <c r="I169" s="64"/>
      <c r="J169" s="65"/>
      <c r="K169" s="64"/>
    </row>
    <row r="170" spans="1:11" x14ac:dyDescent="0.2">
      <c r="A170">
        <v>2020</v>
      </c>
      <c r="B170" s="34">
        <v>235</v>
      </c>
      <c r="C170" s="34" t="s">
        <v>168</v>
      </c>
      <c r="D170" s="36">
        <v>537977</v>
      </c>
      <c r="E170" s="65">
        <v>3329429</v>
      </c>
      <c r="F170" s="57"/>
      <c r="G170" s="57"/>
      <c r="H170" s="65"/>
      <c r="I170" s="64"/>
      <c r="J170" s="65"/>
      <c r="K170" s="64"/>
    </row>
    <row r="171" spans="1:11" x14ac:dyDescent="0.2">
      <c r="A171">
        <v>2020</v>
      </c>
      <c r="B171" s="34">
        <v>236</v>
      </c>
      <c r="C171" s="34" t="s">
        <v>169</v>
      </c>
      <c r="D171" s="36">
        <v>595938</v>
      </c>
      <c r="E171" s="65">
        <v>3571552</v>
      </c>
      <c r="F171" s="57"/>
      <c r="G171" s="57"/>
      <c r="H171" s="65"/>
      <c r="I171" s="64"/>
      <c r="J171" s="65"/>
      <c r="K171" s="64"/>
    </row>
    <row r="172" spans="1:11" x14ac:dyDescent="0.2">
      <c r="A172">
        <v>2020</v>
      </c>
      <c r="B172" s="34">
        <v>237</v>
      </c>
      <c r="C172" s="34" t="s">
        <v>170</v>
      </c>
      <c r="D172" s="36">
        <v>65376</v>
      </c>
      <c r="E172" s="65">
        <v>468333</v>
      </c>
      <c r="F172" s="57"/>
      <c r="G172" s="57"/>
      <c r="H172" s="65"/>
      <c r="I172" s="64"/>
      <c r="J172" s="65"/>
      <c r="K172" s="64"/>
    </row>
    <row r="173" spans="1:11" x14ac:dyDescent="0.2">
      <c r="A173">
        <v>2020</v>
      </c>
      <c r="B173" s="34">
        <v>238</v>
      </c>
      <c r="C173" s="34" t="s">
        <v>171</v>
      </c>
      <c r="D173" s="36">
        <v>21748</v>
      </c>
      <c r="E173" s="65">
        <v>199728</v>
      </c>
      <c r="F173" s="57"/>
      <c r="G173" s="57"/>
      <c r="H173" s="65"/>
      <c r="I173" s="64"/>
      <c r="J173" s="65"/>
      <c r="K173" s="64"/>
    </row>
    <row r="174" spans="1:11" x14ac:dyDescent="0.2">
      <c r="A174">
        <v>2020</v>
      </c>
      <c r="B174" s="34">
        <v>239</v>
      </c>
      <c r="C174" s="34" t="s">
        <v>172</v>
      </c>
      <c r="D174" s="36">
        <v>150646</v>
      </c>
      <c r="E174" s="65">
        <v>904363</v>
      </c>
      <c r="F174" s="57"/>
      <c r="G174" s="57"/>
      <c r="H174" s="65"/>
      <c r="I174" s="64"/>
      <c r="J174" s="65"/>
      <c r="K174" s="64"/>
    </row>
    <row r="175" spans="1:11" x14ac:dyDescent="0.2">
      <c r="A175">
        <v>2020</v>
      </c>
      <c r="B175" s="34">
        <v>240</v>
      </c>
      <c r="C175" s="34" t="s">
        <v>216</v>
      </c>
      <c r="D175" s="36">
        <v>311059</v>
      </c>
      <c r="E175" s="65">
        <v>1587398</v>
      </c>
      <c r="F175" s="57"/>
      <c r="G175" s="57"/>
      <c r="H175" s="65"/>
      <c r="I175" s="64"/>
      <c r="J175" s="65"/>
      <c r="K175" s="64"/>
    </row>
    <row r="176" spans="1:11" x14ac:dyDescent="0.2">
      <c r="A176">
        <v>2020</v>
      </c>
      <c r="B176" s="34">
        <v>241</v>
      </c>
      <c r="C176" s="34" t="s">
        <v>173</v>
      </c>
      <c r="D176" s="36">
        <v>113460</v>
      </c>
      <c r="E176" s="65">
        <v>684679</v>
      </c>
      <c r="F176" s="57"/>
      <c r="G176" s="57"/>
      <c r="H176" s="65"/>
      <c r="I176" s="64"/>
      <c r="J176" s="65"/>
      <c r="K176" s="64"/>
    </row>
    <row r="177" spans="1:11" x14ac:dyDescent="0.2">
      <c r="A177">
        <v>2020</v>
      </c>
      <c r="B177" s="34">
        <v>242</v>
      </c>
      <c r="C177" s="34" t="s">
        <v>174</v>
      </c>
      <c r="D177" s="36">
        <v>3674957</v>
      </c>
      <c r="E177" s="65">
        <v>20125152</v>
      </c>
      <c r="F177" s="57"/>
      <c r="G177" s="57"/>
      <c r="H177" s="65"/>
      <c r="I177" s="64"/>
      <c r="J177" s="65"/>
      <c r="K177" s="64"/>
    </row>
    <row r="178" spans="1:11" x14ac:dyDescent="0.2">
      <c r="A178">
        <v>2020</v>
      </c>
      <c r="B178" s="34">
        <v>243</v>
      </c>
      <c r="C178" s="34" t="s">
        <v>175</v>
      </c>
      <c r="D178" s="36">
        <v>5948</v>
      </c>
      <c r="E178" s="65">
        <v>34295</v>
      </c>
      <c r="F178" s="57"/>
      <c r="G178" s="57"/>
      <c r="H178" s="65"/>
      <c r="I178" s="64"/>
      <c r="J178" s="65"/>
      <c r="K178" s="64"/>
    </row>
    <row r="179" spans="1:11" x14ac:dyDescent="0.2">
      <c r="A179">
        <v>2020</v>
      </c>
      <c r="B179" s="34">
        <v>244</v>
      </c>
      <c r="C179" s="34" t="s">
        <v>176</v>
      </c>
      <c r="D179" s="36">
        <v>32811</v>
      </c>
      <c r="E179" s="65">
        <v>149117</v>
      </c>
      <c r="F179" s="57"/>
      <c r="G179" s="57"/>
      <c r="H179" s="65"/>
      <c r="I179" s="64"/>
      <c r="J179" s="65"/>
      <c r="K179" s="64"/>
    </row>
    <row r="180" spans="1:11" x14ac:dyDescent="0.2">
      <c r="A180">
        <v>2020</v>
      </c>
      <c r="B180" s="34">
        <v>245</v>
      </c>
      <c r="C180" s="34" t="s">
        <v>177</v>
      </c>
      <c r="D180" s="36">
        <v>23468</v>
      </c>
      <c r="E180" s="65">
        <v>96585</v>
      </c>
      <c r="F180" s="57"/>
      <c r="G180" s="57"/>
      <c r="H180" s="65"/>
      <c r="I180" s="64"/>
      <c r="J180" s="65"/>
      <c r="K180" s="64"/>
    </row>
    <row r="181" spans="1:11" x14ac:dyDescent="0.2">
      <c r="A181">
        <v>2020</v>
      </c>
      <c r="B181" s="34">
        <v>246</v>
      </c>
      <c r="C181" s="34" t="s">
        <v>178</v>
      </c>
      <c r="D181" s="36">
        <v>9146</v>
      </c>
      <c r="E181" s="65">
        <v>55988</v>
      </c>
      <c r="F181" s="57"/>
      <c r="G181" s="57"/>
      <c r="H181" s="65"/>
      <c r="I181" s="64"/>
      <c r="J181" s="65"/>
      <c r="K181" s="64"/>
    </row>
    <row r="182" spans="1:11" x14ac:dyDescent="0.2">
      <c r="A182">
        <v>2020</v>
      </c>
      <c r="B182" s="34">
        <v>247</v>
      </c>
      <c r="C182" s="34" t="s">
        <v>179</v>
      </c>
      <c r="D182" s="36">
        <v>125450</v>
      </c>
      <c r="E182" s="65">
        <v>824213</v>
      </c>
      <c r="F182" s="57"/>
      <c r="G182" s="57"/>
      <c r="H182" s="65"/>
      <c r="I182" s="64"/>
      <c r="J182" s="65"/>
      <c r="K182" s="64"/>
    </row>
    <row r="183" spans="1:11" x14ac:dyDescent="0.2">
      <c r="A183">
        <v>2020</v>
      </c>
      <c r="B183" s="34">
        <v>248</v>
      </c>
      <c r="C183" s="34" t="s">
        <v>180</v>
      </c>
      <c r="D183" s="36">
        <v>19541</v>
      </c>
      <c r="E183" s="65">
        <v>94807</v>
      </c>
      <c r="F183" s="57"/>
      <c r="G183" s="57"/>
      <c r="H183" s="65"/>
      <c r="I183" s="64"/>
      <c r="J183" s="65"/>
      <c r="K183" s="64"/>
    </row>
    <row r="184" spans="1:11" x14ac:dyDescent="0.2">
      <c r="A184">
        <v>2020</v>
      </c>
      <c r="B184" s="34">
        <v>249</v>
      </c>
      <c r="C184" s="34" t="s">
        <v>181</v>
      </c>
      <c r="D184" s="36">
        <v>105952</v>
      </c>
      <c r="E184" s="65">
        <v>645797</v>
      </c>
      <c r="F184" s="57"/>
      <c r="G184" s="57"/>
      <c r="H184" s="65"/>
      <c r="I184" s="64"/>
      <c r="J184" s="65"/>
      <c r="K184" s="64"/>
    </row>
    <row r="185" spans="1:11" x14ac:dyDescent="0.2">
      <c r="A185">
        <v>2020</v>
      </c>
      <c r="B185" s="34">
        <v>250</v>
      </c>
      <c r="C185" s="34" t="s">
        <v>182</v>
      </c>
      <c r="D185" s="36">
        <v>32147</v>
      </c>
      <c r="E185" s="65">
        <v>174047</v>
      </c>
      <c r="F185" s="57"/>
      <c r="G185" s="57"/>
      <c r="H185" s="65"/>
      <c r="I185" s="64"/>
      <c r="J185" s="65"/>
      <c r="K185" s="64"/>
    </row>
    <row r="186" spans="1:11" x14ac:dyDescent="0.2">
      <c r="A186">
        <v>2020</v>
      </c>
      <c r="B186" s="34">
        <v>251</v>
      </c>
      <c r="C186" s="34" t="s">
        <v>183</v>
      </c>
      <c r="D186" s="36">
        <v>27318</v>
      </c>
      <c r="E186" s="65">
        <v>96566</v>
      </c>
      <c r="F186" s="57"/>
      <c r="G186" s="57"/>
      <c r="H186" s="65"/>
      <c r="I186" s="64"/>
      <c r="J186" s="65"/>
      <c r="K186" s="64"/>
    </row>
    <row r="187" spans="1:11" x14ac:dyDescent="0.2">
      <c r="A187">
        <v>2020</v>
      </c>
      <c r="B187" s="34">
        <v>252</v>
      </c>
      <c r="C187" s="34" t="s">
        <v>184</v>
      </c>
      <c r="D187" s="36">
        <v>13604</v>
      </c>
      <c r="E187" s="65">
        <v>84376</v>
      </c>
      <c r="F187" s="57"/>
      <c r="G187" s="57"/>
      <c r="H187" s="65"/>
      <c r="I187" s="64"/>
      <c r="J187" s="65"/>
      <c r="K187" s="64"/>
    </row>
    <row r="188" spans="1:11" x14ac:dyDescent="0.2">
      <c r="A188">
        <v>2020</v>
      </c>
      <c r="B188" s="34">
        <v>254</v>
      </c>
      <c r="C188" s="34" t="s">
        <v>185</v>
      </c>
      <c r="D188" s="36">
        <v>49588</v>
      </c>
      <c r="E188" s="65">
        <v>488609</v>
      </c>
      <c r="F188" s="57"/>
      <c r="G188" s="57"/>
      <c r="H188" s="65"/>
      <c r="I188" s="64"/>
      <c r="J188" s="65"/>
      <c r="K188" s="64"/>
    </row>
    <row r="189" spans="1:11" x14ac:dyDescent="0.2">
      <c r="A189">
        <v>2020</v>
      </c>
      <c r="B189" s="34">
        <v>256</v>
      </c>
      <c r="C189" s="34" t="s">
        <v>186</v>
      </c>
      <c r="D189" s="36">
        <v>7489</v>
      </c>
      <c r="E189" s="65">
        <v>39166</v>
      </c>
      <c r="F189" s="57"/>
      <c r="G189" s="57"/>
      <c r="H189" s="65"/>
      <c r="I189" s="64"/>
      <c r="J189" s="65"/>
      <c r="K189" s="64"/>
    </row>
    <row r="190" spans="1:11" x14ac:dyDescent="0.2">
      <c r="A190">
        <v>2020</v>
      </c>
      <c r="B190" s="34">
        <v>258</v>
      </c>
      <c r="C190" s="34" t="s">
        <v>187</v>
      </c>
      <c r="D190" s="36">
        <v>36793</v>
      </c>
      <c r="E190" s="65">
        <v>111783</v>
      </c>
      <c r="F190" s="57"/>
      <c r="G190" s="57"/>
      <c r="H190" s="65"/>
      <c r="I190" s="64"/>
      <c r="J190" s="65"/>
      <c r="K190" s="64"/>
    </row>
    <row r="191" spans="1:11" x14ac:dyDescent="0.2">
      <c r="A191">
        <v>2020</v>
      </c>
      <c r="B191" s="34">
        <v>259</v>
      </c>
      <c r="C191" s="34" t="s">
        <v>188</v>
      </c>
      <c r="D191" s="36">
        <v>7595</v>
      </c>
      <c r="E191" s="65">
        <v>77820</v>
      </c>
      <c r="F191" s="57"/>
      <c r="G191" s="57"/>
      <c r="H191" s="65"/>
      <c r="I191" s="64"/>
      <c r="J191" s="65"/>
      <c r="K191" s="64"/>
    </row>
    <row r="192" spans="1:11" x14ac:dyDescent="0.2">
      <c r="A192">
        <v>2020</v>
      </c>
      <c r="B192" s="34">
        <v>260</v>
      </c>
      <c r="C192" s="34" t="s">
        <v>189</v>
      </c>
      <c r="D192" s="36">
        <v>6828</v>
      </c>
      <c r="E192" s="65">
        <v>35666</v>
      </c>
      <c r="F192" s="57"/>
      <c r="G192" s="57"/>
      <c r="H192" s="65"/>
      <c r="I192" s="64"/>
      <c r="J192" s="65"/>
      <c r="K192" s="64"/>
    </row>
    <row r="193" spans="1:11" x14ac:dyDescent="0.2">
      <c r="A193">
        <v>2020</v>
      </c>
      <c r="B193" s="34">
        <v>261</v>
      </c>
      <c r="C193" s="34" t="s">
        <v>190</v>
      </c>
      <c r="D193" s="36">
        <v>7973</v>
      </c>
      <c r="E193" s="65">
        <v>96494</v>
      </c>
      <c r="F193" s="57"/>
      <c r="G193" s="57"/>
      <c r="H193" s="65"/>
      <c r="I193" s="64"/>
      <c r="J193" s="65"/>
      <c r="K193" s="64"/>
    </row>
    <row r="194" spans="1:11" x14ac:dyDescent="0.2">
      <c r="A194">
        <v>2020</v>
      </c>
      <c r="B194" s="34">
        <v>264</v>
      </c>
      <c r="C194" s="34" t="s">
        <v>191</v>
      </c>
      <c r="D194" s="36">
        <v>137731</v>
      </c>
      <c r="E194" s="65">
        <v>1320963</v>
      </c>
      <c r="F194" s="57"/>
      <c r="G194" s="57"/>
      <c r="H194" s="65"/>
      <c r="I194" s="64"/>
      <c r="J194" s="65"/>
      <c r="K194" s="64"/>
    </row>
    <row r="195" spans="1:11" x14ac:dyDescent="0.2">
      <c r="A195">
        <v>2020</v>
      </c>
      <c r="B195" s="34">
        <v>266</v>
      </c>
      <c r="C195" s="34" t="s">
        <v>192</v>
      </c>
      <c r="D195" s="36">
        <v>69172</v>
      </c>
      <c r="E195" s="65">
        <v>493006</v>
      </c>
      <c r="F195" s="57"/>
      <c r="G195" s="57"/>
      <c r="H195" s="65"/>
      <c r="I195" s="64"/>
      <c r="J195" s="65"/>
      <c r="K195" s="64"/>
    </row>
    <row r="196" spans="1:11" x14ac:dyDescent="0.2">
      <c r="A196">
        <v>2020</v>
      </c>
      <c r="B196" s="34">
        <v>267</v>
      </c>
      <c r="C196" s="34" t="s">
        <v>193</v>
      </c>
      <c r="D196" s="36">
        <v>43863</v>
      </c>
      <c r="E196" s="65">
        <v>236109</v>
      </c>
      <c r="F196" s="57"/>
      <c r="G196" s="57"/>
      <c r="H196" s="65"/>
      <c r="I196" s="64"/>
      <c r="J196" s="65"/>
      <c r="K196" s="64"/>
    </row>
    <row r="197" spans="1:11" x14ac:dyDescent="0.2">
      <c r="A197">
        <v>2020</v>
      </c>
      <c r="B197" s="34">
        <v>268</v>
      </c>
      <c r="C197" s="34" t="s">
        <v>194</v>
      </c>
      <c r="D197" s="36">
        <v>26459</v>
      </c>
      <c r="E197" s="65">
        <v>215493</v>
      </c>
      <c r="F197" s="57"/>
      <c r="G197" s="57"/>
      <c r="H197" s="65"/>
      <c r="I197" s="64"/>
      <c r="J197" s="65"/>
      <c r="K197" s="64"/>
    </row>
    <row r="198" spans="1:11" x14ac:dyDescent="0.2">
      <c r="A198">
        <v>2020</v>
      </c>
      <c r="B198" s="34">
        <v>269</v>
      </c>
      <c r="C198" s="34" t="s">
        <v>555</v>
      </c>
      <c r="D198" s="36">
        <v>42305</v>
      </c>
      <c r="E198" s="65">
        <v>195925</v>
      </c>
      <c r="F198" s="57"/>
      <c r="G198" s="57"/>
      <c r="H198" s="65"/>
      <c r="I198" s="64"/>
      <c r="J198" s="65"/>
      <c r="K198" s="64"/>
    </row>
    <row r="199" spans="1:11" x14ac:dyDescent="0.2">
      <c r="A199">
        <v>2020</v>
      </c>
      <c r="B199" s="34">
        <v>270</v>
      </c>
      <c r="C199" s="34" t="s">
        <v>196</v>
      </c>
      <c r="D199" s="36">
        <v>21806</v>
      </c>
      <c r="E199" s="65">
        <v>252378</v>
      </c>
      <c r="F199" s="57"/>
      <c r="G199" s="57"/>
      <c r="H199" s="65"/>
      <c r="I199" s="64"/>
      <c r="J199" s="65"/>
      <c r="K199" s="64"/>
    </row>
    <row r="200" spans="1:11" x14ac:dyDescent="0.2">
      <c r="A200">
        <v>2020</v>
      </c>
      <c r="B200" s="34">
        <v>271</v>
      </c>
      <c r="C200" s="34" t="s">
        <v>197</v>
      </c>
      <c r="D200" s="36">
        <v>32180</v>
      </c>
      <c r="E200" s="65">
        <v>248805</v>
      </c>
      <c r="F200" s="57"/>
      <c r="G200" s="57"/>
      <c r="H200" s="65"/>
      <c r="I200" s="64"/>
      <c r="J200" s="65"/>
      <c r="K200" s="64"/>
    </row>
    <row r="201" spans="1:11" x14ac:dyDescent="0.2">
      <c r="A201">
        <v>2020</v>
      </c>
      <c r="B201" s="34">
        <v>272</v>
      </c>
      <c r="C201" s="34" t="s">
        <v>198</v>
      </c>
      <c r="D201" s="36">
        <v>10817</v>
      </c>
      <c r="E201" s="65">
        <v>117368</v>
      </c>
      <c r="F201" s="57"/>
      <c r="G201" s="57"/>
      <c r="H201" s="65"/>
      <c r="I201" s="64"/>
      <c r="J201" s="65"/>
      <c r="K201" s="64"/>
    </row>
    <row r="202" spans="1:11" x14ac:dyDescent="0.2">
      <c r="A202">
        <v>2020</v>
      </c>
      <c r="B202" s="34">
        <v>273</v>
      </c>
      <c r="C202" s="34" t="s">
        <v>199</v>
      </c>
      <c r="D202" s="36">
        <v>51066</v>
      </c>
      <c r="E202" s="65">
        <v>318977</v>
      </c>
      <c r="F202" s="57"/>
      <c r="G202" s="57"/>
      <c r="H202" s="65"/>
      <c r="I202" s="64"/>
      <c r="J202" s="65"/>
      <c r="K202" s="64"/>
    </row>
    <row r="203" spans="1:11" x14ac:dyDescent="0.2">
      <c r="A203">
        <v>2020</v>
      </c>
      <c r="B203" s="34">
        <v>274</v>
      </c>
      <c r="C203" s="34" t="s">
        <v>200</v>
      </c>
      <c r="D203" s="36">
        <v>30064</v>
      </c>
      <c r="E203" s="65">
        <v>258269</v>
      </c>
      <c r="F203" s="57"/>
      <c r="G203" s="57"/>
      <c r="H203" s="65"/>
      <c r="I203" s="64"/>
      <c r="J203" s="65"/>
      <c r="K203" s="64"/>
    </row>
    <row r="204" spans="1:11" x14ac:dyDescent="0.2">
      <c r="A204">
        <v>2020</v>
      </c>
      <c r="B204" s="34">
        <v>275</v>
      </c>
      <c r="C204" s="34" t="s">
        <v>201</v>
      </c>
      <c r="D204" s="36">
        <v>43175</v>
      </c>
      <c r="E204" s="65">
        <v>412669</v>
      </c>
      <c r="F204" s="57"/>
      <c r="G204" s="57"/>
      <c r="H204" s="65"/>
      <c r="I204" s="64"/>
      <c r="J204" s="65"/>
      <c r="K204" s="64"/>
    </row>
    <row r="205" spans="1:11" x14ac:dyDescent="0.2">
      <c r="A205">
        <v>2020</v>
      </c>
      <c r="B205" s="34">
        <v>276</v>
      </c>
      <c r="C205" s="34" t="s">
        <v>202</v>
      </c>
      <c r="D205" s="36">
        <v>22321</v>
      </c>
      <c r="E205" s="65">
        <v>146490</v>
      </c>
      <c r="F205" s="57"/>
      <c r="G205" s="57"/>
      <c r="H205" s="65"/>
      <c r="I205" s="64"/>
      <c r="J205" s="65"/>
      <c r="K205" s="64"/>
    </row>
    <row r="206" spans="1:11" x14ac:dyDescent="0.2">
      <c r="A206">
        <v>2020</v>
      </c>
      <c r="B206" s="34">
        <v>277</v>
      </c>
      <c r="C206" s="34" t="s">
        <v>203</v>
      </c>
      <c r="D206" s="36">
        <v>101666</v>
      </c>
      <c r="E206" s="65">
        <v>770956</v>
      </c>
      <c r="F206" s="57"/>
      <c r="G206" s="57"/>
      <c r="H206" s="65"/>
      <c r="I206" s="64"/>
      <c r="J206" s="65"/>
      <c r="K206" s="64"/>
    </row>
    <row r="207" spans="1:11" x14ac:dyDescent="0.2">
      <c r="A207">
        <v>2020</v>
      </c>
      <c r="B207" s="34">
        <v>278</v>
      </c>
      <c r="C207" s="34" t="s">
        <v>204</v>
      </c>
      <c r="D207" s="36">
        <v>124412</v>
      </c>
      <c r="E207" s="65">
        <v>935807</v>
      </c>
      <c r="F207" s="57"/>
      <c r="G207" s="57"/>
      <c r="H207" s="65"/>
      <c r="I207" s="64"/>
      <c r="J207" s="65"/>
      <c r="K207" s="64"/>
    </row>
    <row r="208" spans="1:11" x14ac:dyDescent="0.2">
      <c r="A208">
        <v>2020</v>
      </c>
      <c r="B208" s="34">
        <v>279</v>
      </c>
      <c r="C208" s="34" t="s">
        <v>205</v>
      </c>
      <c r="D208" s="36">
        <v>35744</v>
      </c>
      <c r="E208" s="65">
        <v>217967</v>
      </c>
      <c r="F208" s="57"/>
      <c r="G208" s="57"/>
      <c r="H208" s="65"/>
      <c r="I208" s="64"/>
      <c r="J208" s="65"/>
      <c r="K208" s="64"/>
    </row>
    <row r="209" spans="1:11" x14ac:dyDescent="0.2">
      <c r="A209">
        <v>2020</v>
      </c>
      <c r="B209" s="34">
        <v>280</v>
      </c>
      <c r="C209" s="34" t="s">
        <v>206</v>
      </c>
      <c r="D209" s="36">
        <v>307381</v>
      </c>
      <c r="E209" s="65">
        <v>1844666</v>
      </c>
      <c r="F209" s="57"/>
      <c r="G209" s="57"/>
      <c r="H209" s="65"/>
      <c r="I209" s="64"/>
      <c r="J209" s="65"/>
      <c r="K209" s="64"/>
    </row>
    <row r="210" spans="1:11" x14ac:dyDescent="0.2">
      <c r="A210">
        <v>2020</v>
      </c>
      <c r="B210" s="34">
        <v>281</v>
      </c>
      <c r="C210" s="34" t="s">
        <v>207</v>
      </c>
      <c r="D210" s="36">
        <v>19447</v>
      </c>
      <c r="E210" s="65">
        <v>195665</v>
      </c>
      <c r="F210" s="57"/>
      <c r="G210" s="57"/>
      <c r="H210" s="65"/>
      <c r="I210" s="64"/>
      <c r="J210" s="65"/>
      <c r="K210" s="64"/>
    </row>
    <row r="211" spans="1:11" x14ac:dyDescent="0.2">
      <c r="A211">
        <v>2020</v>
      </c>
      <c r="B211" s="34">
        <v>282</v>
      </c>
      <c r="C211" s="34" t="s">
        <v>208</v>
      </c>
      <c r="D211" s="36">
        <v>50141</v>
      </c>
      <c r="E211" s="65">
        <v>324767</v>
      </c>
      <c r="F211" s="57"/>
      <c r="G211" s="57"/>
      <c r="H211" s="65"/>
      <c r="I211" s="64"/>
      <c r="J211" s="65"/>
      <c r="K211" s="64"/>
    </row>
    <row r="212" spans="1:11" x14ac:dyDescent="0.2">
      <c r="A212">
        <v>2020</v>
      </c>
      <c r="B212" s="34">
        <v>284</v>
      </c>
      <c r="C212" s="34" t="s">
        <v>209</v>
      </c>
      <c r="D212" s="36">
        <v>33650</v>
      </c>
      <c r="E212" s="65">
        <v>146998</v>
      </c>
      <c r="F212" s="57"/>
      <c r="G212" s="57"/>
      <c r="H212" s="65"/>
      <c r="I212" s="64"/>
      <c r="J212" s="65"/>
      <c r="K212" s="64"/>
    </row>
    <row r="213" spans="1:11" x14ac:dyDescent="0.2">
      <c r="A213">
        <v>2020</v>
      </c>
      <c r="B213" s="34">
        <v>285</v>
      </c>
      <c r="C213" s="34" t="s">
        <v>210</v>
      </c>
      <c r="D213" s="36">
        <v>41988</v>
      </c>
      <c r="E213" s="65">
        <v>224907</v>
      </c>
      <c r="F213" s="57"/>
      <c r="G213" s="57"/>
      <c r="H213" s="65"/>
      <c r="I213" s="64"/>
      <c r="J213" s="65"/>
      <c r="K213" s="64"/>
    </row>
    <row r="214" spans="1:11" x14ac:dyDescent="0.2">
      <c r="A214">
        <v>2020</v>
      </c>
      <c r="B214" s="34">
        <v>286</v>
      </c>
      <c r="C214" s="34" t="s">
        <v>211</v>
      </c>
      <c r="D214" s="36">
        <v>107255</v>
      </c>
      <c r="E214" s="65">
        <v>817011</v>
      </c>
      <c r="F214" s="57"/>
      <c r="G214" s="57"/>
      <c r="H214" s="65"/>
      <c r="I214" s="64"/>
      <c r="J214" s="65"/>
      <c r="K214" s="64"/>
    </row>
    <row r="215" spans="1:11" x14ac:dyDescent="0.2">
      <c r="A215">
        <v>2020</v>
      </c>
      <c r="B215" s="34">
        <v>287</v>
      </c>
      <c r="C215" s="34" t="s">
        <v>212</v>
      </c>
      <c r="D215" s="36">
        <v>17504</v>
      </c>
      <c r="E215" s="65">
        <v>83358</v>
      </c>
      <c r="F215" s="57"/>
      <c r="G215" s="57"/>
      <c r="H215" s="65"/>
      <c r="I215" s="64"/>
      <c r="J215" s="65"/>
      <c r="K215" s="64"/>
    </row>
    <row r="216" spans="1:11" x14ac:dyDescent="0.2">
      <c r="A216">
        <v>2020</v>
      </c>
      <c r="B216" s="34">
        <v>288</v>
      </c>
      <c r="C216" s="34" t="s">
        <v>213</v>
      </c>
      <c r="D216" s="36">
        <v>42025</v>
      </c>
      <c r="E216" s="65">
        <v>253840</v>
      </c>
      <c r="F216" s="57"/>
      <c r="G216" s="57"/>
      <c r="H216" s="65"/>
      <c r="I216" s="64"/>
      <c r="J216" s="65"/>
      <c r="K216" s="64"/>
    </row>
    <row r="217" spans="1:11" x14ac:dyDescent="0.2">
      <c r="A217">
        <v>2020</v>
      </c>
      <c r="B217" s="34">
        <v>289</v>
      </c>
      <c r="C217" s="34" t="s">
        <v>214</v>
      </c>
      <c r="D217" s="36">
        <v>747870</v>
      </c>
      <c r="E217" s="65">
        <v>3947798</v>
      </c>
      <c r="F217" s="57"/>
      <c r="G217" s="57"/>
      <c r="H217" s="65"/>
      <c r="I217" s="64"/>
      <c r="J217" s="65"/>
      <c r="K217" s="64"/>
    </row>
    <row r="218" spans="1:11" x14ac:dyDescent="0.2">
      <c r="A218">
        <v>2020</v>
      </c>
      <c r="B218" s="34">
        <v>290</v>
      </c>
      <c r="C218" s="34" t="s">
        <v>217</v>
      </c>
      <c r="D218" s="36">
        <v>1966235</v>
      </c>
      <c r="E218" s="65">
        <v>11341768</v>
      </c>
      <c r="F218" s="57"/>
      <c r="G218" s="57"/>
      <c r="H218" s="65"/>
      <c r="I218" s="64"/>
      <c r="J218" s="65"/>
      <c r="K218" s="64"/>
    </row>
    <row r="219" spans="1:11" x14ac:dyDescent="0.2">
      <c r="A219">
        <v>2020</v>
      </c>
      <c r="B219" s="34">
        <v>291</v>
      </c>
      <c r="C219" s="34" t="s">
        <v>218</v>
      </c>
      <c r="D219" s="36">
        <v>590556</v>
      </c>
      <c r="E219" s="65">
        <v>3345131</v>
      </c>
      <c r="F219" s="57"/>
      <c r="G219" s="57"/>
      <c r="H219" s="65"/>
      <c r="I219" s="64"/>
      <c r="J219" s="65"/>
      <c r="K219" s="64"/>
    </row>
    <row r="220" spans="1:11" x14ac:dyDescent="0.2">
      <c r="A220">
        <v>2020</v>
      </c>
      <c r="B220" s="34">
        <v>292</v>
      </c>
      <c r="C220" s="34" t="s">
        <v>219</v>
      </c>
      <c r="D220" s="36">
        <v>148759</v>
      </c>
      <c r="E220" s="65">
        <v>1456071</v>
      </c>
      <c r="F220" s="57"/>
      <c r="G220" s="57"/>
      <c r="H220" s="65"/>
      <c r="I220" s="64"/>
      <c r="J220" s="65"/>
      <c r="K220" s="64"/>
    </row>
    <row r="221" spans="1:11" x14ac:dyDescent="0.2">
      <c r="A221">
        <v>2020</v>
      </c>
      <c r="B221" s="34">
        <v>293</v>
      </c>
      <c r="C221" s="34" t="s">
        <v>220</v>
      </c>
      <c r="D221" s="36">
        <v>3244117</v>
      </c>
      <c r="E221" s="65">
        <v>15639385</v>
      </c>
      <c r="F221" s="57"/>
      <c r="G221" s="57"/>
      <c r="H221" s="65"/>
      <c r="I221" s="64"/>
      <c r="J221" s="65"/>
      <c r="K221" s="64"/>
    </row>
    <row r="222" spans="1:11" x14ac:dyDescent="0.2">
      <c r="A222">
        <v>2020</v>
      </c>
      <c r="B222" s="34">
        <v>294</v>
      </c>
      <c r="C222" s="34" t="s">
        <v>221</v>
      </c>
      <c r="D222" s="36">
        <v>858844</v>
      </c>
      <c r="E222" s="65">
        <v>4249244</v>
      </c>
      <c r="F222" s="57"/>
      <c r="G222" s="57"/>
      <c r="H222" s="65"/>
      <c r="I222" s="64"/>
      <c r="J222" s="65"/>
      <c r="K222" s="64"/>
    </row>
    <row r="223" spans="1:11" x14ac:dyDescent="0.2">
      <c r="A223">
        <v>2020</v>
      </c>
      <c r="B223" s="34">
        <v>295</v>
      </c>
      <c r="C223" s="34" t="s">
        <v>222</v>
      </c>
      <c r="D223" s="36">
        <v>1461700</v>
      </c>
      <c r="E223" s="65">
        <v>7176639</v>
      </c>
      <c r="F223" s="57"/>
      <c r="G223" s="57"/>
      <c r="H223" s="65"/>
      <c r="I223" s="64"/>
      <c r="J223" s="65"/>
      <c r="K223" s="64"/>
    </row>
    <row r="224" spans="1:11" x14ac:dyDescent="0.2">
      <c r="A224">
        <v>2020</v>
      </c>
      <c r="B224" s="34">
        <v>296</v>
      </c>
      <c r="C224" s="34" t="s">
        <v>223</v>
      </c>
      <c r="D224" s="36">
        <v>663575</v>
      </c>
      <c r="E224" s="65">
        <v>3810667</v>
      </c>
      <c r="F224" s="57"/>
      <c r="G224" s="57"/>
      <c r="H224" s="65"/>
      <c r="I224" s="64"/>
      <c r="J224" s="65"/>
      <c r="K224" s="64"/>
    </row>
    <row r="225" spans="1:11" x14ac:dyDescent="0.2">
      <c r="A225">
        <v>2020</v>
      </c>
      <c r="B225" s="34">
        <v>297</v>
      </c>
      <c r="C225" s="34" t="s">
        <v>224</v>
      </c>
      <c r="D225" s="36">
        <v>60363</v>
      </c>
      <c r="E225" s="65">
        <v>477368</v>
      </c>
      <c r="F225" s="57"/>
      <c r="G225" s="57"/>
      <c r="H225" s="65"/>
      <c r="I225" s="64"/>
      <c r="J225" s="65"/>
      <c r="K225" s="64"/>
    </row>
    <row r="226" spans="1:11" x14ac:dyDescent="0.2">
      <c r="A226">
        <v>2020</v>
      </c>
      <c r="B226" s="34">
        <v>298</v>
      </c>
      <c r="C226" s="34" t="s">
        <v>225</v>
      </c>
      <c r="D226" s="36">
        <v>2550390</v>
      </c>
      <c r="E226" s="65">
        <v>10898758</v>
      </c>
      <c r="F226" s="57"/>
      <c r="G226" s="57"/>
      <c r="H226" s="65"/>
      <c r="I226" s="64"/>
      <c r="J226" s="65"/>
      <c r="K226" s="64"/>
    </row>
    <row r="227" spans="1:11" x14ac:dyDescent="0.2">
      <c r="A227">
        <v>2020</v>
      </c>
      <c r="B227" s="34">
        <v>299</v>
      </c>
      <c r="C227" s="34" t="s">
        <v>226</v>
      </c>
      <c r="D227" s="36">
        <v>488002</v>
      </c>
      <c r="E227" s="65">
        <v>2528481</v>
      </c>
      <c r="F227" s="57"/>
      <c r="G227" s="57"/>
      <c r="H227" s="65"/>
      <c r="I227" s="64"/>
      <c r="J227" s="65"/>
      <c r="K227" s="64"/>
    </row>
    <row r="228" spans="1:11" x14ac:dyDescent="0.2">
      <c r="A228">
        <v>2020</v>
      </c>
      <c r="B228" s="34">
        <v>302</v>
      </c>
      <c r="C228" s="34" t="s">
        <v>227</v>
      </c>
      <c r="D228" s="36">
        <v>309313</v>
      </c>
      <c r="E228" s="65">
        <v>2086133</v>
      </c>
      <c r="F228" s="57"/>
      <c r="G228" s="57"/>
      <c r="H228" s="65"/>
      <c r="I228" s="64"/>
      <c r="J228" s="65"/>
      <c r="K228" s="64"/>
    </row>
    <row r="229" spans="1:11" x14ac:dyDescent="0.2">
      <c r="A229">
        <v>2020</v>
      </c>
      <c r="B229" s="34">
        <v>303</v>
      </c>
      <c r="C229" s="34" t="s">
        <v>556</v>
      </c>
      <c r="D229" s="36">
        <v>107959</v>
      </c>
      <c r="E229" s="65">
        <v>492133</v>
      </c>
      <c r="F229" s="57"/>
      <c r="G229" s="57"/>
      <c r="H229" s="65"/>
      <c r="I229" s="64"/>
      <c r="J229" s="65"/>
      <c r="K229" s="64"/>
    </row>
    <row r="230" spans="1:11" x14ac:dyDescent="0.2">
      <c r="A230">
        <v>2020</v>
      </c>
      <c r="B230" s="34">
        <v>304</v>
      </c>
      <c r="C230" s="34" t="s">
        <v>229</v>
      </c>
      <c r="D230" s="36">
        <v>45315</v>
      </c>
      <c r="E230" s="65">
        <v>295782</v>
      </c>
      <c r="F230" s="57"/>
      <c r="G230" s="57"/>
      <c r="H230" s="65"/>
      <c r="I230" s="64"/>
      <c r="J230" s="65"/>
      <c r="K230" s="64"/>
    </row>
    <row r="231" spans="1:11" x14ac:dyDescent="0.2">
      <c r="A231">
        <v>2020</v>
      </c>
      <c r="B231" s="34">
        <v>305</v>
      </c>
      <c r="C231" s="34" t="s">
        <v>230</v>
      </c>
      <c r="D231" s="36">
        <v>564390</v>
      </c>
      <c r="E231" s="65">
        <v>2863505</v>
      </c>
      <c r="F231" s="57"/>
      <c r="G231" s="57"/>
      <c r="H231" s="65"/>
      <c r="I231" s="64"/>
      <c r="J231" s="65"/>
      <c r="K231" s="64"/>
    </row>
    <row r="232" spans="1:11" x14ac:dyDescent="0.2">
      <c r="A232">
        <v>2020</v>
      </c>
      <c r="B232" s="34">
        <v>306</v>
      </c>
      <c r="C232" s="34" t="s">
        <v>231</v>
      </c>
      <c r="D232" s="36">
        <v>1018484</v>
      </c>
      <c r="E232" s="65">
        <v>4975925</v>
      </c>
      <c r="F232" s="57"/>
      <c r="G232" s="57"/>
      <c r="H232" s="65"/>
      <c r="I232" s="64"/>
      <c r="J232" s="65"/>
      <c r="K232" s="64"/>
    </row>
    <row r="233" spans="1:11" x14ac:dyDescent="0.2">
      <c r="A233">
        <v>2020</v>
      </c>
      <c r="B233" s="34">
        <v>307</v>
      </c>
      <c r="C233" s="34" t="s">
        <v>232</v>
      </c>
      <c r="D233" s="36">
        <v>515809</v>
      </c>
      <c r="E233" s="65">
        <v>3467878</v>
      </c>
      <c r="F233" s="57"/>
      <c r="G233" s="57"/>
      <c r="H233" s="65"/>
      <c r="I233" s="64"/>
      <c r="J233" s="65"/>
      <c r="K233" s="64"/>
    </row>
    <row r="234" spans="1:11" x14ac:dyDescent="0.2">
      <c r="A234">
        <v>2020</v>
      </c>
      <c r="B234" s="34">
        <v>308</v>
      </c>
      <c r="C234" s="34" t="s">
        <v>233</v>
      </c>
      <c r="D234" s="36">
        <v>19618</v>
      </c>
      <c r="E234" s="65">
        <v>105657</v>
      </c>
      <c r="F234" s="57"/>
      <c r="G234" s="57"/>
      <c r="H234" s="65"/>
      <c r="I234" s="64"/>
      <c r="J234" s="65"/>
      <c r="K234" s="64"/>
    </row>
    <row r="235" spans="1:11" x14ac:dyDescent="0.2">
      <c r="A235">
        <v>2020</v>
      </c>
      <c r="B235" s="34">
        <v>313</v>
      </c>
      <c r="C235" s="34" t="s">
        <v>234</v>
      </c>
      <c r="D235" s="36">
        <v>636136</v>
      </c>
      <c r="E235" s="65">
        <v>4625182</v>
      </c>
      <c r="F235" s="57"/>
      <c r="G235" s="57"/>
      <c r="H235" s="65"/>
      <c r="I235" s="64"/>
      <c r="J235" s="65"/>
      <c r="K235" s="64"/>
    </row>
    <row r="236" spans="1:11" x14ac:dyDescent="0.2">
      <c r="A236">
        <v>2020</v>
      </c>
      <c r="B236" s="34">
        <v>314</v>
      </c>
      <c r="C236" s="34" t="s">
        <v>557</v>
      </c>
      <c r="D236" s="36">
        <v>82093</v>
      </c>
      <c r="E236" s="65">
        <v>468536</v>
      </c>
      <c r="F236" s="57"/>
      <c r="G236" s="57"/>
      <c r="H236" s="65"/>
      <c r="I236" s="64"/>
      <c r="J236" s="65"/>
      <c r="K236" s="64"/>
    </row>
    <row r="237" spans="1:11" x14ac:dyDescent="0.2">
      <c r="A237">
        <v>2020</v>
      </c>
      <c r="B237" s="34">
        <v>315</v>
      </c>
      <c r="C237" s="34" t="s">
        <v>236</v>
      </c>
      <c r="D237" s="36">
        <v>385948</v>
      </c>
      <c r="E237" s="65">
        <v>2370007</v>
      </c>
      <c r="F237" s="57"/>
      <c r="G237" s="57"/>
      <c r="H237" s="65"/>
      <c r="I237" s="64"/>
      <c r="J237" s="65"/>
      <c r="K237" s="64"/>
    </row>
    <row r="238" spans="1:11" x14ac:dyDescent="0.2">
      <c r="A238">
        <v>2020</v>
      </c>
      <c r="B238" s="34">
        <v>317</v>
      </c>
      <c r="C238" s="34" t="s">
        <v>237</v>
      </c>
      <c r="D238" s="36">
        <v>224689</v>
      </c>
      <c r="E238" s="65">
        <v>1213101</v>
      </c>
      <c r="F238" s="57"/>
      <c r="G238" s="57"/>
      <c r="H238" s="65"/>
      <c r="I238" s="64"/>
      <c r="J238" s="65"/>
      <c r="K238" s="64"/>
    </row>
    <row r="239" spans="1:11" x14ac:dyDescent="0.2">
      <c r="A239">
        <v>2020</v>
      </c>
      <c r="B239" s="34">
        <v>318</v>
      </c>
      <c r="C239" s="34" t="s">
        <v>238</v>
      </c>
      <c r="D239" s="36">
        <v>314108</v>
      </c>
      <c r="E239" s="65">
        <v>2252515</v>
      </c>
      <c r="F239" s="57"/>
      <c r="G239" s="57"/>
      <c r="H239" s="65"/>
      <c r="I239" s="64"/>
      <c r="J239" s="65"/>
      <c r="K239" s="64"/>
    </row>
    <row r="240" spans="1:11" x14ac:dyDescent="0.2">
      <c r="A240">
        <v>2020</v>
      </c>
      <c r="B240" s="34">
        <v>319</v>
      </c>
      <c r="C240" s="34" t="s">
        <v>239</v>
      </c>
      <c r="D240" s="36">
        <v>149497</v>
      </c>
      <c r="E240" s="65">
        <v>802309</v>
      </c>
      <c r="F240" s="57"/>
      <c r="G240" s="57"/>
      <c r="H240" s="65"/>
      <c r="I240" s="64"/>
      <c r="J240" s="65"/>
      <c r="K240" s="64"/>
    </row>
    <row r="241" spans="1:11" x14ac:dyDescent="0.2">
      <c r="A241">
        <v>2020</v>
      </c>
      <c r="B241" s="34">
        <v>321</v>
      </c>
      <c r="C241" s="34" t="s">
        <v>240</v>
      </c>
      <c r="D241" s="36">
        <v>45551</v>
      </c>
      <c r="E241" s="65">
        <v>224224</v>
      </c>
      <c r="F241" s="57"/>
      <c r="G241" s="57"/>
      <c r="H241" s="65"/>
      <c r="I241" s="64"/>
      <c r="J241" s="65"/>
      <c r="K241" s="64"/>
    </row>
    <row r="242" spans="1:11" x14ac:dyDescent="0.2">
      <c r="A242">
        <v>2020</v>
      </c>
      <c r="B242" s="34">
        <v>322</v>
      </c>
      <c r="C242" s="34" t="s">
        <v>241</v>
      </c>
      <c r="D242" s="36">
        <v>320225</v>
      </c>
      <c r="E242" s="65">
        <v>2147665</v>
      </c>
      <c r="F242" s="57"/>
      <c r="G242" s="57"/>
      <c r="H242" s="65"/>
      <c r="I242" s="64"/>
      <c r="J242" s="65"/>
      <c r="K242" s="64"/>
    </row>
    <row r="243" spans="1:11" x14ac:dyDescent="0.2">
      <c r="A243">
        <v>2020</v>
      </c>
      <c r="B243" s="34">
        <v>323</v>
      </c>
      <c r="C243" s="34" t="s">
        <v>242</v>
      </c>
      <c r="D243" s="36">
        <v>1185699</v>
      </c>
      <c r="E243" s="65">
        <v>9280694</v>
      </c>
      <c r="F243" s="57"/>
      <c r="G243" s="57"/>
      <c r="H243" s="65"/>
      <c r="I243" s="64"/>
      <c r="J243" s="65"/>
      <c r="K243" s="64"/>
    </row>
    <row r="244" spans="1:11" x14ac:dyDescent="0.2">
      <c r="A244">
        <v>2020</v>
      </c>
      <c r="B244" s="34">
        <v>324</v>
      </c>
      <c r="C244" s="34" t="s">
        <v>243</v>
      </c>
      <c r="D244" s="36">
        <v>44679</v>
      </c>
      <c r="E244" s="65">
        <v>394930</v>
      </c>
      <c r="F244" s="57"/>
      <c r="G244" s="57"/>
      <c r="H244" s="65"/>
      <c r="I244" s="64"/>
      <c r="J244" s="65"/>
      <c r="K244" s="64"/>
    </row>
    <row r="245" spans="1:11" x14ac:dyDescent="0.2">
      <c r="A245">
        <v>2020</v>
      </c>
      <c r="B245" s="34">
        <v>325</v>
      </c>
      <c r="C245" s="34" t="s">
        <v>244</v>
      </c>
      <c r="D245" s="36">
        <v>300288</v>
      </c>
      <c r="E245" s="65">
        <v>1981781</v>
      </c>
      <c r="F245" s="57"/>
      <c r="G245" s="57"/>
      <c r="H245" s="65"/>
      <c r="I245" s="64"/>
      <c r="J245" s="65"/>
      <c r="K245" s="64"/>
    </row>
    <row r="246" spans="1:11" x14ac:dyDescent="0.2">
      <c r="A246">
        <v>2020</v>
      </c>
      <c r="B246" s="34">
        <v>326</v>
      </c>
      <c r="C246" s="34" t="s">
        <v>245</v>
      </c>
      <c r="D246" s="36">
        <v>27635</v>
      </c>
      <c r="E246" s="65">
        <v>170611</v>
      </c>
      <c r="F246" s="57"/>
      <c r="G246" s="57"/>
      <c r="H246" s="65"/>
      <c r="I246" s="64"/>
      <c r="J246" s="65"/>
      <c r="K246" s="64"/>
    </row>
    <row r="247" spans="1:11" x14ac:dyDescent="0.2">
      <c r="A247">
        <v>2020</v>
      </c>
      <c r="B247" s="34">
        <v>328</v>
      </c>
      <c r="C247" s="34" t="s">
        <v>246</v>
      </c>
      <c r="D247" s="36">
        <v>78804</v>
      </c>
      <c r="E247" s="65">
        <v>821417</v>
      </c>
      <c r="F247" s="57"/>
      <c r="G247" s="57"/>
      <c r="H247" s="65"/>
      <c r="I247" s="64"/>
      <c r="J247" s="65"/>
      <c r="K247" s="64"/>
    </row>
    <row r="248" spans="1:11" x14ac:dyDescent="0.2">
      <c r="A248">
        <v>2020</v>
      </c>
      <c r="B248" s="34">
        <v>329</v>
      </c>
      <c r="C248" s="34" t="s">
        <v>247</v>
      </c>
      <c r="D248" s="36">
        <v>16045</v>
      </c>
      <c r="E248" s="65">
        <v>129620</v>
      </c>
      <c r="F248" s="57"/>
      <c r="G248" s="57"/>
      <c r="H248" s="65"/>
      <c r="I248" s="64"/>
      <c r="J248" s="65"/>
      <c r="K248" s="64"/>
    </row>
    <row r="249" spans="1:11" x14ac:dyDescent="0.2">
      <c r="A249">
        <v>2020</v>
      </c>
      <c r="B249" s="34">
        <v>330</v>
      </c>
      <c r="C249" s="34" t="s">
        <v>248</v>
      </c>
      <c r="D249" s="36">
        <v>37080</v>
      </c>
      <c r="E249" s="65">
        <v>367844</v>
      </c>
      <c r="F249" s="57"/>
      <c r="G249" s="57"/>
      <c r="H249" s="65"/>
      <c r="I249" s="64"/>
      <c r="J249" s="65"/>
      <c r="K249" s="64"/>
    </row>
    <row r="250" spans="1:11" x14ac:dyDescent="0.2">
      <c r="A250">
        <v>2020</v>
      </c>
      <c r="B250" s="34">
        <v>331</v>
      </c>
      <c r="C250" s="34" t="s">
        <v>249</v>
      </c>
      <c r="D250" s="36">
        <v>427981</v>
      </c>
      <c r="E250" s="65">
        <v>2618643</v>
      </c>
      <c r="F250" s="57"/>
      <c r="G250" s="57"/>
      <c r="H250" s="65"/>
      <c r="I250" s="64"/>
      <c r="J250" s="65"/>
      <c r="K250" s="64"/>
    </row>
    <row r="251" spans="1:11" x14ac:dyDescent="0.2">
      <c r="A251">
        <v>2020</v>
      </c>
      <c r="B251" s="34">
        <v>332</v>
      </c>
      <c r="C251" s="34" t="s">
        <v>250</v>
      </c>
      <c r="D251" s="36">
        <v>195866</v>
      </c>
      <c r="E251" s="65">
        <v>1265276</v>
      </c>
      <c r="F251" s="57"/>
      <c r="G251" s="57"/>
      <c r="H251" s="65"/>
      <c r="I251" s="64"/>
      <c r="J251" s="65"/>
      <c r="K251" s="64"/>
    </row>
    <row r="252" spans="1:11" x14ac:dyDescent="0.2">
      <c r="A252">
        <v>2020</v>
      </c>
      <c r="B252" s="34">
        <v>333</v>
      </c>
      <c r="C252" s="34" t="s">
        <v>251</v>
      </c>
      <c r="D252" s="36">
        <v>50058</v>
      </c>
      <c r="E252" s="65">
        <v>219287</v>
      </c>
      <c r="F252" s="57"/>
      <c r="G252" s="57"/>
      <c r="H252" s="65"/>
      <c r="I252" s="64"/>
      <c r="J252" s="65"/>
      <c r="K252" s="64"/>
    </row>
    <row r="253" spans="1:11" x14ac:dyDescent="0.2">
      <c r="A253">
        <v>2020</v>
      </c>
      <c r="B253" s="34">
        <v>335</v>
      </c>
      <c r="C253" s="34" t="s">
        <v>558</v>
      </c>
      <c r="D253" s="36">
        <v>77375</v>
      </c>
      <c r="E253" s="65">
        <v>342485</v>
      </c>
      <c r="F253" s="57"/>
      <c r="G253" s="57"/>
      <c r="H253" s="65"/>
      <c r="I253" s="64"/>
      <c r="J253" s="65"/>
      <c r="K253" s="64"/>
    </row>
    <row r="254" spans="1:11" x14ac:dyDescent="0.2">
      <c r="A254">
        <v>2020</v>
      </c>
      <c r="B254" s="34">
        <v>336</v>
      </c>
      <c r="C254" s="34" t="s">
        <v>559</v>
      </c>
      <c r="D254" s="36">
        <v>75578</v>
      </c>
      <c r="E254" s="65">
        <v>486760</v>
      </c>
      <c r="F254" s="57"/>
      <c r="G254" s="57"/>
      <c r="H254" s="65"/>
      <c r="I254" s="64"/>
      <c r="J254" s="65"/>
      <c r="K254" s="64"/>
    </row>
    <row r="255" spans="1:11" x14ac:dyDescent="0.2">
      <c r="A255">
        <v>2020</v>
      </c>
      <c r="B255" s="34">
        <v>337</v>
      </c>
      <c r="C255" s="34" t="s">
        <v>254</v>
      </c>
      <c r="D255" s="36">
        <v>628345</v>
      </c>
      <c r="E255" s="65">
        <v>3004531</v>
      </c>
      <c r="F255" s="57"/>
      <c r="G255" s="57"/>
      <c r="H255" s="65"/>
      <c r="I255" s="64"/>
      <c r="J255" s="65"/>
      <c r="K255" s="64"/>
    </row>
    <row r="256" spans="1:11" x14ac:dyDescent="0.2">
      <c r="A256">
        <v>2020</v>
      </c>
      <c r="B256" s="34">
        <v>339</v>
      </c>
      <c r="C256" s="34" t="s">
        <v>255</v>
      </c>
      <c r="D256" s="36">
        <v>12105</v>
      </c>
      <c r="E256" s="65">
        <v>50765</v>
      </c>
      <c r="F256" s="57"/>
      <c r="G256" s="57"/>
      <c r="H256" s="65"/>
      <c r="I256" s="64"/>
      <c r="J256" s="65"/>
      <c r="K256" s="64"/>
    </row>
    <row r="257" spans="1:11" x14ac:dyDescent="0.2">
      <c r="A257">
        <v>2020</v>
      </c>
      <c r="B257" s="34">
        <v>340</v>
      </c>
      <c r="C257" s="34" t="s">
        <v>256</v>
      </c>
      <c r="D257" s="36">
        <v>56001</v>
      </c>
      <c r="E257" s="65">
        <v>251420</v>
      </c>
      <c r="F257" s="57"/>
      <c r="G257" s="57"/>
      <c r="H257" s="65"/>
      <c r="I257" s="64"/>
      <c r="J257" s="65"/>
      <c r="K257" s="64"/>
    </row>
    <row r="258" spans="1:11" x14ac:dyDescent="0.2">
      <c r="A258">
        <v>2020</v>
      </c>
      <c r="B258" s="34">
        <v>351</v>
      </c>
      <c r="C258" s="34" t="s">
        <v>560</v>
      </c>
      <c r="D258" s="36">
        <v>51340</v>
      </c>
      <c r="E258" s="65">
        <v>354538</v>
      </c>
      <c r="F258" s="57"/>
      <c r="G258" s="57"/>
      <c r="H258" s="65"/>
      <c r="I258" s="64"/>
      <c r="J258" s="65"/>
      <c r="K258" s="64"/>
    </row>
    <row r="259" spans="1:11" x14ac:dyDescent="0.2">
      <c r="A259">
        <v>2020</v>
      </c>
      <c r="B259" s="34">
        <v>352</v>
      </c>
      <c r="C259" s="34" t="s">
        <v>258</v>
      </c>
      <c r="D259" s="36">
        <v>115087</v>
      </c>
      <c r="E259" s="65">
        <v>815282</v>
      </c>
      <c r="F259" s="57"/>
      <c r="G259" s="57"/>
      <c r="H259" s="65"/>
      <c r="I259" s="64"/>
      <c r="J259" s="65"/>
      <c r="K259" s="64"/>
    </row>
    <row r="260" spans="1:11" x14ac:dyDescent="0.2">
      <c r="A260">
        <v>2020</v>
      </c>
      <c r="B260" s="34">
        <v>353</v>
      </c>
      <c r="C260" s="34" t="s">
        <v>259</v>
      </c>
      <c r="D260" s="36">
        <v>161443</v>
      </c>
      <c r="E260" s="65">
        <v>1432294</v>
      </c>
      <c r="F260" s="57"/>
      <c r="G260" s="57"/>
      <c r="H260" s="65"/>
      <c r="I260" s="64"/>
      <c r="J260" s="65"/>
      <c r="K260" s="64"/>
    </row>
    <row r="261" spans="1:11" x14ac:dyDescent="0.2">
      <c r="A261">
        <v>2020</v>
      </c>
      <c r="B261" s="59">
        <v>354</v>
      </c>
      <c r="C261" s="34" t="s">
        <v>686</v>
      </c>
      <c r="D261" s="36">
        <v>34441</v>
      </c>
      <c r="E261" s="65">
        <v>322263</v>
      </c>
      <c r="F261" s="57"/>
      <c r="G261" s="65"/>
      <c r="H261" s="64"/>
      <c r="I261" s="65"/>
      <c r="J261" s="64"/>
    </row>
    <row r="262" spans="1:11" x14ac:dyDescent="0.2">
      <c r="A262">
        <v>2020</v>
      </c>
      <c r="B262" s="59">
        <v>355</v>
      </c>
      <c r="C262" s="34" t="s">
        <v>687</v>
      </c>
      <c r="D262" s="36">
        <v>52147</v>
      </c>
      <c r="E262" s="65">
        <v>292438</v>
      </c>
      <c r="F262" s="57"/>
      <c r="G262" s="65"/>
      <c r="H262" s="64"/>
      <c r="I262" s="65"/>
      <c r="J262" s="64"/>
    </row>
    <row r="263" spans="1:11" x14ac:dyDescent="0.2">
      <c r="A263">
        <v>2020</v>
      </c>
      <c r="B263" s="59">
        <v>356</v>
      </c>
      <c r="C263" s="34" t="s">
        <v>688</v>
      </c>
      <c r="D263" s="36">
        <v>95292</v>
      </c>
      <c r="E263" s="65">
        <v>762124</v>
      </c>
      <c r="F263" s="57"/>
      <c r="G263" s="65"/>
      <c r="H263" s="64"/>
      <c r="I263" s="65"/>
      <c r="J263" s="64"/>
    </row>
    <row r="264" spans="1:11" x14ac:dyDescent="0.2">
      <c r="A264">
        <v>2020</v>
      </c>
      <c r="B264" s="59">
        <v>357</v>
      </c>
      <c r="C264" s="34" t="s">
        <v>689</v>
      </c>
      <c r="D264" s="36">
        <v>64852</v>
      </c>
      <c r="E264" s="65">
        <v>301807</v>
      </c>
      <c r="F264" s="57"/>
      <c r="G264" s="65"/>
      <c r="H264" s="64"/>
      <c r="I264" s="65"/>
      <c r="J264" s="64"/>
    </row>
    <row r="265" spans="1:11" x14ac:dyDescent="0.2">
      <c r="A265">
        <v>2020</v>
      </c>
      <c r="B265" s="59">
        <v>358</v>
      </c>
      <c r="C265" s="34" t="s">
        <v>690</v>
      </c>
      <c r="D265" s="36">
        <v>114914</v>
      </c>
      <c r="E265" s="65">
        <v>964792</v>
      </c>
      <c r="F265" s="57"/>
      <c r="G265" s="65"/>
      <c r="H265" s="64"/>
      <c r="I265" s="65"/>
      <c r="J265" s="64"/>
    </row>
    <row r="266" spans="1:11" x14ac:dyDescent="0.2">
      <c r="A266">
        <v>2020</v>
      </c>
      <c r="B266" s="59">
        <v>359</v>
      </c>
      <c r="C266" s="34" t="s">
        <v>691</v>
      </c>
      <c r="D266" s="36">
        <v>49173</v>
      </c>
      <c r="E266" s="65">
        <v>432795</v>
      </c>
      <c r="F266" s="57"/>
      <c r="G266" s="65"/>
      <c r="H266" s="64"/>
      <c r="I266" s="65"/>
      <c r="J266" s="64"/>
    </row>
    <row r="267" spans="1:11" x14ac:dyDescent="0.2">
      <c r="A267">
        <v>2020</v>
      </c>
      <c r="B267" s="59">
        <v>360</v>
      </c>
      <c r="C267" s="34" t="s">
        <v>692</v>
      </c>
      <c r="D267" s="36">
        <v>39624</v>
      </c>
      <c r="E267" s="65">
        <v>321406</v>
      </c>
      <c r="F267" s="57"/>
      <c r="G267" s="65"/>
      <c r="H267" s="64"/>
      <c r="I267" s="65"/>
      <c r="J267" s="64"/>
    </row>
    <row r="268" spans="1:11" x14ac:dyDescent="0.2">
      <c r="A268">
        <v>2020</v>
      </c>
      <c r="B268" s="59">
        <v>361</v>
      </c>
      <c r="C268" s="34" t="s">
        <v>693</v>
      </c>
      <c r="D268" s="36">
        <v>145474</v>
      </c>
      <c r="E268" s="65">
        <v>1255093</v>
      </c>
      <c r="F268" s="57"/>
      <c r="G268" s="65"/>
      <c r="H268" s="64"/>
      <c r="I268" s="65"/>
      <c r="J268" s="64"/>
    </row>
    <row r="269" spans="1:11" x14ac:dyDescent="0.2">
      <c r="A269">
        <v>2020</v>
      </c>
      <c r="B269" s="59">
        <v>362</v>
      </c>
      <c r="C269" s="34" t="s">
        <v>694</v>
      </c>
      <c r="D269" s="36">
        <v>70732</v>
      </c>
      <c r="E269" s="65">
        <v>499064</v>
      </c>
      <c r="F269" s="57"/>
      <c r="G269" s="65"/>
      <c r="H269" s="64"/>
      <c r="I269" s="65"/>
      <c r="J269" s="64"/>
    </row>
    <row r="270" spans="1:11" x14ac:dyDescent="0.2">
      <c r="A270">
        <v>2020</v>
      </c>
      <c r="B270" s="59">
        <v>363</v>
      </c>
      <c r="C270" s="34" t="s">
        <v>695</v>
      </c>
      <c r="D270" s="36">
        <v>62487</v>
      </c>
      <c r="E270" s="65">
        <v>343259</v>
      </c>
      <c r="F270" s="57"/>
      <c r="G270" s="65"/>
      <c r="H270" s="64"/>
      <c r="I270" s="65"/>
      <c r="J270" s="64"/>
    </row>
    <row r="271" spans="1:11" x14ac:dyDescent="0.2">
      <c r="A271">
        <v>2020</v>
      </c>
      <c r="B271" s="59">
        <v>364</v>
      </c>
      <c r="C271" s="34" t="s">
        <v>696</v>
      </c>
      <c r="D271" s="36">
        <v>97238</v>
      </c>
      <c r="E271" s="65">
        <v>615746</v>
      </c>
      <c r="F271" s="57"/>
      <c r="G271" s="65"/>
      <c r="H271" s="64"/>
      <c r="I271" s="65"/>
      <c r="J271" s="64"/>
    </row>
    <row r="272" spans="1:11" x14ac:dyDescent="0.2">
      <c r="A272">
        <v>2020</v>
      </c>
      <c r="B272" s="59">
        <v>365</v>
      </c>
      <c r="C272" s="34" t="s">
        <v>697</v>
      </c>
      <c r="D272" s="36">
        <v>35233</v>
      </c>
      <c r="E272" s="65">
        <v>270383</v>
      </c>
      <c r="F272" s="57"/>
      <c r="G272" s="65"/>
      <c r="H272" s="64"/>
      <c r="I272" s="65"/>
      <c r="J272" s="64"/>
    </row>
    <row r="273" spans="1:10" x14ac:dyDescent="0.2">
      <c r="A273">
        <v>2020</v>
      </c>
      <c r="B273" s="59">
        <v>366</v>
      </c>
      <c r="C273" s="34" t="s">
        <v>698</v>
      </c>
      <c r="D273" s="36">
        <v>92717</v>
      </c>
      <c r="E273" s="65">
        <v>531682</v>
      </c>
      <c r="F273" s="57"/>
      <c r="G273" s="65"/>
      <c r="H273" s="64"/>
      <c r="I273" s="65"/>
      <c r="J273" s="64"/>
    </row>
    <row r="274" spans="1:10" x14ac:dyDescent="0.2">
      <c r="A274">
        <v>2020</v>
      </c>
      <c r="B274" s="59">
        <v>367</v>
      </c>
      <c r="C274" s="34" t="s">
        <v>699</v>
      </c>
      <c r="D274" s="36">
        <v>749049</v>
      </c>
      <c r="E274" s="65">
        <v>4465742</v>
      </c>
      <c r="F274" s="57"/>
      <c r="G274" s="65"/>
      <c r="H274" s="64"/>
      <c r="I274" s="65"/>
      <c r="J274" s="64"/>
    </row>
    <row r="275" spans="1:10" x14ac:dyDescent="0.2">
      <c r="A275">
        <v>2020</v>
      </c>
      <c r="B275" s="59">
        <v>368</v>
      </c>
      <c r="C275" s="34" t="s">
        <v>700</v>
      </c>
      <c r="D275" s="36">
        <v>160377</v>
      </c>
      <c r="E275" s="65">
        <v>964059</v>
      </c>
      <c r="F275" s="57"/>
      <c r="G275" s="65"/>
      <c r="H275" s="64"/>
      <c r="I275" s="65"/>
      <c r="J275" s="64"/>
    </row>
    <row r="276" spans="1:10" x14ac:dyDescent="0.2">
      <c r="A276">
        <v>2020</v>
      </c>
      <c r="B276" s="59">
        <v>369</v>
      </c>
      <c r="C276" s="34" t="s">
        <v>701</v>
      </c>
      <c r="D276" s="36">
        <v>24462</v>
      </c>
      <c r="E276" s="65">
        <v>178678</v>
      </c>
      <c r="F276" s="57"/>
      <c r="G276" s="65"/>
      <c r="H276" s="64"/>
      <c r="I276" s="65"/>
      <c r="J276" s="64"/>
    </row>
    <row r="277" spans="1:10" x14ac:dyDescent="0.2">
      <c r="A277">
        <v>2020</v>
      </c>
      <c r="B277" s="59">
        <v>370</v>
      </c>
      <c r="C277" s="34" t="s">
        <v>702</v>
      </c>
      <c r="D277" s="36">
        <v>28878</v>
      </c>
      <c r="E277" s="65">
        <v>108723</v>
      </c>
      <c r="F277" s="57"/>
      <c r="G277" s="65"/>
      <c r="H277" s="64"/>
      <c r="I277" s="65"/>
      <c r="J277" s="64"/>
    </row>
    <row r="278" spans="1:10" x14ac:dyDescent="0.2">
      <c r="A278">
        <v>2020</v>
      </c>
      <c r="B278" s="59">
        <v>371</v>
      </c>
      <c r="C278" s="34" t="s">
        <v>703</v>
      </c>
      <c r="D278" s="36">
        <v>94603</v>
      </c>
      <c r="E278" s="65">
        <v>733391</v>
      </c>
      <c r="F278" s="57"/>
      <c r="G278" s="65"/>
      <c r="H278" s="64"/>
      <c r="I278" s="65"/>
      <c r="J278" s="64"/>
    </row>
    <row r="279" spans="1:10" x14ac:dyDescent="0.2">
      <c r="A279">
        <v>2020</v>
      </c>
      <c r="B279" s="59">
        <v>372</v>
      </c>
      <c r="C279" s="34" t="s">
        <v>704</v>
      </c>
      <c r="D279" s="36">
        <v>19681</v>
      </c>
      <c r="E279" s="65">
        <v>167137</v>
      </c>
      <c r="F279" s="57"/>
      <c r="G279" s="65"/>
      <c r="H279" s="64"/>
      <c r="I279" s="65"/>
      <c r="J279" s="64"/>
    </row>
    <row r="280" spans="1:10" x14ac:dyDescent="0.2">
      <c r="A280">
        <v>2020</v>
      </c>
      <c r="B280" s="59">
        <v>373</v>
      </c>
      <c r="C280" s="34" t="s">
        <v>705</v>
      </c>
      <c r="D280" s="36">
        <v>70167</v>
      </c>
      <c r="E280" s="65">
        <v>462261</v>
      </c>
      <c r="F280" s="57"/>
      <c r="G280" s="65"/>
      <c r="H280" s="64"/>
      <c r="I280" s="65"/>
      <c r="J280" s="64"/>
    </row>
    <row r="281" spans="1:10" x14ac:dyDescent="0.2">
      <c r="A281">
        <v>2020</v>
      </c>
      <c r="B281" s="59">
        <v>374</v>
      </c>
      <c r="C281" s="34" t="s">
        <v>706</v>
      </c>
      <c r="D281" s="36">
        <v>18626</v>
      </c>
      <c r="E281" s="65">
        <v>112127</v>
      </c>
      <c r="F281" s="57"/>
      <c r="G281" s="65"/>
      <c r="H281" s="64"/>
      <c r="I281" s="65"/>
      <c r="J281" s="64"/>
    </row>
    <row r="282" spans="1:10" x14ac:dyDescent="0.2">
      <c r="A282">
        <v>2020</v>
      </c>
      <c r="B282" s="59">
        <v>375</v>
      </c>
      <c r="C282" s="34" t="s">
        <v>707</v>
      </c>
      <c r="D282" s="36">
        <v>179895</v>
      </c>
      <c r="E282" s="65">
        <v>1467908</v>
      </c>
      <c r="F282" s="57"/>
      <c r="G282" s="65"/>
      <c r="H282" s="64"/>
      <c r="I282" s="65"/>
      <c r="J282" s="64"/>
    </row>
    <row r="283" spans="1:10" x14ac:dyDescent="0.2">
      <c r="A283">
        <v>2020</v>
      </c>
      <c r="B283" s="59">
        <v>376</v>
      </c>
      <c r="C283" s="34" t="s">
        <v>708</v>
      </c>
      <c r="D283" s="36">
        <v>16670</v>
      </c>
      <c r="E283" s="65">
        <v>39805</v>
      </c>
      <c r="F283" s="57"/>
      <c r="G283" s="65"/>
      <c r="H283" s="64"/>
      <c r="I283" s="65"/>
      <c r="J283" s="64"/>
    </row>
    <row r="284" spans="1:10" x14ac:dyDescent="0.2">
      <c r="A284">
        <v>2020</v>
      </c>
      <c r="B284" s="59">
        <v>378</v>
      </c>
      <c r="C284" s="34" t="s">
        <v>709</v>
      </c>
      <c r="D284" s="36">
        <v>373732</v>
      </c>
      <c r="E284" s="65">
        <v>2464358</v>
      </c>
      <c r="F284" s="57"/>
      <c r="G284" s="65"/>
      <c r="H284" s="64"/>
      <c r="I284" s="65"/>
      <c r="J284" s="64"/>
    </row>
    <row r="285" spans="1:10" x14ac:dyDescent="0.2">
      <c r="A285">
        <v>2020</v>
      </c>
      <c r="B285" s="59">
        <v>379</v>
      </c>
      <c r="C285" s="34" t="s">
        <v>710</v>
      </c>
      <c r="D285" s="36">
        <v>132346</v>
      </c>
      <c r="E285" s="65">
        <v>928549</v>
      </c>
      <c r="F285" s="57"/>
      <c r="G285" s="65"/>
      <c r="H285" s="64"/>
      <c r="I285" s="65"/>
      <c r="J285" s="64"/>
    </row>
    <row r="286" spans="1:10" x14ac:dyDescent="0.2">
      <c r="A286">
        <v>2020</v>
      </c>
      <c r="B286" s="59">
        <v>380</v>
      </c>
      <c r="C286" s="34" t="s">
        <v>711</v>
      </c>
      <c r="D286" s="36">
        <v>29180</v>
      </c>
      <c r="E286" s="65">
        <v>289901</v>
      </c>
      <c r="F286" s="57"/>
      <c r="G286" s="65"/>
      <c r="H286" s="64"/>
      <c r="I286" s="65"/>
      <c r="J286" s="64"/>
    </row>
    <row r="287" spans="1:10" x14ac:dyDescent="0.2">
      <c r="A287">
        <v>2020</v>
      </c>
      <c r="B287" s="59">
        <v>381</v>
      </c>
      <c r="C287" s="34" t="s">
        <v>712</v>
      </c>
      <c r="D287" s="36">
        <v>13244</v>
      </c>
      <c r="E287" s="65">
        <v>127562</v>
      </c>
      <c r="F287" s="57"/>
      <c r="G287" s="65"/>
      <c r="H287" s="64"/>
      <c r="I287" s="65"/>
      <c r="J287" s="64"/>
    </row>
    <row r="288" spans="1:10" x14ac:dyDescent="0.2">
      <c r="A288">
        <v>2020</v>
      </c>
      <c r="B288" s="59">
        <v>383</v>
      </c>
      <c r="C288" s="34" t="s">
        <v>713</v>
      </c>
      <c r="D288" s="36">
        <v>31882</v>
      </c>
      <c r="E288" s="65">
        <v>146065</v>
      </c>
      <c r="F288" s="57"/>
      <c r="G288" s="65"/>
      <c r="H288" s="64"/>
      <c r="I288" s="65"/>
      <c r="J288" s="64"/>
    </row>
    <row r="289" spans="1:10" x14ac:dyDescent="0.2">
      <c r="A289">
        <v>2020</v>
      </c>
      <c r="B289" s="59">
        <v>384</v>
      </c>
      <c r="C289" s="34" t="s">
        <v>714</v>
      </c>
      <c r="D289" s="36">
        <v>17065</v>
      </c>
      <c r="E289" s="65">
        <v>176241</v>
      </c>
      <c r="F289" s="57"/>
      <c r="G289" s="65"/>
      <c r="H289" s="64"/>
      <c r="I289" s="65"/>
      <c r="J289" s="64"/>
    </row>
    <row r="290" spans="1:10" x14ac:dyDescent="0.2">
      <c r="A290">
        <v>2020</v>
      </c>
      <c r="B290" s="59">
        <v>386</v>
      </c>
      <c r="C290" s="34" t="s">
        <v>715</v>
      </c>
      <c r="D290" s="36">
        <v>7336</v>
      </c>
      <c r="E290" s="65">
        <v>46851</v>
      </c>
      <c r="F290" s="57"/>
      <c r="G290" s="65"/>
      <c r="H290" s="64"/>
      <c r="I290" s="65"/>
      <c r="J290" s="64"/>
    </row>
    <row r="291" spans="1:10" x14ac:dyDescent="0.2">
      <c r="A291">
        <v>2020</v>
      </c>
      <c r="B291" s="59">
        <v>388</v>
      </c>
      <c r="C291" s="34" t="s">
        <v>716</v>
      </c>
      <c r="D291" s="36">
        <v>228465</v>
      </c>
      <c r="E291" s="65">
        <v>1274791</v>
      </c>
      <c r="F291" s="57"/>
      <c r="G291" s="65"/>
      <c r="H291" s="64"/>
      <c r="I291" s="65"/>
      <c r="J291" s="64"/>
    </row>
    <row r="292" spans="1:10" x14ac:dyDescent="0.2">
      <c r="A292">
        <v>2020</v>
      </c>
      <c r="B292" s="59">
        <v>389</v>
      </c>
      <c r="C292" s="34" t="s">
        <v>717</v>
      </c>
      <c r="D292" s="36">
        <v>17321</v>
      </c>
      <c r="E292" s="65">
        <v>124206</v>
      </c>
      <c r="F292" s="57"/>
      <c r="G292" s="65"/>
      <c r="H292" s="64"/>
      <c r="I292" s="65"/>
      <c r="J292" s="64"/>
    </row>
    <row r="293" spans="1:10" x14ac:dyDescent="0.2">
      <c r="A293">
        <v>2020</v>
      </c>
      <c r="B293" s="59">
        <v>390</v>
      </c>
      <c r="C293" s="34" t="s">
        <v>718</v>
      </c>
      <c r="D293" s="36">
        <v>47149</v>
      </c>
      <c r="E293" s="65">
        <v>299392</v>
      </c>
      <c r="F293" s="57"/>
      <c r="G293" s="65"/>
      <c r="H293" s="64"/>
      <c r="I293" s="65"/>
      <c r="J293" s="64"/>
    </row>
    <row r="294" spans="1:10" x14ac:dyDescent="0.2">
      <c r="A294">
        <v>2020</v>
      </c>
      <c r="B294" s="59">
        <v>391</v>
      </c>
      <c r="C294" s="34" t="s">
        <v>719</v>
      </c>
      <c r="D294" s="36">
        <v>68346</v>
      </c>
      <c r="E294" s="65">
        <v>450980</v>
      </c>
      <c r="F294" s="57"/>
      <c r="G294" s="65"/>
      <c r="H294" s="64"/>
      <c r="I294" s="65"/>
      <c r="J294" s="64"/>
    </row>
    <row r="295" spans="1:10" x14ac:dyDescent="0.2">
      <c r="A295">
        <v>2020</v>
      </c>
      <c r="B295" s="59">
        <v>392</v>
      </c>
      <c r="C295" s="34" t="s">
        <v>720</v>
      </c>
      <c r="D295" s="36">
        <v>104253</v>
      </c>
      <c r="E295" s="65">
        <v>781343</v>
      </c>
      <c r="F295" s="57"/>
      <c r="G295" s="65"/>
      <c r="H295" s="64"/>
      <c r="I295" s="65"/>
      <c r="J295" s="64"/>
    </row>
    <row r="296" spans="1:10" x14ac:dyDescent="0.2">
      <c r="A296">
        <v>2020</v>
      </c>
      <c r="B296" s="59">
        <v>393</v>
      </c>
      <c r="C296" s="34" t="s">
        <v>721</v>
      </c>
      <c r="D296" s="36">
        <v>27183</v>
      </c>
      <c r="E296" s="65">
        <v>175497</v>
      </c>
      <c r="F296" s="57"/>
      <c r="G296" s="65"/>
      <c r="H296" s="64"/>
      <c r="I296" s="65"/>
      <c r="J296" s="64"/>
    </row>
    <row r="297" spans="1:10" x14ac:dyDescent="0.2">
      <c r="A297">
        <v>2020</v>
      </c>
      <c r="B297" s="59">
        <v>394</v>
      </c>
      <c r="C297" s="34" t="s">
        <v>722</v>
      </c>
      <c r="D297" s="36">
        <v>458122</v>
      </c>
      <c r="E297" s="65">
        <v>2691484</v>
      </c>
      <c r="F297" s="57"/>
      <c r="G297" s="65"/>
      <c r="H297" s="64"/>
      <c r="I297" s="65"/>
      <c r="J297" s="64"/>
    </row>
    <row r="298" spans="1:10" x14ac:dyDescent="0.2">
      <c r="A298">
        <v>2020</v>
      </c>
      <c r="B298" s="59">
        <v>395</v>
      </c>
      <c r="C298" s="34" t="s">
        <v>723</v>
      </c>
      <c r="D298" s="36">
        <v>32689</v>
      </c>
      <c r="E298" s="65">
        <v>178855</v>
      </c>
      <c r="F298" s="57"/>
      <c r="G298" s="65"/>
      <c r="H298" s="64"/>
      <c r="I298" s="65"/>
      <c r="J298" s="64"/>
    </row>
    <row r="299" spans="1:10" x14ac:dyDescent="0.2">
      <c r="A299">
        <v>2020</v>
      </c>
      <c r="B299" s="59">
        <v>397</v>
      </c>
      <c r="C299" s="34" t="s">
        <v>724</v>
      </c>
      <c r="D299" s="36">
        <v>62344</v>
      </c>
      <c r="E299" s="65">
        <v>301943</v>
      </c>
      <c r="F299" s="57"/>
      <c r="G299" s="65"/>
      <c r="H299" s="64"/>
      <c r="I299" s="65"/>
      <c r="J299" s="64"/>
    </row>
    <row r="300" spans="1:10" x14ac:dyDescent="0.2">
      <c r="A300">
        <v>2020</v>
      </c>
      <c r="B300" s="59">
        <v>398</v>
      </c>
      <c r="C300" s="34" t="s">
        <v>725</v>
      </c>
      <c r="D300" s="36">
        <v>245676</v>
      </c>
      <c r="E300" s="65">
        <v>1221624</v>
      </c>
      <c r="F300" s="57"/>
      <c r="G300" s="65"/>
      <c r="H300" s="64"/>
      <c r="I300" s="65"/>
      <c r="J300" s="64"/>
    </row>
    <row r="301" spans="1:10" x14ac:dyDescent="0.2">
      <c r="A301">
        <v>2020</v>
      </c>
      <c r="B301" s="59">
        <v>399</v>
      </c>
      <c r="C301" s="34" t="s">
        <v>726</v>
      </c>
      <c r="D301" s="36">
        <v>260925</v>
      </c>
      <c r="E301" s="65">
        <v>1524297</v>
      </c>
      <c r="F301" s="57"/>
      <c r="G301" s="65"/>
      <c r="H301" s="64"/>
      <c r="I301" s="65"/>
      <c r="J301" s="64"/>
    </row>
    <row r="302" spans="1:10" x14ac:dyDescent="0.2">
      <c r="A302">
        <v>2020</v>
      </c>
      <c r="B302" s="59">
        <v>400</v>
      </c>
      <c r="C302" s="34" t="s">
        <v>727</v>
      </c>
      <c r="D302" s="36">
        <v>23078</v>
      </c>
      <c r="E302" s="65">
        <v>174343</v>
      </c>
      <c r="F302" s="57"/>
      <c r="G302" s="65"/>
      <c r="H302" s="64"/>
      <c r="I302" s="65"/>
      <c r="J302" s="64"/>
    </row>
    <row r="303" spans="1:10" x14ac:dyDescent="0.2">
      <c r="A303">
        <v>2020</v>
      </c>
      <c r="B303" s="59">
        <v>401</v>
      </c>
      <c r="C303" s="34" t="s">
        <v>728</v>
      </c>
      <c r="D303" s="36">
        <v>26548</v>
      </c>
      <c r="E303" s="65">
        <v>168408</v>
      </c>
      <c r="F303" s="57"/>
      <c r="G303" s="65"/>
      <c r="H303" s="64"/>
      <c r="I303" s="65"/>
      <c r="J303" s="64"/>
    </row>
    <row r="304" spans="1:10" x14ac:dyDescent="0.2">
      <c r="A304">
        <v>2020</v>
      </c>
      <c r="B304" s="34">
        <v>402</v>
      </c>
      <c r="C304" s="34" t="s">
        <v>574</v>
      </c>
      <c r="D304" s="36">
        <v>76665</v>
      </c>
      <c r="E304" s="65">
        <v>477078</v>
      </c>
      <c r="F304" s="57"/>
      <c r="G304" s="65"/>
      <c r="H304" s="64"/>
      <c r="I304" s="65"/>
      <c r="J304" s="64"/>
    </row>
    <row r="305" spans="1:10" x14ac:dyDescent="0.2">
      <c r="A305">
        <v>2020</v>
      </c>
      <c r="B305" s="34">
        <v>403</v>
      </c>
      <c r="C305" s="34" t="s">
        <v>575</v>
      </c>
      <c r="D305" s="36">
        <v>93343</v>
      </c>
      <c r="E305" s="65">
        <v>626278</v>
      </c>
      <c r="F305" s="57"/>
      <c r="G305" s="65"/>
      <c r="H305" s="64"/>
      <c r="I305" s="65"/>
      <c r="J305" s="64"/>
    </row>
    <row r="306" spans="1:10" x14ac:dyDescent="0.2">
      <c r="A306">
        <v>2020</v>
      </c>
      <c r="B306" s="34">
        <v>404</v>
      </c>
      <c r="C306" s="34" t="s">
        <v>576</v>
      </c>
      <c r="D306" s="36">
        <v>112922</v>
      </c>
      <c r="E306" s="65">
        <v>712482</v>
      </c>
      <c r="F306" s="57"/>
      <c r="G306" s="65"/>
      <c r="H306" s="64"/>
      <c r="I306" s="65"/>
      <c r="J306" s="64"/>
    </row>
    <row r="307" spans="1:10" x14ac:dyDescent="0.2">
      <c r="A307">
        <v>2020</v>
      </c>
      <c r="B307" s="34">
        <v>405</v>
      </c>
      <c r="C307" s="34" t="s">
        <v>577</v>
      </c>
      <c r="D307" s="36">
        <v>124923</v>
      </c>
      <c r="E307" s="65">
        <v>976949</v>
      </c>
      <c r="F307" s="57"/>
      <c r="G307" s="65"/>
      <c r="H307" s="64"/>
      <c r="I307" s="65"/>
      <c r="J307" s="64"/>
    </row>
    <row r="308" spans="1:10" x14ac:dyDescent="0.2">
      <c r="A308">
        <v>2020</v>
      </c>
      <c r="B308" s="34">
        <v>406</v>
      </c>
      <c r="C308" s="34" t="s">
        <v>578</v>
      </c>
      <c r="D308" s="36">
        <v>11516</v>
      </c>
      <c r="E308" s="65">
        <v>78745</v>
      </c>
      <c r="F308" s="57"/>
      <c r="G308" s="65"/>
      <c r="H308" s="64"/>
      <c r="I308" s="65"/>
      <c r="J308" s="64"/>
    </row>
    <row r="309" spans="1:10" x14ac:dyDescent="0.2">
      <c r="A309">
        <v>2020</v>
      </c>
      <c r="B309" s="34">
        <v>407</v>
      </c>
      <c r="C309" s="34" t="s">
        <v>579</v>
      </c>
      <c r="D309" s="36">
        <v>6737</v>
      </c>
      <c r="E309" s="65">
        <v>43915</v>
      </c>
      <c r="F309" s="57"/>
      <c r="G309" s="65"/>
      <c r="H309" s="64"/>
      <c r="I309" s="65"/>
      <c r="J309" s="64"/>
    </row>
    <row r="310" spans="1:10" x14ac:dyDescent="0.2">
      <c r="A310">
        <v>2020</v>
      </c>
      <c r="B310" s="34">
        <v>408</v>
      </c>
      <c r="C310" s="34" t="s">
        <v>580</v>
      </c>
      <c r="D310" s="36">
        <v>38775</v>
      </c>
      <c r="E310" s="65">
        <v>376867</v>
      </c>
      <c r="F310" s="57"/>
      <c r="G310" s="65"/>
      <c r="H310" s="64"/>
      <c r="I310" s="65"/>
      <c r="J310" s="64"/>
    </row>
    <row r="311" spans="1:10" x14ac:dyDescent="0.2">
      <c r="A311">
        <v>2020</v>
      </c>
      <c r="B311" s="34">
        <v>409</v>
      </c>
      <c r="C311" s="34" t="s">
        <v>581</v>
      </c>
      <c r="D311" s="36">
        <v>32196</v>
      </c>
      <c r="E311" s="65">
        <v>148128</v>
      </c>
      <c r="F311" s="57"/>
      <c r="G311" s="65"/>
      <c r="H311" s="64"/>
      <c r="I311" s="65"/>
      <c r="J311" s="64"/>
    </row>
    <row r="312" spans="1:10" x14ac:dyDescent="0.2">
      <c r="A312">
        <v>2020</v>
      </c>
      <c r="B312" s="34">
        <v>410</v>
      </c>
      <c r="C312" s="34" t="s">
        <v>582</v>
      </c>
      <c r="D312" s="36">
        <v>4817</v>
      </c>
      <c r="E312" s="65">
        <v>74304</v>
      </c>
      <c r="F312" s="57"/>
      <c r="G312" s="65"/>
      <c r="H312" s="64"/>
      <c r="I312" s="65"/>
      <c r="J312" s="64"/>
    </row>
    <row r="313" spans="1:10" x14ac:dyDescent="0.2">
      <c r="A313">
        <v>2020</v>
      </c>
      <c r="B313" s="34">
        <v>412</v>
      </c>
      <c r="C313" s="34" t="s">
        <v>583</v>
      </c>
      <c r="D313" s="36">
        <v>91078</v>
      </c>
      <c r="E313" s="65">
        <v>495906</v>
      </c>
      <c r="F313" s="57"/>
      <c r="G313" s="65"/>
      <c r="H313" s="64"/>
      <c r="I313" s="65"/>
      <c r="J313" s="64"/>
    </row>
    <row r="314" spans="1:10" x14ac:dyDescent="0.2">
      <c r="A314">
        <v>2020</v>
      </c>
      <c r="B314" s="34">
        <v>413</v>
      </c>
      <c r="C314" s="34" t="s">
        <v>584</v>
      </c>
      <c r="D314" s="36">
        <v>55584</v>
      </c>
      <c r="E314" s="65">
        <v>325282</v>
      </c>
      <c r="F314" s="57"/>
      <c r="G314" s="65"/>
      <c r="H314" s="64"/>
      <c r="I314" s="65"/>
      <c r="J314" s="64"/>
    </row>
    <row r="315" spans="1:10" x14ac:dyDescent="0.2">
      <c r="A315">
        <v>2020</v>
      </c>
      <c r="B315" s="34">
        <v>414</v>
      </c>
      <c r="C315" s="34" t="s">
        <v>585</v>
      </c>
      <c r="D315" s="36">
        <v>8808</v>
      </c>
      <c r="E315" s="65">
        <v>30818</v>
      </c>
      <c r="F315" s="57"/>
      <c r="G315" s="65"/>
      <c r="H315" s="64"/>
      <c r="I315" s="65"/>
      <c r="J315" s="64"/>
    </row>
    <row r="316" spans="1:10" x14ac:dyDescent="0.2">
      <c r="A316">
        <v>2020</v>
      </c>
      <c r="B316" s="34">
        <v>415</v>
      </c>
      <c r="C316" s="34" t="s">
        <v>586</v>
      </c>
      <c r="D316" s="36">
        <v>9409</v>
      </c>
      <c r="E316" s="65">
        <v>48867</v>
      </c>
      <c r="F316" s="57"/>
      <c r="G316" s="65"/>
      <c r="H316" s="64"/>
      <c r="I316" s="65"/>
      <c r="J316" s="64"/>
    </row>
    <row r="317" spans="1:10" x14ac:dyDescent="0.2">
      <c r="A317">
        <v>2020</v>
      </c>
      <c r="B317" s="34">
        <v>416</v>
      </c>
      <c r="C317" s="34" t="s">
        <v>587</v>
      </c>
      <c r="D317" s="36">
        <v>14350</v>
      </c>
      <c r="E317" s="65">
        <v>176634</v>
      </c>
      <c r="F317" s="57"/>
      <c r="G317" s="65"/>
      <c r="H317" s="64"/>
      <c r="I317" s="65"/>
      <c r="J317" s="64"/>
    </row>
    <row r="318" spans="1:10" x14ac:dyDescent="0.2">
      <c r="A318">
        <v>2020</v>
      </c>
      <c r="B318" s="34">
        <v>417</v>
      </c>
      <c r="C318" s="34" t="s">
        <v>588</v>
      </c>
      <c r="D318" s="36">
        <v>51965</v>
      </c>
      <c r="E318" s="65">
        <v>297635</v>
      </c>
      <c r="F318" s="57"/>
      <c r="G318" s="65"/>
      <c r="H318" s="64"/>
      <c r="I318" s="65"/>
      <c r="J318" s="64"/>
    </row>
    <row r="319" spans="1:10" x14ac:dyDescent="0.2">
      <c r="A319">
        <v>2020</v>
      </c>
      <c r="B319" s="34">
        <v>418</v>
      </c>
      <c r="C319" s="34" t="s">
        <v>589</v>
      </c>
      <c r="D319" s="36">
        <v>125998</v>
      </c>
      <c r="E319" s="65">
        <v>801281</v>
      </c>
      <c r="F319" s="57"/>
      <c r="G319" s="65"/>
      <c r="H319" s="64"/>
      <c r="I319" s="65"/>
      <c r="J319" s="64"/>
    </row>
    <row r="320" spans="1:10" x14ac:dyDescent="0.2">
      <c r="A320">
        <v>2020</v>
      </c>
      <c r="B320" s="34">
        <v>419</v>
      </c>
      <c r="C320" s="34" t="s">
        <v>590</v>
      </c>
      <c r="D320" s="36">
        <v>88962</v>
      </c>
      <c r="E320" s="65">
        <v>484664</v>
      </c>
      <c r="F320" s="57"/>
      <c r="G320" s="65"/>
      <c r="H320" s="64"/>
      <c r="I320" s="65"/>
      <c r="J320" s="64"/>
    </row>
    <row r="321" spans="1:10" x14ac:dyDescent="0.2">
      <c r="A321">
        <v>2020</v>
      </c>
      <c r="B321" s="34">
        <v>420</v>
      </c>
      <c r="C321" s="34" t="s">
        <v>591</v>
      </c>
      <c r="D321" s="36">
        <v>179047</v>
      </c>
      <c r="E321" s="65">
        <v>948489</v>
      </c>
      <c r="F321" s="57"/>
      <c r="G321" s="65"/>
      <c r="H321" s="64"/>
      <c r="I321" s="65"/>
      <c r="J321" s="64"/>
    </row>
    <row r="322" spans="1:10" x14ac:dyDescent="0.2">
      <c r="A322">
        <v>2020</v>
      </c>
      <c r="B322" s="34">
        <v>421</v>
      </c>
      <c r="C322" s="34" t="s">
        <v>592</v>
      </c>
      <c r="D322" s="36">
        <v>219036</v>
      </c>
      <c r="E322" s="65">
        <v>1131114</v>
      </c>
      <c r="F322" s="57"/>
      <c r="G322" s="65"/>
      <c r="H322" s="64"/>
      <c r="I322" s="65"/>
      <c r="J322" s="64"/>
    </row>
    <row r="323" spans="1:10" x14ac:dyDescent="0.2">
      <c r="A323">
        <v>2020</v>
      </c>
      <c r="B323" s="34">
        <v>422</v>
      </c>
      <c r="C323" s="34" t="s">
        <v>593</v>
      </c>
      <c r="D323" s="36">
        <v>21494</v>
      </c>
      <c r="E323" s="65">
        <v>167402</v>
      </c>
      <c r="F323" s="57"/>
      <c r="G323" s="65"/>
      <c r="H323" s="64"/>
      <c r="I323" s="65"/>
      <c r="J323" s="64"/>
    </row>
    <row r="324" spans="1:10" x14ac:dyDescent="0.2">
      <c r="A324">
        <v>2020</v>
      </c>
      <c r="B324" s="34">
        <v>423</v>
      </c>
      <c r="C324" s="34" t="s">
        <v>594</v>
      </c>
      <c r="D324" s="36">
        <v>30213</v>
      </c>
      <c r="E324" s="65">
        <v>206235</v>
      </c>
      <c r="F324" s="57"/>
      <c r="G324" s="65"/>
      <c r="H324" s="64"/>
      <c r="I324" s="65"/>
      <c r="J324" s="64"/>
    </row>
    <row r="325" spans="1:10" x14ac:dyDescent="0.2">
      <c r="A325">
        <v>2020</v>
      </c>
      <c r="B325" s="34">
        <v>424</v>
      </c>
      <c r="C325" s="34" t="s">
        <v>595</v>
      </c>
      <c r="D325" s="36">
        <v>71730</v>
      </c>
      <c r="E325" s="65">
        <v>511498</v>
      </c>
      <c r="F325" s="57"/>
      <c r="G325" s="65"/>
      <c r="H325" s="64"/>
      <c r="I325" s="65"/>
      <c r="J325" s="64"/>
    </row>
    <row r="326" spans="1:10" x14ac:dyDescent="0.2">
      <c r="A326">
        <v>2020</v>
      </c>
      <c r="B326" s="34">
        <v>425</v>
      </c>
      <c r="C326" s="34" t="s">
        <v>596</v>
      </c>
      <c r="D326" s="36">
        <v>549795</v>
      </c>
      <c r="E326" s="65">
        <v>2833295</v>
      </c>
      <c r="F326" s="57"/>
      <c r="G326" s="65"/>
      <c r="H326" s="64"/>
      <c r="I326" s="65"/>
      <c r="J326" s="64"/>
    </row>
    <row r="327" spans="1:10" x14ac:dyDescent="0.2">
      <c r="A327">
        <v>2020</v>
      </c>
      <c r="B327" s="34">
        <v>426</v>
      </c>
      <c r="C327" s="34" t="s">
        <v>597</v>
      </c>
      <c r="D327" s="36">
        <v>116987</v>
      </c>
      <c r="E327" s="65">
        <v>911651</v>
      </c>
      <c r="F327" s="57"/>
      <c r="G327" s="65"/>
      <c r="H327" s="64"/>
      <c r="I327" s="65"/>
      <c r="J327" s="64"/>
    </row>
    <row r="328" spans="1:10" x14ac:dyDescent="0.2">
      <c r="A328">
        <v>2020</v>
      </c>
      <c r="B328" s="34">
        <v>427</v>
      </c>
      <c r="C328" s="34" t="s">
        <v>598</v>
      </c>
      <c r="D328" s="36">
        <v>159773</v>
      </c>
      <c r="E328" s="65">
        <v>933516</v>
      </c>
      <c r="F328" s="57"/>
      <c r="G328" s="65"/>
      <c r="H328" s="64"/>
      <c r="I328" s="65"/>
      <c r="J328" s="64"/>
    </row>
    <row r="329" spans="1:10" x14ac:dyDescent="0.2">
      <c r="A329">
        <v>2020</v>
      </c>
      <c r="B329" s="34">
        <v>428</v>
      </c>
      <c r="C329" s="34" t="s">
        <v>599</v>
      </c>
      <c r="D329" s="36">
        <v>14331</v>
      </c>
      <c r="E329" s="65">
        <v>113462</v>
      </c>
      <c r="F329" s="57"/>
      <c r="G329" s="65"/>
      <c r="H329" s="64"/>
      <c r="I329" s="65"/>
      <c r="J329" s="64"/>
    </row>
    <row r="330" spans="1:10" x14ac:dyDescent="0.2">
      <c r="A330">
        <v>2020</v>
      </c>
      <c r="B330" s="34">
        <v>429</v>
      </c>
      <c r="C330" s="34" t="s">
        <v>600</v>
      </c>
      <c r="D330" s="36">
        <v>39042</v>
      </c>
      <c r="E330" s="65">
        <v>232541</v>
      </c>
      <c r="F330" s="57"/>
      <c r="G330" s="65"/>
      <c r="H330" s="64"/>
      <c r="I330" s="65"/>
      <c r="J330" s="64"/>
    </row>
    <row r="331" spans="1:10" x14ac:dyDescent="0.2">
      <c r="A331">
        <v>2020</v>
      </c>
      <c r="B331" s="34">
        <v>430</v>
      </c>
      <c r="C331" s="34" t="s">
        <v>601</v>
      </c>
      <c r="D331" s="36">
        <v>152408</v>
      </c>
      <c r="E331" s="65">
        <v>1205349</v>
      </c>
      <c r="F331" s="57"/>
      <c r="G331" s="65"/>
      <c r="H331" s="64"/>
      <c r="I331" s="65"/>
      <c r="J331" s="64"/>
    </row>
    <row r="332" spans="1:10" x14ac:dyDescent="0.2">
      <c r="A332">
        <v>2020</v>
      </c>
      <c r="B332" s="34">
        <v>431</v>
      </c>
      <c r="C332" s="34" t="s">
        <v>602</v>
      </c>
      <c r="D332" s="36">
        <v>26128</v>
      </c>
      <c r="E332" s="65">
        <v>163987</v>
      </c>
      <c r="F332" s="57"/>
      <c r="G332" s="65"/>
      <c r="H332" s="64"/>
      <c r="I332" s="65"/>
      <c r="J332" s="64"/>
    </row>
    <row r="333" spans="1:10" x14ac:dyDescent="0.2">
      <c r="A333">
        <v>2020</v>
      </c>
      <c r="B333" s="34">
        <v>432</v>
      </c>
      <c r="C333" s="34" t="s">
        <v>603</v>
      </c>
      <c r="D333" s="36">
        <v>24152</v>
      </c>
      <c r="E333" s="65">
        <v>203696</v>
      </c>
      <c r="F333" s="57"/>
      <c r="G333" s="65"/>
      <c r="H333" s="64"/>
      <c r="I333" s="65"/>
      <c r="J333" s="64"/>
    </row>
    <row r="334" spans="1:10" x14ac:dyDescent="0.2">
      <c r="A334">
        <v>2020</v>
      </c>
      <c r="B334" s="34">
        <v>433</v>
      </c>
      <c r="C334" s="34" t="s">
        <v>604</v>
      </c>
      <c r="D334" s="36">
        <v>31419</v>
      </c>
      <c r="E334" s="65">
        <v>200505</v>
      </c>
      <c r="F334" s="57"/>
      <c r="G334" s="65"/>
      <c r="H334" s="64"/>
      <c r="I334" s="65"/>
      <c r="J334" s="64"/>
    </row>
    <row r="335" spans="1:10" x14ac:dyDescent="0.2">
      <c r="A335">
        <v>2020</v>
      </c>
      <c r="B335" s="34">
        <v>434</v>
      </c>
      <c r="C335" s="34" t="s">
        <v>605</v>
      </c>
      <c r="D335" s="36">
        <v>29454</v>
      </c>
      <c r="E335" s="65">
        <v>177578</v>
      </c>
      <c r="F335" s="57"/>
      <c r="G335" s="65"/>
      <c r="H335" s="64"/>
      <c r="I335" s="65"/>
      <c r="J335" s="64"/>
    </row>
    <row r="336" spans="1:10" x14ac:dyDescent="0.2">
      <c r="A336">
        <v>2020</v>
      </c>
      <c r="B336" s="34">
        <v>435</v>
      </c>
      <c r="C336" s="34" t="s">
        <v>606</v>
      </c>
      <c r="D336" s="36">
        <v>12764</v>
      </c>
      <c r="E336" s="65">
        <v>168186</v>
      </c>
      <c r="F336" s="57"/>
      <c r="G336" s="65"/>
      <c r="H336" s="64"/>
      <c r="I336" s="65"/>
      <c r="J336" s="64"/>
    </row>
    <row r="337" spans="1:11" x14ac:dyDescent="0.2">
      <c r="A337">
        <v>2020</v>
      </c>
      <c r="B337" s="34">
        <v>436</v>
      </c>
      <c r="C337" s="34" t="s">
        <v>607</v>
      </c>
      <c r="D337" s="36">
        <v>34789</v>
      </c>
      <c r="E337" s="65">
        <v>127573</v>
      </c>
      <c r="F337" s="57"/>
      <c r="G337" s="65"/>
      <c r="H337" s="64"/>
      <c r="I337" s="65"/>
      <c r="J337" s="64"/>
    </row>
    <row r="338" spans="1:11" x14ac:dyDescent="0.2">
      <c r="A338">
        <v>2020</v>
      </c>
      <c r="B338" s="34">
        <v>437</v>
      </c>
      <c r="C338" s="34" t="s">
        <v>608</v>
      </c>
      <c r="D338" s="36">
        <v>64643</v>
      </c>
      <c r="E338" s="65">
        <v>501881</v>
      </c>
      <c r="F338" s="57"/>
      <c r="G338" s="65"/>
      <c r="H338" s="64"/>
      <c r="I338" s="65"/>
      <c r="J338" s="64"/>
    </row>
    <row r="339" spans="1:11" x14ac:dyDescent="0.2">
      <c r="A339">
        <v>2020</v>
      </c>
      <c r="B339" s="34">
        <v>438</v>
      </c>
      <c r="C339" s="34" t="s">
        <v>609</v>
      </c>
      <c r="D339" s="36">
        <v>26599</v>
      </c>
      <c r="E339" s="65">
        <v>185085</v>
      </c>
      <c r="F339" s="57"/>
      <c r="G339" s="65"/>
      <c r="H339" s="64"/>
      <c r="I339" s="65"/>
      <c r="J339" s="64"/>
    </row>
    <row r="340" spans="1:11" x14ac:dyDescent="0.2">
      <c r="A340">
        <v>2020</v>
      </c>
      <c r="B340" s="34">
        <v>439</v>
      </c>
      <c r="C340" s="34" t="s">
        <v>610</v>
      </c>
      <c r="D340" s="36">
        <v>73335</v>
      </c>
      <c r="E340" s="65">
        <v>480245</v>
      </c>
      <c r="F340" s="57"/>
      <c r="G340" s="65"/>
      <c r="H340" s="64"/>
      <c r="I340" s="65"/>
      <c r="J340" s="64"/>
    </row>
    <row r="341" spans="1:11" x14ac:dyDescent="0.2">
      <c r="A341">
        <v>2020</v>
      </c>
      <c r="B341" s="34">
        <v>440</v>
      </c>
      <c r="C341" s="34" t="s">
        <v>611</v>
      </c>
      <c r="D341" s="36">
        <v>21007</v>
      </c>
      <c r="E341" s="65">
        <v>162893</v>
      </c>
      <c r="F341" s="57"/>
      <c r="G341" s="65"/>
      <c r="H341" s="64"/>
      <c r="I341" s="65"/>
      <c r="J341" s="64"/>
    </row>
    <row r="342" spans="1:11" x14ac:dyDescent="0.2">
      <c r="A342">
        <v>2020</v>
      </c>
      <c r="B342" s="34">
        <v>441</v>
      </c>
      <c r="C342" s="34" t="s">
        <v>612</v>
      </c>
      <c r="D342" s="36">
        <v>59286</v>
      </c>
      <c r="E342" s="65">
        <v>411619</v>
      </c>
      <c r="F342" s="57"/>
      <c r="G342" s="65"/>
      <c r="H342" s="64"/>
      <c r="I342" s="65"/>
      <c r="J342" s="64"/>
    </row>
    <row r="343" spans="1:11" x14ac:dyDescent="0.2">
      <c r="A343">
        <v>2020</v>
      </c>
      <c r="B343" s="34">
        <v>442</v>
      </c>
      <c r="C343" s="34" t="s">
        <v>613</v>
      </c>
      <c r="D343" s="36">
        <v>74145</v>
      </c>
      <c r="E343" s="65">
        <v>542269</v>
      </c>
      <c r="F343" s="57"/>
      <c r="G343" s="65"/>
      <c r="H343" s="64"/>
      <c r="I343" s="65"/>
      <c r="J343" s="64"/>
    </row>
    <row r="344" spans="1:11" x14ac:dyDescent="0.2">
      <c r="A344">
        <v>2020</v>
      </c>
      <c r="B344" s="34">
        <v>443</v>
      </c>
      <c r="C344" s="34" t="s">
        <v>614</v>
      </c>
      <c r="D344" s="36">
        <v>6140</v>
      </c>
      <c r="E344" s="65">
        <v>40337</v>
      </c>
      <c r="F344" s="57"/>
      <c r="G344" s="65"/>
      <c r="H344" s="64"/>
      <c r="I344" s="65"/>
      <c r="J344" s="64"/>
    </row>
    <row r="345" spans="1:11" x14ac:dyDescent="0.2">
      <c r="A345">
        <v>2020</v>
      </c>
      <c r="B345" s="34">
        <v>444</v>
      </c>
      <c r="C345" s="34" t="s">
        <v>615</v>
      </c>
      <c r="D345" s="36">
        <v>47479</v>
      </c>
      <c r="E345" s="65">
        <v>217633</v>
      </c>
      <c r="F345" s="57"/>
      <c r="G345" s="65"/>
      <c r="H345" s="64"/>
      <c r="I345" s="65"/>
      <c r="J345" s="64"/>
    </row>
    <row r="346" spans="1:11" x14ac:dyDescent="0.2">
      <c r="A346">
        <v>2020</v>
      </c>
      <c r="B346" s="34">
        <v>445</v>
      </c>
      <c r="C346" s="34" t="s">
        <v>616</v>
      </c>
      <c r="D346" s="36">
        <v>49882</v>
      </c>
      <c r="E346" s="65">
        <v>281802</v>
      </c>
      <c r="F346" s="57"/>
      <c r="G346" s="65"/>
      <c r="H346" s="64"/>
      <c r="I346" s="65"/>
      <c r="J346" s="64"/>
    </row>
    <row r="347" spans="1:11" x14ac:dyDescent="0.2">
      <c r="A347">
        <v>2020</v>
      </c>
      <c r="B347" s="34">
        <v>446</v>
      </c>
      <c r="C347" s="34" t="s">
        <v>617</v>
      </c>
      <c r="D347" s="36">
        <v>69539</v>
      </c>
      <c r="E347" s="65">
        <v>424368</v>
      </c>
      <c r="F347" s="57"/>
      <c r="G347" s="57"/>
      <c r="H347" s="65"/>
      <c r="I347" s="64"/>
      <c r="J347" s="65"/>
      <c r="K347" s="64"/>
    </row>
    <row r="348" spans="1:11" x14ac:dyDescent="0.2">
      <c r="A348">
        <v>2020</v>
      </c>
      <c r="B348" s="34">
        <v>447</v>
      </c>
      <c r="C348" s="34" t="s">
        <v>618</v>
      </c>
      <c r="D348" s="36">
        <v>27025</v>
      </c>
      <c r="E348" s="65">
        <v>135876</v>
      </c>
      <c r="F348" s="57"/>
      <c r="G348" s="57"/>
      <c r="H348" s="65"/>
      <c r="I348" s="64"/>
      <c r="J348" s="65"/>
      <c r="K348" s="64"/>
    </row>
    <row r="349" spans="1:11" x14ac:dyDescent="0.2">
      <c r="A349">
        <v>2020</v>
      </c>
      <c r="B349" s="34">
        <v>448</v>
      </c>
      <c r="C349" s="34" t="s">
        <v>619</v>
      </c>
      <c r="D349" s="36">
        <v>19036</v>
      </c>
      <c r="E349" s="65">
        <v>184629</v>
      </c>
      <c r="F349" s="57"/>
      <c r="G349" s="57"/>
      <c r="H349" s="65"/>
      <c r="I349" s="64"/>
      <c r="J349" s="65"/>
      <c r="K349" s="64"/>
    </row>
    <row r="350" spans="1:11" x14ac:dyDescent="0.2">
      <c r="A350">
        <v>2020</v>
      </c>
      <c r="B350" s="34">
        <v>449</v>
      </c>
      <c r="C350" s="34" t="s">
        <v>620</v>
      </c>
      <c r="D350" s="36">
        <v>50949</v>
      </c>
      <c r="E350" s="65">
        <v>458411</v>
      </c>
      <c r="F350" s="57"/>
      <c r="G350" s="57"/>
      <c r="H350" s="65"/>
      <c r="I350" s="64"/>
      <c r="J350" s="65"/>
      <c r="K350" s="64"/>
    </row>
    <row r="351" spans="1:11" x14ac:dyDescent="0.2">
      <c r="A351">
        <v>2020</v>
      </c>
      <c r="B351" s="34">
        <v>450</v>
      </c>
      <c r="C351" s="34" t="s">
        <v>621</v>
      </c>
      <c r="D351" s="36">
        <v>14763</v>
      </c>
      <c r="E351" s="65">
        <v>101988</v>
      </c>
      <c r="F351" s="57"/>
      <c r="G351" s="57"/>
      <c r="H351" s="65"/>
      <c r="I351" s="64"/>
      <c r="J351" s="65"/>
      <c r="K351" s="64"/>
    </row>
    <row r="352" spans="1:11" x14ac:dyDescent="0.2">
      <c r="A352">
        <v>2020</v>
      </c>
      <c r="B352" s="34">
        <v>451</v>
      </c>
      <c r="C352" s="34" t="s">
        <v>622</v>
      </c>
      <c r="D352" s="36">
        <v>17307</v>
      </c>
      <c r="E352" s="65">
        <v>146816</v>
      </c>
      <c r="F352" s="57"/>
      <c r="G352" s="57"/>
      <c r="H352" s="65"/>
      <c r="I352" s="64"/>
      <c r="J352" s="65"/>
      <c r="K352" s="64"/>
    </row>
    <row r="353" spans="1:11" x14ac:dyDescent="0.2">
      <c r="A353">
        <v>2020</v>
      </c>
      <c r="B353" s="34">
        <v>452</v>
      </c>
      <c r="C353" s="34" t="s">
        <v>623</v>
      </c>
      <c r="D353" s="36">
        <v>39633</v>
      </c>
      <c r="E353" s="65">
        <v>385823</v>
      </c>
      <c r="F353" s="57"/>
      <c r="G353" s="57"/>
      <c r="H353" s="65"/>
      <c r="I353" s="64"/>
      <c r="J353" s="65"/>
      <c r="K353" s="64"/>
    </row>
    <row r="354" spans="1:11" x14ac:dyDescent="0.2">
      <c r="A354">
        <v>2020</v>
      </c>
      <c r="B354" s="34">
        <v>453</v>
      </c>
      <c r="C354" s="34" t="s">
        <v>624</v>
      </c>
      <c r="D354" s="36">
        <v>20729</v>
      </c>
      <c r="E354" s="65">
        <v>146026</v>
      </c>
      <c r="F354" s="57"/>
      <c r="G354" s="57"/>
      <c r="H354" s="65"/>
      <c r="I354" s="64"/>
      <c r="J354" s="65"/>
      <c r="K354" s="64"/>
    </row>
    <row r="355" spans="1:11" x14ac:dyDescent="0.2">
      <c r="A355">
        <v>2020</v>
      </c>
      <c r="B355" s="34">
        <v>454</v>
      </c>
      <c r="C355" s="34" t="s">
        <v>625</v>
      </c>
      <c r="D355" s="36">
        <v>92336</v>
      </c>
      <c r="E355" s="65">
        <v>590418</v>
      </c>
      <c r="F355" s="57"/>
      <c r="G355" s="57"/>
      <c r="H355" s="65"/>
      <c r="I355" s="64"/>
      <c r="J355" s="65"/>
      <c r="K355" s="64"/>
    </row>
    <row r="356" spans="1:11" x14ac:dyDescent="0.2">
      <c r="A356">
        <v>2020</v>
      </c>
      <c r="B356" s="34">
        <v>455</v>
      </c>
      <c r="C356" s="34" t="s">
        <v>626</v>
      </c>
      <c r="D356" s="36">
        <v>269379</v>
      </c>
      <c r="E356" s="65">
        <v>1601431</v>
      </c>
      <c r="F356" s="57"/>
      <c r="G356" s="57"/>
      <c r="H356" s="65"/>
      <c r="I356" s="64"/>
      <c r="J356" s="65"/>
      <c r="K356" s="64"/>
    </row>
    <row r="357" spans="1:11" x14ac:dyDescent="0.2">
      <c r="A357">
        <v>2020</v>
      </c>
      <c r="B357" s="34">
        <v>462</v>
      </c>
      <c r="C357" s="34" t="s">
        <v>627</v>
      </c>
      <c r="D357" s="36">
        <v>11757</v>
      </c>
      <c r="E357" s="65">
        <v>65761</v>
      </c>
      <c r="F357" s="57"/>
      <c r="G357" s="57"/>
      <c r="H357" s="65"/>
      <c r="I357" s="64"/>
      <c r="J357" s="65"/>
      <c r="K357" s="64"/>
    </row>
    <row r="358" spans="1:11" x14ac:dyDescent="0.2">
      <c r="A358">
        <v>2020</v>
      </c>
      <c r="B358" s="34">
        <v>467</v>
      </c>
      <c r="C358" s="34" t="s">
        <v>628</v>
      </c>
      <c r="D358" s="36">
        <v>38465</v>
      </c>
      <c r="E358" s="65">
        <v>247521</v>
      </c>
      <c r="F358" s="57"/>
      <c r="G358" s="57"/>
      <c r="H358" s="65"/>
      <c r="I358" s="64"/>
      <c r="J358" s="65"/>
      <c r="K358" s="64"/>
    </row>
    <row r="359" spans="1:11" x14ac:dyDescent="0.2">
      <c r="A359">
        <v>2020</v>
      </c>
      <c r="B359" s="34">
        <v>468</v>
      </c>
      <c r="C359" s="34" t="s">
        <v>629</v>
      </c>
      <c r="D359" s="36">
        <v>38198</v>
      </c>
      <c r="E359" s="65">
        <v>224648</v>
      </c>
      <c r="F359" s="57"/>
      <c r="G359" s="57"/>
      <c r="H359" s="65"/>
      <c r="I359" s="64"/>
      <c r="J359" s="65"/>
      <c r="K359" s="64"/>
    </row>
    <row r="360" spans="1:11" x14ac:dyDescent="0.2">
      <c r="A360">
        <v>2020</v>
      </c>
      <c r="B360" s="34">
        <v>469</v>
      </c>
      <c r="C360" s="34" t="s">
        <v>630</v>
      </c>
      <c r="D360" s="36">
        <v>45332</v>
      </c>
      <c r="E360" s="65">
        <v>391827</v>
      </c>
      <c r="F360" s="57"/>
      <c r="G360" s="57"/>
      <c r="H360" s="65"/>
      <c r="I360" s="64"/>
      <c r="J360" s="65"/>
      <c r="K360" s="64"/>
    </row>
    <row r="361" spans="1:11" x14ac:dyDescent="0.2">
      <c r="A361">
        <v>2020</v>
      </c>
      <c r="B361" s="34">
        <v>470</v>
      </c>
      <c r="C361" s="34" t="s">
        <v>631</v>
      </c>
      <c r="D361" s="36">
        <v>47633</v>
      </c>
      <c r="E361" s="65">
        <v>252416</v>
      </c>
      <c r="F361" s="57"/>
      <c r="G361" s="57"/>
      <c r="H361" s="65"/>
      <c r="I361" s="64"/>
      <c r="J361" s="65"/>
      <c r="K361" s="64"/>
    </row>
    <row r="362" spans="1:11" x14ac:dyDescent="0.2">
      <c r="A362">
        <v>2020</v>
      </c>
      <c r="B362" s="34">
        <v>471</v>
      </c>
      <c r="C362" s="34" t="s">
        <v>632</v>
      </c>
      <c r="D362" s="36">
        <v>29743</v>
      </c>
      <c r="E362" s="65">
        <v>157188</v>
      </c>
      <c r="F362" s="57"/>
      <c r="G362" s="57"/>
      <c r="H362" s="65"/>
      <c r="I362" s="64"/>
      <c r="J362" s="65"/>
      <c r="K362" s="64"/>
    </row>
    <row r="363" spans="1:11" x14ac:dyDescent="0.2">
      <c r="A363">
        <v>2020</v>
      </c>
      <c r="B363" s="34">
        <v>472</v>
      </c>
      <c r="C363" s="34" t="s">
        <v>633</v>
      </c>
      <c r="D363" s="36">
        <v>576536</v>
      </c>
      <c r="E363" s="65">
        <v>3423362</v>
      </c>
      <c r="F363" s="57"/>
      <c r="G363" s="57"/>
      <c r="H363" s="65"/>
      <c r="I363" s="64"/>
      <c r="J363" s="65"/>
      <c r="K363" s="64"/>
    </row>
    <row r="364" spans="1:11" x14ac:dyDescent="0.2">
      <c r="A364">
        <v>2020</v>
      </c>
      <c r="B364" s="34">
        <v>476</v>
      </c>
      <c r="C364" s="34" t="s">
        <v>634</v>
      </c>
      <c r="D364" s="36">
        <v>179641</v>
      </c>
      <c r="E364" s="65">
        <v>1250069</v>
      </c>
      <c r="F364" s="57"/>
      <c r="G364" s="57"/>
      <c r="H364" s="65"/>
      <c r="I364" s="64"/>
      <c r="J364" s="65"/>
      <c r="K364" s="64"/>
    </row>
    <row r="365" spans="1:11" x14ac:dyDescent="0.2">
      <c r="A365">
        <v>2020</v>
      </c>
      <c r="B365" s="34">
        <v>477</v>
      </c>
      <c r="C365" s="34" t="s">
        <v>635</v>
      </c>
      <c r="D365" s="36">
        <v>53126</v>
      </c>
      <c r="E365" s="65">
        <v>288429</v>
      </c>
      <c r="F365" s="57"/>
      <c r="G365" s="57"/>
      <c r="H365" s="65"/>
      <c r="I365" s="64"/>
      <c r="J365" s="65"/>
      <c r="K365" s="64"/>
    </row>
    <row r="366" spans="1:11" x14ac:dyDescent="0.2">
      <c r="A366">
        <v>2020</v>
      </c>
      <c r="B366" s="34">
        <v>478</v>
      </c>
      <c r="C366" s="34" t="s">
        <v>636</v>
      </c>
      <c r="D366" s="36">
        <v>29753</v>
      </c>
      <c r="E366" s="65">
        <v>131917</v>
      </c>
      <c r="F366" s="57"/>
      <c r="G366" s="57"/>
      <c r="H366" s="65"/>
      <c r="I366" s="64"/>
      <c r="J366" s="65"/>
      <c r="K366" s="64"/>
    </row>
    <row r="367" spans="1:11" x14ac:dyDescent="0.2">
      <c r="A367">
        <v>2020</v>
      </c>
      <c r="B367" s="34">
        <v>479</v>
      </c>
      <c r="C367" s="34" t="s">
        <v>637</v>
      </c>
      <c r="D367" s="36">
        <v>466531</v>
      </c>
      <c r="E367" s="65">
        <v>3301241</v>
      </c>
      <c r="F367" s="57"/>
      <c r="G367" s="57"/>
      <c r="H367" s="65"/>
      <c r="I367" s="64"/>
      <c r="J367" s="65"/>
      <c r="K367" s="64"/>
    </row>
    <row r="368" spans="1:11" x14ac:dyDescent="0.2">
      <c r="A368">
        <v>2020</v>
      </c>
      <c r="B368" s="34">
        <v>485</v>
      </c>
      <c r="C368" s="34" t="s">
        <v>638</v>
      </c>
      <c r="D368" s="36">
        <v>115362</v>
      </c>
      <c r="E368" s="65">
        <v>889776</v>
      </c>
      <c r="F368" s="57"/>
      <c r="G368" s="57"/>
      <c r="H368" s="65"/>
      <c r="I368" s="64"/>
      <c r="J368" s="65"/>
      <c r="K368" s="64"/>
    </row>
    <row r="369" spans="1:11" x14ac:dyDescent="0.2">
      <c r="A369">
        <v>2020</v>
      </c>
      <c r="B369" s="34">
        <v>486</v>
      </c>
      <c r="C369" s="34" t="s">
        <v>639</v>
      </c>
      <c r="D369" s="36">
        <v>85944</v>
      </c>
      <c r="E369" s="65">
        <v>561522</v>
      </c>
      <c r="F369" s="57"/>
      <c r="G369" s="57"/>
      <c r="H369" s="65"/>
      <c r="I369" s="64"/>
      <c r="J369" s="65"/>
      <c r="K369" s="64"/>
    </row>
    <row r="370" spans="1:11" x14ac:dyDescent="0.2">
      <c r="A370">
        <v>2020</v>
      </c>
      <c r="B370" s="34">
        <v>487</v>
      </c>
      <c r="C370" s="34" t="s">
        <v>640</v>
      </c>
      <c r="D370" s="36">
        <v>61984</v>
      </c>
      <c r="E370" s="65">
        <v>365657</v>
      </c>
      <c r="F370" s="57"/>
      <c r="G370" s="57"/>
      <c r="H370" s="65"/>
      <c r="I370" s="64"/>
      <c r="J370" s="65"/>
      <c r="K370" s="64"/>
    </row>
    <row r="371" spans="1:11" x14ac:dyDescent="0.2">
      <c r="A371">
        <v>2020</v>
      </c>
      <c r="B371" s="34">
        <v>489</v>
      </c>
      <c r="C371" s="34" t="s">
        <v>641</v>
      </c>
      <c r="D371" s="36">
        <v>9681</v>
      </c>
      <c r="E371" s="65">
        <v>51178</v>
      </c>
      <c r="F371" s="57"/>
      <c r="G371" s="57"/>
      <c r="H371" s="65"/>
      <c r="I371" s="64"/>
      <c r="J371" s="65"/>
      <c r="K371" s="64"/>
    </row>
    <row r="372" spans="1:11" x14ac:dyDescent="0.2">
      <c r="A372">
        <v>2020</v>
      </c>
      <c r="B372" s="34">
        <v>490</v>
      </c>
      <c r="C372" s="34" t="s">
        <v>642</v>
      </c>
      <c r="D372" s="36">
        <v>60542</v>
      </c>
      <c r="E372" s="65">
        <v>453502</v>
      </c>
      <c r="F372" s="57"/>
      <c r="G372" s="57"/>
      <c r="H372" s="65"/>
      <c r="I372" s="64"/>
      <c r="J372" s="65"/>
      <c r="K372" s="64"/>
    </row>
    <row r="373" spans="1:11" x14ac:dyDescent="0.2">
      <c r="A373">
        <v>2020</v>
      </c>
      <c r="B373" s="34">
        <v>491</v>
      </c>
      <c r="C373" s="34" t="s">
        <v>643</v>
      </c>
      <c r="D373" s="36">
        <v>80738</v>
      </c>
      <c r="E373" s="65">
        <v>722812</v>
      </c>
      <c r="F373" s="57"/>
      <c r="G373" s="57"/>
      <c r="H373" s="65"/>
      <c r="I373" s="64"/>
      <c r="J373" s="65"/>
      <c r="K373" s="64"/>
    </row>
    <row r="374" spans="1:11" x14ac:dyDescent="0.2">
      <c r="A374">
        <v>2020</v>
      </c>
      <c r="B374" s="34">
        <v>492</v>
      </c>
      <c r="C374" s="34" t="s">
        <v>644</v>
      </c>
      <c r="D374" s="36">
        <v>524096</v>
      </c>
      <c r="E374" s="65">
        <v>3358172</v>
      </c>
      <c r="F374" s="57"/>
      <c r="G374" s="57"/>
      <c r="H374" s="65"/>
      <c r="I374" s="64"/>
      <c r="J374" s="65"/>
      <c r="K374" s="64"/>
    </row>
    <row r="375" spans="1:11" x14ac:dyDescent="0.2">
      <c r="A375">
        <v>2020</v>
      </c>
      <c r="B375" s="34">
        <v>493</v>
      </c>
      <c r="C375" s="34" t="s">
        <v>645</v>
      </c>
      <c r="D375" s="36">
        <v>2079002</v>
      </c>
      <c r="E375" s="65">
        <v>10507387</v>
      </c>
      <c r="F375" s="57"/>
      <c r="G375" s="57"/>
      <c r="H375" s="65"/>
      <c r="I375" s="64"/>
      <c r="J375" s="65"/>
      <c r="K375" s="64"/>
    </row>
    <row r="376" spans="1:11" x14ac:dyDescent="0.2">
      <c r="A376">
        <v>2020</v>
      </c>
      <c r="B376" s="34">
        <v>494</v>
      </c>
      <c r="C376" s="34" t="s">
        <v>646</v>
      </c>
      <c r="D376" s="36">
        <v>281236</v>
      </c>
      <c r="E376" s="65">
        <v>1924210</v>
      </c>
      <c r="F376" s="57"/>
      <c r="G376" s="57"/>
      <c r="H376" s="65"/>
      <c r="I376" s="64"/>
      <c r="J376" s="65"/>
      <c r="K376" s="64"/>
    </row>
    <row r="377" spans="1:11" x14ac:dyDescent="0.2">
      <c r="A377">
        <v>2020</v>
      </c>
      <c r="B377" s="34">
        <v>495</v>
      </c>
      <c r="C377" s="34" t="s">
        <v>647</v>
      </c>
      <c r="D377" s="36">
        <v>47834</v>
      </c>
      <c r="E377" s="65">
        <v>255247</v>
      </c>
      <c r="F377" s="57"/>
      <c r="G377" s="57"/>
      <c r="H377" s="65"/>
      <c r="I377" s="64"/>
      <c r="J377" s="65"/>
      <c r="K377" s="64"/>
    </row>
    <row r="378" spans="1:11" x14ac:dyDescent="0.2">
      <c r="A378">
        <v>2020</v>
      </c>
      <c r="B378" s="34">
        <v>496</v>
      </c>
      <c r="C378" s="34" t="s">
        <v>648</v>
      </c>
      <c r="D378" s="36">
        <v>34334</v>
      </c>
      <c r="E378" s="65">
        <v>170544</v>
      </c>
      <c r="F378" s="57"/>
      <c r="G378" s="57"/>
      <c r="H378" s="65"/>
      <c r="I378" s="64"/>
      <c r="J378" s="65"/>
      <c r="K378" s="64"/>
    </row>
    <row r="379" spans="1:11" x14ac:dyDescent="0.2">
      <c r="A379">
        <v>2020</v>
      </c>
      <c r="B379" s="34">
        <v>497</v>
      </c>
      <c r="C379" s="34" t="s">
        <v>649</v>
      </c>
      <c r="D379" s="36">
        <v>34821</v>
      </c>
      <c r="E379" s="65">
        <v>264469</v>
      </c>
      <c r="F379" s="57"/>
      <c r="G379" s="57"/>
      <c r="H379" s="65"/>
      <c r="I379" s="64"/>
      <c r="J379" s="65"/>
      <c r="K379" s="64"/>
    </row>
    <row r="380" spans="1:11" x14ac:dyDescent="0.2">
      <c r="A380">
        <v>2020</v>
      </c>
      <c r="B380" s="34">
        <v>498</v>
      </c>
      <c r="C380" s="34" t="s">
        <v>650</v>
      </c>
      <c r="D380" s="36">
        <v>63158</v>
      </c>
      <c r="E380" s="65">
        <v>331270</v>
      </c>
      <c r="F380" s="57"/>
      <c r="G380" s="57"/>
      <c r="H380" s="65"/>
      <c r="I380" s="64"/>
      <c r="J380" s="65"/>
      <c r="K380" s="64"/>
    </row>
    <row r="381" spans="1:11" x14ac:dyDescent="0.2">
      <c r="A381">
        <v>2020</v>
      </c>
      <c r="B381" s="34">
        <v>499</v>
      </c>
      <c r="C381" s="34" t="s">
        <v>651</v>
      </c>
      <c r="D381" s="36">
        <v>69849</v>
      </c>
      <c r="E381" s="65">
        <v>579787</v>
      </c>
      <c r="F381" s="57"/>
      <c r="G381" s="57"/>
      <c r="H381" s="65"/>
      <c r="I381" s="64"/>
      <c r="J381" s="65"/>
      <c r="K381" s="64"/>
    </row>
    <row r="382" spans="1:11" x14ac:dyDescent="0.2">
      <c r="A382">
        <v>2020</v>
      </c>
      <c r="B382" s="34">
        <v>500</v>
      </c>
      <c r="C382" s="34" t="s">
        <v>652</v>
      </c>
      <c r="D382" s="36">
        <v>113020</v>
      </c>
      <c r="E382" s="65">
        <v>593908</v>
      </c>
      <c r="F382" s="57"/>
      <c r="G382" s="57"/>
      <c r="H382" s="65"/>
      <c r="I382" s="64"/>
      <c r="J382" s="65"/>
      <c r="K382" s="64"/>
    </row>
    <row r="383" spans="1:11" x14ac:dyDescent="0.2">
      <c r="A383">
        <v>2020</v>
      </c>
      <c r="B383" s="34">
        <v>501</v>
      </c>
      <c r="C383" s="34" t="s">
        <v>653</v>
      </c>
      <c r="D383" s="36">
        <v>59761</v>
      </c>
      <c r="E383" s="65">
        <v>372653</v>
      </c>
      <c r="F383" s="57"/>
      <c r="G383" s="57"/>
      <c r="H383" s="65"/>
      <c r="I383" s="64"/>
      <c r="J383" s="65"/>
      <c r="K383" s="64"/>
    </row>
    <row r="384" spans="1:11" x14ac:dyDescent="0.2">
      <c r="A384">
        <v>2020</v>
      </c>
      <c r="B384" s="34">
        <v>502</v>
      </c>
      <c r="C384" s="34" t="s">
        <v>654</v>
      </c>
      <c r="D384" s="36">
        <v>9345</v>
      </c>
      <c r="E384" s="65">
        <v>40881</v>
      </c>
      <c r="F384" s="57"/>
      <c r="G384" s="57"/>
      <c r="H384" s="65"/>
      <c r="I384" s="64"/>
      <c r="J384" s="65"/>
      <c r="K384" s="64"/>
    </row>
    <row r="385" spans="1:11" x14ac:dyDescent="0.2">
      <c r="A385">
        <v>2020</v>
      </c>
      <c r="B385" s="34">
        <v>503</v>
      </c>
      <c r="C385" s="34" t="s">
        <v>655</v>
      </c>
      <c r="D385" s="36">
        <v>63623</v>
      </c>
      <c r="E385" s="65">
        <v>384913</v>
      </c>
      <c r="F385" s="57"/>
      <c r="G385" s="57"/>
      <c r="H385" s="65"/>
      <c r="I385" s="64"/>
      <c r="J385" s="65"/>
      <c r="K385" s="64"/>
    </row>
    <row r="386" spans="1:11" x14ac:dyDescent="0.2">
      <c r="A386">
        <v>2020</v>
      </c>
      <c r="B386" s="34">
        <v>504</v>
      </c>
      <c r="C386" s="34" t="s">
        <v>656</v>
      </c>
      <c r="D386" s="36">
        <v>106456</v>
      </c>
      <c r="E386" s="65">
        <v>472914</v>
      </c>
      <c r="F386" s="57"/>
      <c r="G386" s="57"/>
      <c r="H386" s="65"/>
      <c r="I386" s="64"/>
      <c r="J386" s="65"/>
      <c r="K386" s="64"/>
    </row>
    <row r="387" spans="1:11" x14ac:dyDescent="0.2">
      <c r="A387">
        <v>2020</v>
      </c>
      <c r="B387" s="34">
        <v>505</v>
      </c>
      <c r="C387" s="34" t="s">
        <v>657</v>
      </c>
      <c r="D387" s="36">
        <v>884502</v>
      </c>
      <c r="E387" s="65">
        <v>4810788</v>
      </c>
      <c r="F387" s="57"/>
      <c r="G387" s="57"/>
      <c r="H387" s="65"/>
      <c r="I387" s="64"/>
      <c r="J387" s="65"/>
      <c r="K387" s="64"/>
    </row>
    <row r="388" spans="1:11" x14ac:dyDescent="0.2">
      <c r="A388">
        <v>2020</v>
      </c>
      <c r="B388" s="34">
        <v>507</v>
      </c>
      <c r="C388" s="34" t="s">
        <v>658</v>
      </c>
      <c r="D388" s="36">
        <v>90810</v>
      </c>
      <c r="E388" s="65">
        <v>462082</v>
      </c>
      <c r="F388" s="57"/>
      <c r="G388" s="57"/>
      <c r="H388" s="65"/>
      <c r="I388" s="64"/>
      <c r="J388" s="65"/>
      <c r="K388" s="64"/>
    </row>
    <row r="389" spans="1:11" x14ac:dyDescent="0.2">
      <c r="A389">
        <v>2020</v>
      </c>
      <c r="B389" s="34">
        <v>509</v>
      </c>
      <c r="C389" s="34" t="s">
        <v>659</v>
      </c>
      <c r="D389" s="36">
        <v>54528</v>
      </c>
      <c r="E389" s="65">
        <v>509681</v>
      </c>
      <c r="F389" s="57"/>
      <c r="G389" s="57"/>
      <c r="H389" s="65"/>
      <c r="I389" s="64"/>
      <c r="J389" s="65"/>
      <c r="K389" s="64"/>
    </row>
    <row r="390" spans="1:11" x14ac:dyDescent="0.2">
      <c r="A390">
        <v>2020</v>
      </c>
      <c r="B390" s="34">
        <v>510</v>
      </c>
      <c r="C390" s="34" t="s">
        <v>660</v>
      </c>
      <c r="D390" s="36">
        <v>94370</v>
      </c>
      <c r="E390" s="65">
        <v>638962</v>
      </c>
      <c r="F390" s="57"/>
      <c r="G390" s="57"/>
      <c r="H390" s="65"/>
      <c r="I390" s="64"/>
      <c r="J390" s="65"/>
      <c r="K390" s="64"/>
    </row>
    <row r="391" spans="1:11" x14ac:dyDescent="0.2">
      <c r="A391">
        <v>2020</v>
      </c>
      <c r="B391" s="34">
        <v>511</v>
      </c>
      <c r="C391" s="34" t="s">
        <v>479</v>
      </c>
      <c r="D391" s="36">
        <v>40921</v>
      </c>
      <c r="E391" s="65">
        <v>299997</v>
      </c>
      <c r="F391" s="57"/>
      <c r="G391" s="57"/>
      <c r="H391" s="65"/>
      <c r="I391" s="64"/>
      <c r="J391" s="65"/>
      <c r="K391" s="64"/>
    </row>
    <row r="392" spans="1:11" x14ac:dyDescent="0.2">
      <c r="A392">
        <v>2020</v>
      </c>
      <c r="B392" s="34">
        <v>512</v>
      </c>
      <c r="C392" s="34" t="s">
        <v>480</v>
      </c>
      <c r="D392" s="36">
        <v>19032</v>
      </c>
      <c r="E392" s="65">
        <v>124227</v>
      </c>
      <c r="F392" s="57"/>
      <c r="G392" s="57"/>
      <c r="H392" s="65"/>
      <c r="I392" s="64"/>
      <c r="J392" s="65"/>
      <c r="K392" s="64"/>
    </row>
    <row r="393" spans="1:11" x14ac:dyDescent="0.2">
      <c r="A393">
        <v>2020</v>
      </c>
      <c r="B393" s="34">
        <v>514</v>
      </c>
      <c r="C393" s="34" t="s">
        <v>481</v>
      </c>
      <c r="D393" s="36">
        <v>25436</v>
      </c>
      <c r="E393" s="65">
        <v>171743</v>
      </c>
      <c r="F393" s="57"/>
      <c r="G393" s="57"/>
      <c r="H393" s="65"/>
      <c r="I393" s="64"/>
      <c r="J393" s="65"/>
      <c r="K393" s="64"/>
    </row>
    <row r="394" spans="1:11" x14ac:dyDescent="0.2">
      <c r="A394">
        <v>2020</v>
      </c>
      <c r="B394" s="34">
        <v>516</v>
      </c>
      <c r="C394" s="34" t="s">
        <v>482</v>
      </c>
      <c r="D394" s="36">
        <v>259160</v>
      </c>
      <c r="E394" s="65">
        <v>1676863</v>
      </c>
      <c r="F394" s="57"/>
      <c r="G394" s="57"/>
      <c r="H394" s="65"/>
      <c r="I394" s="64"/>
      <c r="J394" s="65"/>
      <c r="K394" s="64"/>
    </row>
    <row r="395" spans="1:11" x14ac:dyDescent="0.2">
      <c r="A395">
        <v>2020</v>
      </c>
      <c r="B395" s="34">
        <v>522</v>
      </c>
      <c r="C395" s="34" t="s">
        <v>483</v>
      </c>
      <c r="D395" s="36">
        <v>34788</v>
      </c>
      <c r="E395" s="65">
        <v>256053</v>
      </c>
      <c r="F395" s="57"/>
      <c r="G395" s="57"/>
      <c r="H395" s="65"/>
      <c r="I395" s="64"/>
      <c r="J395" s="65"/>
      <c r="K395" s="64"/>
    </row>
    <row r="396" spans="1:11" x14ac:dyDescent="0.2">
      <c r="A396">
        <v>2020</v>
      </c>
      <c r="B396" s="34">
        <v>523</v>
      </c>
      <c r="C396" s="34" t="s">
        <v>484</v>
      </c>
      <c r="D396" s="36">
        <v>79466</v>
      </c>
      <c r="E396" s="65">
        <v>751219</v>
      </c>
      <c r="F396" s="57"/>
      <c r="G396" s="57"/>
      <c r="H396" s="65"/>
      <c r="I396" s="64"/>
      <c r="J396" s="65"/>
      <c r="K396" s="64"/>
    </row>
    <row r="397" spans="1:11" x14ac:dyDescent="0.2">
      <c r="A397">
        <v>2020</v>
      </c>
      <c r="B397" s="34">
        <v>524</v>
      </c>
      <c r="C397" s="34" t="s">
        <v>485</v>
      </c>
      <c r="D397" s="36">
        <v>128389</v>
      </c>
      <c r="E397" s="65">
        <v>975597</v>
      </c>
      <c r="F397" s="57"/>
      <c r="G397" s="57"/>
      <c r="H397" s="65"/>
      <c r="I397" s="64"/>
      <c r="J397" s="65"/>
      <c r="K397" s="64"/>
    </row>
    <row r="398" spans="1:11" x14ac:dyDescent="0.2">
      <c r="A398">
        <v>2020</v>
      </c>
      <c r="B398" s="34">
        <v>525</v>
      </c>
      <c r="C398" s="34" t="s">
        <v>486</v>
      </c>
      <c r="D398" s="36">
        <v>24795</v>
      </c>
      <c r="E398" s="65">
        <v>195094</v>
      </c>
      <c r="F398" s="57"/>
      <c r="G398" s="57"/>
      <c r="H398" s="65"/>
      <c r="I398" s="64"/>
      <c r="J398" s="65"/>
      <c r="K398" s="64"/>
    </row>
    <row r="399" spans="1:11" x14ac:dyDescent="0.2">
      <c r="A399">
        <v>2020</v>
      </c>
      <c r="B399" s="34">
        <v>526</v>
      </c>
      <c r="C399" s="34" t="s">
        <v>661</v>
      </c>
      <c r="D399" s="36">
        <v>8238</v>
      </c>
      <c r="E399" s="65">
        <v>50690</v>
      </c>
      <c r="F399" s="57"/>
      <c r="G399" s="57"/>
      <c r="H399" s="65"/>
      <c r="I399" s="64"/>
      <c r="J399" s="65"/>
      <c r="K399" s="64"/>
    </row>
    <row r="400" spans="1:11" x14ac:dyDescent="0.2">
      <c r="A400">
        <v>2020</v>
      </c>
      <c r="B400" s="34">
        <v>527</v>
      </c>
      <c r="C400" s="34" t="s">
        <v>662</v>
      </c>
      <c r="D400" s="36">
        <v>49519</v>
      </c>
      <c r="E400" s="65">
        <v>298680</v>
      </c>
      <c r="F400" s="57"/>
      <c r="G400" s="57"/>
      <c r="H400" s="65"/>
      <c r="I400" s="64"/>
      <c r="J400" s="65"/>
      <c r="K400" s="64"/>
    </row>
    <row r="401" spans="1:11" x14ac:dyDescent="0.2">
      <c r="A401">
        <v>2020</v>
      </c>
      <c r="B401" s="34">
        <v>528</v>
      </c>
      <c r="C401" s="34" t="s">
        <v>489</v>
      </c>
      <c r="D401" s="36">
        <v>36698</v>
      </c>
      <c r="E401" s="65">
        <v>164083</v>
      </c>
      <c r="F401" s="57"/>
      <c r="G401" s="57"/>
      <c r="H401" s="65"/>
      <c r="I401" s="64"/>
      <c r="J401" s="65"/>
      <c r="K401" s="64"/>
    </row>
    <row r="402" spans="1:11" x14ac:dyDescent="0.2">
      <c r="A402">
        <v>2020</v>
      </c>
      <c r="B402" s="34">
        <v>529</v>
      </c>
      <c r="C402" s="34" t="s">
        <v>490</v>
      </c>
      <c r="D402" s="36">
        <v>44230</v>
      </c>
      <c r="E402" s="65">
        <v>336707</v>
      </c>
      <c r="F402" s="57"/>
      <c r="G402" s="57"/>
      <c r="H402" s="65"/>
      <c r="I402" s="64"/>
      <c r="J402" s="65"/>
      <c r="K402" s="64"/>
    </row>
    <row r="403" spans="1:11" x14ac:dyDescent="0.2">
      <c r="A403">
        <v>2020</v>
      </c>
      <c r="B403" s="34">
        <v>532</v>
      </c>
      <c r="C403" s="34" t="s">
        <v>663</v>
      </c>
      <c r="D403" s="36">
        <v>204597</v>
      </c>
      <c r="E403" s="65">
        <v>973640</v>
      </c>
      <c r="F403" s="57"/>
      <c r="G403" s="57"/>
      <c r="H403" s="65"/>
      <c r="I403" s="64"/>
      <c r="J403" s="65"/>
      <c r="K403" s="64"/>
    </row>
    <row r="404" spans="1:11" x14ac:dyDescent="0.2">
      <c r="A404">
        <v>2020</v>
      </c>
      <c r="B404" s="34">
        <v>533</v>
      </c>
      <c r="C404" s="34" t="s">
        <v>664</v>
      </c>
      <c r="D404" s="36">
        <v>33353</v>
      </c>
      <c r="E404" s="65">
        <v>264493</v>
      </c>
      <c r="F404" s="57"/>
      <c r="G404" s="57"/>
      <c r="H404" s="65"/>
      <c r="I404" s="64"/>
      <c r="J404" s="65"/>
      <c r="K404" s="64"/>
    </row>
    <row r="405" spans="1:11" x14ac:dyDescent="0.2">
      <c r="A405">
        <v>2020</v>
      </c>
      <c r="B405" s="34">
        <v>534</v>
      </c>
      <c r="C405" s="34" t="s">
        <v>493</v>
      </c>
      <c r="D405" s="36">
        <v>10664</v>
      </c>
      <c r="E405" s="65">
        <v>62634</v>
      </c>
      <c r="F405" s="57"/>
      <c r="G405" s="57"/>
      <c r="H405" s="65"/>
      <c r="I405" s="64"/>
      <c r="J405" s="65"/>
      <c r="K405" s="64"/>
    </row>
    <row r="406" spans="1:11" x14ac:dyDescent="0.2">
      <c r="A406">
        <v>2020</v>
      </c>
      <c r="B406" s="34">
        <v>535</v>
      </c>
      <c r="C406" s="34" t="s">
        <v>494</v>
      </c>
      <c r="D406" s="36">
        <v>18820</v>
      </c>
      <c r="E406" s="65">
        <v>90533</v>
      </c>
      <c r="F406" s="57"/>
      <c r="G406" s="57"/>
      <c r="H406" s="65"/>
      <c r="I406" s="64"/>
      <c r="J406" s="65"/>
      <c r="K406" s="64"/>
    </row>
    <row r="407" spans="1:11" x14ac:dyDescent="0.2">
      <c r="A407">
        <v>2020</v>
      </c>
      <c r="B407" s="34">
        <v>536</v>
      </c>
      <c r="C407" s="34" t="s">
        <v>495</v>
      </c>
      <c r="D407" s="36">
        <v>3070525</v>
      </c>
      <c r="E407" s="65">
        <v>17048909</v>
      </c>
      <c r="F407" s="57"/>
      <c r="G407" s="57"/>
      <c r="H407" s="65"/>
      <c r="I407" s="64"/>
      <c r="J407" s="65"/>
      <c r="K407" s="64"/>
    </row>
    <row r="408" spans="1:11" x14ac:dyDescent="0.2">
      <c r="A408">
        <v>2020</v>
      </c>
      <c r="B408" s="34">
        <v>537</v>
      </c>
      <c r="C408" s="34" t="s">
        <v>496</v>
      </c>
      <c r="D408" s="36">
        <v>2613603</v>
      </c>
      <c r="E408" s="65">
        <v>15598953</v>
      </c>
      <c r="F408" s="57"/>
      <c r="G408" s="57"/>
      <c r="H408" s="65"/>
      <c r="I408" s="64"/>
      <c r="J408" s="65"/>
      <c r="K408" s="64"/>
    </row>
    <row r="409" spans="1:11" x14ac:dyDescent="0.2">
      <c r="A409">
        <v>2020</v>
      </c>
      <c r="B409" s="34">
        <v>538</v>
      </c>
      <c r="C409" s="34" t="s">
        <v>497</v>
      </c>
      <c r="D409" s="36">
        <v>2580547</v>
      </c>
      <c r="E409" s="65">
        <v>14522887</v>
      </c>
      <c r="F409" s="57"/>
      <c r="G409" s="57"/>
      <c r="H409" s="65"/>
      <c r="I409" s="64"/>
      <c r="J409" s="65"/>
      <c r="K409" s="64"/>
    </row>
    <row r="410" spans="1:11" x14ac:dyDescent="0.2">
      <c r="A410">
        <v>2020</v>
      </c>
      <c r="B410" s="34">
        <v>539</v>
      </c>
      <c r="C410" s="34" t="s">
        <v>498</v>
      </c>
      <c r="D410" s="36">
        <v>427685</v>
      </c>
      <c r="E410" s="65">
        <v>1973752</v>
      </c>
      <c r="F410" s="57"/>
      <c r="G410" s="57"/>
      <c r="H410" s="65"/>
      <c r="I410" s="64"/>
      <c r="J410" s="65"/>
      <c r="K410" s="64"/>
    </row>
    <row r="411" spans="1:11" x14ac:dyDescent="0.2">
      <c r="A411">
        <v>2020</v>
      </c>
      <c r="B411" s="34">
        <v>540</v>
      </c>
      <c r="C411" s="34" t="s">
        <v>499</v>
      </c>
      <c r="D411" s="36">
        <v>854413</v>
      </c>
      <c r="E411" s="65">
        <v>5751677</v>
      </c>
      <c r="F411" s="57"/>
      <c r="G411" s="57"/>
      <c r="H411" s="65"/>
      <c r="I411" s="64"/>
      <c r="J411" s="65"/>
      <c r="K411" s="64"/>
    </row>
    <row r="412" spans="1:11" x14ac:dyDescent="0.2">
      <c r="A412">
        <v>2020</v>
      </c>
      <c r="B412" s="34">
        <v>541</v>
      </c>
      <c r="C412" s="34" t="s">
        <v>500</v>
      </c>
      <c r="D412" s="36">
        <v>38022</v>
      </c>
      <c r="E412" s="65">
        <v>242367</v>
      </c>
      <c r="F412" s="57"/>
      <c r="G412" s="57"/>
      <c r="H412" s="65"/>
      <c r="I412" s="64"/>
      <c r="J412" s="65"/>
      <c r="K412" s="64"/>
    </row>
    <row r="413" spans="1:11" x14ac:dyDescent="0.2">
      <c r="A413">
        <v>2020</v>
      </c>
      <c r="B413" s="34">
        <v>542</v>
      </c>
      <c r="C413" s="34" t="s">
        <v>501</v>
      </c>
      <c r="D413" s="36">
        <v>10484</v>
      </c>
      <c r="E413" s="65">
        <v>37356</v>
      </c>
      <c r="F413" s="57"/>
      <c r="G413" s="57"/>
      <c r="H413" s="65"/>
      <c r="I413" s="64"/>
      <c r="J413" s="65"/>
      <c r="K413" s="64"/>
    </row>
    <row r="414" spans="1:11" x14ac:dyDescent="0.2">
      <c r="A414">
        <v>2020</v>
      </c>
      <c r="B414" s="34">
        <v>544</v>
      </c>
      <c r="C414" s="34" t="s">
        <v>502</v>
      </c>
      <c r="D414" s="36">
        <v>36739</v>
      </c>
      <c r="E414" s="65">
        <v>267414</v>
      </c>
      <c r="F414" s="57"/>
      <c r="G414" s="57"/>
      <c r="H414" s="65"/>
      <c r="I414" s="64"/>
      <c r="J414" s="65"/>
      <c r="K414" s="64"/>
    </row>
    <row r="415" spans="1:11" x14ac:dyDescent="0.2">
      <c r="A415">
        <v>2020</v>
      </c>
      <c r="B415" s="34">
        <v>545</v>
      </c>
      <c r="C415" s="34" t="s">
        <v>503</v>
      </c>
      <c r="D415" s="36">
        <v>35938</v>
      </c>
      <c r="E415" s="65">
        <v>339130</v>
      </c>
      <c r="F415" s="57"/>
      <c r="G415" s="57"/>
      <c r="H415" s="65"/>
      <c r="I415" s="64"/>
      <c r="J415" s="65"/>
      <c r="K415" s="64"/>
    </row>
    <row r="416" spans="1:11" x14ac:dyDescent="0.2">
      <c r="A416">
        <v>2020</v>
      </c>
      <c r="B416" s="34">
        <v>546</v>
      </c>
      <c r="C416" s="34" t="s">
        <v>665</v>
      </c>
      <c r="D416" s="36">
        <v>317683</v>
      </c>
      <c r="E416" s="65">
        <v>2085803</v>
      </c>
      <c r="F416" s="57"/>
      <c r="G416" s="57"/>
      <c r="H416" s="65"/>
      <c r="I416" s="64"/>
      <c r="J416" s="65"/>
      <c r="K416" s="64"/>
    </row>
    <row r="417" spans="1:11" x14ac:dyDescent="0.2">
      <c r="A417">
        <v>2020</v>
      </c>
      <c r="B417" s="34">
        <v>547</v>
      </c>
      <c r="C417" s="34" t="s">
        <v>505</v>
      </c>
      <c r="D417" s="36">
        <v>230365</v>
      </c>
      <c r="E417" s="65">
        <v>1563598</v>
      </c>
      <c r="F417" s="57"/>
      <c r="G417" s="57"/>
      <c r="H417" s="65"/>
      <c r="I417" s="64"/>
      <c r="J417" s="65"/>
      <c r="K417" s="64"/>
    </row>
    <row r="418" spans="1:11" x14ac:dyDescent="0.2">
      <c r="A418">
        <v>2020</v>
      </c>
      <c r="B418" s="34">
        <v>548</v>
      </c>
      <c r="C418" s="34" t="s">
        <v>506</v>
      </c>
      <c r="D418" s="36">
        <v>116437</v>
      </c>
      <c r="E418" s="65">
        <v>736325</v>
      </c>
      <c r="F418" s="57"/>
      <c r="G418" s="57"/>
      <c r="H418" s="65"/>
      <c r="I418" s="64"/>
      <c r="J418" s="65"/>
      <c r="K418" s="64"/>
    </row>
    <row r="419" spans="1:11" x14ac:dyDescent="0.2">
      <c r="A419">
        <v>2020</v>
      </c>
      <c r="B419" s="34">
        <v>549</v>
      </c>
      <c r="C419" s="34" t="s">
        <v>507</v>
      </c>
      <c r="D419" s="36">
        <v>56187</v>
      </c>
      <c r="E419" s="65">
        <v>351665</v>
      </c>
      <c r="F419" s="57"/>
      <c r="G419" s="57"/>
      <c r="H419" s="65"/>
      <c r="I419" s="64"/>
      <c r="J419" s="65"/>
      <c r="K419" s="64"/>
    </row>
    <row r="420" spans="1:11" x14ac:dyDescent="0.2">
      <c r="A420">
        <v>2020</v>
      </c>
      <c r="B420" s="34">
        <v>550</v>
      </c>
      <c r="C420" s="34" t="s">
        <v>508</v>
      </c>
      <c r="D420" s="36">
        <v>453801</v>
      </c>
      <c r="E420" s="65">
        <v>2658841</v>
      </c>
      <c r="F420" s="57"/>
      <c r="G420" s="57"/>
      <c r="H420" s="65"/>
      <c r="I420" s="64"/>
      <c r="J420" s="65"/>
      <c r="K420" s="64"/>
    </row>
    <row r="421" spans="1:11" x14ac:dyDescent="0.2">
      <c r="A421">
        <v>2020</v>
      </c>
      <c r="B421" s="34">
        <v>557</v>
      </c>
      <c r="C421" s="34" t="s">
        <v>509</v>
      </c>
      <c r="D421" s="36">
        <v>244301</v>
      </c>
      <c r="E421" s="65">
        <v>1756056</v>
      </c>
      <c r="F421" s="57"/>
      <c r="G421" s="57"/>
      <c r="H421" s="65"/>
      <c r="I421" s="64"/>
      <c r="J421" s="65"/>
      <c r="K421" s="64"/>
    </row>
    <row r="422" spans="1:11" x14ac:dyDescent="0.2">
      <c r="A422">
        <v>2020</v>
      </c>
      <c r="B422" s="34">
        <v>559</v>
      </c>
      <c r="C422" s="34" t="s">
        <v>666</v>
      </c>
      <c r="D422" s="36">
        <v>2571385</v>
      </c>
      <c r="E422" s="65">
        <v>14992167</v>
      </c>
      <c r="F422" s="57"/>
      <c r="G422" s="57"/>
      <c r="H422" s="65"/>
      <c r="I422" s="64"/>
      <c r="J422" s="65"/>
      <c r="K422" s="64"/>
    </row>
    <row r="423" spans="1:11" x14ac:dyDescent="0.2">
      <c r="A423">
        <v>2020</v>
      </c>
      <c r="B423" s="34">
        <v>560</v>
      </c>
      <c r="C423" s="34" t="s">
        <v>667</v>
      </c>
      <c r="D423" s="36">
        <v>1745596</v>
      </c>
      <c r="E423" s="65">
        <v>9297826</v>
      </c>
      <c r="F423" s="57"/>
      <c r="G423" s="57"/>
      <c r="H423" s="65"/>
      <c r="I423" s="64"/>
      <c r="J423" s="65"/>
      <c r="K423" s="64"/>
    </row>
    <row r="424" spans="1:11" x14ac:dyDescent="0.2">
      <c r="A424">
        <v>2020</v>
      </c>
      <c r="B424" s="34">
        <v>561</v>
      </c>
      <c r="C424" s="34" t="s">
        <v>512</v>
      </c>
      <c r="D424" s="36">
        <v>1341907</v>
      </c>
      <c r="E424" s="65">
        <v>6588796</v>
      </c>
      <c r="F424" s="57"/>
      <c r="G424" s="57"/>
      <c r="H424" s="65"/>
      <c r="I424" s="64"/>
      <c r="J424" s="65"/>
      <c r="K424" s="64"/>
    </row>
    <row r="425" spans="1:11" x14ac:dyDescent="0.2">
      <c r="A425">
        <v>2020</v>
      </c>
      <c r="B425" s="34">
        <v>562</v>
      </c>
      <c r="C425" s="34" t="s">
        <v>513</v>
      </c>
      <c r="D425" s="36">
        <v>3180553</v>
      </c>
      <c r="E425" s="65">
        <v>18866458</v>
      </c>
      <c r="F425" s="57"/>
      <c r="G425" s="57"/>
      <c r="H425" s="65"/>
      <c r="I425" s="64"/>
      <c r="J425" s="65"/>
      <c r="K425" s="64"/>
    </row>
    <row r="426" spans="1:11" x14ac:dyDescent="0.2">
      <c r="A426">
        <v>2020</v>
      </c>
      <c r="B426" s="34">
        <v>563</v>
      </c>
      <c r="C426" s="34" t="s">
        <v>514</v>
      </c>
      <c r="D426" s="36">
        <v>857774</v>
      </c>
      <c r="E426" s="65">
        <v>5670232</v>
      </c>
      <c r="F426" s="57"/>
      <c r="G426" s="57"/>
      <c r="H426" s="65"/>
      <c r="I426" s="64"/>
      <c r="J426" s="65"/>
      <c r="K426" s="64"/>
    </row>
    <row r="427" spans="1:11" x14ac:dyDescent="0.2">
      <c r="A427">
        <v>2020</v>
      </c>
      <c r="B427" s="34">
        <v>564</v>
      </c>
      <c r="C427" s="34" t="s">
        <v>515</v>
      </c>
      <c r="D427" s="36">
        <v>717748</v>
      </c>
      <c r="E427" s="65">
        <v>5481194</v>
      </c>
      <c r="F427" s="57"/>
      <c r="G427" s="57"/>
      <c r="H427" s="65"/>
      <c r="I427" s="64"/>
      <c r="J427" s="65"/>
      <c r="K427" s="64"/>
    </row>
    <row r="428" spans="1:11" x14ac:dyDescent="0.2">
      <c r="A428">
        <v>2020</v>
      </c>
      <c r="B428" s="34">
        <v>565</v>
      </c>
      <c r="C428" s="34" t="s">
        <v>516</v>
      </c>
      <c r="D428" s="36">
        <v>1186960</v>
      </c>
      <c r="E428" s="65">
        <v>8186829</v>
      </c>
      <c r="F428" s="57"/>
      <c r="G428" s="57"/>
      <c r="H428" s="65"/>
      <c r="I428" s="64"/>
      <c r="J428" s="65"/>
      <c r="K428" s="64"/>
    </row>
    <row r="429" spans="1:11" x14ac:dyDescent="0.2">
      <c r="A429">
        <v>2020</v>
      </c>
      <c r="B429" s="34">
        <v>566</v>
      </c>
      <c r="C429" s="34" t="s">
        <v>517</v>
      </c>
      <c r="D429" s="36">
        <v>334410</v>
      </c>
      <c r="E429" s="65">
        <v>2181543</v>
      </c>
      <c r="F429" s="57"/>
      <c r="G429" s="57"/>
      <c r="H429" s="65"/>
      <c r="I429" s="64"/>
      <c r="J429" s="65"/>
      <c r="K429" s="64"/>
    </row>
    <row r="430" spans="1:11" x14ac:dyDescent="0.2">
      <c r="A430">
        <v>2020</v>
      </c>
      <c r="B430" s="34">
        <v>567</v>
      </c>
      <c r="C430" s="34" t="s">
        <v>518</v>
      </c>
      <c r="D430" s="36">
        <v>159712</v>
      </c>
      <c r="E430" s="65">
        <v>1409547</v>
      </c>
      <c r="F430" s="57"/>
      <c r="G430" s="57"/>
      <c r="H430" s="65"/>
      <c r="I430" s="64"/>
      <c r="J430" s="65"/>
      <c r="K430" s="64"/>
    </row>
    <row r="431" spans="1:11" x14ac:dyDescent="0.2">
      <c r="A431">
        <v>2020</v>
      </c>
      <c r="B431" s="34">
        <v>569</v>
      </c>
      <c r="C431" s="34" t="s">
        <v>519</v>
      </c>
      <c r="D431" s="36">
        <v>203785</v>
      </c>
      <c r="E431" s="65">
        <v>1123440</v>
      </c>
      <c r="F431" s="57"/>
      <c r="G431" s="57"/>
      <c r="H431" s="65"/>
      <c r="I431" s="64"/>
      <c r="J431" s="65"/>
      <c r="K431" s="64"/>
    </row>
    <row r="432" spans="1:11" x14ac:dyDescent="0.2">
      <c r="A432">
        <v>2020</v>
      </c>
      <c r="B432" s="34">
        <v>570</v>
      </c>
      <c r="C432" s="34" t="s">
        <v>520</v>
      </c>
      <c r="D432" s="36">
        <v>591055</v>
      </c>
      <c r="E432" s="65">
        <v>3972917</v>
      </c>
      <c r="F432" s="57"/>
      <c r="G432" s="57"/>
      <c r="H432" s="65"/>
      <c r="I432" s="64"/>
      <c r="J432" s="65"/>
      <c r="K432" s="64"/>
    </row>
    <row r="433" spans="1:11" x14ac:dyDescent="0.2">
      <c r="A433">
        <v>2020</v>
      </c>
      <c r="B433" s="34">
        <v>571</v>
      </c>
      <c r="C433" s="34" t="s">
        <v>389</v>
      </c>
      <c r="D433" s="36">
        <v>160317</v>
      </c>
      <c r="E433" s="65">
        <v>1350826</v>
      </c>
      <c r="F433" s="57"/>
      <c r="G433" s="57"/>
      <c r="H433" s="65"/>
      <c r="I433" s="64"/>
      <c r="J433" s="65"/>
      <c r="K433" s="64"/>
    </row>
    <row r="434" spans="1:11" x14ac:dyDescent="0.2">
      <c r="A434">
        <v>2020</v>
      </c>
      <c r="B434" s="34">
        <v>572</v>
      </c>
      <c r="C434" s="34" t="s">
        <v>390</v>
      </c>
      <c r="D434" s="36">
        <v>331618</v>
      </c>
      <c r="E434" s="65">
        <v>2028183</v>
      </c>
      <c r="F434" s="57"/>
      <c r="G434" s="57"/>
      <c r="H434" s="65"/>
      <c r="I434" s="64"/>
      <c r="J434" s="65"/>
      <c r="K434" s="64"/>
    </row>
    <row r="435" spans="1:11" x14ac:dyDescent="0.2">
      <c r="A435">
        <v>2020</v>
      </c>
      <c r="B435" s="34">
        <v>574</v>
      </c>
      <c r="C435" s="34" t="s">
        <v>391</v>
      </c>
      <c r="D435" s="36">
        <v>245957</v>
      </c>
      <c r="E435" s="65">
        <v>1483331</v>
      </c>
      <c r="F435" s="57"/>
      <c r="G435" s="57"/>
      <c r="H435" s="65"/>
      <c r="I435" s="64"/>
      <c r="J435" s="65"/>
      <c r="K435" s="64"/>
    </row>
    <row r="436" spans="1:11" x14ac:dyDescent="0.2">
      <c r="A436">
        <v>2020</v>
      </c>
      <c r="B436" s="34">
        <v>575</v>
      </c>
      <c r="C436" s="34" t="s">
        <v>668</v>
      </c>
      <c r="D436" s="36">
        <v>690633</v>
      </c>
      <c r="E436" s="65">
        <v>2373623</v>
      </c>
      <c r="F436" s="57"/>
      <c r="G436" s="57"/>
      <c r="H436" s="65"/>
      <c r="I436" s="64"/>
      <c r="J436" s="65"/>
      <c r="K436" s="64"/>
    </row>
    <row r="437" spans="1:11" x14ac:dyDescent="0.2">
      <c r="A437">
        <v>2020</v>
      </c>
      <c r="B437" s="34">
        <v>576</v>
      </c>
      <c r="C437" s="34" t="s">
        <v>393</v>
      </c>
      <c r="D437" s="36">
        <v>605719</v>
      </c>
      <c r="E437" s="65">
        <v>5099959</v>
      </c>
      <c r="F437" s="57"/>
      <c r="G437" s="57"/>
      <c r="H437" s="65"/>
      <c r="I437" s="64"/>
      <c r="J437" s="65"/>
      <c r="K437" s="64"/>
    </row>
    <row r="438" spans="1:11" x14ac:dyDescent="0.2">
      <c r="A438">
        <v>2020</v>
      </c>
      <c r="B438" s="34">
        <v>577</v>
      </c>
      <c r="C438" s="34" t="s">
        <v>394</v>
      </c>
      <c r="D438" s="36">
        <v>700734</v>
      </c>
      <c r="E438" s="65">
        <v>3576126</v>
      </c>
      <c r="F438" s="57"/>
      <c r="G438" s="57"/>
      <c r="H438" s="65"/>
      <c r="I438" s="64"/>
      <c r="J438" s="65"/>
      <c r="K438" s="64"/>
    </row>
    <row r="439" spans="1:11" x14ac:dyDescent="0.2">
      <c r="A439">
        <v>2020</v>
      </c>
      <c r="B439" s="34">
        <v>578</v>
      </c>
      <c r="C439" s="34" t="s">
        <v>395</v>
      </c>
      <c r="D439" s="36">
        <v>105181</v>
      </c>
      <c r="E439" s="65">
        <v>996368</v>
      </c>
      <c r="F439" s="57"/>
      <c r="G439" s="57"/>
      <c r="H439" s="65"/>
      <c r="I439" s="64"/>
      <c r="J439" s="65"/>
      <c r="K439" s="64"/>
    </row>
    <row r="440" spans="1:11" x14ac:dyDescent="0.2">
      <c r="A440">
        <v>2020</v>
      </c>
      <c r="B440" s="34">
        <v>580</v>
      </c>
      <c r="C440" s="34" t="s">
        <v>396</v>
      </c>
      <c r="D440" s="36">
        <v>395146</v>
      </c>
      <c r="E440" s="65">
        <v>2860953</v>
      </c>
      <c r="F440" s="57"/>
      <c r="G440" s="57"/>
      <c r="H440" s="65"/>
      <c r="I440" s="64"/>
      <c r="J440" s="65"/>
      <c r="K440" s="64"/>
    </row>
    <row r="441" spans="1:11" x14ac:dyDescent="0.2">
      <c r="A441">
        <v>2020</v>
      </c>
      <c r="B441" s="34">
        <v>581</v>
      </c>
      <c r="C441" s="34" t="s">
        <v>397</v>
      </c>
      <c r="D441" s="36">
        <v>611727</v>
      </c>
      <c r="E441" s="65">
        <v>4684538</v>
      </c>
      <c r="F441" s="57"/>
      <c r="G441" s="57"/>
      <c r="H441" s="65"/>
      <c r="I441" s="64"/>
      <c r="J441" s="65"/>
      <c r="K441" s="64"/>
    </row>
    <row r="442" spans="1:11" x14ac:dyDescent="0.2">
      <c r="A442">
        <v>2020</v>
      </c>
      <c r="B442" s="34">
        <v>582</v>
      </c>
      <c r="C442" s="34" t="s">
        <v>398</v>
      </c>
      <c r="D442" s="36">
        <v>396510</v>
      </c>
      <c r="E442" s="65">
        <v>4759365</v>
      </c>
      <c r="F442" s="57"/>
      <c r="G442" s="57"/>
      <c r="H442" s="65"/>
      <c r="I442" s="64"/>
      <c r="J442" s="65"/>
      <c r="K442" s="64"/>
    </row>
    <row r="443" spans="1:11" x14ac:dyDescent="0.2">
      <c r="A443">
        <v>2020</v>
      </c>
      <c r="B443" s="34">
        <v>583</v>
      </c>
      <c r="C443" s="34" t="s">
        <v>399</v>
      </c>
      <c r="D443" s="36">
        <v>2666307</v>
      </c>
      <c r="E443" s="65">
        <v>18610649</v>
      </c>
      <c r="F443" s="57"/>
      <c r="G443" s="57"/>
      <c r="H443" s="65"/>
      <c r="I443" s="64"/>
      <c r="J443" s="65"/>
      <c r="K443" s="64"/>
    </row>
    <row r="444" spans="1:11" x14ac:dyDescent="0.2">
      <c r="A444">
        <v>2020</v>
      </c>
      <c r="B444" s="34">
        <v>584</v>
      </c>
      <c r="C444" s="34" t="s">
        <v>400</v>
      </c>
      <c r="D444" s="36">
        <v>7893842</v>
      </c>
      <c r="E444" s="65">
        <v>29622208</v>
      </c>
      <c r="F444" s="57"/>
      <c r="G444" s="57"/>
      <c r="H444" s="65"/>
      <c r="I444" s="64"/>
      <c r="J444" s="65"/>
      <c r="K444" s="64"/>
    </row>
    <row r="445" spans="1:11" x14ac:dyDescent="0.2">
      <c r="A445">
        <v>2020</v>
      </c>
      <c r="B445" s="34">
        <v>586</v>
      </c>
      <c r="C445" s="34" t="s">
        <v>401</v>
      </c>
      <c r="D445" s="36">
        <v>16314</v>
      </c>
      <c r="E445" s="65">
        <v>73374</v>
      </c>
      <c r="F445" s="57"/>
      <c r="G445" s="57"/>
      <c r="H445" s="65"/>
      <c r="I445" s="64"/>
      <c r="J445" s="65"/>
      <c r="K445" s="64"/>
    </row>
    <row r="446" spans="1:11" x14ac:dyDescent="0.2">
      <c r="A446">
        <v>2020</v>
      </c>
      <c r="B446" s="34">
        <v>588</v>
      </c>
      <c r="C446" s="34" t="s">
        <v>402</v>
      </c>
      <c r="D446" s="36">
        <v>10890</v>
      </c>
      <c r="E446" s="65">
        <v>43802</v>
      </c>
      <c r="F446" s="57"/>
      <c r="G446" s="57"/>
      <c r="H446" s="65"/>
      <c r="I446" s="64"/>
      <c r="J446" s="65"/>
      <c r="K446" s="64"/>
    </row>
    <row r="447" spans="1:11" x14ac:dyDescent="0.2">
      <c r="A447">
        <v>2020</v>
      </c>
      <c r="B447" s="34">
        <v>589</v>
      </c>
      <c r="C447" s="34" t="s">
        <v>403</v>
      </c>
      <c r="D447" s="36">
        <v>11964</v>
      </c>
      <c r="E447" s="65">
        <v>111273</v>
      </c>
      <c r="F447" s="57"/>
      <c r="G447" s="57"/>
      <c r="H447" s="65"/>
      <c r="I447" s="64"/>
      <c r="J447" s="65"/>
      <c r="K447" s="64"/>
    </row>
    <row r="448" spans="1:11" x14ac:dyDescent="0.2">
      <c r="A448">
        <v>2020</v>
      </c>
      <c r="B448" s="34">
        <v>590</v>
      </c>
      <c r="C448" s="34" t="s">
        <v>669</v>
      </c>
      <c r="D448" s="36">
        <v>36902</v>
      </c>
      <c r="E448" s="65">
        <v>316249</v>
      </c>
      <c r="F448" s="57"/>
      <c r="G448" s="57"/>
      <c r="H448" s="65"/>
      <c r="I448" s="64"/>
      <c r="J448" s="65"/>
      <c r="K448" s="64"/>
    </row>
    <row r="449" spans="1:11" x14ac:dyDescent="0.2">
      <c r="A449">
        <v>2020</v>
      </c>
      <c r="B449" s="34">
        <v>592</v>
      </c>
      <c r="C449" s="34" t="s">
        <v>404</v>
      </c>
      <c r="D449" s="36">
        <v>14418</v>
      </c>
      <c r="E449" s="65">
        <v>40162</v>
      </c>
      <c r="F449" s="57"/>
      <c r="G449" s="57"/>
      <c r="H449" s="65"/>
      <c r="I449" s="64"/>
      <c r="J449" s="65"/>
      <c r="K449" s="64"/>
    </row>
    <row r="450" spans="1:11" x14ac:dyDescent="0.2">
      <c r="A450">
        <v>2020</v>
      </c>
      <c r="B450" s="34">
        <v>596</v>
      </c>
      <c r="C450" s="34" t="s">
        <v>405</v>
      </c>
      <c r="D450" s="36">
        <v>4226</v>
      </c>
      <c r="E450" s="65">
        <v>40328</v>
      </c>
      <c r="F450" s="57"/>
      <c r="G450" s="57"/>
      <c r="H450" s="65"/>
      <c r="I450" s="64"/>
      <c r="J450" s="65"/>
      <c r="K450" s="64"/>
    </row>
    <row r="451" spans="1:11" x14ac:dyDescent="0.2">
      <c r="A451">
        <v>2020</v>
      </c>
      <c r="B451" s="34">
        <v>597</v>
      </c>
      <c r="C451" s="34" t="s">
        <v>406</v>
      </c>
      <c r="D451" s="36">
        <v>264087</v>
      </c>
      <c r="E451" s="65">
        <v>1819199</v>
      </c>
      <c r="F451" s="57"/>
      <c r="G451" s="57"/>
      <c r="H451" s="65"/>
      <c r="I451" s="64"/>
      <c r="J451" s="65"/>
      <c r="K451" s="64"/>
    </row>
    <row r="452" spans="1:11" x14ac:dyDescent="0.2">
      <c r="A452">
        <v>2020</v>
      </c>
      <c r="B452" s="34">
        <v>598</v>
      </c>
      <c r="C452" s="34" t="s">
        <v>407</v>
      </c>
      <c r="D452" s="36">
        <v>53471</v>
      </c>
      <c r="E452" s="65">
        <v>254609</v>
      </c>
      <c r="F452" s="57"/>
      <c r="G452" s="57"/>
      <c r="H452" s="65"/>
      <c r="I452" s="64"/>
      <c r="J452" s="65"/>
      <c r="K452" s="64"/>
    </row>
    <row r="453" spans="1:11" x14ac:dyDescent="0.2">
      <c r="A453">
        <v>2020</v>
      </c>
      <c r="B453" s="34">
        <v>601</v>
      </c>
      <c r="C453" s="34" t="s">
        <v>408</v>
      </c>
      <c r="D453" s="36">
        <v>61413</v>
      </c>
      <c r="E453" s="65">
        <v>415637</v>
      </c>
      <c r="F453" s="57"/>
      <c r="G453" s="57"/>
      <c r="H453" s="65"/>
      <c r="I453" s="64"/>
      <c r="J453" s="65"/>
      <c r="K453" s="64"/>
    </row>
    <row r="454" spans="1:11" x14ac:dyDescent="0.2">
      <c r="A454">
        <v>2020</v>
      </c>
      <c r="B454" s="34">
        <v>602</v>
      </c>
      <c r="C454" s="34" t="s">
        <v>409</v>
      </c>
      <c r="D454" s="36">
        <v>80347</v>
      </c>
      <c r="E454" s="65">
        <v>468347</v>
      </c>
      <c r="F454" s="57"/>
      <c r="G454" s="57"/>
      <c r="H454" s="65"/>
      <c r="I454" s="64"/>
      <c r="J454" s="65"/>
      <c r="K454" s="64"/>
    </row>
    <row r="455" spans="1:11" x14ac:dyDescent="0.2">
      <c r="A455">
        <v>2020</v>
      </c>
      <c r="B455" s="34">
        <v>603</v>
      </c>
      <c r="C455" s="34" t="s">
        <v>410</v>
      </c>
      <c r="E455" s="57"/>
      <c r="F455" s="57"/>
      <c r="G455" s="57"/>
      <c r="H455" s="57"/>
      <c r="I455" s="64"/>
      <c r="J455" s="57"/>
      <c r="K455" s="64"/>
    </row>
    <row r="456" spans="1:11" x14ac:dyDescent="0.2">
      <c r="A456">
        <v>2020</v>
      </c>
      <c r="B456" s="34">
        <v>607</v>
      </c>
      <c r="C456" s="34" t="s">
        <v>411</v>
      </c>
      <c r="D456" s="36">
        <v>70564</v>
      </c>
      <c r="E456" s="65">
        <v>592064</v>
      </c>
      <c r="F456" s="57"/>
      <c r="G456" s="57"/>
      <c r="H456" s="65"/>
      <c r="I456" s="64"/>
      <c r="J456" s="65"/>
      <c r="K456" s="64"/>
    </row>
    <row r="457" spans="1:11" x14ac:dyDescent="0.2">
      <c r="A457">
        <v>2020</v>
      </c>
      <c r="B457" s="34">
        <v>608</v>
      </c>
      <c r="C457" s="34" t="s">
        <v>412</v>
      </c>
      <c r="D457" s="36">
        <v>51797</v>
      </c>
      <c r="E457" s="65">
        <v>403895</v>
      </c>
      <c r="F457" s="57"/>
      <c r="G457" s="57"/>
      <c r="H457" s="65"/>
      <c r="I457" s="64"/>
      <c r="J457" s="65"/>
      <c r="K457" s="64"/>
    </row>
    <row r="458" spans="1:11" x14ac:dyDescent="0.2">
      <c r="A458">
        <v>2020</v>
      </c>
      <c r="B458" s="34">
        <v>609</v>
      </c>
      <c r="C458" s="34" t="s">
        <v>413</v>
      </c>
      <c r="D458" s="36">
        <v>17278</v>
      </c>
      <c r="E458" s="65">
        <v>225534</v>
      </c>
      <c r="F458" s="57"/>
      <c r="G458" s="57"/>
      <c r="H458" s="65"/>
      <c r="I458" s="64"/>
      <c r="J458" s="65"/>
      <c r="K458" s="64"/>
    </row>
    <row r="459" spans="1:11" x14ac:dyDescent="0.2">
      <c r="A459">
        <v>2020</v>
      </c>
      <c r="B459" s="34">
        <v>610</v>
      </c>
      <c r="C459" s="34" t="s">
        <v>414</v>
      </c>
      <c r="D459" s="36">
        <v>73588</v>
      </c>
      <c r="E459" s="65">
        <v>608658</v>
      </c>
      <c r="F459" s="57"/>
      <c r="G459" s="57"/>
      <c r="H459" s="65"/>
      <c r="I459" s="64"/>
      <c r="J459" s="65"/>
      <c r="K459" s="64"/>
    </row>
    <row r="460" spans="1:11" x14ac:dyDescent="0.2">
      <c r="A460">
        <v>2020</v>
      </c>
      <c r="B460" s="34">
        <v>611</v>
      </c>
      <c r="C460" s="34" t="s">
        <v>415</v>
      </c>
      <c r="D460" s="36">
        <v>25733</v>
      </c>
      <c r="E460" s="65">
        <v>239036</v>
      </c>
      <c r="F460" s="57"/>
      <c r="G460" s="57"/>
      <c r="H460" s="65"/>
      <c r="I460" s="64"/>
      <c r="J460" s="65"/>
      <c r="K460" s="64"/>
    </row>
    <row r="461" spans="1:11" x14ac:dyDescent="0.2">
      <c r="A461">
        <v>2020</v>
      </c>
      <c r="B461" s="34">
        <v>612</v>
      </c>
      <c r="C461" s="34" t="s">
        <v>416</v>
      </c>
      <c r="D461" s="36">
        <v>325009</v>
      </c>
      <c r="E461" s="65">
        <v>2482499</v>
      </c>
      <c r="F461" s="57"/>
      <c r="G461" s="57"/>
      <c r="H461" s="65"/>
      <c r="I461" s="64"/>
      <c r="J461" s="65"/>
      <c r="K461" s="64"/>
    </row>
    <row r="462" spans="1:11" x14ac:dyDescent="0.2">
      <c r="A462">
        <v>2020</v>
      </c>
      <c r="B462" s="34">
        <v>613</v>
      </c>
      <c r="C462" s="34" t="s">
        <v>417</v>
      </c>
      <c r="D462" s="36">
        <v>15192</v>
      </c>
      <c r="E462" s="65">
        <v>114705</v>
      </c>
      <c r="F462" s="57"/>
      <c r="G462" s="57"/>
      <c r="H462" s="65"/>
      <c r="I462" s="64"/>
      <c r="J462" s="65"/>
      <c r="K462" s="64"/>
    </row>
    <row r="463" spans="1:11" x14ac:dyDescent="0.2">
      <c r="A463">
        <v>2020</v>
      </c>
      <c r="B463" s="34">
        <v>614</v>
      </c>
      <c r="C463" s="34" t="s">
        <v>418</v>
      </c>
      <c r="D463" s="36">
        <v>42270</v>
      </c>
      <c r="E463" s="65">
        <v>178091</v>
      </c>
      <c r="F463" s="57"/>
      <c r="G463" s="57"/>
      <c r="H463" s="65"/>
      <c r="I463" s="64"/>
      <c r="J463" s="65"/>
      <c r="K463" s="64"/>
    </row>
    <row r="464" spans="1:11" x14ac:dyDescent="0.2">
      <c r="A464">
        <v>2020</v>
      </c>
      <c r="B464" s="34">
        <v>615</v>
      </c>
      <c r="C464" s="34" t="s">
        <v>419</v>
      </c>
      <c r="D464" s="36">
        <v>48488</v>
      </c>
      <c r="E464" s="65">
        <v>302890</v>
      </c>
      <c r="F464" s="57"/>
      <c r="G464" s="57"/>
      <c r="H464" s="65"/>
      <c r="I464" s="64"/>
      <c r="J464" s="65"/>
      <c r="K464" s="64"/>
    </row>
    <row r="465" spans="1:11" x14ac:dyDescent="0.2">
      <c r="A465">
        <v>2020</v>
      </c>
      <c r="B465" s="34">
        <v>617</v>
      </c>
      <c r="C465" s="34" t="s">
        <v>420</v>
      </c>
      <c r="D465" s="36">
        <v>97437</v>
      </c>
      <c r="E465" s="65">
        <v>477385</v>
      </c>
      <c r="F465" s="57"/>
      <c r="G465" s="57"/>
      <c r="H465" s="65"/>
      <c r="I465" s="64"/>
      <c r="J465" s="65"/>
      <c r="K465" s="64"/>
    </row>
    <row r="466" spans="1:11" x14ac:dyDescent="0.2">
      <c r="A466">
        <v>2020</v>
      </c>
      <c r="B466" s="34">
        <v>618</v>
      </c>
      <c r="C466" s="34" t="s">
        <v>421</v>
      </c>
      <c r="D466" s="36">
        <v>43105</v>
      </c>
      <c r="E466" s="65">
        <v>270027</v>
      </c>
      <c r="F466" s="57"/>
      <c r="G466" s="57"/>
      <c r="H466" s="65"/>
      <c r="I466" s="64"/>
      <c r="J466" s="65"/>
      <c r="K466" s="64"/>
    </row>
    <row r="467" spans="1:11" x14ac:dyDescent="0.2">
      <c r="A467">
        <v>2020</v>
      </c>
      <c r="B467" s="34">
        <v>619</v>
      </c>
      <c r="C467" s="34" t="s">
        <v>422</v>
      </c>
      <c r="D467" s="36">
        <v>41440</v>
      </c>
      <c r="E467" s="65">
        <v>238642</v>
      </c>
      <c r="F467" s="57"/>
      <c r="G467" s="57"/>
      <c r="H467" s="65"/>
      <c r="I467" s="64"/>
      <c r="J467" s="65"/>
      <c r="K467" s="64"/>
    </row>
    <row r="468" spans="1:11" x14ac:dyDescent="0.2">
      <c r="A468">
        <v>2020</v>
      </c>
      <c r="B468" s="34">
        <v>620</v>
      </c>
      <c r="C468" s="34" t="s">
        <v>423</v>
      </c>
      <c r="D468" s="36">
        <v>28976</v>
      </c>
      <c r="E468" s="65">
        <v>194950</v>
      </c>
      <c r="F468" s="57"/>
      <c r="G468" s="57"/>
      <c r="H468" s="65"/>
      <c r="I468" s="64"/>
      <c r="J468" s="65"/>
      <c r="K468" s="64"/>
    </row>
    <row r="469" spans="1:11" x14ac:dyDescent="0.2">
      <c r="A469">
        <v>2020</v>
      </c>
      <c r="B469" s="34">
        <v>621</v>
      </c>
      <c r="C469" s="34" t="s">
        <v>424</v>
      </c>
      <c r="D469" s="36">
        <v>31727</v>
      </c>
      <c r="E469" s="65">
        <v>279031</v>
      </c>
      <c r="F469" s="57"/>
      <c r="G469" s="57"/>
      <c r="H469" s="65"/>
      <c r="I469" s="64"/>
      <c r="J469" s="65"/>
      <c r="K469" s="64"/>
    </row>
    <row r="470" spans="1:11" x14ac:dyDescent="0.2">
      <c r="A470">
        <v>2020</v>
      </c>
      <c r="B470" s="34">
        <v>622</v>
      </c>
      <c r="C470" s="34" t="s">
        <v>425</v>
      </c>
      <c r="D470" s="36">
        <v>73892</v>
      </c>
      <c r="E470" s="65">
        <v>496753</v>
      </c>
      <c r="F470" s="57"/>
      <c r="G470" s="57"/>
      <c r="H470" s="65"/>
      <c r="I470" s="64"/>
      <c r="J470" s="65"/>
      <c r="K470" s="64"/>
    </row>
    <row r="471" spans="1:11" x14ac:dyDescent="0.2">
      <c r="A471">
        <v>2020</v>
      </c>
      <c r="B471" s="34">
        <v>623</v>
      </c>
      <c r="C471" s="34" t="s">
        <v>426</v>
      </c>
      <c r="D471" s="36">
        <v>140863</v>
      </c>
      <c r="E471" s="65">
        <v>1397679</v>
      </c>
      <c r="F471" s="57"/>
      <c r="G471" s="57"/>
      <c r="H471" s="65"/>
      <c r="I471" s="64"/>
      <c r="J471" s="65"/>
      <c r="K471" s="64"/>
    </row>
    <row r="472" spans="1:11" x14ac:dyDescent="0.2">
      <c r="A472">
        <v>2020</v>
      </c>
      <c r="B472" s="34">
        <v>624</v>
      </c>
      <c r="C472" s="34" t="s">
        <v>427</v>
      </c>
      <c r="D472" s="36">
        <v>36014</v>
      </c>
      <c r="E472" s="65">
        <v>367663</v>
      </c>
      <c r="F472" s="57"/>
      <c r="G472" s="57"/>
      <c r="H472" s="65"/>
      <c r="I472" s="64"/>
      <c r="J472" s="65"/>
      <c r="K472" s="64"/>
    </row>
    <row r="473" spans="1:11" x14ac:dyDescent="0.2">
      <c r="A473">
        <v>2020</v>
      </c>
      <c r="B473" s="34">
        <v>625</v>
      </c>
      <c r="C473" s="34" t="s">
        <v>428</v>
      </c>
      <c r="D473" s="36">
        <v>61315</v>
      </c>
      <c r="E473" s="65">
        <v>381477</v>
      </c>
      <c r="F473" s="57"/>
      <c r="G473" s="57"/>
      <c r="H473" s="65"/>
      <c r="I473" s="64"/>
      <c r="J473" s="65"/>
      <c r="K473" s="64"/>
    </row>
    <row r="474" spans="1:11" x14ac:dyDescent="0.2">
      <c r="A474">
        <v>2020</v>
      </c>
      <c r="B474" s="34">
        <v>626</v>
      </c>
      <c r="C474" s="34" t="s">
        <v>429</v>
      </c>
      <c r="D474" s="36">
        <v>17395</v>
      </c>
      <c r="E474" s="65">
        <v>163996</v>
      </c>
      <c r="F474" s="57"/>
      <c r="G474" s="57"/>
      <c r="H474" s="65"/>
      <c r="I474" s="64"/>
      <c r="J474" s="65"/>
      <c r="K474" s="64"/>
    </row>
    <row r="475" spans="1:11" x14ac:dyDescent="0.2">
      <c r="A475">
        <v>2020</v>
      </c>
      <c r="B475" s="34">
        <v>627</v>
      </c>
      <c r="C475" s="34" t="s">
        <v>430</v>
      </c>
      <c r="D475" s="36">
        <v>51197</v>
      </c>
      <c r="E475" s="65">
        <v>345169</v>
      </c>
      <c r="F475" s="57"/>
      <c r="G475" s="57"/>
      <c r="H475" s="65"/>
      <c r="I475" s="64"/>
      <c r="J475" s="65"/>
      <c r="K475" s="64"/>
    </row>
    <row r="476" spans="1:11" x14ac:dyDescent="0.2">
      <c r="A476">
        <v>2020</v>
      </c>
      <c r="B476" s="34">
        <v>628</v>
      </c>
      <c r="C476" s="34" t="s">
        <v>431</v>
      </c>
      <c r="D476" s="36">
        <v>47683</v>
      </c>
      <c r="E476" s="65">
        <v>394742</v>
      </c>
      <c r="F476" s="57"/>
      <c r="G476" s="57"/>
      <c r="H476" s="65"/>
      <c r="I476" s="64"/>
      <c r="J476" s="65"/>
      <c r="K476" s="64"/>
    </row>
    <row r="477" spans="1:11" x14ac:dyDescent="0.2">
      <c r="A477">
        <v>2020</v>
      </c>
      <c r="B477" s="34">
        <v>629</v>
      </c>
      <c r="C477" s="34" t="s">
        <v>432</v>
      </c>
      <c r="D477" s="36">
        <v>263688</v>
      </c>
      <c r="E477" s="65">
        <v>1479306</v>
      </c>
      <c r="F477" s="57"/>
      <c r="G477" s="57"/>
      <c r="H477" s="65"/>
      <c r="I477" s="64"/>
      <c r="J477" s="65"/>
      <c r="K477" s="64"/>
    </row>
    <row r="478" spans="1:11" x14ac:dyDescent="0.2">
      <c r="A478">
        <v>2020</v>
      </c>
      <c r="B478" s="34">
        <v>630</v>
      </c>
      <c r="C478" s="34" t="s">
        <v>433</v>
      </c>
      <c r="D478" s="36">
        <v>95702</v>
      </c>
      <c r="E478" s="65">
        <v>446735</v>
      </c>
      <c r="F478" s="57"/>
      <c r="G478" s="57"/>
      <c r="H478" s="65"/>
      <c r="I478" s="64"/>
      <c r="J478" s="65"/>
      <c r="K478" s="64"/>
    </row>
    <row r="479" spans="1:11" x14ac:dyDescent="0.2">
      <c r="A479">
        <v>2020</v>
      </c>
      <c r="B479" s="34">
        <v>631</v>
      </c>
      <c r="C479" s="34" t="s">
        <v>434</v>
      </c>
      <c r="D479" s="36">
        <v>47892</v>
      </c>
      <c r="E479" s="65">
        <v>256631</v>
      </c>
      <c r="F479" s="57"/>
      <c r="G479" s="57"/>
      <c r="H479" s="65"/>
      <c r="I479" s="64"/>
      <c r="J479" s="65"/>
      <c r="K479" s="64"/>
    </row>
    <row r="480" spans="1:11" x14ac:dyDescent="0.2">
      <c r="A480">
        <v>2020</v>
      </c>
      <c r="B480" s="34">
        <v>632</v>
      </c>
      <c r="C480" s="34" t="s">
        <v>435</v>
      </c>
      <c r="D480" s="36">
        <v>30532</v>
      </c>
      <c r="E480" s="65">
        <v>100423</v>
      </c>
      <c r="F480" s="57"/>
      <c r="G480" s="57"/>
      <c r="H480" s="65"/>
      <c r="I480" s="64"/>
      <c r="J480" s="65"/>
      <c r="K480" s="64"/>
    </row>
    <row r="481" spans="1:11" x14ac:dyDescent="0.2">
      <c r="A481">
        <v>2020</v>
      </c>
      <c r="B481" s="34">
        <v>633</v>
      </c>
      <c r="C481" s="34" t="s">
        <v>436</v>
      </c>
      <c r="D481" s="36">
        <v>69123</v>
      </c>
      <c r="E481" s="65">
        <v>463368</v>
      </c>
      <c r="F481" s="57"/>
      <c r="G481" s="57"/>
      <c r="H481" s="65"/>
      <c r="I481" s="64"/>
      <c r="J481" s="65"/>
      <c r="K481" s="64"/>
    </row>
    <row r="482" spans="1:11" x14ac:dyDescent="0.2">
      <c r="A482">
        <v>2020</v>
      </c>
      <c r="B482" s="34">
        <v>634</v>
      </c>
      <c r="C482" s="34" t="s">
        <v>437</v>
      </c>
      <c r="D482" s="36">
        <v>31667</v>
      </c>
      <c r="E482" s="65">
        <v>166387</v>
      </c>
      <c r="F482" s="57"/>
      <c r="G482" s="57"/>
      <c r="H482" s="65"/>
      <c r="I482" s="64"/>
      <c r="J482" s="65"/>
      <c r="K482" s="64"/>
    </row>
    <row r="483" spans="1:11" x14ac:dyDescent="0.2">
      <c r="A483">
        <v>2020</v>
      </c>
      <c r="B483" s="34">
        <v>635</v>
      </c>
      <c r="C483" s="34" t="s">
        <v>438</v>
      </c>
      <c r="D483" s="36">
        <v>26325</v>
      </c>
      <c r="E483" s="65">
        <v>115515</v>
      </c>
      <c r="F483" s="57"/>
      <c r="G483" s="57"/>
      <c r="H483" s="65"/>
      <c r="I483" s="64"/>
      <c r="J483" s="65"/>
      <c r="K483" s="64"/>
    </row>
    <row r="484" spans="1:11" x14ac:dyDescent="0.2">
      <c r="A484">
        <v>2020</v>
      </c>
      <c r="B484" s="34">
        <v>636</v>
      </c>
      <c r="C484" s="34" t="s">
        <v>439</v>
      </c>
      <c r="D484" s="36">
        <v>140393</v>
      </c>
      <c r="E484" s="65">
        <v>867983</v>
      </c>
      <c r="F484" s="57"/>
      <c r="G484" s="57"/>
      <c r="H484" s="65"/>
      <c r="I484" s="64"/>
      <c r="J484" s="65"/>
      <c r="K484" s="64"/>
    </row>
    <row r="485" spans="1:11" x14ac:dyDescent="0.2">
      <c r="A485">
        <v>2020</v>
      </c>
      <c r="B485" s="34">
        <v>637</v>
      </c>
      <c r="C485" s="34" t="s">
        <v>440</v>
      </c>
      <c r="D485" s="36">
        <v>610140</v>
      </c>
      <c r="E485" s="65">
        <v>3224337</v>
      </c>
      <c r="F485" s="57"/>
      <c r="G485" s="57"/>
      <c r="H485" s="65"/>
      <c r="I485" s="64"/>
      <c r="J485" s="65"/>
      <c r="K485" s="64"/>
    </row>
    <row r="486" spans="1:11" x14ac:dyDescent="0.2">
      <c r="A486">
        <v>2020</v>
      </c>
      <c r="B486" s="34">
        <v>638</v>
      </c>
      <c r="C486" s="34" t="s">
        <v>441</v>
      </c>
      <c r="D486" s="36">
        <v>211373</v>
      </c>
      <c r="E486" s="65">
        <v>1033032</v>
      </c>
      <c r="F486" s="57"/>
      <c r="G486" s="57"/>
      <c r="H486" s="65"/>
      <c r="I486" s="64"/>
      <c r="J486" s="65"/>
      <c r="K486" s="64"/>
    </row>
    <row r="487" spans="1:11" x14ac:dyDescent="0.2">
      <c r="A487">
        <v>2020</v>
      </c>
      <c r="B487" s="34">
        <v>639</v>
      </c>
      <c r="C487" s="34" t="s">
        <v>442</v>
      </c>
      <c r="D487" s="36">
        <v>40032</v>
      </c>
      <c r="E487" s="65">
        <v>190085</v>
      </c>
      <c r="F487" s="57"/>
      <c r="G487" s="57"/>
      <c r="H487" s="65"/>
      <c r="I487" s="64"/>
      <c r="J487" s="65"/>
      <c r="K487" s="64"/>
    </row>
    <row r="488" spans="1:11" x14ac:dyDescent="0.2">
      <c r="A488">
        <v>2020</v>
      </c>
      <c r="B488" s="34">
        <v>641</v>
      </c>
      <c r="C488" s="34" t="s">
        <v>443</v>
      </c>
      <c r="D488" s="36">
        <v>7598</v>
      </c>
      <c r="E488" s="65">
        <v>45280</v>
      </c>
      <c r="F488" s="57"/>
      <c r="G488" s="57"/>
      <c r="H488" s="65"/>
      <c r="I488" s="64"/>
      <c r="J488" s="65"/>
      <c r="K488" s="64"/>
    </row>
    <row r="489" spans="1:11" x14ac:dyDescent="0.2">
      <c r="A489">
        <v>2020</v>
      </c>
      <c r="B489" s="34">
        <v>643</v>
      </c>
      <c r="C489" s="34" t="s">
        <v>444</v>
      </c>
      <c r="D489" s="36">
        <v>136525</v>
      </c>
      <c r="E489" s="65">
        <v>712175</v>
      </c>
      <c r="F489" s="57"/>
      <c r="G489" s="57"/>
      <c r="H489" s="65"/>
      <c r="I489" s="64"/>
      <c r="J489" s="65"/>
      <c r="K489" s="64"/>
    </row>
    <row r="490" spans="1:11" x14ac:dyDescent="0.2">
      <c r="A490">
        <v>2020</v>
      </c>
      <c r="B490" s="34">
        <v>644</v>
      </c>
      <c r="C490" s="34" t="s">
        <v>445</v>
      </c>
      <c r="D490" s="36">
        <v>31316</v>
      </c>
      <c r="E490" s="65">
        <v>272380</v>
      </c>
      <c r="F490" s="57"/>
      <c r="G490" s="57"/>
      <c r="H490" s="65"/>
      <c r="I490" s="64"/>
      <c r="J490" s="65"/>
      <c r="K490" s="64"/>
    </row>
    <row r="491" spans="1:11" x14ac:dyDescent="0.2">
      <c r="A491">
        <v>2020</v>
      </c>
      <c r="B491" s="34">
        <v>645</v>
      </c>
      <c r="C491" s="34" t="s">
        <v>446</v>
      </c>
      <c r="D491" s="36">
        <v>96041</v>
      </c>
      <c r="E491" s="65">
        <v>524170</v>
      </c>
      <c r="F491" s="57"/>
      <c r="G491" s="57"/>
      <c r="H491" s="65"/>
      <c r="I491" s="64"/>
      <c r="J491" s="65"/>
      <c r="K491" s="64"/>
    </row>
    <row r="492" spans="1:11" x14ac:dyDescent="0.2">
      <c r="A492">
        <v>2020</v>
      </c>
      <c r="B492" s="34">
        <v>646</v>
      </c>
      <c r="C492" s="34" t="s">
        <v>447</v>
      </c>
      <c r="D492" s="36">
        <v>69479</v>
      </c>
      <c r="E492" s="65">
        <v>293060</v>
      </c>
      <c r="F492" s="57"/>
      <c r="G492" s="57"/>
      <c r="H492" s="65"/>
      <c r="I492" s="64"/>
      <c r="J492" s="65"/>
      <c r="K492" s="64"/>
    </row>
    <row r="493" spans="1:11" x14ac:dyDescent="0.2">
      <c r="A493">
        <v>2020</v>
      </c>
      <c r="B493" s="34">
        <v>647</v>
      </c>
      <c r="C493" s="34" t="s">
        <v>448</v>
      </c>
      <c r="D493" s="36">
        <v>11107</v>
      </c>
      <c r="E493" s="65">
        <v>86826</v>
      </c>
      <c r="F493" s="57"/>
      <c r="G493" s="57"/>
      <c r="H493" s="65"/>
      <c r="I493" s="64"/>
      <c r="J493" s="65"/>
      <c r="K493" s="64"/>
    </row>
    <row r="494" spans="1:11" x14ac:dyDescent="0.2">
      <c r="A494">
        <v>2020</v>
      </c>
      <c r="B494" s="34">
        <v>648</v>
      </c>
      <c r="C494" s="34" t="s">
        <v>449</v>
      </c>
      <c r="D494" s="36">
        <v>22783</v>
      </c>
      <c r="E494" s="65">
        <v>102149</v>
      </c>
      <c r="F494" s="57"/>
      <c r="G494" s="57"/>
      <c r="H494" s="65"/>
      <c r="I494" s="64"/>
      <c r="J494" s="65"/>
      <c r="K494" s="64"/>
    </row>
    <row r="495" spans="1:11" x14ac:dyDescent="0.2">
      <c r="A495">
        <v>2020</v>
      </c>
      <c r="B495" s="34">
        <v>649</v>
      </c>
      <c r="C495" s="34" t="s">
        <v>450</v>
      </c>
      <c r="D495" s="36">
        <v>87289</v>
      </c>
      <c r="E495" s="65">
        <v>484449</v>
      </c>
      <c r="F495" s="57"/>
      <c r="G495" s="57"/>
      <c r="H495" s="65"/>
      <c r="I495" s="64"/>
      <c r="J495" s="65"/>
      <c r="K495" s="64"/>
    </row>
    <row r="496" spans="1:11" x14ac:dyDescent="0.2">
      <c r="A496">
        <v>2020</v>
      </c>
      <c r="B496" s="34">
        <v>653</v>
      </c>
      <c r="C496" s="34" t="s">
        <v>451</v>
      </c>
      <c r="D496" s="36">
        <v>25556</v>
      </c>
      <c r="E496" s="65">
        <v>147610</v>
      </c>
      <c r="F496" s="57"/>
      <c r="G496" s="57"/>
      <c r="H496" s="65"/>
      <c r="I496" s="64"/>
      <c r="J496" s="65"/>
      <c r="K496" s="64"/>
    </row>
    <row r="497" spans="1:11" x14ac:dyDescent="0.2">
      <c r="A497">
        <v>2020</v>
      </c>
      <c r="B497" s="34">
        <v>656</v>
      </c>
      <c r="C497" s="34" t="s">
        <v>452</v>
      </c>
      <c r="D497" s="36">
        <v>243535</v>
      </c>
      <c r="E497" s="65">
        <v>1801496</v>
      </c>
      <c r="F497" s="57"/>
      <c r="G497" s="57"/>
      <c r="H497" s="65"/>
      <c r="I497" s="64"/>
      <c r="J497" s="65"/>
      <c r="K497" s="64"/>
    </row>
    <row r="498" spans="1:11" x14ac:dyDescent="0.2">
      <c r="A498">
        <v>2020</v>
      </c>
      <c r="B498" s="34">
        <v>657</v>
      </c>
      <c r="C498" s="34" t="s">
        <v>453</v>
      </c>
      <c r="D498" s="36">
        <v>15436</v>
      </c>
      <c r="E498" s="65">
        <v>117428</v>
      </c>
      <c r="F498" s="57"/>
      <c r="G498" s="57"/>
      <c r="H498" s="65"/>
      <c r="I498" s="64"/>
      <c r="J498" s="65"/>
      <c r="K498" s="64"/>
    </row>
    <row r="499" spans="1:11" x14ac:dyDescent="0.2">
      <c r="A499">
        <v>2020</v>
      </c>
      <c r="B499" s="34">
        <v>658</v>
      </c>
      <c r="C499" s="34" t="s">
        <v>454</v>
      </c>
      <c r="D499" s="36">
        <v>13881</v>
      </c>
      <c r="E499" s="65">
        <v>158395</v>
      </c>
      <c r="F499" s="57"/>
      <c r="G499" s="57"/>
      <c r="H499" s="65"/>
      <c r="I499" s="64"/>
      <c r="J499" s="65"/>
      <c r="K499" s="64"/>
    </row>
    <row r="500" spans="1:11" x14ac:dyDescent="0.2">
      <c r="A500">
        <v>2020</v>
      </c>
      <c r="B500" s="34">
        <v>659</v>
      </c>
      <c r="C500" s="34" t="s">
        <v>455</v>
      </c>
      <c r="D500" s="36">
        <v>201658</v>
      </c>
      <c r="E500" s="65">
        <v>1334709</v>
      </c>
      <c r="F500" s="57"/>
      <c r="G500" s="57"/>
      <c r="H500" s="65"/>
      <c r="I500" s="64"/>
      <c r="J500" s="65"/>
      <c r="K500" s="64"/>
    </row>
    <row r="501" spans="1:11" x14ac:dyDescent="0.2">
      <c r="A501">
        <v>2020</v>
      </c>
      <c r="B501" s="34">
        <v>660</v>
      </c>
      <c r="C501" s="34" t="s">
        <v>456</v>
      </c>
      <c r="D501" s="36">
        <v>451460</v>
      </c>
      <c r="E501" s="65">
        <v>2371313</v>
      </c>
      <c r="F501" s="57"/>
      <c r="G501" s="57"/>
      <c r="H501" s="65"/>
      <c r="I501" s="64"/>
      <c r="J501" s="65"/>
      <c r="K501" s="64"/>
    </row>
    <row r="502" spans="1:11" x14ac:dyDescent="0.2">
      <c r="A502">
        <v>2020</v>
      </c>
      <c r="B502" s="34">
        <v>661</v>
      </c>
      <c r="C502" s="34" t="s">
        <v>457</v>
      </c>
      <c r="D502" s="36">
        <v>231876</v>
      </c>
      <c r="E502" s="65">
        <v>1645892</v>
      </c>
      <c r="F502" s="57"/>
      <c r="G502" s="57"/>
      <c r="H502" s="65"/>
      <c r="I502" s="64"/>
      <c r="J502" s="65"/>
      <c r="K502" s="64"/>
    </row>
    <row r="503" spans="1:11" x14ac:dyDescent="0.2">
      <c r="A503">
        <v>2020</v>
      </c>
      <c r="B503" s="34">
        <v>662</v>
      </c>
      <c r="C503" s="34" t="s">
        <v>458</v>
      </c>
      <c r="D503" s="36">
        <v>49534</v>
      </c>
      <c r="E503" s="65">
        <v>290743</v>
      </c>
      <c r="F503" s="57"/>
      <c r="G503" s="57"/>
      <c r="H503" s="65"/>
      <c r="I503" s="64"/>
      <c r="J503" s="65"/>
      <c r="K503" s="64"/>
    </row>
    <row r="504" spans="1:11" x14ac:dyDescent="0.2">
      <c r="A504">
        <v>2020</v>
      </c>
      <c r="B504" s="34">
        <v>663</v>
      </c>
      <c r="C504" s="34" t="s">
        <v>459</v>
      </c>
      <c r="D504" s="36">
        <v>42484</v>
      </c>
      <c r="E504" s="65">
        <v>131884</v>
      </c>
      <c r="F504" s="57"/>
      <c r="G504" s="57"/>
      <c r="H504" s="65"/>
      <c r="I504" s="64"/>
      <c r="J504" s="65"/>
      <c r="K504" s="64"/>
    </row>
    <row r="505" spans="1:11" x14ac:dyDescent="0.2">
      <c r="A505">
        <v>2020</v>
      </c>
      <c r="B505" s="34">
        <v>666</v>
      </c>
      <c r="C505" s="34" t="s">
        <v>460</v>
      </c>
      <c r="D505" s="36">
        <v>104512</v>
      </c>
      <c r="E505" s="65">
        <v>605004</v>
      </c>
      <c r="F505" s="57"/>
      <c r="G505" s="57"/>
      <c r="H505" s="65"/>
      <c r="I505" s="64"/>
      <c r="J505" s="65"/>
      <c r="K505" s="64"/>
    </row>
    <row r="506" spans="1:11" x14ac:dyDescent="0.2">
      <c r="A506">
        <v>2020</v>
      </c>
      <c r="B506" s="34">
        <v>667</v>
      </c>
      <c r="C506" s="34" t="s">
        <v>461</v>
      </c>
      <c r="D506" s="36">
        <v>119837</v>
      </c>
      <c r="E506" s="65">
        <v>606458</v>
      </c>
      <c r="F506" s="57"/>
      <c r="G506" s="57"/>
      <c r="H506" s="65"/>
      <c r="I506" s="64"/>
      <c r="J506" s="65"/>
      <c r="K506" s="64"/>
    </row>
    <row r="507" spans="1:11" x14ac:dyDescent="0.2">
      <c r="A507">
        <v>2020</v>
      </c>
      <c r="B507" s="34">
        <v>668</v>
      </c>
      <c r="C507" s="34" t="s">
        <v>462</v>
      </c>
      <c r="D507" s="36">
        <v>78160</v>
      </c>
      <c r="E507" s="65">
        <v>481844</v>
      </c>
      <c r="F507" s="57"/>
      <c r="G507" s="57"/>
      <c r="H507" s="65"/>
      <c r="I507" s="64"/>
      <c r="J507" s="65"/>
      <c r="K507" s="64"/>
    </row>
    <row r="508" spans="1:11" x14ac:dyDescent="0.2">
      <c r="A508">
        <v>2020</v>
      </c>
      <c r="B508" s="34">
        <v>673</v>
      </c>
      <c r="C508" s="34" t="s">
        <v>463</v>
      </c>
      <c r="D508" s="36">
        <v>231437</v>
      </c>
      <c r="E508" s="65">
        <v>2120196</v>
      </c>
      <c r="F508" s="57"/>
      <c r="G508" s="57"/>
      <c r="H508" s="65"/>
      <c r="I508" s="64"/>
      <c r="J508" s="65"/>
      <c r="K508" s="64"/>
    </row>
    <row r="509" spans="1:11" x14ac:dyDescent="0.2">
      <c r="A509">
        <v>2020</v>
      </c>
      <c r="B509" s="34">
        <v>674</v>
      </c>
      <c r="C509" s="34" t="s">
        <v>464</v>
      </c>
      <c r="D509" s="36">
        <v>75156</v>
      </c>
      <c r="E509" s="65">
        <v>521301</v>
      </c>
      <c r="F509" s="57"/>
      <c r="G509" s="57"/>
      <c r="H509" s="65"/>
      <c r="I509" s="64"/>
      <c r="J509" s="65"/>
      <c r="K509" s="64"/>
    </row>
    <row r="510" spans="1:11" x14ac:dyDescent="0.2">
      <c r="A510">
        <v>2020</v>
      </c>
      <c r="B510" s="34">
        <v>675</v>
      </c>
      <c r="C510" s="34" t="s">
        <v>465</v>
      </c>
      <c r="D510" s="36">
        <v>73990</v>
      </c>
      <c r="E510" s="65">
        <v>373535</v>
      </c>
      <c r="F510" s="57"/>
      <c r="G510" s="57"/>
      <c r="H510" s="65"/>
      <c r="I510" s="64"/>
      <c r="J510" s="65"/>
      <c r="K510" s="64"/>
    </row>
    <row r="511" spans="1:11" x14ac:dyDescent="0.2">
      <c r="A511">
        <v>2020</v>
      </c>
      <c r="B511" s="34">
        <v>676</v>
      </c>
      <c r="C511" s="34" t="s">
        <v>466</v>
      </c>
      <c r="D511" s="36">
        <v>32362</v>
      </c>
      <c r="E511" s="65">
        <v>217172</v>
      </c>
      <c r="F511" s="57"/>
      <c r="G511" s="57"/>
      <c r="H511" s="65"/>
      <c r="I511" s="64"/>
      <c r="J511" s="65"/>
      <c r="K511" s="64"/>
    </row>
    <row r="512" spans="1:11" x14ac:dyDescent="0.2">
      <c r="A512">
        <v>2020</v>
      </c>
      <c r="B512" s="34">
        <v>677</v>
      </c>
      <c r="C512" s="34" t="s">
        <v>467</v>
      </c>
      <c r="D512" s="36">
        <v>36364</v>
      </c>
      <c r="E512" s="65">
        <v>222957</v>
      </c>
      <c r="F512" s="57"/>
      <c r="G512" s="57"/>
      <c r="H512" s="65"/>
      <c r="I512" s="64"/>
      <c r="J512" s="65"/>
      <c r="K512" s="64"/>
    </row>
    <row r="513" spans="1:11" x14ac:dyDescent="0.2">
      <c r="A513">
        <v>2020</v>
      </c>
      <c r="B513" s="34">
        <v>680</v>
      </c>
      <c r="C513" s="34" t="s">
        <v>468</v>
      </c>
      <c r="D513" s="36">
        <v>38963</v>
      </c>
      <c r="E513" s="65">
        <v>300390</v>
      </c>
      <c r="F513" s="57"/>
      <c r="G513" s="57"/>
      <c r="H513" s="65"/>
      <c r="I513" s="64"/>
      <c r="J513" s="65"/>
      <c r="K513" s="64"/>
    </row>
    <row r="514" spans="1:11" x14ac:dyDescent="0.2">
      <c r="A514">
        <v>2020</v>
      </c>
      <c r="B514" s="34">
        <v>681</v>
      </c>
      <c r="C514" s="34" t="s">
        <v>469</v>
      </c>
      <c r="D514" s="36">
        <v>65553</v>
      </c>
      <c r="E514" s="65">
        <v>503423</v>
      </c>
      <c r="F514" s="57"/>
      <c r="G514" s="57"/>
      <c r="H514" s="65"/>
      <c r="I514" s="64"/>
      <c r="J514" s="65"/>
      <c r="K514" s="64"/>
    </row>
    <row r="515" spans="1:11" x14ac:dyDescent="0.2">
      <c r="A515">
        <v>2020</v>
      </c>
      <c r="B515" s="34">
        <v>682</v>
      </c>
      <c r="C515" s="34" t="s">
        <v>470</v>
      </c>
      <c r="D515" s="36">
        <v>144832</v>
      </c>
      <c r="E515" s="65">
        <v>940537</v>
      </c>
      <c r="F515" s="57"/>
      <c r="G515" s="57"/>
      <c r="H515" s="65"/>
      <c r="I515" s="64"/>
      <c r="J515" s="65"/>
      <c r="K515" s="64"/>
    </row>
    <row r="516" spans="1:11" x14ac:dyDescent="0.2">
      <c r="A516">
        <v>2020</v>
      </c>
      <c r="B516" s="34">
        <v>683</v>
      </c>
      <c r="C516" s="34" t="s">
        <v>471</v>
      </c>
      <c r="D516" s="36">
        <v>59318</v>
      </c>
      <c r="E516" s="65">
        <v>479409</v>
      </c>
      <c r="F516" s="57"/>
      <c r="G516" s="57"/>
      <c r="H516" s="65"/>
      <c r="I516" s="64"/>
      <c r="J516" s="65"/>
      <c r="K516" s="64"/>
    </row>
    <row r="517" spans="1:11" x14ac:dyDescent="0.2">
      <c r="A517">
        <v>2020</v>
      </c>
      <c r="B517" s="34">
        <v>684</v>
      </c>
      <c r="C517" s="34" t="s">
        <v>472</v>
      </c>
      <c r="D517" s="36">
        <v>8002</v>
      </c>
      <c r="E517" s="65">
        <v>53871</v>
      </c>
      <c r="F517" s="57"/>
      <c r="G517" s="57"/>
      <c r="H517" s="65"/>
      <c r="I517" s="64"/>
      <c r="J517" s="65"/>
      <c r="K517" s="64"/>
    </row>
    <row r="518" spans="1:11" x14ac:dyDescent="0.2">
      <c r="A518">
        <v>2020</v>
      </c>
      <c r="B518" s="34">
        <v>699</v>
      </c>
      <c r="C518" s="34" t="s">
        <v>473</v>
      </c>
      <c r="D518" s="36">
        <v>41362</v>
      </c>
      <c r="E518" s="65">
        <v>518888</v>
      </c>
      <c r="F518" s="57"/>
      <c r="G518" s="57"/>
      <c r="H518" s="65"/>
      <c r="I518" s="64"/>
      <c r="J518" s="65"/>
      <c r="K518" s="64"/>
    </row>
    <row r="519" spans="1:11" x14ac:dyDescent="0.2">
      <c r="A519">
        <v>2020</v>
      </c>
      <c r="B519" s="34">
        <v>701</v>
      </c>
      <c r="C519" s="34" t="s">
        <v>670</v>
      </c>
      <c r="E519" s="65">
        <v>178051</v>
      </c>
      <c r="F519" s="57"/>
      <c r="G519" s="57"/>
      <c r="H519" s="65"/>
      <c r="I519" s="64"/>
      <c r="J519" s="57"/>
      <c r="K519" s="64"/>
    </row>
    <row r="520" spans="1:11" x14ac:dyDescent="0.2">
      <c r="A520">
        <v>2020</v>
      </c>
      <c r="B520" s="34">
        <v>702</v>
      </c>
      <c r="C520" s="34" t="s">
        <v>671</v>
      </c>
      <c r="E520" s="65">
        <v>149720</v>
      </c>
      <c r="F520" s="57"/>
      <c r="G520" s="57"/>
      <c r="H520" s="65"/>
      <c r="I520" s="64"/>
      <c r="J520" s="57"/>
      <c r="K520" s="64"/>
    </row>
    <row r="521" spans="1:11" x14ac:dyDescent="0.2">
      <c r="A521">
        <v>2020</v>
      </c>
      <c r="B521" s="34">
        <v>704</v>
      </c>
      <c r="C521" s="34" t="s">
        <v>672</v>
      </c>
      <c r="E521" s="65">
        <v>58436</v>
      </c>
      <c r="F521" s="57"/>
      <c r="G521" s="57"/>
      <c r="H521" s="65"/>
      <c r="I521" s="64"/>
      <c r="J521" s="57"/>
      <c r="K521" s="64"/>
    </row>
    <row r="522" spans="1:11" x14ac:dyDescent="0.2">
      <c r="A522">
        <v>2020</v>
      </c>
      <c r="B522" s="34">
        <v>708</v>
      </c>
      <c r="C522" s="34" t="s">
        <v>673</v>
      </c>
      <c r="E522" s="57"/>
      <c r="F522" s="57"/>
      <c r="G522" s="57"/>
      <c r="H522" s="57"/>
      <c r="I522" s="64"/>
      <c r="J522" s="57"/>
      <c r="K522" s="64"/>
    </row>
    <row r="523" spans="1:11" x14ac:dyDescent="0.2">
      <c r="A523">
        <v>2020</v>
      </c>
      <c r="B523" s="34">
        <v>711</v>
      </c>
      <c r="C523" s="34" t="s">
        <v>674</v>
      </c>
      <c r="D523" s="36">
        <v>113568</v>
      </c>
      <c r="E523" s="65">
        <v>202520</v>
      </c>
      <c r="F523" s="57"/>
      <c r="G523" s="57"/>
      <c r="H523" s="65"/>
      <c r="I523" s="64"/>
      <c r="J523" s="65"/>
      <c r="K523" s="64"/>
    </row>
    <row r="524" spans="1:11" x14ac:dyDescent="0.2">
      <c r="A524">
        <v>2020</v>
      </c>
      <c r="B524" s="34">
        <v>714</v>
      </c>
      <c r="C524" s="34" t="s">
        <v>675</v>
      </c>
      <c r="D524" s="36">
        <v>26468</v>
      </c>
      <c r="E524" s="57"/>
      <c r="F524" s="57"/>
      <c r="G524" s="57"/>
      <c r="H524" s="57"/>
      <c r="I524" s="64"/>
      <c r="J524" s="65"/>
      <c r="K524" s="64"/>
    </row>
    <row r="525" spans="1:11" x14ac:dyDescent="0.2">
      <c r="A525">
        <v>2020</v>
      </c>
      <c r="B525" s="34">
        <v>750</v>
      </c>
      <c r="C525" s="34" t="s">
        <v>676</v>
      </c>
      <c r="D525" s="36">
        <v>73330</v>
      </c>
      <c r="E525" s="65">
        <v>348187</v>
      </c>
      <c r="F525" s="57"/>
      <c r="G525" s="57"/>
      <c r="H525" s="65"/>
      <c r="I525" s="64"/>
      <c r="J525" s="65"/>
      <c r="K525" s="64"/>
    </row>
    <row r="526" spans="1:11" x14ac:dyDescent="0.2">
      <c r="A526">
        <v>2020</v>
      </c>
      <c r="B526" s="34">
        <v>801</v>
      </c>
      <c r="C526" s="34" t="s">
        <v>474</v>
      </c>
      <c r="D526" s="36">
        <v>138538</v>
      </c>
      <c r="E526" s="65">
        <v>1161054</v>
      </c>
      <c r="F526" s="57"/>
      <c r="G526" s="57"/>
      <c r="H526" s="65"/>
      <c r="I526" s="64"/>
      <c r="J526" s="65"/>
      <c r="K526" s="64"/>
    </row>
    <row r="527" spans="1:11" x14ac:dyDescent="0.2">
      <c r="A527">
        <v>2020</v>
      </c>
      <c r="B527" s="34">
        <v>802</v>
      </c>
      <c r="C527" s="34" t="s">
        <v>677</v>
      </c>
      <c r="D527" s="36">
        <v>202498</v>
      </c>
      <c r="E527" s="65">
        <v>1239815</v>
      </c>
      <c r="F527" s="57"/>
      <c r="G527" s="57"/>
      <c r="H527" s="65"/>
      <c r="I527" s="64"/>
      <c r="J527" s="65"/>
      <c r="K527" s="64"/>
    </row>
    <row r="528" spans="1:11" x14ac:dyDescent="0.2">
      <c r="A528">
        <v>2020</v>
      </c>
      <c r="B528" s="34">
        <v>803</v>
      </c>
      <c r="C528" s="34" t="s">
        <v>475</v>
      </c>
      <c r="D528" s="36">
        <v>2082455</v>
      </c>
      <c r="E528" s="65">
        <v>4652093</v>
      </c>
      <c r="F528" s="57"/>
      <c r="G528" s="57"/>
      <c r="H528" s="65"/>
      <c r="I528" s="64"/>
      <c r="J528" s="65"/>
      <c r="K528" s="64"/>
    </row>
    <row r="529" spans="1:11" x14ac:dyDescent="0.2">
      <c r="A529">
        <v>2020</v>
      </c>
      <c r="B529" s="34">
        <v>805</v>
      </c>
      <c r="C529" s="34" t="s">
        <v>678</v>
      </c>
      <c r="D529" s="36">
        <v>453895</v>
      </c>
      <c r="E529" s="65">
        <v>1740132</v>
      </c>
      <c r="F529" s="57"/>
      <c r="G529" s="57"/>
      <c r="H529" s="65"/>
      <c r="I529" s="64"/>
      <c r="J529" s="65"/>
      <c r="K529" s="64"/>
    </row>
    <row r="530" spans="1:11" x14ac:dyDescent="0.2">
      <c r="A530">
        <v>2020</v>
      </c>
      <c r="B530" s="34">
        <v>806</v>
      </c>
      <c r="C530" s="34" t="s">
        <v>476</v>
      </c>
      <c r="D530" s="36">
        <v>209267</v>
      </c>
      <c r="E530" s="65">
        <v>2221375</v>
      </c>
      <c r="F530" s="57"/>
      <c r="G530" s="57"/>
      <c r="H530" s="65"/>
      <c r="I530" s="64"/>
      <c r="J530" s="65"/>
      <c r="K530" s="64"/>
    </row>
    <row r="531" spans="1:11" x14ac:dyDescent="0.2">
      <c r="A531">
        <v>2020</v>
      </c>
      <c r="B531" s="34">
        <v>807</v>
      </c>
      <c r="C531" s="34" t="s">
        <v>679</v>
      </c>
      <c r="D531" s="36">
        <v>171184</v>
      </c>
      <c r="E531" s="65">
        <v>1851589</v>
      </c>
      <c r="F531" s="57"/>
      <c r="G531" s="57"/>
      <c r="H531" s="65"/>
      <c r="I531" s="64"/>
      <c r="J531" s="65"/>
      <c r="K531" s="64"/>
    </row>
    <row r="532" spans="1:11" x14ac:dyDescent="0.2">
      <c r="A532">
        <v>2020</v>
      </c>
      <c r="B532" s="34">
        <v>808</v>
      </c>
      <c r="C532" s="34" t="s">
        <v>680</v>
      </c>
      <c r="D532" s="36">
        <v>289154</v>
      </c>
      <c r="E532" s="65">
        <v>1386334</v>
      </c>
      <c r="F532" s="57"/>
      <c r="G532" s="57"/>
      <c r="H532" s="65"/>
      <c r="I532" s="64"/>
      <c r="J532" s="65"/>
      <c r="K532" s="64"/>
    </row>
    <row r="533" spans="1:11" x14ac:dyDescent="0.2">
      <c r="A533">
        <v>2020</v>
      </c>
      <c r="B533" s="34">
        <v>809</v>
      </c>
      <c r="C533" s="34" t="s">
        <v>681</v>
      </c>
      <c r="D533" s="36">
        <v>220582</v>
      </c>
      <c r="E533" s="65">
        <v>1031393</v>
      </c>
      <c r="F533" s="57"/>
      <c r="G533" s="57"/>
      <c r="H533" s="65"/>
      <c r="I533" s="64"/>
      <c r="J533" s="65"/>
      <c r="K533" s="64"/>
    </row>
    <row r="534" spans="1:11" x14ac:dyDescent="0.2">
      <c r="A534">
        <v>2020</v>
      </c>
      <c r="B534" s="34">
        <v>810</v>
      </c>
      <c r="C534" s="34" t="s">
        <v>682</v>
      </c>
      <c r="E534" s="65">
        <v>8674307</v>
      </c>
      <c r="F534" s="57"/>
      <c r="G534" s="57"/>
      <c r="H534" s="65"/>
      <c r="I534" s="64"/>
      <c r="J534" s="57"/>
      <c r="K534" s="64"/>
    </row>
    <row r="535" spans="1:11" x14ac:dyDescent="0.2">
      <c r="A535">
        <v>2020</v>
      </c>
      <c r="B535" s="34">
        <v>811</v>
      </c>
      <c r="C535" s="34" t="s">
        <v>477</v>
      </c>
      <c r="D535" s="36">
        <v>309809</v>
      </c>
      <c r="E535" s="65">
        <v>543710</v>
      </c>
      <c r="F535" s="57"/>
      <c r="G535" s="57"/>
      <c r="H535" s="65"/>
      <c r="I535" s="64"/>
      <c r="J535" s="65"/>
      <c r="K535" s="64"/>
    </row>
    <row r="536" spans="1:11" x14ac:dyDescent="0.2">
      <c r="A536">
        <v>2020</v>
      </c>
      <c r="B536" s="34">
        <v>812</v>
      </c>
      <c r="C536" s="34" t="s">
        <v>683</v>
      </c>
      <c r="D536" s="36">
        <v>671760</v>
      </c>
      <c r="E536" s="65">
        <v>2214959</v>
      </c>
      <c r="F536" s="57"/>
      <c r="G536" s="57"/>
      <c r="H536" s="65"/>
      <c r="I536" s="64"/>
      <c r="J536" s="65"/>
      <c r="K536" s="64"/>
    </row>
    <row r="537" spans="1:11" x14ac:dyDescent="0.2">
      <c r="A537">
        <v>2020</v>
      </c>
      <c r="B537" s="34">
        <v>813</v>
      </c>
      <c r="C537" s="34" t="s">
        <v>684</v>
      </c>
      <c r="D537" s="36">
        <v>842573</v>
      </c>
      <c r="E537" s="65">
        <v>3648695</v>
      </c>
      <c r="F537" s="57"/>
      <c r="G537" s="57"/>
      <c r="H537" s="66"/>
      <c r="I537" s="66"/>
    </row>
    <row r="539" spans="1:11" x14ac:dyDescent="0.2">
      <c r="D539" s="36">
        <f>SUM(D2:D537)</f>
        <v>123440288</v>
      </c>
      <c r="E539" s="36">
        <f>SUM(E2:E537)</f>
        <v>723970206</v>
      </c>
    </row>
    <row r="541" spans="1:11" x14ac:dyDescent="0.2">
      <c r="D541" s="36">
        <v>123440288</v>
      </c>
      <c r="E541" s="34">
        <v>723970206</v>
      </c>
    </row>
    <row r="543" spans="1:11" x14ac:dyDescent="0.2">
      <c r="C543" s="61" t="s">
        <v>685</v>
      </c>
      <c r="D543" s="67">
        <f>D539-D541</f>
        <v>0</v>
      </c>
      <c r="E543" s="67">
        <f>E539-E541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A9DC-58BD-B640-970B-CC1B2DA0EA88}">
  <sheetPr>
    <tabColor rgb="FFFFFF00"/>
  </sheetPr>
  <dimension ref="A1:O542"/>
  <sheetViews>
    <sheetView topLeftCell="B512" workbookViewId="0">
      <selection activeCell="E536" sqref="E2:E536"/>
    </sheetView>
  </sheetViews>
  <sheetFormatPr baseColWidth="10" defaultRowHeight="16" x14ac:dyDescent="0.2"/>
  <cols>
    <col min="2" max="2" width="10.83203125" style="34"/>
    <col min="3" max="3" width="35.1640625" style="34" bestFit="1" customWidth="1"/>
    <col min="4" max="4" width="19.83203125" style="34" bestFit="1" customWidth="1"/>
    <col min="5" max="5" width="11.1640625" style="34" bestFit="1" customWidth="1"/>
  </cols>
  <sheetData>
    <row r="1" spans="1:15" x14ac:dyDescent="0.2">
      <c r="A1" t="s">
        <v>729</v>
      </c>
      <c r="B1" s="33" t="s">
        <v>521</v>
      </c>
      <c r="C1" s="39" t="s">
        <v>522</v>
      </c>
      <c r="D1" s="63" t="s">
        <v>523</v>
      </c>
    </row>
    <row r="2" spans="1:15" x14ac:dyDescent="0.2">
      <c r="A2">
        <v>2021</v>
      </c>
      <c r="B2" s="34">
        <v>1</v>
      </c>
      <c r="C2" s="34" t="s">
        <v>0</v>
      </c>
      <c r="D2" s="36">
        <v>30013</v>
      </c>
      <c r="E2" s="36">
        <v>174971</v>
      </c>
      <c r="F2" s="57"/>
      <c r="G2" s="57"/>
      <c r="H2" s="5"/>
      <c r="I2" s="57"/>
      <c r="J2" s="5"/>
      <c r="K2" s="64"/>
      <c r="L2" s="5"/>
      <c r="M2" s="57"/>
      <c r="N2" s="5"/>
      <c r="O2" s="64"/>
    </row>
    <row r="3" spans="1:15" x14ac:dyDescent="0.2">
      <c r="A3">
        <v>2021</v>
      </c>
      <c r="B3" s="34">
        <v>2</v>
      </c>
      <c r="C3" s="34" t="s">
        <v>1</v>
      </c>
      <c r="D3" s="36">
        <v>20956</v>
      </c>
      <c r="E3" s="36">
        <v>174180</v>
      </c>
      <c r="F3" s="57"/>
      <c r="G3" s="57"/>
      <c r="H3" s="11"/>
      <c r="I3" s="65"/>
      <c r="J3" s="11"/>
      <c r="K3" s="64"/>
      <c r="L3" s="11"/>
      <c r="M3" s="65"/>
      <c r="N3" s="11"/>
      <c r="O3" s="64"/>
    </row>
    <row r="4" spans="1:15" x14ac:dyDescent="0.2">
      <c r="A4">
        <v>2021</v>
      </c>
      <c r="B4" s="34">
        <v>3</v>
      </c>
      <c r="C4" s="34" t="s">
        <v>2</v>
      </c>
      <c r="D4" s="36">
        <v>314070</v>
      </c>
      <c r="E4" s="36">
        <v>1859047</v>
      </c>
      <c r="F4" s="57"/>
      <c r="G4" s="57"/>
      <c r="H4" s="11"/>
      <c r="I4" s="65"/>
      <c r="J4" s="11"/>
      <c r="K4" s="64"/>
      <c r="L4" s="11"/>
      <c r="M4" s="65"/>
      <c r="N4" s="11"/>
      <c r="O4" s="64"/>
    </row>
    <row r="5" spans="1:15" x14ac:dyDescent="0.2">
      <c r="A5">
        <v>2021</v>
      </c>
      <c r="B5" s="34">
        <v>4</v>
      </c>
      <c r="C5" s="34" t="s">
        <v>3</v>
      </c>
      <c r="D5" s="36">
        <v>210270</v>
      </c>
      <c r="E5" s="36">
        <v>1492172</v>
      </c>
      <c r="F5" s="57"/>
      <c r="G5" s="57"/>
      <c r="H5" s="11"/>
      <c r="I5" s="65"/>
      <c r="J5" s="11"/>
      <c r="K5" s="64"/>
      <c r="L5" s="11"/>
      <c r="M5" s="65"/>
      <c r="N5" s="11"/>
      <c r="O5" s="64"/>
    </row>
    <row r="6" spans="1:15" x14ac:dyDescent="0.2">
      <c r="A6">
        <v>2021</v>
      </c>
      <c r="B6" s="34">
        <v>5</v>
      </c>
      <c r="C6" s="34" t="s">
        <v>4</v>
      </c>
      <c r="D6" s="36">
        <v>37537</v>
      </c>
      <c r="E6" s="36">
        <v>299902</v>
      </c>
      <c r="F6" s="57"/>
      <c r="G6" s="57"/>
      <c r="H6" s="11"/>
      <c r="I6" s="65"/>
      <c r="J6" s="11"/>
      <c r="K6" s="64"/>
      <c r="L6" s="11"/>
      <c r="M6" s="65"/>
      <c r="N6" s="11"/>
      <c r="O6" s="64"/>
    </row>
    <row r="7" spans="1:15" x14ac:dyDescent="0.2">
      <c r="A7">
        <v>2021</v>
      </c>
      <c r="B7" s="34">
        <v>6</v>
      </c>
      <c r="C7" s="34" t="s">
        <v>5</v>
      </c>
      <c r="D7" s="36">
        <v>22356</v>
      </c>
      <c r="E7" s="36">
        <v>117751</v>
      </c>
      <c r="F7" s="57"/>
      <c r="G7" s="57"/>
      <c r="H7" s="11"/>
      <c r="I7" s="65"/>
      <c r="J7" s="11"/>
      <c r="K7" s="64"/>
      <c r="L7" s="11"/>
      <c r="M7" s="65"/>
      <c r="N7" s="11"/>
      <c r="O7" s="64"/>
    </row>
    <row r="8" spans="1:15" x14ac:dyDescent="0.2">
      <c r="A8">
        <v>2021</v>
      </c>
      <c r="B8" s="34">
        <v>8</v>
      </c>
      <c r="C8" s="34" t="s">
        <v>6</v>
      </c>
      <c r="D8" s="36">
        <v>45189</v>
      </c>
      <c r="E8" s="36">
        <v>344596</v>
      </c>
      <c r="F8" s="57"/>
      <c r="G8" s="57"/>
      <c r="H8" s="11"/>
      <c r="I8" s="65"/>
      <c r="J8" s="11"/>
      <c r="K8" s="64"/>
      <c r="L8" s="11"/>
      <c r="M8" s="65"/>
      <c r="N8" s="11"/>
      <c r="O8" s="64"/>
    </row>
    <row r="9" spans="1:15" x14ac:dyDescent="0.2">
      <c r="A9">
        <v>2021</v>
      </c>
      <c r="B9" s="34">
        <v>9</v>
      </c>
      <c r="C9" s="34" t="s">
        <v>7</v>
      </c>
      <c r="D9" s="36">
        <v>36988</v>
      </c>
      <c r="E9" s="36">
        <v>275102</v>
      </c>
      <c r="F9" s="57"/>
      <c r="G9" s="57"/>
      <c r="H9" s="11"/>
      <c r="I9" s="65"/>
      <c r="J9" s="11"/>
      <c r="K9" s="64"/>
      <c r="L9" s="11"/>
      <c r="M9" s="65"/>
      <c r="N9" s="11"/>
      <c r="O9" s="64"/>
    </row>
    <row r="10" spans="1:15" x14ac:dyDescent="0.2">
      <c r="A10">
        <v>2021</v>
      </c>
      <c r="B10" s="34">
        <v>10</v>
      </c>
      <c r="C10" s="34" t="s">
        <v>8</v>
      </c>
      <c r="D10" s="36">
        <v>8845</v>
      </c>
      <c r="E10" s="36">
        <v>154570</v>
      </c>
      <c r="F10" s="57"/>
      <c r="G10" s="57"/>
      <c r="H10" s="11"/>
      <c r="I10" s="65"/>
      <c r="J10" s="11"/>
      <c r="K10" s="64"/>
      <c r="L10" s="11"/>
      <c r="M10" s="65"/>
      <c r="N10" s="11"/>
      <c r="O10" s="64"/>
    </row>
    <row r="11" spans="1:15" x14ac:dyDescent="0.2">
      <c r="A11">
        <v>2021</v>
      </c>
      <c r="B11" s="34">
        <v>12</v>
      </c>
      <c r="C11" s="34" t="s">
        <v>9</v>
      </c>
      <c r="D11" s="36">
        <v>65695</v>
      </c>
      <c r="E11" s="36">
        <v>406109</v>
      </c>
      <c r="F11" s="57"/>
      <c r="G11" s="57"/>
      <c r="H11" s="11"/>
      <c r="I11" s="65"/>
      <c r="J11" s="11"/>
      <c r="K11" s="64"/>
      <c r="L11" s="11"/>
      <c r="M11" s="65"/>
      <c r="N11" s="11"/>
      <c r="O11" s="64"/>
    </row>
    <row r="12" spans="1:15" x14ac:dyDescent="0.2">
      <c r="A12">
        <v>2021</v>
      </c>
      <c r="B12" s="34">
        <v>14</v>
      </c>
      <c r="C12" s="34" t="s">
        <v>10</v>
      </c>
      <c r="D12" s="36">
        <v>40174</v>
      </c>
      <c r="E12" s="36">
        <v>285003</v>
      </c>
      <c r="F12" s="57"/>
      <c r="G12" s="57"/>
      <c r="H12" s="11"/>
      <c r="I12" s="65"/>
      <c r="J12" s="11"/>
      <c r="K12" s="64"/>
      <c r="L12" s="11"/>
      <c r="M12" s="65"/>
      <c r="N12" s="11"/>
      <c r="O12" s="64"/>
    </row>
    <row r="13" spans="1:15" x14ac:dyDescent="0.2">
      <c r="A13">
        <v>2021</v>
      </c>
      <c r="B13" s="34">
        <v>15</v>
      </c>
      <c r="C13" s="34" t="s">
        <v>11</v>
      </c>
      <c r="D13" s="36">
        <v>329290</v>
      </c>
      <c r="E13" s="36">
        <v>1802571</v>
      </c>
      <c r="F13" s="57"/>
      <c r="G13" s="57"/>
      <c r="H13" s="11"/>
      <c r="I13" s="65"/>
      <c r="J13" s="11"/>
      <c r="K13" s="64"/>
      <c r="L13" s="11"/>
      <c r="M13" s="65"/>
      <c r="N13" s="11"/>
      <c r="O13" s="64"/>
    </row>
    <row r="14" spans="1:15" x14ac:dyDescent="0.2">
      <c r="A14">
        <v>2021</v>
      </c>
      <c r="B14" s="34">
        <v>19</v>
      </c>
      <c r="C14" s="34" t="s">
        <v>540</v>
      </c>
      <c r="D14" s="36">
        <v>306716</v>
      </c>
      <c r="E14" s="36">
        <v>2050405</v>
      </c>
      <c r="F14" s="57"/>
      <c r="G14" s="57"/>
      <c r="H14" s="11"/>
      <c r="I14" s="65"/>
      <c r="J14" s="11"/>
      <c r="K14" s="64"/>
      <c r="L14" s="11"/>
      <c r="M14" s="65"/>
      <c r="N14" s="11"/>
      <c r="O14" s="64"/>
    </row>
    <row r="15" spans="1:15" x14ac:dyDescent="0.2">
      <c r="A15">
        <v>2021</v>
      </c>
      <c r="B15" s="34">
        <v>20</v>
      </c>
      <c r="C15" s="34" t="s">
        <v>13</v>
      </c>
      <c r="D15" s="36">
        <v>70643</v>
      </c>
      <c r="E15" s="36">
        <v>419271</v>
      </c>
      <c r="F15" s="57"/>
      <c r="G15" s="57"/>
      <c r="H15" s="11"/>
      <c r="I15" s="65"/>
      <c r="J15" s="11"/>
      <c r="K15" s="64"/>
      <c r="L15" s="11"/>
      <c r="M15" s="65"/>
      <c r="N15" s="11"/>
      <c r="O15" s="64"/>
    </row>
    <row r="16" spans="1:15" x14ac:dyDescent="0.2">
      <c r="A16">
        <v>2021</v>
      </c>
      <c r="B16" s="34">
        <v>21</v>
      </c>
      <c r="C16" s="34" t="s">
        <v>14</v>
      </c>
      <c r="D16" s="36">
        <v>53197</v>
      </c>
      <c r="E16" s="36">
        <v>259230</v>
      </c>
      <c r="F16" s="57"/>
      <c r="G16" s="57"/>
      <c r="H16" s="11"/>
      <c r="I16" s="65"/>
      <c r="J16" s="11"/>
      <c r="K16" s="64"/>
      <c r="L16" s="11"/>
      <c r="M16" s="65"/>
      <c r="N16" s="11"/>
      <c r="O16" s="64"/>
    </row>
    <row r="17" spans="1:15" x14ac:dyDescent="0.2">
      <c r="A17">
        <v>2021</v>
      </c>
      <c r="B17" s="34">
        <v>22</v>
      </c>
      <c r="C17" s="34" t="s">
        <v>15</v>
      </c>
      <c r="D17" s="36">
        <v>233766</v>
      </c>
      <c r="E17" s="36">
        <v>1327944</v>
      </c>
      <c r="F17" s="57"/>
      <c r="G17" s="57"/>
      <c r="H17" s="11"/>
      <c r="I17" s="65"/>
      <c r="J17" s="11"/>
      <c r="K17" s="64"/>
      <c r="L17" s="11"/>
      <c r="M17" s="65"/>
      <c r="N17" s="11"/>
      <c r="O17" s="64"/>
    </row>
    <row r="18" spans="1:15" x14ac:dyDescent="0.2">
      <c r="A18">
        <v>2021</v>
      </c>
      <c r="B18" s="34">
        <v>23</v>
      </c>
      <c r="C18" s="34" t="s">
        <v>16</v>
      </c>
      <c r="D18" s="36">
        <v>87963</v>
      </c>
      <c r="E18" s="36">
        <v>485574</v>
      </c>
      <c r="F18" s="57"/>
      <c r="G18" s="57"/>
      <c r="H18" s="11"/>
      <c r="I18" s="65"/>
      <c r="J18" s="11"/>
      <c r="K18" s="64"/>
      <c r="L18" s="11"/>
      <c r="M18" s="65"/>
      <c r="N18" s="11"/>
      <c r="O18" s="64"/>
    </row>
    <row r="19" spans="1:15" x14ac:dyDescent="0.2">
      <c r="A19">
        <v>2021</v>
      </c>
      <c r="B19" s="34">
        <v>24</v>
      </c>
      <c r="C19" s="34" t="s">
        <v>17</v>
      </c>
      <c r="D19" s="36">
        <v>45542</v>
      </c>
      <c r="E19" s="36">
        <v>213692</v>
      </c>
      <c r="F19" s="57"/>
      <c r="G19" s="57"/>
      <c r="H19" s="11"/>
      <c r="I19" s="65"/>
      <c r="J19" s="11"/>
      <c r="K19" s="64"/>
      <c r="L19" s="11"/>
      <c r="M19" s="65"/>
      <c r="N19" s="11"/>
      <c r="O19" s="64"/>
    </row>
    <row r="20" spans="1:15" x14ac:dyDescent="0.2">
      <c r="A20">
        <v>2021</v>
      </c>
      <c r="B20" s="34">
        <v>28</v>
      </c>
      <c r="C20" s="34" t="s">
        <v>18</v>
      </c>
      <c r="D20" s="36">
        <v>52530</v>
      </c>
      <c r="E20" s="36">
        <v>210864</v>
      </c>
      <c r="F20" s="57"/>
      <c r="G20" s="57"/>
      <c r="H20" s="11"/>
      <c r="I20" s="65"/>
      <c r="J20" s="11"/>
      <c r="K20" s="64"/>
      <c r="L20" s="11"/>
      <c r="M20" s="65"/>
      <c r="N20" s="11"/>
      <c r="O20" s="64"/>
    </row>
    <row r="21" spans="1:15" x14ac:dyDescent="0.2">
      <c r="A21">
        <v>2021</v>
      </c>
      <c r="B21" s="34">
        <v>31</v>
      </c>
      <c r="C21" s="34" t="s">
        <v>541</v>
      </c>
      <c r="D21" s="36">
        <v>127700</v>
      </c>
      <c r="E21" s="36">
        <v>952324</v>
      </c>
      <c r="F21" s="57"/>
      <c r="G21" s="57"/>
      <c r="H21" s="11"/>
      <c r="I21" s="65"/>
      <c r="J21" s="11"/>
      <c r="K21" s="64"/>
      <c r="L21" s="11"/>
      <c r="M21" s="65"/>
      <c r="N21" s="11"/>
      <c r="O21" s="64"/>
    </row>
    <row r="22" spans="1:15" x14ac:dyDescent="0.2">
      <c r="A22">
        <v>2021</v>
      </c>
      <c r="B22" s="34">
        <v>32</v>
      </c>
      <c r="C22" s="34" t="s">
        <v>542</v>
      </c>
      <c r="D22" s="36">
        <v>34142</v>
      </c>
      <c r="E22" s="36">
        <v>227675</v>
      </c>
      <c r="F22" s="57"/>
      <c r="G22" s="57"/>
      <c r="H22" s="11"/>
      <c r="I22" s="65"/>
      <c r="J22" s="11"/>
      <c r="K22" s="64"/>
      <c r="L22" s="11"/>
      <c r="M22" s="65"/>
      <c r="N22" s="11"/>
      <c r="O22" s="64"/>
    </row>
    <row r="23" spans="1:15" x14ac:dyDescent="0.2">
      <c r="A23">
        <v>2021</v>
      </c>
      <c r="B23" s="34">
        <v>33</v>
      </c>
      <c r="C23" s="34" t="s">
        <v>21</v>
      </c>
      <c r="D23" s="36">
        <v>29468</v>
      </c>
      <c r="E23" s="36">
        <v>141196</v>
      </c>
      <c r="F23" s="57"/>
      <c r="G23" s="57"/>
      <c r="H23" s="11"/>
      <c r="I23" s="65"/>
      <c r="J23" s="11"/>
      <c r="K23" s="64"/>
      <c r="L23" s="11"/>
      <c r="M23" s="65"/>
      <c r="N23" s="11"/>
      <c r="O23" s="64"/>
    </row>
    <row r="24" spans="1:15" x14ac:dyDescent="0.2">
      <c r="A24">
        <v>2021</v>
      </c>
      <c r="B24" s="34">
        <v>34</v>
      </c>
      <c r="C24" s="34" t="s">
        <v>22</v>
      </c>
      <c r="D24" s="36">
        <v>23289</v>
      </c>
      <c r="E24" s="36">
        <v>154188</v>
      </c>
      <c r="F24" s="57"/>
      <c r="G24" s="57"/>
      <c r="H24" s="11"/>
      <c r="I24" s="65"/>
      <c r="J24" s="11"/>
      <c r="K24" s="64"/>
      <c r="L24" s="11"/>
      <c r="M24" s="65"/>
      <c r="N24" s="11"/>
      <c r="O24" s="64"/>
    </row>
    <row r="25" spans="1:15" x14ac:dyDescent="0.2">
      <c r="A25">
        <v>2021</v>
      </c>
      <c r="B25" s="34">
        <v>35</v>
      </c>
      <c r="C25" s="34" t="s">
        <v>543</v>
      </c>
      <c r="D25" s="36">
        <v>17892</v>
      </c>
      <c r="E25" s="36">
        <v>103582</v>
      </c>
      <c r="F25" s="57"/>
      <c r="G25" s="57"/>
      <c r="H25" s="11"/>
      <c r="I25" s="65"/>
      <c r="J25" s="11"/>
      <c r="K25" s="64"/>
      <c r="L25" s="11"/>
      <c r="M25" s="65"/>
      <c r="N25" s="11"/>
      <c r="O25" s="64"/>
    </row>
    <row r="26" spans="1:15" x14ac:dyDescent="0.2">
      <c r="A26">
        <v>2021</v>
      </c>
      <c r="B26" s="34">
        <v>36</v>
      </c>
      <c r="C26" s="34" t="s">
        <v>24</v>
      </c>
      <c r="D26" s="36">
        <v>57632</v>
      </c>
      <c r="E26" s="36">
        <v>487476</v>
      </c>
      <c r="F26" s="57"/>
      <c r="G26" s="57"/>
      <c r="H26" s="11"/>
      <c r="I26" s="65"/>
      <c r="J26" s="11"/>
      <c r="K26" s="64"/>
      <c r="L26" s="11"/>
      <c r="M26" s="65"/>
      <c r="N26" s="11"/>
      <c r="O26" s="64"/>
    </row>
    <row r="27" spans="1:15" x14ac:dyDescent="0.2">
      <c r="A27">
        <v>2021</v>
      </c>
      <c r="B27" s="34">
        <v>37</v>
      </c>
      <c r="C27" s="34" t="s">
        <v>25</v>
      </c>
      <c r="D27" s="36">
        <v>32132</v>
      </c>
      <c r="E27" s="36">
        <v>237864</v>
      </c>
      <c r="F27" s="57"/>
      <c r="G27" s="57"/>
      <c r="H27" s="11"/>
      <c r="I27" s="65"/>
      <c r="J27" s="11"/>
      <c r="K27" s="64"/>
      <c r="L27" s="11"/>
      <c r="M27" s="65"/>
      <c r="N27" s="11"/>
      <c r="O27" s="64"/>
    </row>
    <row r="28" spans="1:15" x14ac:dyDescent="0.2">
      <c r="A28">
        <v>2021</v>
      </c>
      <c r="B28" s="34">
        <v>38</v>
      </c>
      <c r="C28" s="34" t="s">
        <v>26</v>
      </c>
      <c r="D28" s="36">
        <v>106295</v>
      </c>
      <c r="E28" s="36">
        <v>709893</v>
      </c>
      <c r="F28" s="57"/>
      <c r="G28" s="57"/>
      <c r="H28" s="11"/>
      <c r="I28" s="65"/>
      <c r="J28" s="11"/>
      <c r="K28" s="64"/>
      <c r="L28" s="11"/>
      <c r="M28" s="65"/>
      <c r="N28" s="11"/>
      <c r="O28" s="64"/>
    </row>
    <row r="29" spans="1:15" x14ac:dyDescent="0.2">
      <c r="A29">
        <v>2021</v>
      </c>
      <c r="B29" s="34">
        <v>39</v>
      </c>
      <c r="C29" s="34" t="s">
        <v>27</v>
      </c>
      <c r="D29" s="36">
        <v>19619</v>
      </c>
      <c r="E29" s="36">
        <v>116238</v>
      </c>
      <c r="F29" s="57"/>
      <c r="G29" s="57"/>
      <c r="H29" s="11"/>
      <c r="I29" s="65"/>
      <c r="J29" s="11"/>
      <c r="K29" s="64"/>
      <c r="L29" s="11"/>
      <c r="M29" s="65"/>
      <c r="N29" s="11"/>
      <c r="O29" s="64"/>
    </row>
    <row r="30" spans="1:15" x14ac:dyDescent="0.2">
      <c r="A30">
        <v>2021</v>
      </c>
      <c r="B30" s="34">
        <v>40</v>
      </c>
      <c r="C30" s="34" t="s">
        <v>28</v>
      </c>
      <c r="D30" s="36">
        <v>6170</v>
      </c>
      <c r="E30" s="36">
        <v>36365</v>
      </c>
      <c r="F30" s="57"/>
      <c r="G30" s="57"/>
      <c r="H30" s="11"/>
      <c r="I30" s="65"/>
      <c r="J30" s="11"/>
      <c r="K30" s="64"/>
      <c r="L30" s="11"/>
      <c r="M30" s="65"/>
      <c r="N30" s="11"/>
      <c r="O30" s="64"/>
    </row>
    <row r="31" spans="1:15" x14ac:dyDescent="0.2">
      <c r="A31">
        <v>2021</v>
      </c>
      <c r="B31" s="34">
        <v>41</v>
      </c>
      <c r="C31" s="34" t="s">
        <v>544</v>
      </c>
      <c r="D31" s="36">
        <v>71575</v>
      </c>
      <c r="E31" s="36">
        <v>464992</v>
      </c>
      <c r="F31" s="57"/>
      <c r="G31" s="57"/>
      <c r="H31" s="11"/>
      <c r="I31" s="65"/>
      <c r="J31" s="11"/>
      <c r="K31" s="64"/>
      <c r="L31" s="11"/>
      <c r="M31" s="65"/>
      <c r="N31" s="11"/>
      <c r="O31" s="64"/>
    </row>
    <row r="32" spans="1:15" x14ac:dyDescent="0.2">
      <c r="A32">
        <v>2021</v>
      </c>
      <c r="B32" s="34">
        <v>42</v>
      </c>
      <c r="C32" s="34" t="s">
        <v>545</v>
      </c>
      <c r="D32" s="36">
        <v>50191</v>
      </c>
      <c r="E32" s="36">
        <v>351226</v>
      </c>
      <c r="F32" s="57"/>
      <c r="G32" s="57"/>
      <c r="H32" s="11"/>
      <c r="I32" s="65"/>
      <c r="J32" s="11"/>
      <c r="K32" s="64"/>
      <c r="L32" s="11"/>
      <c r="M32" s="65"/>
      <c r="N32" s="11"/>
      <c r="O32" s="64"/>
    </row>
    <row r="33" spans="1:15" x14ac:dyDescent="0.2">
      <c r="A33">
        <v>2021</v>
      </c>
      <c r="B33" s="34">
        <v>43</v>
      </c>
      <c r="C33" s="34" t="s">
        <v>31</v>
      </c>
      <c r="D33" s="36">
        <v>158397</v>
      </c>
      <c r="E33" s="36">
        <v>831416</v>
      </c>
      <c r="F33" s="57"/>
      <c r="G33" s="57"/>
      <c r="H33" s="11"/>
      <c r="I33" s="65"/>
      <c r="J33" s="11"/>
      <c r="K33" s="64"/>
      <c r="L33" s="11"/>
      <c r="M33" s="65"/>
      <c r="N33" s="11"/>
      <c r="O33" s="64"/>
    </row>
    <row r="34" spans="1:15" x14ac:dyDescent="0.2">
      <c r="A34">
        <v>2021</v>
      </c>
      <c r="B34" s="34">
        <v>46</v>
      </c>
      <c r="C34" s="34" t="s">
        <v>32</v>
      </c>
      <c r="D34" s="36">
        <v>55226</v>
      </c>
      <c r="E34" s="36">
        <v>318663</v>
      </c>
      <c r="F34" s="57"/>
      <c r="G34" s="57"/>
      <c r="H34" s="11"/>
      <c r="I34" s="65"/>
      <c r="J34" s="11"/>
      <c r="K34" s="64"/>
      <c r="L34" s="11"/>
      <c r="M34" s="65"/>
      <c r="N34" s="11"/>
      <c r="O34" s="64"/>
    </row>
    <row r="35" spans="1:15" x14ac:dyDescent="0.2">
      <c r="A35">
        <v>2021</v>
      </c>
      <c r="B35" s="34">
        <v>47</v>
      </c>
      <c r="C35" s="34" t="s">
        <v>33</v>
      </c>
      <c r="D35" s="36">
        <v>17118</v>
      </c>
      <c r="E35" s="36">
        <v>132295</v>
      </c>
      <c r="F35" s="57"/>
      <c r="G35" s="57"/>
      <c r="H35" s="11"/>
      <c r="I35" s="65"/>
      <c r="J35" s="11"/>
      <c r="K35" s="64"/>
      <c r="L35" s="11"/>
      <c r="M35" s="65"/>
      <c r="N35" s="11"/>
      <c r="O35" s="64"/>
    </row>
    <row r="36" spans="1:15" x14ac:dyDescent="0.2">
      <c r="A36">
        <v>2021</v>
      </c>
      <c r="B36" s="34">
        <v>48</v>
      </c>
      <c r="C36" s="34" t="s">
        <v>34</v>
      </c>
      <c r="D36" s="36">
        <v>87832</v>
      </c>
      <c r="E36" s="36">
        <v>584824</v>
      </c>
      <c r="F36" s="57"/>
      <c r="G36" s="57"/>
      <c r="H36" s="11"/>
      <c r="I36" s="65"/>
      <c r="J36" s="11"/>
      <c r="K36" s="64"/>
      <c r="L36" s="11"/>
      <c r="M36" s="65"/>
      <c r="N36" s="11"/>
      <c r="O36" s="64"/>
    </row>
    <row r="37" spans="1:15" x14ac:dyDescent="0.2">
      <c r="A37">
        <v>2021</v>
      </c>
      <c r="B37" s="34">
        <v>49</v>
      </c>
      <c r="C37" s="34" t="s">
        <v>35</v>
      </c>
      <c r="D37" s="36">
        <v>25318</v>
      </c>
      <c r="E37" s="36">
        <v>118106</v>
      </c>
      <c r="F37" s="57"/>
      <c r="G37" s="57"/>
      <c r="H37" s="11"/>
      <c r="I37" s="65"/>
      <c r="J37" s="11"/>
      <c r="K37" s="64"/>
      <c r="L37" s="11"/>
      <c r="M37" s="65"/>
      <c r="N37" s="11"/>
      <c r="O37" s="64"/>
    </row>
    <row r="38" spans="1:15" x14ac:dyDescent="0.2">
      <c r="A38">
        <v>2021</v>
      </c>
      <c r="B38" s="34">
        <v>50</v>
      </c>
      <c r="C38" s="34" t="s">
        <v>36</v>
      </c>
      <c r="D38" s="36">
        <v>157707</v>
      </c>
      <c r="E38" s="36">
        <v>1350300</v>
      </c>
      <c r="F38" s="57"/>
      <c r="G38" s="57"/>
      <c r="H38" s="11"/>
      <c r="I38" s="65"/>
      <c r="J38" s="11"/>
      <c r="K38" s="64"/>
      <c r="L38" s="11"/>
      <c r="M38" s="65"/>
      <c r="N38" s="11"/>
      <c r="O38" s="64"/>
    </row>
    <row r="39" spans="1:15" x14ac:dyDescent="0.2">
      <c r="A39">
        <v>2021</v>
      </c>
      <c r="B39" s="34">
        <v>52</v>
      </c>
      <c r="C39" s="34" t="s">
        <v>37</v>
      </c>
      <c r="D39" s="36">
        <v>140998</v>
      </c>
      <c r="E39" s="36">
        <v>952640</v>
      </c>
      <c r="F39" s="57"/>
      <c r="G39" s="57"/>
      <c r="H39" s="11"/>
      <c r="I39" s="65"/>
      <c r="J39" s="11"/>
      <c r="K39" s="64"/>
      <c r="L39" s="11"/>
      <c r="M39" s="65"/>
      <c r="N39" s="11"/>
      <c r="O39" s="64"/>
    </row>
    <row r="40" spans="1:15" x14ac:dyDescent="0.2">
      <c r="A40">
        <v>2021</v>
      </c>
      <c r="B40" s="34">
        <v>53</v>
      </c>
      <c r="C40" s="34" t="s">
        <v>38</v>
      </c>
      <c r="D40" s="36">
        <v>56038</v>
      </c>
      <c r="E40" s="36">
        <v>303517</v>
      </c>
      <c r="F40" s="57"/>
      <c r="G40" s="57"/>
      <c r="H40" s="11"/>
      <c r="I40" s="65"/>
      <c r="J40" s="11"/>
      <c r="K40" s="64"/>
      <c r="L40" s="11"/>
      <c r="M40" s="65"/>
      <c r="N40" s="11"/>
      <c r="O40" s="64"/>
    </row>
    <row r="41" spans="1:15" x14ac:dyDescent="0.2">
      <c r="A41">
        <v>2021</v>
      </c>
      <c r="B41" s="34">
        <v>54</v>
      </c>
      <c r="C41" s="34" t="s">
        <v>39</v>
      </c>
      <c r="D41" s="36">
        <v>85530</v>
      </c>
      <c r="E41" s="36">
        <v>889728</v>
      </c>
      <c r="F41" s="57"/>
      <c r="G41" s="57"/>
      <c r="H41" s="11"/>
      <c r="I41" s="65"/>
      <c r="J41" s="11"/>
      <c r="K41" s="64"/>
      <c r="L41" s="11"/>
      <c r="M41" s="65"/>
      <c r="N41" s="11"/>
      <c r="O41" s="64"/>
    </row>
    <row r="42" spans="1:15" x14ac:dyDescent="0.2">
      <c r="A42">
        <v>2021</v>
      </c>
      <c r="B42" s="34">
        <v>55</v>
      </c>
      <c r="C42" s="34" t="s">
        <v>40</v>
      </c>
      <c r="D42" s="36">
        <v>46697</v>
      </c>
      <c r="E42" s="36">
        <v>407021</v>
      </c>
      <c r="F42" s="57"/>
      <c r="G42" s="57"/>
      <c r="H42" s="11"/>
      <c r="I42" s="65"/>
      <c r="J42" s="11"/>
      <c r="K42" s="64"/>
      <c r="L42" s="11"/>
      <c r="M42" s="65"/>
      <c r="N42" s="11"/>
      <c r="O42" s="64"/>
    </row>
    <row r="43" spans="1:15" x14ac:dyDescent="0.2">
      <c r="A43">
        <v>2021</v>
      </c>
      <c r="B43" s="34">
        <v>57</v>
      </c>
      <c r="C43" s="34" t="s">
        <v>41</v>
      </c>
      <c r="D43" s="36">
        <v>3128429</v>
      </c>
      <c r="E43" s="36">
        <v>17396935</v>
      </c>
      <c r="F43" s="57"/>
      <c r="G43" s="57"/>
      <c r="H43" s="11"/>
      <c r="I43" s="65"/>
      <c r="J43" s="11"/>
      <c r="K43" s="64"/>
      <c r="L43" s="11"/>
      <c r="M43" s="65"/>
      <c r="N43" s="11"/>
      <c r="O43" s="64"/>
    </row>
    <row r="44" spans="1:15" x14ac:dyDescent="0.2">
      <c r="A44">
        <v>2021</v>
      </c>
      <c r="B44" s="34">
        <v>63</v>
      </c>
      <c r="C44" s="34" t="s">
        <v>42</v>
      </c>
      <c r="D44" s="36">
        <v>50304</v>
      </c>
      <c r="E44" s="36">
        <v>253877</v>
      </c>
      <c r="F44" s="57"/>
      <c r="G44" s="57"/>
      <c r="H44" s="11"/>
      <c r="I44" s="65"/>
      <c r="J44" s="11"/>
      <c r="K44" s="64"/>
      <c r="L44" s="11"/>
      <c r="M44" s="65"/>
      <c r="N44" s="11"/>
      <c r="O44" s="64"/>
    </row>
    <row r="45" spans="1:15" x14ac:dyDescent="0.2">
      <c r="A45">
        <v>2021</v>
      </c>
      <c r="B45" s="34">
        <v>64</v>
      </c>
      <c r="C45" s="34" t="s">
        <v>43</v>
      </c>
      <c r="D45" s="36">
        <v>61015</v>
      </c>
      <c r="E45" s="36">
        <v>545688</v>
      </c>
      <c r="F45" s="57"/>
      <c r="G45" s="57"/>
      <c r="H45" s="5"/>
      <c r="I45" s="65"/>
      <c r="J45" s="5"/>
      <c r="K45" s="64"/>
      <c r="L45" s="5"/>
      <c r="M45" s="65"/>
      <c r="N45" s="5"/>
      <c r="O45" s="64"/>
    </row>
    <row r="46" spans="1:15" x14ac:dyDescent="0.2">
      <c r="A46">
        <v>2021</v>
      </c>
      <c r="B46" s="34">
        <v>65</v>
      </c>
      <c r="C46" s="34" t="s">
        <v>44</v>
      </c>
      <c r="D46" s="36">
        <v>62183</v>
      </c>
      <c r="E46" s="36">
        <v>538441</v>
      </c>
      <c r="F46" s="57"/>
      <c r="G46" s="57"/>
      <c r="H46" s="65"/>
      <c r="I46" s="64"/>
      <c r="J46" s="65"/>
      <c r="K46" s="64"/>
    </row>
    <row r="47" spans="1:15" x14ac:dyDescent="0.2">
      <c r="A47">
        <v>2021</v>
      </c>
      <c r="B47" s="34">
        <v>66</v>
      </c>
      <c r="C47" s="34" t="s">
        <v>45</v>
      </c>
      <c r="D47" s="36">
        <v>1528193</v>
      </c>
      <c r="E47" s="36">
        <v>8361615</v>
      </c>
      <c r="F47" s="57"/>
      <c r="G47" s="57"/>
      <c r="H47" s="65"/>
      <c r="I47" s="64"/>
      <c r="J47" s="65"/>
      <c r="K47" s="64"/>
    </row>
    <row r="48" spans="1:15" x14ac:dyDescent="0.2">
      <c r="A48">
        <v>2021</v>
      </c>
      <c r="B48" s="34">
        <v>67</v>
      </c>
      <c r="C48" s="34" t="s">
        <v>546</v>
      </c>
      <c r="D48" s="36">
        <v>630172</v>
      </c>
      <c r="E48" s="36">
        <v>3494308</v>
      </c>
      <c r="F48" s="57"/>
      <c r="G48" s="57"/>
      <c r="H48" s="65"/>
      <c r="I48" s="64"/>
      <c r="J48" s="65"/>
      <c r="K48" s="64"/>
    </row>
    <row r="49" spans="1:11" x14ac:dyDescent="0.2">
      <c r="A49">
        <v>2021</v>
      </c>
      <c r="B49" s="34">
        <v>68</v>
      </c>
      <c r="C49" s="34" t="s">
        <v>47</v>
      </c>
      <c r="D49" s="36">
        <v>65763</v>
      </c>
      <c r="E49" s="36">
        <v>452212</v>
      </c>
      <c r="F49" s="57"/>
      <c r="G49" s="57"/>
      <c r="H49" s="65"/>
      <c r="I49" s="64"/>
      <c r="J49" s="65"/>
      <c r="K49" s="64"/>
    </row>
    <row r="50" spans="1:11" x14ac:dyDescent="0.2">
      <c r="A50">
        <v>2021</v>
      </c>
      <c r="B50" s="34">
        <v>69</v>
      </c>
      <c r="C50" s="34" t="s">
        <v>48</v>
      </c>
      <c r="D50" s="36">
        <v>97722</v>
      </c>
      <c r="E50" s="36">
        <v>626457</v>
      </c>
      <c r="F50" s="57"/>
      <c r="G50" s="57"/>
      <c r="H50" s="65"/>
      <c r="I50" s="64"/>
      <c r="J50" s="65"/>
      <c r="K50" s="64"/>
    </row>
    <row r="51" spans="1:11" x14ac:dyDescent="0.2">
      <c r="A51">
        <v>2021</v>
      </c>
      <c r="B51" s="34">
        <v>74</v>
      </c>
      <c r="C51" s="34" t="s">
        <v>49</v>
      </c>
      <c r="D51" s="36">
        <v>20863</v>
      </c>
      <c r="E51" s="36">
        <v>69921</v>
      </c>
      <c r="F51" s="57"/>
      <c r="G51" s="57"/>
      <c r="H51" s="65"/>
      <c r="I51" s="64"/>
      <c r="J51" s="65"/>
      <c r="K51" s="64"/>
    </row>
    <row r="52" spans="1:11" x14ac:dyDescent="0.2">
      <c r="A52">
        <v>2021</v>
      </c>
      <c r="B52" s="34">
        <v>75</v>
      </c>
      <c r="C52" s="34" t="s">
        <v>50</v>
      </c>
      <c r="D52" s="36">
        <v>61663</v>
      </c>
      <c r="E52" s="36">
        <v>538136</v>
      </c>
      <c r="F52" s="57"/>
      <c r="G52" s="57"/>
      <c r="H52" s="65"/>
      <c r="I52" s="64"/>
      <c r="J52" s="65"/>
      <c r="K52" s="64"/>
    </row>
    <row r="53" spans="1:11" x14ac:dyDescent="0.2">
      <c r="A53">
        <v>2021</v>
      </c>
      <c r="B53" s="34">
        <v>76</v>
      </c>
      <c r="C53" s="34" t="s">
        <v>51</v>
      </c>
      <c r="D53" s="36">
        <v>2571</v>
      </c>
      <c r="E53" s="36">
        <v>26422</v>
      </c>
      <c r="F53" s="57"/>
      <c r="G53" s="57"/>
      <c r="H53" s="65"/>
      <c r="I53" s="64"/>
      <c r="J53" s="65"/>
      <c r="K53" s="64"/>
    </row>
    <row r="54" spans="1:11" x14ac:dyDescent="0.2">
      <c r="A54">
        <v>2021</v>
      </c>
      <c r="B54" s="34">
        <v>77</v>
      </c>
      <c r="C54" s="34" t="s">
        <v>52</v>
      </c>
      <c r="D54" s="36">
        <v>11886</v>
      </c>
      <c r="E54" s="36">
        <v>57409</v>
      </c>
      <c r="F54" s="57"/>
      <c r="G54" s="57"/>
      <c r="H54" s="65"/>
      <c r="I54" s="64"/>
      <c r="J54" s="65"/>
      <c r="K54" s="64"/>
    </row>
    <row r="55" spans="1:11" x14ac:dyDescent="0.2">
      <c r="A55">
        <v>2021</v>
      </c>
      <c r="B55" s="34">
        <v>78</v>
      </c>
      <c r="C55" s="34" t="s">
        <v>53</v>
      </c>
      <c r="D55" s="36">
        <v>41611</v>
      </c>
      <c r="E55" s="36">
        <v>358195</v>
      </c>
      <c r="F55" s="57"/>
      <c r="G55" s="57"/>
      <c r="H55" s="65"/>
      <c r="I55" s="64"/>
      <c r="J55" s="65"/>
      <c r="K55" s="64"/>
    </row>
    <row r="56" spans="1:11" x14ac:dyDescent="0.2">
      <c r="A56">
        <v>2021</v>
      </c>
      <c r="B56" s="34">
        <v>79</v>
      </c>
      <c r="C56" s="34" t="s">
        <v>54</v>
      </c>
      <c r="D56" s="36">
        <v>6238</v>
      </c>
      <c r="E56" s="36">
        <v>35103</v>
      </c>
      <c r="F56" s="57"/>
      <c r="G56" s="57"/>
      <c r="H56" s="65"/>
      <c r="I56" s="64"/>
      <c r="J56" s="65"/>
      <c r="K56" s="64"/>
    </row>
    <row r="57" spans="1:11" x14ac:dyDescent="0.2">
      <c r="A57">
        <v>2021</v>
      </c>
      <c r="B57" s="34">
        <v>80</v>
      </c>
      <c r="C57" s="34" t="s">
        <v>55</v>
      </c>
      <c r="D57" s="36">
        <v>30874</v>
      </c>
      <c r="E57" s="36">
        <v>227191</v>
      </c>
      <c r="F57" s="57"/>
      <c r="G57" s="57"/>
      <c r="H57" s="65"/>
      <c r="I57" s="64"/>
      <c r="J57" s="65"/>
      <c r="K57" s="64"/>
    </row>
    <row r="58" spans="1:11" x14ac:dyDescent="0.2">
      <c r="A58">
        <v>2021</v>
      </c>
      <c r="B58" s="34">
        <v>82</v>
      </c>
      <c r="C58" s="34" t="s">
        <v>56</v>
      </c>
      <c r="D58" s="36">
        <v>3636</v>
      </c>
      <c r="E58" s="36">
        <v>39630</v>
      </c>
      <c r="F58" s="57"/>
      <c r="G58" s="57"/>
      <c r="H58" s="65"/>
      <c r="I58" s="64"/>
      <c r="J58" s="65"/>
      <c r="K58" s="64"/>
    </row>
    <row r="59" spans="1:11" x14ac:dyDescent="0.2">
      <c r="A59">
        <v>2021</v>
      </c>
      <c r="B59" s="34">
        <v>83</v>
      </c>
      <c r="C59" s="34" t="s">
        <v>547</v>
      </c>
      <c r="D59" s="36">
        <v>108900</v>
      </c>
      <c r="E59" s="36">
        <v>767232</v>
      </c>
      <c r="F59" s="57"/>
      <c r="G59" s="57"/>
      <c r="H59" s="65"/>
      <c r="I59" s="64"/>
      <c r="J59" s="65"/>
      <c r="K59" s="64"/>
    </row>
    <row r="60" spans="1:11" x14ac:dyDescent="0.2">
      <c r="A60">
        <v>2021</v>
      </c>
      <c r="B60" s="34">
        <v>84</v>
      </c>
      <c r="C60" s="34" t="s">
        <v>85</v>
      </c>
      <c r="D60" s="36">
        <v>123030</v>
      </c>
      <c r="E60" s="36">
        <v>689494</v>
      </c>
      <c r="F60" s="57"/>
      <c r="G60" s="57"/>
      <c r="H60" s="65"/>
      <c r="I60" s="64"/>
      <c r="J60" s="65"/>
      <c r="K60" s="64"/>
    </row>
    <row r="61" spans="1:11" x14ac:dyDescent="0.2">
      <c r="A61">
        <v>2021</v>
      </c>
      <c r="B61" s="34">
        <v>85</v>
      </c>
      <c r="C61" s="34" t="s">
        <v>58</v>
      </c>
      <c r="D61" s="36">
        <v>58485</v>
      </c>
      <c r="E61" s="36">
        <v>399310</v>
      </c>
      <c r="F61" s="57"/>
      <c r="G61" s="57"/>
      <c r="H61" s="65"/>
      <c r="I61" s="64"/>
      <c r="J61" s="65"/>
      <c r="K61" s="64"/>
    </row>
    <row r="62" spans="1:11" x14ac:dyDescent="0.2">
      <c r="A62">
        <v>2021</v>
      </c>
      <c r="B62" s="34">
        <v>86</v>
      </c>
      <c r="C62" s="34" t="s">
        <v>59</v>
      </c>
      <c r="D62" s="36">
        <v>321246</v>
      </c>
      <c r="E62" s="36">
        <v>1586141</v>
      </c>
      <c r="F62" s="57"/>
      <c r="G62" s="57"/>
      <c r="H62" s="65"/>
      <c r="I62" s="64"/>
      <c r="J62" s="65"/>
      <c r="K62" s="64"/>
    </row>
    <row r="63" spans="1:11" x14ac:dyDescent="0.2">
      <c r="A63">
        <v>2021</v>
      </c>
      <c r="B63" s="34">
        <v>93</v>
      </c>
      <c r="C63" s="34" t="s">
        <v>60</v>
      </c>
      <c r="D63" s="36">
        <v>52274</v>
      </c>
      <c r="E63" s="36">
        <v>252789</v>
      </c>
      <c r="F63" s="57"/>
      <c r="G63" s="57"/>
      <c r="H63" s="65"/>
      <c r="I63" s="64"/>
      <c r="J63" s="65"/>
      <c r="K63" s="64"/>
    </row>
    <row r="64" spans="1:11" x14ac:dyDescent="0.2">
      <c r="A64">
        <v>2021</v>
      </c>
      <c r="B64" s="34">
        <v>94</v>
      </c>
      <c r="C64" s="34" t="s">
        <v>61</v>
      </c>
      <c r="D64" s="36">
        <v>559945</v>
      </c>
      <c r="E64" s="36">
        <v>3420668</v>
      </c>
      <c r="F64" s="57"/>
      <c r="G64" s="57"/>
      <c r="H64" s="65"/>
      <c r="I64" s="64"/>
      <c r="J64" s="65"/>
      <c r="K64" s="64"/>
    </row>
    <row r="65" spans="1:11" x14ac:dyDescent="0.2">
      <c r="A65">
        <v>2021</v>
      </c>
      <c r="B65" s="34">
        <v>95</v>
      </c>
      <c r="C65" s="34" t="s">
        <v>62</v>
      </c>
      <c r="D65" s="36">
        <v>43175</v>
      </c>
      <c r="E65" s="36">
        <v>186430</v>
      </c>
      <c r="F65" s="57"/>
      <c r="G65" s="57"/>
      <c r="H65" s="65"/>
      <c r="I65" s="64"/>
      <c r="J65" s="65"/>
      <c r="K65" s="64"/>
    </row>
    <row r="66" spans="1:11" x14ac:dyDescent="0.2">
      <c r="A66">
        <v>2021</v>
      </c>
      <c r="B66" s="34">
        <v>96</v>
      </c>
      <c r="C66" s="34" t="s">
        <v>63</v>
      </c>
      <c r="D66" s="36">
        <v>37960</v>
      </c>
      <c r="E66" s="36">
        <v>273961</v>
      </c>
      <c r="F66" s="57"/>
      <c r="G66" s="57"/>
      <c r="H66" s="65"/>
      <c r="I66" s="64"/>
      <c r="J66" s="65"/>
      <c r="K66" s="64"/>
    </row>
    <row r="67" spans="1:11" x14ac:dyDescent="0.2">
      <c r="A67">
        <v>2021</v>
      </c>
      <c r="B67" s="34">
        <v>97</v>
      </c>
      <c r="C67" s="34" t="s">
        <v>548</v>
      </c>
      <c r="D67" s="36">
        <v>765325</v>
      </c>
      <c r="E67" s="36">
        <v>3708036</v>
      </c>
      <c r="F67" s="57"/>
      <c r="G67" s="57"/>
      <c r="H67" s="65"/>
      <c r="I67" s="64"/>
      <c r="J67" s="65"/>
      <c r="K67" s="64"/>
    </row>
    <row r="68" spans="1:11" x14ac:dyDescent="0.2">
      <c r="A68">
        <v>2021</v>
      </c>
      <c r="B68" s="34">
        <v>98</v>
      </c>
      <c r="C68" s="34" t="s">
        <v>65</v>
      </c>
      <c r="D68" s="36">
        <v>32501</v>
      </c>
      <c r="E68" s="36">
        <v>252543</v>
      </c>
      <c r="F68" s="57"/>
      <c r="G68" s="57"/>
      <c r="H68" s="65"/>
      <c r="I68" s="64"/>
      <c r="J68" s="65"/>
      <c r="K68" s="64"/>
    </row>
    <row r="69" spans="1:11" x14ac:dyDescent="0.2">
      <c r="A69">
        <v>2021</v>
      </c>
      <c r="B69" s="34">
        <v>99</v>
      </c>
      <c r="C69" s="34" t="s">
        <v>66</v>
      </c>
      <c r="D69" s="36">
        <v>23379</v>
      </c>
      <c r="E69" s="36">
        <v>207815</v>
      </c>
      <c r="F69" s="57"/>
      <c r="G69" s="57"/>
      <c r="H69" s="65"/>
      <c r="I69" s="64"/>
      <c r="J69" s="65"/>
      <c r="K69" s="64"/>
    </row>
    <row r="70" spans="1:11" x14ac:dyDescent="0.2">
      <c r="A70">
        <v>2021</v>
      </c>
      <c r="B70" s="34">
        <v>100</v>
      </c>
      <c r="C70" s="34" t="s">
        <v>67</v>
      </c>
      <c r="D70" s="36">
        <v>33218</v>
      </c>
      <c r="E70" s="36">
        <v>244885</v>
      </c>
      <c r="F70" s="57"/>
      <c r="G70" s="57"/>
      <c r="H70" s="65"/>
      <c r="I70" s="64"/>
      <c r="J70" s="65"/>
      <c r="K70" s="64"/>
    </row>
    <row r="71" spans="1:11" x14ac:dyDescent="0.2">
      <c r="A71">
        <v>2021</v>
      </c>
      <c r="B71" s="34">
        <v>101</v>
      </c>
      <c r="C71" s="34" t="s">
        <v>68</v>
      </c>
      <c r="D71" s="36">
        <v>588369</v>
      </c>
      <c r="E71" s="36">
        <v>3420921</v>
      </c>
      <c r="F71" s="57"/>
      <c r="G71" s="57"/>
      <c r="H71" s="65"/>
      <c r="I71" s="64"/>
      <c r="J71" s="65"/>
      <c r="K71" s="64"/>
    </row>
    <row r="72" spans="1:11" x14ac:dyDescent="0.2">
      <c r="A72">
        <v>2021</v>
      </c>
      <c r="B72" s="34">
        <v>103</v>
      </c>
      <c r="C72" s="34" t="s">
        <v>69</v>
      </c>
      <c r="D72" s="36">
        <v>18686</v>
      </c>
      <c r="E72" s="36">
        <v>132959</v>
      </c>
      <c r="F72" s="57"/>
      <c r="G72" s="57"/>
      <c r="H72" s="65"/>
      <c r="I72" s="64"/>
      <c r="J72" s="65"/>
      <c r="K72" s="64"/>
    </row>
    <row r="73" spans="1:11" x14ac:dyDescent="0.2">
      <c r="A73">
        <v>2021</v>
      </c>
      <c r="B73" s="34">
        <v>104</v>
      </c>
      <c r="C73" s="34" t="s">
        <v>549</v>
      </c>
      <c r="D73" s="36">
        <v>16355</v>
      </c>
      <c r="E73" s="36">
        <v>145581</v>
      </c>
      <c r="F73" s="57"/>
      <c r="G73" s="57"/>
      <c r="H73" s="65"/>
      <c r="I73" s="64"/>
      <c r="J73" s="65"/>
      <c r="K73" s="64"/>
    </row>
    <row r="74" spans="1:11" x14ac:dyDescent="0.2">
      <c r="A74">
        <v>2021</v>
      </c>
      <c r="B74" s="34">
        <v>106</v>
      </c>
      <c r="C74" s="34" t="s">
        <v>71</v>
      </c>
      <c r="D74" s="36">
        <v>20285</v>
      </c>
      <c r="E74" s="36">
        <v>85719</v>
      </c>
      <c r="F74" s="57"/>
      <c r="G74" s="57"/>
      <c r="H74" s="65"/>
      <c r="I74" s="64"/>
      <c r="J74" s="65"/>
      <c r="K74" s="64"/>
    </row>
    <row r="75" spans="1:11" x14ac:dyDescent="0.2">
      <c r="A75">
        <v>2021</v>
      </c>
      <c r="B75" s="34">
        <v>107</v>
      </c>
      <c r="C75" s="34" t="s">
        <v>72</v>
      </c>
      <c r="D75" s="36">
        <v>108063</v>
      </c>
      <c r="E75" s="36">
        <v>764310</v>
      </c>
      <c r="F75" s="57"/>
      <c r="G75" s="57"/>
      <c r="H75" s="65"/>
      <c r="I75" s="64"/>
      <c r="J75" s="65"/>
      <c r="K75" s="64"/>
    </row>
    <row r="76" spans="1:11" x14ac:dyDescent="0.2">
      <c r="A76">
        <v>2021</v>
      </c>
      <c r="B76" s="34">
        <v>108</v>
      </c>
      <c r="C76" s="34" t="s">
        <v>73</v>
      </c>
      <c r="D76" s="36">
        <v>31159</v>
      </c>
      <c r="E76" s="36">
        <v>187303</v>
      </c>
      <c r="F76" s="57"/>
      <c r="G76" s="57"/>
      <c r="H76" s="65"/>
      <c r="I76" s="64"/>
      <c r="J76" s="65"/>
      <c r="K76" s="64"/>
    </row>
    <row r="77" spans="1:11" x14ac:dyDescent="0.2">
      <c r="A77">
        <v>2021</v>
      </c>
      <c r="B77" s="34">
        <v>110</v>
      </c>
      <c r="C77" s="34" t="s">
        <v>74</v>
      </c>
      <c r="D77" s="36">
        <v>70539</v>
      </c>
      <c r="E77" s="36">
        <v>332893</v>
      </c>
      <c r="F77" s="57"/>
      <c r="G77" s="57"/>
      <c r="H77" s="65"/>
      <c r="I77" s="64"/>
      <c r="J77" s="65"/>
      <c r="K77" s="64"/>
    </row>
    <row r="78" spans="1:11" x14ac:dyDescent="0.2">
      <c r="A78">
        <v>2021</v>
      </c>
      <c r="B78" s="34">
        <v>111</v>
      </c>
      <c r="C78" s="34" t="s">
        <v>86</v>
      </c>
      <c r="D78" s="36">
        <v>85034</v>
      </c>
      <c r="E78" s="36">
        <v>489547</v>
      </c>
      <c r="F78" s="57"/>
      <c r="G78" s="57"/>
      <c r="H78" s="65"/>
      <c r="I78" s="64"/>
      <c r="J78" s="65"/>
      <c r="K78" s="64"/>
    </row>
    <row r="79" spans="1:11" x14ac:dyDescent="0.2">
      <c r="A79">
        <v>2021</v>
      </c>
      <c r="B79" s="34">
        <v>112</v>
      </c>
      <c r="C79" s="34" t="s">
        <v>550</v>
      </c>
      <c r="D79" s="36">
        <v>48293</v>
      </c>
      <c r="E79" s="36">
        <v>334072</v>
      </c>
      <c r="F79" s="57"/>
      <c r="G79" s="57"/>
      <c r="H79" s="65"/>
      <c r="I79" s="64"/>
      <c r="J79" s="65"/>
      <c r="K79" s="64"/>
    </row>
    <row r="80" spans="1:11" x14ac:dyDescent="0.2">
      <c r="A80">
        <v>2021</v>
      </c>
      <c r="B80" s="34">
        <v>113</v>
      </c>
      <c r="C80" s="34" t="s">
        <v>77</v>
      </c>
      <c r="D80" s="36">
        <v>793105</v>
      </c>
      <c r="E80" s="36">
        <v>4988279</v>
      </c>
      <c r="F80" s="57"/>
      <c r="G80" s="57"/>
      <c r="H80" s="65"/>
      <c r="I80" s="64"/>
      <c r="J80" s="65"/>
      <c r="K80" s="64"/>
    </row>
    <row r="81" spans="1:11" x14ac:dyDescent="0.2">
      <c r="A81">
        <v>2021</v>
      </c>
      <c r="B81" s="34">
        <v>114</v>
      </c>
      <c r="C81" s="34" t="s">
        <v>78</v>
      </c>
      <c r="D81" s="36">
        <v>185892</v>
      </c>
      <c r="E81" s="36">
        <v>1587848</v>
      </c>
      <c r="F81" s="57"/>
      <c r="G81" s="57"/>
      <c r="H81" s="65"/>
      <c r="I81" s="64"/>
      <c r="J81" s="65"/>
      <c r="K81" s="64"/>
    </row>
    <row r="82" spans="1:11" x14ac:dyDescent="0.2">
      <c r="A82">
        <v>2021</v>
      </c>
      <c r="B82" s="34">
        <v>115</v>
      </c>
      <c r="C82" s="34" t="s">
        <v>87</v>
      </c>
      <c r="D82" s="36">
        <v>32187</v>
      </c>
      <c r="E82" s="36">
        <v>260587</v>
      </c>
      <c r="F82" s="57"/>
      <c r="G82" s="57"/>
      <c r="H82" s="65"/>
      <c r="I82" s="64"/>
      <c r="J82" s="65"/>
      <c r="K82" s="64"/>
    </row>
    <row r="83" spans="1:11" x14ac:dyDescent="0.2">
      <c r="A83">
        <v>2021</v>
      </c>
      <c r="B83" s="34">
        <v>116</v>
      </c>
      <c r="C83" s="34" t="s">
        <v>79</v>
      </c>
      <c r="D83" s="36">
        <v>35364</v>
      </c>
      <c r="E83" s="36">
        <v>373148</v>
      </c>
      <c r="F83" s="57"/>
      <c r="G83" s="57"/>
      <c r="H83" s="65"/>
      <c r="I83" s="64"/>
      <c r="J83" s="65"/>
      <c r="K83" s="64"/>
    </row>
    <row r="84" spans="1:11" x14ac:dyDescent="0.2">
      <c r="A84">
        <v>2021</v>
      </c>
      <c r="B84" s="34">
        <v>117</v>
      </c>
      <c r="C84" s="34" t="s">
        <v>80</v>
      </c>
      <c r="D84" s="36">
        <v>99746</v>
      </c>
      <c r="E84" s="36">
        <v>566059</v>
      </c>
      <c r="F84" s="57"/>
      <c r="G84" s="57"/>
      <c r="H84" s="65"/>
      <c r="I84" s="64"/>
      <c r="J84" s="65"/>
      <c r="K84" s="64"/>
    </row>
    <row r="85" spans="1:11" x14ac:dyDescent="0.2">
      <c r="A85">
        <v>2021</v>
      </c>
      <c r="B85" s="34">
        <v>118</v>
      </c>
      <c r="C85" s="34" t="s">
        <v>81</v>
      </c>
      <c r="D85" s="36">
        <v>182467</v>
      </c>
      <c r="E85" s="36">
        <v>1883745</v>
      </c>
      <c r="F85" s="57"/>
      <c r="G85" s="57"/>
      <c r="H85" s="65"/>
      <c r="I85" s="64"/>
      <c r="J85" s="65"/>
      <c r="K85" s="64"/>
    </row>
    <row r="86" spans="1:11" x14ac:dyDescent="0.2">
      <c r="A86">
        <v>2021</v>
      </c>
      <c r="B86" s="34">
        <v>119</v>
      </c>
      <c r="C86" s="34" t="s">
        <v>82</v>
      </c>
      <c r="D86" s="36">
        <v>14781</v>
      </c>
      <c r="E86" s="36">
        <v>100781</v>
      </c>
      <c r="F86" s="57"/>
      <c r="G86" s="57"/>
      <c r="H86" s="65"/>
      <c r="I86" s="64"/>
      <c r="J86" s="65"/>
      <c r="K86" s="64"/>
    </row>
    <row r="87" spans="1:11" x14ac:dyDescent="0.2">
      <c r="A87">
        <v>2021</v>
      </c>
      <c r="B87" s="34">
        <v>120</v>
      </c>
      <c r="C87" s="34" t="s">
        <v>83</v>
      </c>
      <c r="D87" s="36">
        <v>582478</v>
      </c>
      <c r="E87" s="36">
        <v>3538502</v>
      </c>
      <c r="F87" s="57"/>
      <c r="G87" s="57"/>
      <c r="H87" s="65"/>
      <c r="I87" s="64"/>
      <c r="J87" s="65"/>
      <c r="K87" s="64"/>
    </row>
    <row r="88" spans="1:11" x14ac:dyDescent="0.2">
      <c r="A88">
        <v>2021</v>
      </c>
      <c r="B88" s="34">
        <v>125</v>
      </c>
      <c r="C88" s="34" t="s">
        <v>84</v>
      </c>
      <c r="D88" s="36">
        <v>13849</v>
      </c>
      <c r="E88" s="36">
        <v>131272</v>
      </c>
      <c r="F88" s="57"/>
      <c r="G88" s="57"/>
      <c r="H88" s="65"/>
      <c r="I88" s="64"/>
      <c r="J88" s="65"/>
      <c r="K88" s="64"/>
    </row>
    <row r="89" spans="1:11" x14ac:dyDescent="0.2">
      <c r="A89">
        <v>2021</v>
      </c>
      <c r="B89" s="34">
        <v>129</v>
      </c>
      <c r="C89" s="34" t="s">
        <v>129</v>
      </c>
      <c r="D89" s="36">
        <v>124069</v>
      </c>
      <c r="E89" s="36">
        <v>872909</v>
      </c>
      <c r="F89" s="57"/>
      <c r="G89" s="57"/>
      <c r="H89" s="65"/>
      <c r="I89" s="64"/>
      <c r="J89" s="65"/>
      <c r="K89" s="64"/>
    </row>
    <row r="90" spans="1:11" x14ac:dyDescent="0.2">
      <c r="A90">
        <v>2021</v>
      </c>
      <c r="B90" s="34">
        <v>130</v>
      </c>
      <c r="C90" s="34" t="s">
        <v>88</v>
      </c>
      <c r="D90" s="36">
        <v>137936</v>
      </c>
      <c r="E90" s="36">
        <v>807142</v>
      </c>
      <c r="F90" s="57"/>
      <c r="G90" s="57"/>
      <c r="H90" s="65"/>
      <c r="I90" s="64"/>
      <c r="J90" s="65"/>
      <c r="K90" s="64"/>
    </row>
    <row r="91" spans="1:11" x14ac:dyDescent="0.2">
      <c r="A91">
        <v>2021</v>
      </c>
      <c r="B91" s="34">
        <v>131</v>
      </c>
      <c r="C91" s="34" t="s">
        <v>89</v>
      </c>
      <c r="D91" s="36">
        <v>29322</v>
      </c>
      <c r="E91" s="36">
        <v>173580</v>
      </c>
      <c r="F91" s="57"/>
      <c r="G91" s="57"/>
      <c r="H91" s="65"/>
      <c r="I91" s="64"/>
      <c r="J91" s="65"/>
      <c r="K91" s="64"/>
    </row>
    <row r="92" spans="1:11" x14ac:dyDescent="0.2">
      <c r="A92">
        <v>2021</v>
      </c>
      <c r="B92" s="34">
        <v>132</v>
      </c>
      <c r="C92" s="34" t="s">
        <v>90</v>
      </c>
      <c r="D92" s="36">
        <v>44273</v>
      </c>
      <c r="E92" s="36">
        <v>208984</v>
      </c>
      <c r="F92" s="57"/>
      <c r="G92" s="57"/>
      <c r="H92" s="65"/>
      <c r="I92" s="64"/>
      <c r="J92" s="65"/>
      <c r="K92" s="64"/>
    </row>
    <row r="93" spans="1:11" x14ac:dyDescent="0.2">
      <c r="A93">
        <v>2021</v>
      </c>
      <c r="B93" s="34">
        <v>133</v>
      </c>
      <c r="C93" s="34" t="s">
        <v>91</v>
      </c>
      <c r="D93" s="36">
        <v>21885</v>
      </c>
      <c r="E93" s="36">
        <v>166968</v>
      </c>
      <c r="F93" s="57"/>
      <c r="G93" s="57"/>
      <c r="H93" s="65"/>
      <c r="I93" s="64"/>
      <c r="J93" s="65"/>
      <c r="K93" s="64"/>
    </row>
    <row r="94" spans="1:11" x14ac:dyDescent="0.2">
      <c r="A94">
        <v>2021</v>
      </c>
      <c r="B94" s="34">
        <v>134</v>
      </c>
      <c r="C94" s="34" t="s">
        <v>92</v>
      </c>
      <c r="D94" s="36">
        <v>61781</v>
      </c>
      <c r="E94" s="36">
        <v>425274</v>
      </c>
      <c r="F94" s="57"/>
      <c r="G94" s="57"/>
      <c r="H94" s="65"/>
      <c r="I94" s="64"/>
      <c r="J94" s="65"/>
      <c r="K94" s="64"/>
    </row>
    <row r="95" spans="1:11" x14ac:dyDescent="0.2">
      <c r="A95">
        <v>2021</v>
      </c>
      <c r="B95" s="34">
        <v>137</v>
      </c>
      <c r="C95" s="34" t="s">
        <v>93</v>
      </c>
      <c r="D95" s="36">
        <v>40968</v>
      </c>
      <c r="E95" s="36">
        <v>171388</v>
      </c>
      <c r="F95" s="57"/>
      <c r="G95" s="57"/>
      <c r="H95" s="65"/>
      <c r="I95" s="64"/>
      <c r="J95" s="65"/>
      <c r="K95" s="64"/>
    </row>
    <row r="96" spans="1:11" x14ac:dyDescent="0.2">
      <c r="A96">
        <v>2021</v>
      </c>
      <c r="B96" s="34">
        <v>138</v>
      </c>
      <c r="C96" s="34" t="s">
        <v>94</v>
      </c>
      <c r="D96" s="36">
        <v>505709</v>
      </c>
      <c r="E96" s="36">
        <v>4656040</v>
      </c>
      <c r="F96" s="57"/>
      <c r="G96" s="57"/>
      <c r="H96" s="65"/>
      <c r="I96" s="64"/>
      <c r="J96" s="65"/>
      <c r="K96" s="64"/>
    </row>
    <row r="97" spans="1:11" x14ac:dyDescent="0.2">
      <c r="A97">
        <v>2021</v>
      </c>
      <c r="B97" s="34">
        <v>139</v>
      </c>
      <c r="C97" s="34" t="s">
        <v>95</v>
      </c>
      <c r="D97" s="36">
        <v>83791</v>
      </c>
      <c r="E97" s="36">
        <v>449024</v>
      </c>
      <c r="F97" s="57"/>
      <c r="G97" s="57"/>
      <c r="H97" s="65"/>
      <c r="I97" s="64"/>
      <c r="J97" s="65"/>
      <c r="K97" s="64"/>
    </row>
    <row r="98" spans="1:11" x14ac:dyDescent="0.2">
      <c r="A98">
        <v>2021</v>
      </c>
      <c r="B98" s="34">
        <v>140</v>
      </c>
      <c r="C98" s="34" t="s">
        <v>96</v>
      </c>
      <c r="D98" s="36">
        <v>33461</v>
      </c>
      <c r="E98" s="36">
        <v>256803</v>
      </c>
      <c r="F98" s="57"/>
      <c r="G98" s="57"/>
      <c r="H98" s="65"/>
      <c r="I98" s="64"/>
      <c r="J98" s="65"/>
      <c r="K98" s="64"/>
    </row>
    <row r="99" spans="1:11" x14ac:dyDescent="0.2">
      <c r="A99">
        <v>2021</v>
      </c>
      <c r="B99" s="34">
        <v>141</v>
      </c>
      <c r="C99" s="34" t="s">
        <v>97</v>
      </c>
      <c r="D99" s="36">
        <v>113911</v>
      </c>
      <c r="E99" s="36">
        <v>774410</v>
      </c>
      <c r="F99" s="57"/>
      <c r="G99" s="57"/>
      <c r="H99" s="65"/>
      <c r="I99" s="64"/>
      <c r="J99" s="65"/>
      <c r="K99" s="64"/>
    </row>
    <row r="100" spans="1:11" x14ac:dyDescent="0.2">
      <c r="A100">
        <v>2021</v>
      </c>
      <c r="B100" s="34">
        <v>142</v>
      </c>
      <c r="C100" s="34" t="s">
        <v>98</v>
      </c>
      <c r="D100" s="36">
        <v>657269</v>
      </c>
      <c r="E100" s="36">
        <v>4563695</v>
      </c>
      <c r="F100" s="57"/>
      <c r="G100" s="57"/>
      <c r="H100" s="65"/>
      <c r="I100" s="64"/>
      <c r="J100" s="65"/>
      <c r="K100" s="64"/>
    </row>
    <row r="101" spans="1:11" x14ac:dyDescent="0.2">
      <c r="A101">
        <v>2021</v>
      </c>
      <c r="B101" s="34">
        <v>143</v>
      </c>
      <c r="C101" s="34" t="s">
        <v>99</v>
      </c>
      <c r="D101" s="36">
        <v>72494</v>
      </c>
      <c r="E101" s="36">
        <v>468659</v>
      </c>
      <c r="F101" s="57"/>
      <c r="G101" s="57"/>
      <c r="H101" s="65"/>
      <c r="I101" s="64"/>
      <c r="J101" s="65"/>
      <c r="K101" s="64"/>
    </row>
    <row r="102" spans="1:11" x14ac:dyDescent="0.2">
      <c r="A102">
        <v>2021</v>
      </c>
      <c r="B102" s="34">
        <v>144</v>
      </c>
      <c r="C102" s="34" t="s">
        <v>100</v>
      </c>
      <c r="D102" s="36">
        <v>103687</v>
      </c>
      <c r="E102" s="36">
        <v>736956</v>
      </c>
      <c r="F102" s="57"/>
      <c r="G102" s="57"/>
      <c r="H102" s="65"/>
      <c r="I102" s="64"/>
      <c r="J102" s="65"/>
      <c r="K102" s="64"/>
    </row>
    <row r="103" spans="1:11" x14ac:dyDescent="0.2">
      <c r="A103">
        <v>2021</v>
      </c>
      <c r="B103" s="34">
        <v>149</v>
      </c>
      <c r="C103" s="34" t="s">
        <v>101</v>
      </c>
      <c r="F103" s="57"/>
      <c r="G103" s="57"/>
      <c r="H103" s="57"/>
      <c r="I103" s="64"/>
      <c r="J103" s="57"/>
      <c r="K103" s="64"/>
    </row>
    <row r="104" spans="1:11" x14ac:dyDescent="0.2">
      <c r="A104">
        <v>2021</v>
      </c>
      <c r="B104" s="34">
        <v>151</v>
      </c>
      <c r="C104" s="34" t="s">
        <v>102</v>
      </c>
      <c r="D104" s="36">
        <v>356137</v>
      </c>
      <c r="E104" s="36">
        <v>2780541</v>
      </c>
      <c r="F104" s="57"/>
      <c r="G104" s="57"/>
      <c r="H104" s="65"/>
      <c r="I104" s="64"/>
      <c r="J104" s="65"/>
      <c r="K104" s="64"/>
    </row>
    <row r="105" spans="1:11" x14ac:dyDescent="0.2">
      <c r="A105">
        <v>2021</v>
      </c>
      <c r="B105" s="34">
        <v>152</v>
      </c>
      <c r="C105" s="34" t="s">
        <v>103</v>
      </c>
      <c r="D105" s="36">
        <v>283386</v>
      </c>
      <c r="E105" s="36">
        <v>1978702</v>
      </c>
      <c r="F105" s="57"/>
      <c r="G105" s="57"/>
      <c r="H105" s="65"/>
      <c r="I105" s="64"/>
      <c r="J105" s="65"/>
      <c r="K105" s="64"/>
    </row>
    <row r="106" spans="1:11" x14ac:dyDescent="0.2">
      <c r="A106">
        <v>2021</v>
      </c>
      <c r="B106" s="34">
        <v>154</v>
      </c>
      <c r="C106" s="34" t="s">
        <v>104</v>
      </c>
      <c r="D106" s="36">
        <v>362139</v>
      </c>
      <c r="E106" s="36">
        <v>2088553</v>
      </c>
      <c r="F106" s="57"/>
      <c r="G106" s="57"/>
      <c r="H106" s="65"/>
      <c r="I106" s="64"/>
      <c r="J106" s="65"/>
      <c r="K106" s="64"/>
    </row>
    <row r="107" spans="1:11" x14ac:dyDescent="0.2">
      <c r="A107">
        <v>2021</v>
      </c>
      <c r="B107" s="34">
        <v>155</v>
      </c>
      <c r="C107" s="34" t="s">
        <v>105</v>
      </c>
      <c r="D107" s="36">
        <v>2045006</v>
      </c>
      <c r="E107" s="36">
        <v>10563679</v>
      </c>
      <c r="F107" s="57"/>
      <c r="G107" s="57"/>
      <c r="H107" s="65"/>
      <c r="I107" s="64"/>
      <c r="J107" s="65"/>
      <c r="K107" s="64"/>
    </row>
    <row r="108" spans="1:11" x14ac:dyDescent="0.2">
      <c r="A108">
        <v>2021</v>
      </c>
      <c r="B108" s="34">
        <v>156</v>
      </c>
      <c r="C108" s="34" t="s">
        <v>106</v>
      </c>
      <c r="D108" s="36">
        <v>3533261</v>
      </c>
      <c r="E108" s="36">
        <v>17950552</v>
      </c>
      <c r="F108" s="57"/>
      <c r="G108" s="57"/>
      <c r="H108" s="65"/>
      <c r="I108" s="64"/>
      <c r="J108" s="65"/>
      <c r="K108" s="64"/>
    </row>
    <row r="109" spans="1:11" x14ac:dyDescent="0.2">
      <c r="A109">
        <v>2021</v>
      </c>
      <c r="B109" s="34">
        <v>165</v>
      </c>
      <c r="C109" s="34" t="s">
        <v>107</v>
      </c>
      <c r="D109" s="36">
        <v>5088</v>
      </c>
      <c r="E109" s="36">
        <v>25916</v>
      </c>
      <c r="F109" s="57"/>
      <c r="G109" s="57"/>
      <c r="H109" s="65"/>
      <c r="I109" s="64"/>
      <c r="J109" s="65"/>
      <c r="K109" s="64"/>
    </row>
    <row r="110" spans="1:11" x14ac:dyDescent="0.2">
      <c r="A110">
        <v>2021</v>
      </c>
      <c r="B110" s="34">
        <v>167</v>
      </c>
      <c r="C110" s="34" t="s">
        <v>108</v>
      </c>
      <c r="D110" s="36">
        <v>155082</v>
      </c>
      <c r="E110" s="36">
        <v>1269695</v>
      </c>
      <c r="F110" s="57"/>
      <c r="G110" s="57"/>
      <c r="H110" s="65"/>
      <c r="I110" s="64"/>
      <c r="J110" s="65"/>
      <c r="K110" s="64"/>
    </row>
    <row r="111" spans="1:11" x14ac:dyDescent="0.2">
      <c r="A111">
        <v>2021</v>
      </c>
      <c r="B111" s="34">
        <v>168</v>
      </c>
      <c r="C111" s="34" t="s">
        <v>109</v>
      </c>
      <c r="D111" s="36">
        <v>91069</v>
      </c>
      <c r="E111" s="36">
        <v>760105</v>
      </c>
      <c r="F111" s="57"/>
      <c r="G111" s="57"/>
      <c r="H111" s="65"/>
      <c r="I111" s="64"/>
      <c r="J111" s="65"/>
      <c r="K111" s="64"/>
    </row>
    <row r="112" spans="1:11" x14ac:dyDescent="0.2">
      <c r="A112">
        <v>2021</v>
      </c>
      <c r="B112" s="34">
        <v>169</v>
      </c>
      <c r="C112" s="34" t="s">
        <v>110</v>
      </c>
      <c r="D112" s="36">
        <v>34462</v>
      </c>
      <c r="E112" s="36">
        <v>558139</v>
      </c>
      <c r="F112" s="57"/>
      <c r="G112" s="57"/>
      <c r="H112" s="65"/>
      <c r="I112" s="64"/>
      <c r="J112" s="65"/>
      <c r="K112" s="64"/>
    </row>
    <row r="113" spans="1:11" x14ac:dyDescent="0.2">
      <c r="A113">
        <v>2021</v>
      </c>
      <c r="B113" s="34">
        <v>170</v>
      </c>
      <c r="C113" s="34" t="s">
        <v>111</v>
      </c>
      <c r="D113" s="36">
        <v>62455</v>
      </c>
      <c r="E113" s="36">
        <v>420381</v>
      </c>
      <c r="F113" s="57"/>
      <c r="G113" s="57"/>
      <c r="H113" s="65"/>
      <c r="I113" s="64"/>
      <c r="J113" s="65"/>
      <c r="K113" s="64"/>
    </row>
    <row r="114" spans="1:11" x14ac:dyDescent="0.2">
      <c r="A114">
        <v>2021</v>
      </c>
      <c r="B114" s="34">
        <v>171</v>
      </c>
      <c r="C114" s="34" t="s">
        <v>112</v>
      </c>
      <c r="D114" s="36">
        <v>94920</v>
      </c>
      <c r="E114" s="36">
        <v>799295</v>
      </c>
      <c r="F114" s="57"/>
      <c r="G114" s="57"/>
      <c r="H114" s="65"/>
      <c r="I114" s="64"/>
      <c r="J114" s="65"/>
      <c r="K114" s="64"/>
    </row>
    <row r="115" spans="1:11" x14ac:dyDescent="0.2">
      <c r="A115">
        <v>2021</v>
      </c>
      <c r="B115" s="34">
        <v>173</v>
      </c>
      <c r="C115" s="34" t="s">
        <v>552</v>
      </c>
      <c r="D115" s="36">
        <v>42854</v>
      </c>
      <c r="E115" s="36">
        <v>389653</v>
      </c>
      <c r="F115" s="57"/>
      <c r="G115" s="57"/>
      <c r="H115" s="65"/>
      <c r="I115" s="64"/>
      <c r="J115" s="65"/>
      <c r="K115" s="64"/>
    </row>
    <row r="116" spans="1:11" x14ac:dyDescent="0.2">
      <c r="A116">
        <v>2021</v>
      </c>
      <c r="B116" s="34">
        <v>174</v>
      </c>
      <c r="C116" s="34" t="s">
        <v>113</v>
      </c>
      <c r="D116" s="36">
        <v>1221290</v>
      </c>
      <c r="E116" s="36">
        <v>7328397</v>
      </c>
      <c r="F116" s="57"/>
      <c r="G116" s="57"/>
      <c r="H116" s="65"/>
      <c r="I116" s="64"/>
      <c r="J116" s="65"/>
      <c r="K116" s="64"/>
    </row>
    <row r="117" spans="1:11" x14ac:dyDescent="0.2">
      <c r="A117">
        <v>2021</v>
      </c>
      <c r="B117" s="34">
        <v>175</v>
      </c>
      <c r="C117" s="34" t="s">
        <v>114</v>
      </c>
      <c r="D117" s="36">
        <v>162567</v>
      </c>
      <c r="E117" s="36">
        <v>1214461</v>
      </c>
      <c r="F117" s="57"/>
      <c r="G117" s="57"/>
      <c r="H117" s="65"/>
      <c r="I117" s="64"/>
      <c r="J117" s="65"/>
      <c r="K117" s="64"/>
    </row>
    <row r="118" spans="1:11" x14ac:dyDescent="0.2">
      <c r="A118">
        <v>2021</v>
      </c>
      <c r="B118" s="34">
        <v>176</v>
      </c>
      <c r="C118" s="34" t="s">
        <v>115</v>
      </c>
      <c r="D118" s="36">
        <v>9648</v>
      </c>
      <c r="E118" s="36">
        <v>92459</v>
      </c>
      <c r="F118" s="57"/>
      <c r="G118" s="57"/>
      <c r="H118" s="65"/>
      <c r="I118" s="64"/>
      <c r="J118" s="65"/>
      <c r="K118" s="64"/>
    </row>
    <row r="119" spans="1:11" x14ac:dyDescent="0.2">
      <c r="A119">
        <v>2021</v>
      </c>
      <c r="B119" s="34">
        <v>177</v>
      </c>
      <c r="C119" s="34" t="s">
        <v>116</v>
      </c>
      <c r="D119" s="36">
        <v>18481</v>
      </c>
      <c r="E119" s="36">
        <v>135832</v>
      </c>
      <c r="F119" s="57"/>
      <c r="G119" s="57"/>
      <c r="H119" s="65"/>
      <c r="I119" s="64"/>
      <c r="J119" s="65"/>
      <c r="K119" s="64"/>
    </row>
    <row r="120" spans="1:11" x14ac:dyDescent="0.2">
      <c r="A120">
        <v>2021</v>
      </c>
      <c r="B120" s="34">
        <v>178</v>
      </c>
      <c r="C120" s="34" t="s">
        <v>117</v>
      </c>
      <c r="D120" s="36">
        <v>17817</v>
      </c>
      <c r="E120" s="36">
        <v>135650</v>
      </c>
      <c r="F120" s="57"/>
      <c r="G120" s="57"/>
      <c r="H120" s="65"/>
      <c r="I120" s="64"/>
      <c r="J120" s="65"/>
      <c r="K120" s="64"/>
    </row>
    <row r="121" spans="1:11" x14ac:dyDescent="0.2">
      <c r="A121">
        <v>2021</v>
      </c>
      <c r="B121" s="34">
        <v>179</v>
      </c>
      <c r="C121" s="34" t="s">
        <v>118</v>
      </c>
      <c r="D121" s="36">
        <v>41194</v>
      </c>
      <c r="E121" s="36">
        <v>173026</v>
      </c>
      <c r="F121" s="57"/>
      <c r="G121" s="57"/>
      <c r="H121" s="65"/>
      <c r="I121" s="64"/>
      <c r="J121" s="65"/>
      <c r="K121" s="64"/>
    </row>
    <row r="122" spans="1:11" x14ac:dyDescent="0.2">
      <c r="A122">
        <v>2021</v>
      </c>
      <c r="B122" s="34">
        <v>180</v>
      </c>
      <c r="C122" s="34" t="s">
        <v>119</v>
      </c>
      <c r="D122" s="36">
        <v>27531</v>
      </c>
      <c r="E122" s="36">
        <v>226451</v>
      </c>
      <c r="F122" s="57"/>
      <c r="G122" s="57"/>
      <c r="H122" s="65"/>
      <c r="I122" s="64"/>
      <c r="J122" s="65"/>
      <c r="K122" s="64"/>
    </row>
    <row r="123" spans="1:11" x14ac:dyDescent="0.2">
      <c r="A123">
        <v>2021</v>
      </c>
      <c r="B123" s="34">
        <v>181</v>
      </c>
      <c r="C123" s="34" t="s">
        <v>120</v>
      </c>
      <c r="D123" s="36">
        <v>88100</v>
      </c>
      <c r="E123" s="36">
        <v>625645</v>
      </c>
      <c r="F123" s="57"/>
      <c r="G123" s="57"/>
      <c r="H123" s="65"/>
      <c r="I123" s="64"/>
      <c r="J123" s="65"/>
      <c r="K123" s="64"/>
    </row>
    <row r="124" spans="1:11" x14ac:dyDescent="0.2">
      <c r="A124">
        <v>2021</v>
      </c>
      <c r="B124" s="34">
        <v>182</v>
      </c>
      <c r="C124" s="34" t="s">
        <v>121</v>
      </c>
      <c r="D124" s="36">
        <v>144881</v>
      </c>
      <c r="E124" s="36">
        <v>922900</v>
      </c>
      <c r="F124" s="57"/>
      <c r="G124" s="57"/>
      <c r="H124" s="65"/>
      <c r="I124" s="64"/>
      <c r="J124" s="65"/>
      <c r="K124" s="64"/>
    </row>
    <row r="125" spans="1:11" x14ac:dyDescent="0.2">
      <c r="A125">
        <v>2021</v>
      </c>
      <c r="B125" s="34">
        <v>183</v>
      </c>
      <c r="C125" s="34" t="s">
        <v>122</v>
      </c>
      <c r="D125" s="36">
        <v>95556</v>
      </c>
      <c r="E125" s="36">
        <v>599930</v>
      </c>
      <c r="F125" s="57"/>
      <c r="G125" s="57"/>
      <c r="H125" s="65"/>
      <c r="I125" s="64"/>
      <c r="J125" s="65"/>
      <c r="K125" s="64"/>
    </row>
    <row r="126" spans="1:11" x14ac:dyDescent="0.2">
      <c r="A126">
        <v>2021</v>
      </c>
      <c r="B126" s="34">
        <v>184</v>
      </c>
      <c r="C126" s="34" t="s">
        <v>123</v>
      </c>
      <c r="D126" s="36">
        <v>34432</v>
      </c>
      <c r="E126" s="36">
        <v>233551</v>
      </c>
      <c r="F126" s="57"/>
      <c r="G126" s="57"/>
      <c r="H126" s="65"/>
      <c r="I126" s="64"/>
      <c r="J126" s="65"/>
      <c r="K126" s="64"/>
    </row>
    <row r="127" spans="1:11" x14ac:dyDescent="0.2">
      <c r="A127">
        <v>2021</v>
      </c>
      <c r="B127" s="34">
        <v>185</v>
      </c>
      <c r="C127" s="34" t="s">
        <v>124</v>
      </c>
      <c r="D127" s="36">
        <v>10111</v>
      </c>
      <c r="E127" s="36">
        <v>134867</v>
      </c>
      <c r="F127" s="57"/>
      <c r="G127" s="57"/>
      <c r="H127" s="65"/>
      <c r="I127" s="64"/>
      <c r="J127" s="65"/>
      <c r="K127" s="64"/>
    </row>
    <row r="128" spans="1:11" x14ac:dyDescent="0.2">
      <c r="A128">
        <v>2021</v>
      </c>
      <c r="B128" s="34">
        <v>186</v>
      </c>
      <c r="C128" s="34" t="s">
        <v>125</v>
      </c>
      <c r="D128" s="36">
        <v>11916</v>
      </c>
      <c r="E128" s="36">
        <v>124298</v>
      </c>
      <c r="F128" s="57"/>
      <c r="G128" s="57"/>
      <c r="H128" s="65"/>
      <c r="I128" s="64"/>
      <c r="J128" s="65"/>
      <c r="K128" s="64"/>
    </row>
    <row r="129" spans="1:11" x14ac:dyDescent="0.2">
      <c r="A129">
        <v>2021</v>
      </c>
      <c r="B129" s="34">
        <v>187</v>
      </c>
      <c r="C129" s="34" t="s">
        <v>126</v>
      </c>
      <c r="D129" s="36">
        <v>49199</v>
      </c>
      <c r="E129" s="36">
        <v>265363</v>
      </c>
      <c r="F129" s="57"/>
      <c r="G129" s="57"/>
      <c r="H129" s="65"/>
      <c r="I129" s="64"/>
      <c r="J129" s="65"/>
      <c r="K129" s="64"/>
    </row>
    <row r="130" spans="1:11" x14ac:dyDescent="0.2">
      <c r="A130">
        <v>2021</v>
      </c>
      <c r="B130" s="34">
        <v>188</v>
      </c>
      <c r="C130" s="34" t="s">
        <v>127</v>
      </c>
      <c r="D130" s="36">
        <v>225440</v>
      </c>
      <c r="E130" s="36">
        <v>1204933</v>
      </c>
      <c r="F130" s="57"/>
      <c r="G130" s="57"/>
      <c r="H130" s="65"/>
      <c r="I130" s="64"/>
      <c r="J130" s="65"/>
      <c r="K130" s="64"/>
    </row>
    <row r="131" spans="1:11" x14ac:dyDescent="0.2">
      <c r="A131">
        <v>2021</v>
      </c>
      <c r="B131" s="34">
        <v>191</v>
      </c>
      <c r="C131" s="34" t="s">
        <v>128</v>
      </c>
      <c r="D131" s="36">
        <v>17890</v>
      </c>
      <c r="E131" s="36">
        <v>163026</v>
      </c>
      <c r="F131" s="57"/>
      <c r="G131" s="57"/>
      <c r="H131" s="65"/>
      <c r="I131" s="64"/>
      <c r="J131" s="65"/>
      <c r="K131" s="64"/>
    </row>
    <row r="132" spans="1:11" x14ac:dyDescent="0.2">
      <c r="A132">
        <v>2021</v>
      </c>
      <c r="B132" s="34">
        <v>192</v>
      </c>
      <c r="C132" s="34" t="s">
        <v>130</v>
      </c>
      <c r="D132" s="36">
        <v>16259</v>
      </c>
      <c r="E132" s="36">
        <v>103479</v>
      </c>
      <c r="F132" s="57"/>
      <c r="G132" s="57"/>
      <c r="H132" s="65"/>
      <c r="I132" s="64"/>
      <c r="J132" s="65"/>
      <c r="K132" s="64"/>
    </row>
    <row r="133" spans="1:11" x14ac:dyDescent="0.2">
      <c r="A133">
        <v>2021</v>
      </c>
      <c r="B133" s="34">
        <v>193</v>
      </c>
      <c r="C133" s="34" t="s">
        <v>131</v>
      </c>
      <c r="D133" s="36">
        <v>70459</v>
      </c>
      <c r="E133" s="36">
        <v>413684</v>
      </c>
      <c r="F133" s="57"/>
      <c r="G133" s="57"/>
      <c r="H133" s="65"/>
      <c r="I133" s="64"/>
      <c r="J133" s="65"/>
      <c r="K133" s="64"/>
    </row>
    <row r="134" spans="1:11" x14ac:dyDescent="0.2">
      <c r="A134">
        <v>2021</v>
      </c>
      <c r="B134" s="34">
        <v>194</v>
      </c>
      <c r="C134" s="34" t="s">
        <v>132</v>
      </c>
      <c r="D134" s="36">
        <v>16393</v>
      </c>
      <c r="E134" s="36">
        <v>171139</v>
      </c>
      <c r="F134" s="57"/>
      <c r="G134" s="57"/>
      <c r="H134" s="65"/>
      <c r="I134" s="64"/>
      <c r="J134" s="65"/>
      <c r="K134" s="64"/>
    </row>
    <row r="135" spans="1:11" x14ac:dyDescent="0.2">
      <c r="A135">
        <v>2021</v>
      </c>
      <c r="B135" s="34">
        <v>195</v>
      </c>
      <c r="C135" s="34" t="s">
        <v>133</v>
      </c>
      <c r="D135" s="36">
        <v>42283</v>
      </c>
      <c r="E135" s="36">
        <v>174962</v>
      </c>
      <c r="F135" s="57"/>
      <c r="G135" s="57"/>
      <c r="H135" s="65"/>
      <c r="I135" s="64"/>
      <c r="J135" s="65"/>
      <c r="K135" s="64"/>
    </row>
    <row r="136" spans="1:11" x14ac:dyDescent="0.2">
      <c r="A136">
        <v>2021</v>
      </c>
      <c r="B136" s="34">
        <v>196</v>
      </c>
      <c r="C136" s="34" t="s">
        <v>134</v>
      </c>
      <c r="D136" s="36">
        <v>15036</v>
      </c>
      <c r="E136" s="36">
        <v>146590</v>
      </c>
      <c r="F136" s="57"/>
      <c r="G136" s="57"/>
      <c r="H136" s="65"/>
      <c r="I136" s="64"/>
      <c r="J136" s="65"/>
      <c r="K136" s="64"/>
    </row>
    <row r="137" spans="1:11" x14ac:dyDescent="0.2">
      <c r="A137">
        <v>2021</v>
      </c>
      <c r="B137" s="34">
        <v>197</v>
      </c>
      <c r="C137" s="34" t="s">
        <v>135</v>
      </c>
      <c r="D137" s="36">
        <v>40375</v>
      </c>
      <c r="E137" s="36">
        <v>405860</v>
      </c>
      <c r="F137" s="57"/>
      <c r="G137" s="57"/>
      <c r="H137" s="65"/>
      <c r="I137" s="64"/>
      <c r="J137" s="65"/>
      <c r="K137" s="64"/>
    </row>
    <row r="138" spans="1:11" x14ac:dyDescent="0.2">
      <c r="A138">
        <v>2021</v>
      </c>
      <c r="B138" s="34">
        <v>198</v>
      </c>
      <c r="C138" s="34" t="s">
        <v>136</v>
      </c>
      <c r="D138" s="36">
        <v>22354</v>
      </c>
      <c r="E138" s="36">
        <v>162335</v>
      </c>
      <c r="F138" s="57"/>
      <c r="G138" s="57"/>
      <c r="H138" s="65"/>
      <c r="I138" s="64"/>
      <c r="J138" s="65"/>
      <c r="K138" s="64"/>
    </row>
    <row r="139" spans="1:11" x14ac:dyDescent="0.2">
      <c r="A139">
        <v>2021</v>
      </c>
      <c r="B139" s="34">
        <v>200</v>
      </c>
      <c r="C139" s="34" t="s">
        <v>137</v>
      </c>
      <c r="D139" s="36">
        <v>19344</v>
      </c>
      <c r="E139" s="36">
        <v>175566</v>
      </c>
      <c r="F139" s="57"/>
      <c r="G139" s="57"/>
      <c r="H139" s="65"/>
      <c r="I139" s="64"/>
      <c r="J139" s="65"/>
      <c r="K139" s="64"/>
    </row>
    <row r="140" spans="1:11" x14ac:dyDescent="0.2">
      <c r="A140">
        <v>2021</v>
      </c>
      <c r="B140" s="34">
        <v>201</v>
      </c>
      <c r="C140" s="34" t="s">
        <v>138</v>
      </c>
      <c r="D140" s="36">
        <v>20278</v>
      </c>
      <c r="E140" s="36">
        <v>100446</v>
      </c>
      <c r="F140" s="57"/>
      <c r="G140" s="57"/>
      <c r="H140" s="65"/>
      <c r="I140" s="64"/>
      <c r="J140" s="65"/>
      <c r="K140" s="64"/>
    </row>
    <row r="141" spans="1:11" x14ac:dyDescent="0.2">
      <c r="A141">
        <v>2021</v>
      </c>
      <c r="B141" s="34">
        <v>202</v>
      </c>
      <c r="C141" s="34" t="s">
        <v>139</v>
      </c>
      <c r="D141" s="36">
        <v>27246</v>
      </c>
      <c r="E141" s="36">
        <v>109477</v>
      </c>
      <c r="F141" s="57"/>
      <c r="G141" s="57"/>
      <c r="H141" s="65"/>
      <c r="I141" s="64"/>
      <c r="J141" s="65"/>
      <c r="K141" s="64"/>
    </row>
    <row r="142" spans="1:11" x14ac:dyDescent="0.2">
      <c r="A142">
        <v>2021</v>
      </c>
      <c r="B142" s="34">
        <v>203</v>
      </c>
      <c r="C142" s="34" t="s">
        <v>140</v>
      </c>
      <c r="D142" s="36">
        <v>28827</v>
      </c>
      <c r="E142" s="36">
        <v>199486</v>
      </c>
      <c r="F142" s="57"/>
      <c r="G142" s="57"/>
      <c r="H142" s="65"/>
      <c r="I142" s="64"/>
      <c r="J142" s="65"/>
      <c r="K142" s="64"/>
    </row>
    <row r="143" spans="1:11" x14ac:dyDescent="0.2">
      <c r="A143">
        <v>2021</v>
      </c>
      <c r="B143" s="34">
        <v>204</v>
      </c>
      <c r="C143" s="34" t="s">
        <v>141</v>
      </c>
      <c r="D143" s="36">
        <v>22878</v>
      </c>
      <c r="E143" s="36">
        <v>132656</v>
      </c>
      <c r="F143" s="57"/>
      <c r="G143" s="57"/>
      <c r="H143" s="65"/>
      <c r="I143" s="64"/>
      <c r="J143" s="65"/>
      <c r="K143" s="64"/>
    </row>
    <row r="144" spans="1:11" x14ac:dyDescent="0.2">
      <c r="A144">
        <v>2021</v>
      </c>
      <c r="B144" s="34">
        <v>205</v>
      </c>
      <c r="C144" s="34" t="s">
        <v>142</v>
      </c>
      <c r="D144" s="36">
        <v>136911</v>
      </c>
      <c r="E144" s="36">
        <v>912138</v>
      </c>
      <c r="F144" s="57"/>
      <c r="G144" s="57"/>
      <c r="H144" s="65"/>
      <c r="I144" s="64"/>
      <c r="J144" s="65"/>
      <c r="K144" s="64"/>
    </row>
    <row r="145" spans="1:11" x14ac:dyDescent="0.2">
      <c r="A145">
        <v>2021</v>
      </c>
      <c r="B145" s="34">
        <v>206</v>
      </c>
      <c r="C145" s="34" t="s">
        <v>553</v>
      </c>
      <c r="D145" s="36">
        <v>132036</v>
      </c>
      <c r="E145" s="36">
        <v>856789</v>
      </c>
      <c r="F145" s="57"/>
      <c r="G145" s="57"/>
      <c r="H145" s="65"/>
      <c r="I145" s="64"/>
      <c r="J145" s="65"/>
      <c r="K145" s="64"/>
    </row>
    <row r="146" spans="1:11" x14ac:dyDescent="0.2">
      <c r="A146">
        <v>2021</v>
      </c>
      <c r="B146" s="34">
        <v>207</v>
      </c>
      <c r="C146" s="34" t="s">
        <v>144</v>
      </c>
      <c r="D146" s="36">
        <v>12135</v>
      </c>
      <c r="E146" s="36">
        <v>64560</v>
      </c>
      <c r="F146" s="57"/>
      <c r="G146" s="57"/>
      <c r="H146" s="65"/>
      <c r="I146" s="64"/>
      <c r="J146" s="65"/>
      <c r="K146" s="64"/>
    </row>
    <row r="147" spans="1:11" x14ac:dyDescent="0.2">
      <c r="A147">
        <v>2021</v>
      </c>
      <c r="B147" s="34">
        <v>208</v>
      </c>
      <c r="C147" s="34" t="s">
        <v>145</v>
      </c>
      <c r="D147" s="36">
        <v>15558</v>
      </c>
      <c r="E147" s="36">
        <v>61224</v>
      </c>
      <c r="F147" s="57"/>
      <c r="G147" s="57"/>
      <c r="H147" s="65"/>
      <c r="I147" s="64"/>
      <c r="J147" s="65"/>
      <c r="K147" s="64"/>
    </row>
    <row r="148" spans="1:11" x14ac:dyDescent="0.2">
      <c r="A148">
        <v>2021</v>
      </c>
      <c r="B148" s="34">
        <v>209</v>
      </c>
      <c r="C148" s="34" t="s">
        <v>146</v>
      </c>
      <c r="D148" s="36">
        <v>117543</v>
      </c>
      <c r="E148" s="36">
        <v>642681</v>
      </c>
      <c r="F148" s="57"/>
      <c r="G148" s="57"/>
      <c r="H148" s="65"/>
      <c r="I148" s="64"/>
      <c r="J148" s="65"/>
      <c r="K148" s="64"/>
    </row>
    <row r="149" spans="1:11" x14ac:dyDescent="0.2">
      <c r="A149">
        <v>2021</v>
      </c>
      <c r="B149" s="34">
        <v>210</v>
      </c>
      <c r="C149" s="34" t="s">
        <v>147</v>
      </c>
      <c r="D149" s="36">
        <v>54370</v>
      </c>
      <c r="E149" s="36">
        <v>353585</v>
      </c>
      <c r="F149" s="57"/>
      <c r="G149" s="57"/>
      <c r="H149" s="65"/>
      <c r="I149" s="64"/>
      <c r="J149" s="65"/>
      <c r="K149" s="64"/>
    </row>
    <row r="150" spans="1:11" x14ac:dyDescent="0.2">
      <c r="A150">
        <v>2021</v>
      </c>
      <c r="B150" s="34">
        <v>211</v>
      </c>
      <c r="C150" s="34" t="s">
        <v>148</v>
      </c>
      <c r="D150" s="36">
        <v>56699</v>
      </c>
      <c r="E150" s="36">
        <v>360496</v>
      </c>
      <c r="F150" s="57"/>
      <c r="G150" s="57"/>
      <c r="H150" s="65"/>
      <c r="I150" s="64"/>
      <c r="J150" s="65"/>
      <c r="K150" s="64"/>
    </row>
    <row r="151" spans="1:11" x14ac:dyDescent="0.2">
      <c r="A151">
        <v>2021</v>
      </c>
      <c r="B151" s="34">
        <v>212</v>
      </c>
      <c r="C151" s="34" t="s">
        <v>149</v>
      </c>
      <c r="D151" s="36">
        <v>51323</v>
      </c>
      <c r="E151" s="36">
        <v>223953</v>
      </c>
      <c r="F151" s="57"/>
      <c r="G151" s="57"/>
      <c r="H151" s="65"/>
      <c r="I151" s="64"/>
      <c r="J151" s="65"/>
      <c r="K151" s="64"/>
    </row>
    <row r="152" spans="1:11" x14ac:dyDescent="0.2">
      <c r="A152">
        <v>2021</v>
      </c>
      <c r="B152" s="34">
        <v>213</v>
      </c>
      <c r="C152" s="34" t="s">
        <v>150</v>
      </c>
      <c r="D152" s="36">
        <v>89224</v>
      </c>
      <c r="E152" s="36">
        <v>462711</v>
      </c>
      <c r="F152" s="57"/>
      <c r="G152" s="57"/>
      <c r="H152" s="65"/>
      <c r="I152" s="64"/>
      <c r="J152" s="65"/>
      <c r="K152" s="64"/>
    </row>
    <row r="153" spans="1:11" x14ac:dyDescent="0.2">
      <c r="A153">
        <v>2021</v>
      </c>
      <c r="B153" s="34">
        <v>214</v>
      </c>
      <c r="C153" s="34" t="s">
        <v>151</v>
      </c>
      <c r="D153" s="36">
        <v>48515</v>
      </c>
      <c r="E153" s="36">
        <v>197949</v>
      </c>
      <c r="F153" s="57"/>
      <c r="G153" s="57"/>
      <c r="H153" s="65"/>
      <c r="I153" s="64"/>
      <c r="J153" s="65"/>
      <c r="K153" s="64"/>
    </row>
    <row r="154" spans="1:11" x14ac:dyDescent="0.2">
      <c r="A154">
        <v>2021</v>
      </c>
      <c r="B154" s="34">
        <v>215</v>
      </c>
      <c r="C154" s="34" t="s">
        <v>152</v>
      </c>
      <c r="D154" s="36">
        <v>184158</v>
      </c>
      <c r="E154" s="36">
        <v>1297792</v>
      </c>
      <c r="F154" s="57"/>
      <c r="G154" s="57"/>
      <c r="H154" s="65"/>
      <c r="I154" s="64"/>
      <c r="J154" s="65"/>
      <c r="K154" s="64"/>
    </row>
    <row r="155" spans="1:11" x14ac:dyDescent="0.2">
      <c r="A155">
        <v>2021</v>
      </c>
      <c r="B155" s="34">
        <v>216</v>
      </c>
      <c r="C155" s="34" t="s">
        <v>153</v>
      </c>
      <c r="D155" s="36">
        <v>22729</v>
      </c>
      <c r="E155" s="36">
        <v>125342</v>
      </c>
      <c r="F155" s="57"/>
      <c r="G155" s="57"/>
      <c r="H155" s="65"/>
      <c r="I155" s="64"/>
      <c r="J155" s="65"/>
      <c r="K155" s="64"/>
    </row>
    <row r="156" spans="1:11" x14ac:dyDescent="0.2">
      <c r="A156">
        <v>2021</v>
      </c>
      <c r="B156" s="34">
        <v>217</v>
      </c>
      <c r="C156" s="34" t="s">
        <v>154</v>
      </c>
      <c r="D156" s="36">
        <v>506201</v>
      </c>
      <c r="E156" s="36">
        <v>2714028</v>
      </c>
      <c r="F156" s="57"/>
      <c r="G156" s="57"/>
      <c r="H156" s="65"/>
      <c r="I156" s="64"/>
      <c r="J156" s="65"/>
      <c r="K156" s="64"/>
    </row>
    <row r="157" spans="1:11" x14ac:dyDescent="0.2">
      <c r="A157">
        <v>2021</v>
      </c>
      <c r="B157" s="34">
        <v>218</v>
      </c>
      <c r="C157" s="34" t="s">
        <v>155</v>
      </c>
      <c r="D157" s="36">
        <v>292550</v>
      </c>
      <c r="E157" s="36">
        <v>2405598</v>
      </c>
      <c r="F157" s="57"/>
      <c r="G157" s="57"/>
      <c r="H157" s="65"/>
      <c r="I157" s="64"/>
      <c r="J157" s="65"/>
      <c r="K157" s="64"/>
    </row>
    <row r="158" spans="1:11" x14ac:dyDescent="0.2">
      <c r="A158">
        <v>2021</v>
      </c>
      <c r="B158" s="34">
        <v>219</v>
      </c>
      <c r="C158" s="34" t="s">
        <v>156</v>
      </c>
      <c r="D158" s="36">
        <v>302889</v>
      </c>
      <c r="E158" s="36">
        <v>1682389</v>
      </c>
      <c r="F158" s="57"/>
      <c r="G158" s="57"/>
      <c r="H158" s="65"/>
      <c r="I158" s="64"/>
      <c r="J158" s="65"/>
      <c r="K158" s="64"/>
    </row>
    <row r="159" spans="1:11" x14ac:dyDescent="0.2">
      <c r="A159">
        <v>2021</v>
      </c>
      <c r="B159" s="34">
        <v>220</v>
      </c>
      <c r="C159" s="34" t="s">
        <v>157</v>
      </c>
      <c r="D159" s="36">
        <v>45395</v>
      </c>
      <c r="E159" s="36">
        <v>244474</v>
      </c>
      <c r="F159" s="57"/>
      <c r="G159" s="57"/>
      <c r="H159" s="65"/>
      <c r="I159" s="64"/>
      <c r="J159" s="65"/>
      <c r="K159" s="64"/>
    </row>
    <row r="160" spans="1:11" x14ac:dyDescent="0.2">
      <c r="A160">
        <v>2021</v>
      </c>
      <c r="B160" s="34">
        <v>221</v>
      </c>
      <c r="C160" s="34" t="s">
        <v>554</v>
      </c>
      <c r="D160" s="36">
        <v>20779</v>
      </c>
      <c r="E160" s="36">
        <v>159570</v>
      </c>
      <c r="F160" s="57"/>
      <c r="G160" s="57"/>
      <c r="H160" s="65"/>
      <c r="I160" s="64"/>
      <c r="J160" s="65"/>
      <c r="K160" s="64"/>
    </row>
    <row r="161" spans="1:11" x14ac:dyDescent="0.2">
      <c r="A161">
        <v>2021</v>
      </c>
      <c r="B161" s="34">
        <v>222</v>
      </c>
      <c r="C161" s="34" t="s">
        <v>159</v>
      </c>
      <c r="D161" s="36">
        <v>7601</v>
      </c>
      <c r="E161" s="36">
        <v>61225</v>
      </c>
      <c r="F161" s="57"/>
      <c r="G161" s="57"/>
      <c r="H161" s="65"/>
      <c r="I161" s="64"/>
      <c r="J161" s="65"/>
      <c r="K161" s="64"/>
    </row>
    <row r="162" spans="1:11" x14ac:dyDescent="0.2">
      <c r="A162">
        <v>2021</v>
      </c>
      <c r="B162" s="34">
        <v>223</v>
      </c>
      <c r="C162" s="34" t="s">
        <v>160</v>
      </c>
      <c r="D162" s="36">
        <v>206941</v>
      </c>
      <c r="E162" s="36">
        <v>1597623</v>
      </c>
      <c r="F162" s="57"/>
      <c r="G162" s="57"/>
      <c r="H162" s="65"/>
      <c r="I162" s="64"/>
      <c r="J162" s="65"/>
      <c r="K162" s="64"/>
    </row>
    <row r="163" spans="1:11" x14ac:dyDescent="0.2">
      <c r="A163">
        <v>2021</v>
      </c>
      <c r="B163" s="34">
        <v>224</v>
      </c>
      <c r="C163" s="34" t="s">
        <v>161</v>
      </c>
      <c r="D163" s="36">
        <v>481704</v>
      </c>
      <c r="E163" s="36">
        <v>3365907</v>
      </c>
      <c r="F163" s="57"/>
      <c r="G163" s="57"/>
      <c r="H163" s="65"/>
      <c r="I163" s="64"/>
      <c r="J163" s="65"/>
      <c r="K163" s="64"/>
    </row>
    <row r="164" spans="1:11" x14ac:dyDescent="0.2">
      <c r="A164">
        <v>2021</v>
      </c>
      <c r="B164" s="34">
        <v>225</v>
      </c>
      <c r="C164" s="34" t="s">
        <v>162</v>
      </c>
      <c r="D164" s="36">
        <v>54648</v>
      </c>
      <c r="E164" s="36">
        <v>387062</v>
      </c>
      <c r="F164" s="57"/>
      <c r="G164" s="57"/>
      <c r="H164" s="65"/>
      <c r="I164" s="64"/>
      <c r="J164" s="65"/>
      <c r="K164" s="64"/>
    </row>
    <row r="165" spans="1:11" x14ac:dyDescent="0.2">
      <c r="A165">
        <v>2021</v>
      </c>
      <c r="B165" s="34">
        <v>229</v>
      </c>
      <c r="C165" s="34" t="s">
        <v>163</v>
      </c>
      <c r="D165" s="36">
        <v>97496</v>
      </c>
      <c r="E165" s="36">
        <v>671119</v>
      </c>
      <c r="F165" s="57"/>
      <c r="G165" s="57"/>
      <c r="H165" s="65"/>
      <c r="I165" s="64"/>
      <c r="J165" s="65"/>
      <c r="K165" s="64"/>
    </row>
    <row r="166" spans="1:11" x14ac:dyDescent="0.2">
      <c r="A166">
        <v>2021</v>
      </c>
      <c r="B166" s="34">
        <v>230</v>
      </c>
      <c r="C166" s="34" t="s">
        <v>164</v>
      </c>
      <c r="D166" s="36">
        <v>215502</v>
      </c>
      <c r="E166" s="36">
        <v>1120522</v>
      </c>
      <c r="F166" s="57"/>
      <c r="G166" s="57"/>
      <c r="H166" s="65"/>
      <c r="I166" s="64"/>
      <c r="J166" s="65"/>
      <c r="K166" s="64"/>
    </row>
    <row r="167" spans="1:11" x14ac:dyDescent="0.2">
      <c r="A167">
        <v>2021</v>
      </c>
      <c r="B167" s="34">
        <v>232</v>
      </c>
      <c r="C167" s="34" t="s">
        <v>165</v>
      </c>
      <c r="D167" s="36">
        <v>42253</v>
      </c>
      <c r="E167" s="36">
        <v>331683</v>
      </c>
      <c r="F167" s="57"/>
      <c r="G167" s="57"/>
      <c r="H167" s="65"/>
      <c r="I167" s="64"/>
      <c r="J167" s="65"/>
      <c r="K167" s="64"/>
    </row>
    <row r="168" spans="1:11" x14ac:dyDescent="0.2">
      <c r="A168">
        <v>2021</v>
      </c>
      <c r="B168" s="34">
        <v>233</v>
      </c>
      <c r="C168" s="34" t="s">
        <v>166</v>
      </c>
      <c r="D168" s="36">
        <v>26268</v>
      </c>
      <c r="E168" s="36">
        <v>276716</v>
      </c>
      <c r="F168" s="57"/>
      <c r="G168" s="57"/>
      <c r="H168" s="65"/>
      <c r="I168" s="64"/>
      <c r="J168" s="65"/>
      <c r="K168" s="64"/>
    </row>
    <row r="169" spans="1:11" x14ac:dyDescent="0.2">
      <c r="A169">
        <v>2021</v>
      </c>
      <c r="B169" s="34">
        <v>234</v>
      </c>
      <c r="C169" s="34" t="s">
        <v>167</v>
      </c>
      <c r="D169" s="36">
        <v>39631</v>
      </c>
      <c r="E169" s="36">
        <v>312509</v>
      </c>
      <c r="F169" s="57"/>
      <c r="G169" s="57"/>
      <c r="H169" s="65"/>
      <c r="I169" s="64"/>
      <c r="J169" s="65"/>
      <c r="K169" s="64"/>
    </row>
    <row r="170" spans="1:11" x14ac:dyDescent="0.2">
      <c r="A170">
        <v>2021</v>
      </c>
      <c r="B170" s="34">
        <v>235</v>
      </c>
      <c r="C170" s="34" t="s">
        <v>168</v>
      </c>
      <c r="D170" s="36">
        <v>555012</v>
      </c>
      <c r="E170" s="36">
        <v>3565066</v>
      </c>
      <c r="F170" s="57"/>
      <c r="G170" s="57"/>
      <c r="H170" s="65"/>
      <c r="I170" s="64"/>
      <c r="J170" s="65"/>
      <c r="K170" s="64"/>
    </row>
    <row r="171" spans="1:11" x14ac:dyDescent="0.2">
      <c r="A171">
        <v>2021</v>
      </c>
      <c r="B171" s="34">
        <v>236</v>
      </c>
      <c r="C171" s="34" t="s">
        <v>169</v>
      </c>
      <c r="D171" s="36">
        <v>635651</v>
      </c>
      <c r="E171" s="36">
        <v>3689459</v>
      </c>
      <c r="F171" s="57"/>
      <c r="G171" s="57"/>
      <c r="H171" s="65"/>
      <c r="I171" s="64"/>
      <c r="J171" s="65"/>
      <c r="K171" s="64"/>
    </row>
    <row r="172" spans="1:11" x14ac:dyDescent="0.2">
      <c r="A172">
        <v>2021</v>
      </c>
      <c r="B172" s="34">
        <v>237</v>
      </c>
      <c r="C172" s="34" t="s">
        <v>170</v>
      </c>
      <c r="D172" s="36">
        <v>76900</v>
      </c>
      <c r="E172" s="36">
        <v>500779</v>
      </c>
      <c r="F172" s="57"/>
      <c r="G172" s="57"/>
      <c r="H172" s="65"/>
      <c r="I172" s="64"/>
      <c r="J172" s="65"/>
      <c r="K172" s="64"/>
    </row>
    <row r="173" spans="1:11" x14ac:dyDescent="0.2">
      <c r="A173">
        <v>2021</v>
      </c>
      <c r="B173" s="34">
        <v>238</v>
      </c>
      <c r="C173" s="34" t="s">
        <v>171</v>
      </c>
      <c r="D173" s="36">
        <v>27231</v>
      </c>
      <c r="E173" s="36">
        <v>191648</v>
      </c>
      <c r="F173" s="57"/>
      <c r="G173" s="57"/>
      <c r="H173" s="65"/>
      <c r="I173" s="64"/>
      <c r="J173" s="65"/>
      <c r="K173" s="64"/>
    </row>
    <row r="174" spans="1:11" x14ac:dyDescent="0.2">
      <c r="A174">
        <v>2021</v>
      </c>
      <c r="B174" s="34">
        <v>239</v>
      </c>
      <c r="C174" s="34" t="s">
        <v>172</v>
      </c>
      <c r="D174" s="36">
        <v>156316</v>
      </c>
      <c r="E174" s="36">
        <v>919204</v>
      </c>
      <c r="F174" s="57"/>
      <c r="G174" s="57"/>
      <c r="H174" s="65"/>
      <c r="I174" s="64"/>
      <c r="J174" s="65"/>
      <c r="K174" s="64"/>
    </row>
    <row r="175" spans="1:11" x14ac:dyDescent="0.2">
      <c r="A175">
        <v>2021</v>
      </c>
      <c r="B175" s="34">
        <v>240</v>
      </c>
      <c r="C175" s="34" t="s">
        <v>216</v>
      </c>
      <c r="D175" s="36">
        <v>319502</v>
      </c>
      <c r="E175" s="36">
        <v>1632797</v>
      </c>
      <c r="F175" s="57"/>
      <c r="G175" s="57"/>
      <c r="H175" s="65"/>
      <c r="I175" s="64"/>
      <c r="J175" s="65"/>
      <c r="K175" s="64"/>
    </row>
    <row r="176" spans="1:11" x14ac:dyDescent="0.2">
      <c r="A176">
        <v>2021</v>
      </c>
      <c r="B176" s="34">
        <v>241</v>
      </c>
      <c r="C176" s="34" t="s">
        <v>173</v>
      </c>
      <c r="D176" s="36">
        <v>121680</v>
      </c>
      <c r="E176" s="36">
        <v>726255</v>
      </c>
      <c r="F176" s="57"/>
      <c r="G176" s="57"/>
      <c r="H176" s="65"/>
      <c r="I176" s="64"/>
      <c r="J176" s="65"/>
      <c r="K176" s="64"/>
    </row>
    <row r="177" spans="1:11" x14ac:dyDescent="0.2">
      <c r="A177">
        <v>2021</v>
      </c>
      <c r="B177" s="34">
        <v>242</v>
      </c>
      <c r="C177" s="34" t="s">
        <v>174</v>
      </c>
      <c r="D177" s="36">
        <v>3763852</v>
      </c>
      <c r="E177" s="36">
        <v>21679515</v>
      </c>
      <c r="F177" s="57"/>
      <c r="G177" s="57"/>
      <c r="H177" s="65"/>
      <c r="I177" s="64"/>
      <c r="J177" s="65"/>
      <c r="K177" s="64"/>
    </row>
    <row r="178" spans="1:11" x14ac:dyDescent="0.2">
      <c r="A178">
        <v>2021</v>
      </c>
      <c r="B178" s="34">
        <v>243</v>
      </c>
      <c r="C178" s="34" t="s">
        <v>175</v>
      </c>
      <c r="D178" s="36">
        <v>8959</v>
      </c>
      <c r="E178" s="36">
        <v>34819</v>
      </c>
      <c r="F178" s="57"/>
      <c r="G178" s="57"/>
      <c r="H178" s="65"/>
      <c r="I178" s="64"/>
      <c r="J178" s="65"/>
      <c r="K178" s="64"/>
    </row>
    <row r="179" spans="1:11" x14ac:dyDescent="0.2">
      <c r="A179">
        <v>2021</v>
      </c>
      <c r="B179" s="34">
        <v>244</v>
      </c>
      <c r="C179" s="34" t="s">
        <v>176</v>
      </c>
      <c r="D179" s="36">
        <v>33497</v>
      </c>
      <c r="E179" s="36">
        <v>130226</v>
      </c>
      <c r="F179" s="57"/>
      <c r="G179" s="57"/>
      <c r="H179" s="65"/>
      <c r="I179" s="64"/>
      <c r="J179" s="65"/>
      <c r="K179" s="64"/>
    </row>
    <row r="180" spans="1:11" x14ac:dyDescent="0.2">
      <c r="A180">
        <v>2021</v>
      </c>
      <c r="B180" s="34">
        <v>245</v>
      </c>
      <c r="C180" s="34" t="s">
        <v>177</v>
      </c>
      <c r="D180" s="36">
        <v>26239</v>
      </c>
      <c r="E180" s="36">
        <v>104793</v>
      </c>
      <c r="F180" s="57"/>
      <c r="G180" s="57"/>
      <c r="H180" s="65"/>
      <c r="I180" s="64"/>
      <c r="J180" s="65"/>
      <c r="K180" s="64"/>
    </row>
    <row r="181" spans="1:11" x14ac:dyDescent="0.2">
      <c r="A181">
        <v>2021</v>
      </c>
      <c r="B181" s="34">
        <v>246</v>
      </c>
      <c r="C181" s="34" t="s">
        <v>178</v>
      </c>
      <c r="D181" s="36">
        <v>10134</v>
      </c>
      <c r="E181" s="36">
        <v>58546</v>
      </c>
      <c r="F181" s="57"/>
      <c r="G181" s="57"/>
      <c r="H181" s="65"/>
      <c r="I181" s="64"/>
      <c r="J181" s="65"/>
      <c r="K181" s="64"/>
    </row>
    <row r="182" spans="1:11" x14ac:dyDescent="0.2">
      <c r="A182">
        <v>2021</v>
      </c>
      <c r="B182" s="34">
        <v>247</v>
      </c>
      <c r="C182" s="34" t="s">
        <v>179</v>
      </c>
      <c r="D182" s="36">
        <v>128550</v>
      </c>
      <c r="E182" s="36">
        <v>834445</v>
      </c>
      <c r="F182" s="57"/>
      <c r="G182" s="57"/>
      <c r="H182" s="65"/>
      <c r="I182" s="64"/>
      <c r="J182" s="65"/>
      <c r="K182" s="64"/>
    </row>
    <row r="183" spans="1:11" x14ac:dyDescent="0.2">
      <c r="A183">
        <v>2021</v>
      </c>
      <c r="B183" s="34">
        <v>248</v>
      </c>
      <c r="C183" s="34" t="s">
        <v>180</v>
      </c>
      <c r="D183" s="36">
        <v>24176</v>
      </c>
      <c r="E183" s="36">
        <v>75507</v>
      </c>
      <c r="F183" s="57"/>
      <c r="G183" s="57"/>
      <c r="H183" s="65"/>
      <c r="I183" s="64"/>
      <c r="J183" s="65"/>
      <c r="K183" s="64"/>
    </row>
    <row r="184" spans="1:11" x14ac:dyDescent="0.2">
      <c r="A184">
        <v>2021</v>
      </c>
      <c r="B184" s="34">
        <v>249</v>
      </c>
      <c r="C184" s="34" t="s">
        <v>181</v>
      </c>
      <c r="D184" s="36">
        <v>109111</v>
      </c>
      <c r="E184" s="36">
        <v>649311</v>
      </c>
      <c r="F184" s="57"/>
      <c r="G184" s="57"/>
      <c r="H184" s="65"/>
      <c r="I184" s="64"/>
      <c r="J184" s="65"/>
      <c r="K184" s="64"/>
    </row>
    <row r="185" spans="1:11" x14ac:dyDescent="0.2">
      <c r="A185">
        <v>2021</v>
      </c>
      <c r="B185" s="34">
        <v>250</v>
      </c>
      <c r="C185" s="34" t="s">
        <v>182</v>
      </c>
      <c r="D185" s="36">
        <v>30824</v>
      </c>
      <c r="E185" s="36">
        <v>169910</v>
      </c>
      <c r="F185" s="57"/>
      <c r="G185" s="57"/>
      <c r="H185" s="65"/>
      <c r="I185" s="64"/>
      <c r="J185" s="65"/>
      <c r="K185" s="64"/>
    </row>
    <row r="186" spans="1:11" x14ac:dyDescent="0.2">
      <c r="A186">
        <v>2021</v>
      </c>
      <c r="B186" s="34">
        <v>251</v>
      </c>
      <c r="C186" s="34" t="s">
        <v>183</v>
      </c>
      <c r="D186" s="36">
        <v>28835</v>
      </c>
      <c r="E186" s="36">
        <v>111617</v>
      </c>
      <c r="F186" s="57"/>
      <c r="G186" s="57"/>
      <c r="H186" s="65"/>
      <c r="I186" s="64"/>
      <c r="J186" s="65"/>
      <c r="K186" s="64"/>
    </row>
    <row r="187" spans="1:11" x14ac:dyDescent="0.2">
      <c r="A187">
        <v>2021</v>
      </c>
      <c r="B187" s="34">
        <v>252</v>
      </c>
      <c r="C187" s="34" t="s">
        <v>184</v>
      </c>
      <c r="D187" s="36">
        <v>18128</v>
      </c>
      <c r="E187" s="36">
        <v>88557</v>
      </c>
      <c r="F187" s="57"/>
      <c r="G187" s="57"/>
      <c r="H187" s="65"/>
      <c r="I187" s="64"/>
      <c r="J187" s="65"/>
      <c r="K187" s="64"/>
    </row>
    <row r="188" spans="1:11" x14ac:dyDescent="0.2">
      <c r="A188">
        <v>2021</v>
      </c>
      <c r="B188" s="34">
        <v>254</v>
      </c>
      <c r="C188" s="34" t="s">
        <v>185</v>
      </c>
      <c r="D188" s="36">
        <v>51827</v>
      </c>
      <c r="E188" s="36">
        <v>509491</v>
      </c>
      <c r="F188" s="57"/>
      <c r="G188" s="57"/>
      <c r="H188" s="65"/>
      <c r="I188" s="64"/>
      <c r="J188" s="65"/>
      <c r="K188" s="64"/>
    </row>
    <row r="189" spans="1:11" x14ac:dyDescent="0.2">
      <c r="A189">
        <v>2021</v>
      </c>
      <c r="B189" s="34">
        <v>256</v>
      </c>
      <c r="C189" s="34" t="s">
        <v>186</v>
      </c>
      <c r="D189" s="36">
        <v>5603</v>
      </c>
      <c r="E189" s="36">
        <v>41805</v>
      </c>
      <c r="F189" s="57"/>
      <c r="G189" s="57"/>
      <c r="H189" s="65"/>
      <c r="I189" s="64"/>
      <c r="J189" s="65"/>
      <c r="K189" s="64"/>
    </row>
    <row r="190" spans="1:11" x14ac:dyDescent="0.2">
      <c r="A190">
        <v>2021</v>
      </c>
      <c r="B190" s="34">
        <v>258</v>
      </c>
      <c r="C190" s="34" t="s">
        <v>187</v>
      </c>
      <c r="D190" s="36">
        <v>29813</v>
      </c>
      <c r="E190" s="36">
        <v>128733</v>
      </c>
      <c r="F190" s="57"/>
      <c r="G190" s="57"/>
      <c r="H190" s="65"/>
      <c r="I190" s="64"/>
      <c r="J190" s="65"/>
      <c r="K190" s="64"/>
    </row>
    <row r="191" spans="1:11" x14ac:dyDescent="0.2">
      <c r="A191">
        <v>2021</v>
      </c>
      <c r="B191" s="34">
        <v>259</v>
      </c>
      <c r="C191" s="34" t="s">
        <v>188</v>
      </c>
      <c r="D191" s="36">
        <v>6943</v>
      </c>
      <c r="E191" s="36">
        <v>77788</v>
      </c>
      <c r="F191" s="57"/>
      <c r="G191" s="57"/>
      <c r="H191" s="65"/>
      <c r="I191" s="64"/>
      <c r="J191" s="65"/>
      <c r="K191" s="64"/>
    </row>
    <row r="192" spans="1:11" x14ac:dyDescent="0.2">
      <c r="A192">
        <v>2021</v>
      </c>
      <c r="B192" s="34">
        <v>260</v>
      </c>
      <c r="C192" s="34" t="s">
        <v>189</v>
      </c>
      <c r="D192" s="36">
        <v>8292</v>
      </c>
      <c r="E192" s="36">
        <v>34506</v>
      </c>
      <c r="F192" s="57"/>
      <c r="G192" s="57"/>
      <c r="H192" s="65"/>
      <c r="I192" s="64"/>
      <c r="J192" s="65"/>
      <c r="K192" s="64"/>
    </row>
    <row r="193" spans="1:11" x14ac:dyDescent="0.2">
      <c r="A193">
        <v>2021</v>
      </c>
      <c r="B193" s="34">
        <v>261</v>
      </c>
      <c r="C193" s="34" t="s">
        <v>190</v>
      </c>
      <c r="D193" s="36">
        <v>10752</v>
      </c>
      <c r="E193" s="36">
        <v>95660</v>
      </c>
      <c r="F193" s="57"/>
      <c r="G193" s="57"/>
      <c r="H193" s="65"/>
      <c r="I193" s="64"/>
      <c r="J193" s="65"/>
      <c r="K193" s="64"/>
    </row>
    <row r="194" spans="1:11" x14ac:dyDescent="0.2">
      <c r="A194">
        <v>2021</v>
      </c>
      <c r="B194" s="34">
        <v>264</v>
      </c>
      <c r="C194" s="34" t="s">
        <v>191</v>
      </c>
      <c r="D194" s="36">
        <v>143155</v>
      </c>
      <c r="E194" s="36">
        <v>1332729</v>
      </c>
      <c r="F194" s="57"/>
      <c r="G194" s="57"/>
      <c r="H194" s="65"/>
      <c r="I194" s="64"/>
      <c r="J194" s="65"/>
      <c r="K194" s="64"/>
    </row>
    <row r="195" spans="1:11" x14ac:dyDescent="0.2">
      <c r="A195">
        <v>2021</v>
      </c>
      <c r="B195" s="34">
        <v>266</v>
      </c>
      <c r="C195" s="34" t="s">
        <v>192</v>
      </c>
      <c r="D195" s="36">
        <v>65655</v>
      </c>
      <c r="E195" s="36">
        <v>475315</v>
      </c>
      <c r="F195" s="57"/>
      <c r="G195" s="57"/>
      <c r="H195" s="65"/>
      <c r="I195" s="64"/>
      <c r="J195" s="65"/>
      <c r="K195" s="64"/>
    </row>
    <row r="196" spans="1:11" x14ac:dyDescent="0.2">
      <c r="A196">
        <v>2021</v>
      </c>
      <c r="B196" s="34">
        <v>267</v>
      </c>
      <c r="C196" s="34" t="s">
        <v>193</v>
      </c>
      <c r="D196" s="36">
        <v>45986</v>
      </c>
      <c r="E196" s="36">
        <v>238807</v>
      </c>
      <c r="F196" s="57"/>
      <c r="G196" s="57"/>
      <c r="H196" s="65"/>
      <c r="I196" s="64"/>
      <c r="J196" s="65"/>
      <c r="K196" s="64"/>
    </row>
    <row r="197" spans="1:11" x14ac:dyDescent="0.2">
      <c r="A197">
        <v>2021</v>
      </c>
      <c r="B197" s="34">
        <v>268</v>
      </c>
      <c r="C197" s="34" t="s">
        <v>194</v>
      </c>
      <c r="D197" s="36">
        <v>29219</v>
      </c>
      <c r="E197" s="36">
        <v>221279</v>
      </c>
      <c r="F197" s="57"/>
      <c r="G197" s="57"/>
      <c r="H197" s="65"/>
      <c r="I197" s="64"/>
      <c r="J197" s="65"/>
      <c r="K197" s="64"/>
    </row>
    <row r="198" spans="1:11" x14ac:dyDescent="0.2">
      <c r="A198">
        <v>2021</v>
      </c>
      <c r="B198" s="34">
        <v>269</v>
      </c>
      <c r="C198" s="34" t="s">
        <v>555</v>
      </c>
      <c r="D198" s="36">
        <v>42478</v>
      </c>
      <c r="E198" s="36">
        <v>203302</v>
      </c>
      <c r="F198" s="57"/>
      <c r="G198" s="57"/>
      <c r="H198" s="65"/>
      <c r="I198" s="64"/>
      <c r="J198" s="65"/>
      <c r="K198" s="64"/>
    </row>
    <row r="199" spans="1:11" x14ac:dyDescent="0.2">
      <c r="A199">
        <v>2021</v>
      </c>
      <c r="B199" s="34">
        <v>270</v>
      </c>
      <c r="C199" s="34" t="s">
        <v>196</v>
      </c>
      <c r="D199" s="36">
        <v>22980</v>
      </c>
      <c r="E199" s="36">
        <v>258376</v>
      </c>
      <c r="F199" s="57"/>
      <c r="G199" s="57"/>
      <c r="H199" s="65"/>
      <c r="I199" s="64"/>
      <c r="J199" s="65"/>
      <c r="K199" s="64"/>
    </row>
    <row r="200" spans="1:11" x14ac:dyDescent="0.2">
      <c r="A200">
        <v>2021</v>
      </c>
      <c r="B200" s="34">
        <v>271</v>
      </c>
      <c r="C200" s="34" t="s">
        <v>197</v>
      </c>
      <c r="D200" s="36">
        <v>31005</v>
      </c>
      <c r="E200" s="36">
        <v>255551</v>
      </c>
      <c r="F200" s="57"/>
      <c r="G200" s="57"/>
      <c r="H200" s="65"/>
      <c r="I200" s="64"/>
      <c r="J200" s="65"/>
      <c r="K200" s="64"/>
    </row>
    <row r="201" spans="1:11" x14ac:dyDescent="0.2">
      <c r="A201">
        <v>2021</v>
      </c>
      <c r="B201" s="34">
        <v>272</v>
      </c>
      <c r="C201" s="34" t="s">
        <v>198</v>
      </c>
      <c r="D201" s="36">
        <v>8231</v>
      </c>
      <c r="E201" s="36">
        <v>107517</v>
      </c>
      <c r="F201" s="57"/>
      <c r="G201" s="57"/>
      <c r="H201" s="65"/>
      <c r="I201" s="64"/>
      <c r="J201" s="65"/>
      <c r="K201" s="64"/>
    </row>
    <row r="202" spans="1:11" x14ac:dyDescent="0.2">
      <c r="A202">
        <v>2021</v>
      </c>
      <c r="B202" s="34">
        <v>273</v>
      </c>
      <c r="C202" s="34" t="s">
        <v>199</v>
      </c>
      <c r="D202" s="36">
        <v>50352</v>
      </c>
      <c r="E202" s="36">
        <v>331832</v>
      </c>
      <c r="F202" s="57"/>
      <c r="G202" s="57"/>
      <c r="H202" s="65"/>
      <c r="I202" s="64"/>
      <c r="J202" s="65"/>
      <c r="K202" s="64"/>
    </row>
    <row r="203" spans="1:11" x14ac:dyDescent="0.2">
      <c r="A203">
        <v>2021</v>
      </c>
      <c r="B203" s="34">
        <v>274</v>
      </c>
      <c r="C203" s="34" t="s">
        <v>200</v>
      </c>
      <c r="D203" s="36">
        <v>29672</v>
      </c>
      <c r="E203" s="36">
        <v>260319</v>
      </c>
      <c r="F203" s="57"/>
      <c r="G203" s="57"/>
      <c r="H203" s="65"/>
      <c r="I203" s="64"/>
      <c r="J203" s="65"/>
      <c r="K203" s="64"/>
    </row>
    <row r="204" spans="1:11" x14ac:dyDescent="0.2">
      <c r="A204">
        <v>2021</v>
      </c>
      <c r="B204" s="34">
        <v>275</v>
      </c>
      <c r="C204" s="34" t="s">
        <v>201</v>
      </c>
      <c r="D204" s="36">
        <v>44857</v>
      </c>
      <c r="E204" s="36">
        <v>437773</v>
      </c>
      <c r="F204" s="57"/>
      <c r="G204" s="57"/>
      <c r="H204" s="65"/>
      <c r="I204" s="64"/>
      <c r="J204" s="65"/>
      <c r="K204" s="64"/>
    </row>
    <row r="205" spans="1:11" x14ac:dyDescent="0.2">
      <c r="A205">
        <v>2021</v>
      </c>
      <c r="B205" s="34">
        <v>276</v>
      </c>
      <c r="C205" s="34" t="s">
        <v>202</v>
      </c>
      <c r="D205" s="36">
        <v>26078</v>
      </c>
      <c r="E205" s="36">
        <v>154282</v>
      </c>
      <c r="F205" s="57"/>
      <c r="G205" s="57"/>
      <c r="H205" s="65"/>
      <c r="I205" s="64"/>
      <c r="J205" s="65"/>
      <c r="K205" s="64"/>
    </row>
    <row r="206" spans="1:11" x14ac:dyDescent="0.2">
      <c r="A206">
        <v>2021</v>
      </c>
      <c r="B206" s="34">
        <v>277</v>
      </c>
      <c r="C206" s="34" t="s">
        <v>203</v>
      </c>
      <c r="D206" s="36">
        <v>113101</v>
      </c>
      <c r="E206" s="36">
        <v>783824</v>
      </c>
      <c r="F206" s="57"/>
      <c r="G206" s="57"/>
      <c r="H206" s="65"/>
      <c r="I206" s="64"/>
      <c r="J206" s="65"/>
      <c r="K206" s="64"/>
    </row>
    <row r="207" spans="1:11" x14ac:dyDescent="0.2">
      <c r="A207">
        <v>2021</v>
      </c>
      <c r="B207" s="34">
        <v>278</v>
      </c>
      <c r="C207" s="34" t="s">
        <v>204</v>
      </c>
      <c r="D207" s="36">
        <v>126322</v>
      </c>
      <c r="E207" s="36">
        <v>963279</v>
      </c>
      <c r="F207" s="57"/>
      <c r="G207" s="57"/>
      <c r="H207" s="65"/>
      <c r="I207" s="64"/>
      <c r="J207" s="65"/>
      <c r="K207" s="64"/>
    </row>
    <row r="208" spans="1:11" x14ac:dyDescent="0.2">
      <c r="A208">
        <v>2021</v>
      </c>
      <c r="B208" s="34">
        <v>279</v>
      </c>
      <c r="C208" s="34" t="s">
        <v>205</v>
      </c>
      <c r="D208" s="36">
        <v>39682</v>
      </c>
      <c r="E208" s="36">
        <v>217757</v>
      </c>
      <c r="F208" s="57"/>
      <c r="G208" s="57"/>
      <c r="H208" s="65"/>
      <c r="I208" s="64"/>
      <c r="J208" s="65"/>
      <c r="K208" s="64"/>
    </row>
    <row r="209" spans="1:11" x14ac:dyDescent="0.2">
      <c r="A209">
        <v>2021</v>
      </c>
      <c r="B209" s="34">
        <v>280</v>
      </c>
      <c r="C209" s="34" t="s">
        <v>206</v>
      </c>
      <c r="D209" s="36">
        <v>314835</v>
      </c>
      <c r="E209" s="36">
        <v>1904629</v>
      </c>
      <c r="F209" s="57"/>
      <c r="G209" s="57"/>
      <c r="H209" s="65"/>
      <c r="I209" s="64"/>
      <c r="J209" s="65"/>
      <c r="K209" s="64"/>
    </row>
    <row r="210" spans="1:11" x14ac:dyDescent="0.2">
      <c r="A210">
        <v>2021</v>
      </c>
      <c r="B210" s="34">
        <v>281</v>
      </c>
      <c r="C210" s="34" t="s">
        <v>207</v>
      </c>
      <c r="D210" s="36">
        <v>20593</v>
      </c>
      <c r="E210" s="36">
        <v>188230</v>
      </c>
      <c r="F210" s="57"/>
      <c r="G210" s="57"/>
      <c r="H210" s="65"/>
      <c r="I210" s="64"/>
      <c r="J210" s="65"/>
      <c r="K210" s="64"/>
    </row>
    <row r="211" spans="1:11" x14ac:dyDescent="0.2">
      <c r="A211">
        <v>2021</v>
      </c>
      <c r="B211" s="34">
        <v>282</v>
      </c>
      <c r="C211" s="34" t="s">
        <v>208</v>
      </c>
      <c r="D211" s="36">
        <v>52428</v>
      </c>
      <c r="E211" s="36">
        <v>348530</v>
      </c>
      <c r="F211" s="57"/>
      <c r="G211" s="57"/>
      <c r="H211" s="65"/>
      <c r="I211" s="64"/>
      <c r="J211" s="65"/>
      <c r="K211" s="64"/>
    </row>
    <row r="212" spans="1:11" x14ac:dyDescent="0.2">
      <c r="A212">
        <v>2021</v>
      </c>
      <c r="B212" s="34">
        <v>284</v>
      </c>
      <c r="C212" s="34" t="s">
        <v>209</v>
      </c>
      <c r="D212" s="36">
        <v>33635</v>
      </c>
      <c r="E212" s="36">
        <v>159049</v>
      </c>
      <c r="F212" s="57"/>
      <c r="G212" s="57"/>
      <c r="H212" s="65"/>
      <c r="I212" s="64"/>
      <c r="J212" s="65"/>
      <c r="K212" s="64"/>
    </row>
    <row r="213" spans="1:11" x14ac:dyDescent="0.2">
      <c r="A213">
        <v>2021</v>
      </c>
      <c r="B213" s="34">
        <v>285</v>
      </c>
      <c r="C213" s="34" t="s">
        <v>210</v>
      </c>
      <c r="D213" s="36">
        <v>47679</v>
      </c>
      <c r="E213" s="36">
        <v>216859</v>
      </c>
      <c r="F213" s="57"/>
      <c r="G213" s="57"/>
      <c r="H213" s="65"/>
      <c r="I213" s="64"/>
      <c r="J213" s="65"/>
      <c r="K213" s="64"/>
    </row>
    <row r="214" spans="1:11" x14ac:dyDescent="0.2">
      <c r="A214">
        <v>2021</v>
      </c>
      <c r="B214" s="34">
        <v>286</v>
      </c>
      <c r="C214" s="34" t="s">
        <v>211</v>
      </c>
      <c r="D214" s="36">
        <v>107357</v>
      </c>
      <c r="E214" s="36">
        <v>849540</v>
      </c>
      <c r="F214" s="57"/>
      <c r="G214" s="57"/>
      <c r="H214" s="65"/>
      <c r="I214" s="64"/>
      <c r="J214" s="65"/>
      <c r="K214" s="64"/>
    </row>
    <row r="215" spans="1:11" x14ac:dyDescent="0.2">
      <c r="A215">
        <v>2021</v>
      </c>
      <c r="B215" s="34">
        <v>287</v>
      </c>
      <c r="C215" s="34" t="s">
        <v>212</v>
      </c>
      <c r="D215" s="36">
        <v>20708</v>
      </c>
      <c r="E215" s="36">
        <v>65223</v>
      </c>
      <c r="F215" s="57"/>
      <c r="G215" s="57"/>
      <c r="H215" s="65"/>
      <c r="I215" s="64"/>
      <c r="J215" s="65"/>
      <c r="K215" s="64"/>
    </row>
    <row r="216" spans="1:11" x14ac:dyDescent="0.2">
      <c r="A216">
        <v>2021</v>
      </c>
      <c r="B216" s="34">
        <v>288</v>
      </c>
      <c r="C216" s="34" t="s">
        <v>213</v>
      </c>
      <c r="D216" s="36">
        <v>43244</v>
      </c>
      <c r="E216" s="36">
        <v>250647</v>
      </c>
      <c r="F216" s="57"/>
      <c r="G216" s="57"/>
      <c r="H216" s="65"/>
      <c r="I216" s="64"/>
      <c r="J216" s="65"/>
      <c r="K216" s="64"/>
    </row>
    <row r="217" spans="1:11" x14ac:dyDescent="0.2">
      <c r="A217">
        <v>2021</v>
      </c>
      <c r="B217" s="34">
        <v>289</v>
      </c>
      <c r="C217" s="34" t="s">
        <v>214</v>
      </c>
      <c r="D217" s="36">
        <v>724658</v>
      </c>
      <c r="E217" s="36">
        <v>4018590</v>
      </c>
      <c r="F217" s="57"/>
      <c r="G217" s="57"/>
      <c r="H217" s="65"/>
      <c r="I217" s="64"/>
      <c r="J217" s="65"/>
      <c r="K217" s="64"/>
    </row>
    <row r="218" spans="1:11" x14ac:dyDescent="0.2">
      <c r="A218">
        <v>2021</v>
      </c>
      <c r="B218" s="34">
        <v>290</v>
      </c>
      <c r="C218" s="34" t="s">
        <v>217</v>
      </c>
      <c r="D218" s="36">
        <v>1961097</v>
      </c>
      <c r="E218" s="36">
        <v>11748965</v>
      </c>
      <c r="F218" s="57"/>
      <c r="G218" s="57"/>
      <c r="H218" s="65"/>
      <c r="I218" s="64"/>
      <c r="J218" s="65"/>
      <c r="K218" s="64"/>
    </row>
    <row r="219" spans="1:11" x14ac:dyDescent="0.2">
      <c r="A219">
        <v>2021</v>
      </c>
      <c r="B219" s="34">
        <v>291</v>
      </c>
      <c r="C219" s="34" t="s">
        <v>218</v>
      </c>
      <c r="D219" s="36">
        <v>594572</v>
      </c>
      <c r="E219" s="36">
        <v>3430580</v>
      </c>
      <c r="F219" s="57"/>
      <c r="G219" s="57"/>
      <c r="H219" s="65"/>
      <c r="I219" s="64"/>
      <c r="J219" s="65"/>
      <c r="K219" s="64"/>
    </row>
    <row r="220" spans="1:11" x14ac:dyDescent="0.2">
      <c r="A220">
        <v>2021</v>
      </c>
      <c r="B220" s="34">
        <v>292</v>
      </c>
      <c r="C220" s="34" t="s">
        <v>219</v>
      </c>
      <c r="D220" s="36">
        <v>150450</v>
      </c>
      <c r="E220" s="36">
        <v>1518546</v>
      </c>
      <c r="F220" s="57"/>
      <c r="G220" s="57"/>
      <c r="H220" s="65"/>
      <c r="I220" s="64"/>
      <c r="J220" s="65"/>
      <c r="K220" s="64"/>
    </row>
    <row r="221" spans="1:11" x14ac:dyDescent="0.2">
      <c r="A221">
        <v>2021</v>
      </c>
      <c r="B221" s="34">
        <v>293</v>
      </c>
      <c r="C221" s="34" t="s">
        <v>220</v>
      </c>
      <c r="D221" s="36">
        <v>3232853</v>
      </c>
      <c r="E221" s="36">
        <v>16172867</v>
      </c>
      <c r="F221" s="57"/>
      <c r="G221" s="57"/>
      <c r="H221" s="65"/>
      <c r="I221" s="64"/>
      <c r="J221" s="65"/>
      <c r="K221" s="64"/>
    </row>
    <row r="222" spans="1:11" x14ac:dyDescent="0.2">
      <c r="A222">
        <v>2021</v>
      </c>
      <c r="B222" s="34">
        <v>294</v>
      </c>
      <c r="C222" s="34" t="s">
        <v>221</v>
      </c>
      <c r="D222" s="36">
        <v>797115</v>
      </c>
      <c r="E222" s="36">
        <v>4347594</v>
      </c>
      <c r="F222" s="57"/>
      <c r="G222" s="57"/>
      <c r="H222" s="65"/>
      <c r="I222" s="64"/>
      <c r="J222" s="65"/>
      <c r="K222" s="64"/>
    </row>
    <row r="223" spans="1:11" x14ac:dyDescent="0.2">
      <c r="A223">
        <v>2021</v>
      </c>
      <c r="B223" s="34">
        <v>295</v>
      </c>
      <c r="C223" s="34" t="s">
        <v>222</v>
      </c>
      <c r="D223" s="36">
        <v>1516121</v>
      </c>
      <c r="E223" s="36">
        <v>7595221</v>
      </c>
      <c r="F223" s="57"/>
      <c r="G223" s="57"/>
      <c r="H223" s="65"/>
      <c r="I223" s="64"/>
      <c r="J223" s="65"/>
      <c r="K223" s="64"/>
    </row>
    <row r="224" spans="1:11" x14ac:dyDescent="0.2">
      <c r="A224">
        <v>2021</v>
      </c>
      <c r="B224" s="34">
        <v>296</v>
      </c>
      <c r="C224" s="34" t="s">
        <v>223</v>
      </c>
      <c r="D224" s="36">
        <v>613014</v>
      </c>
      <c r="E224" s="36">
        <v>3768991</v>
      </c>
      <c r="F224" s="57"/>
      <c r="G224" s="57"/>
      <c r="H224" s="65"/>
      <c r="I224" s="64"/>
      <c r="J224" s="65"/>
      <c r="K224" s="64"/>
    </row>
    <row r="225" spans="1:11" x14ac:dyDescent="0.2">
      <c r="A225">
        <v>2021</v>
      </c>
      <c r="B225" s="34">
        <v>297</v>
      </c>
      <c r="C225" s="34" t="s">
        <v>224</v>
      </c>
      <c r="D225" s="36">
        <v>63752</v>
      </c>
      <c r="E225" s="36">
        <v>507370</v>
      </c>
      <c r="F225" s="57"/>
      <c r="G225" s="57"/>
      <c r="H225" s="65"/>
      <c r="I225" s="64"/>
      <c r="J225" s="65"/>
      <c r="K225" s="64"/>
    </row>
    <row r="226" spans="1:11" x14ac:dyDescent="0.2">
      <c r="A226">
        <v>2021</v>
      </c>
      <c r="B226" s="34">
        <v>298</v>
      </c>
      <c r="C226" s="34" t="s">
        <v>225</v>
      </c>
      <c r="D226" s="36">
        <v>2459591</v>
      </c>
      <c r="E226" s="36">
        <v>11048731</v>
      </c>
      <c r="F226" s="57"/>
      <c r="G226" s="57"/>
      <c r="H226" s="65"/>
      <c r="I226" s="64"/>
      <c r="J226" s="65"/>
      <c r="K226" s="64"/>
    </row>
    <row r="227" spans="1:11" x14ac:dyDescent="0.2">
      <c r="A227">
        <v>2021</v>
      </c>
      <c r="B227" s="34">
        <v>299</v>
      </c>
      <c r="C227" s="34" t="s">
        <v>226</v>
      </c>
      <c r="D227" s="36">
        <v>514581</v>
      </c>
      <c r="E227" s="36">
        <v>2647220</v>
      </c>
      <c r="F227" s="57"/>
      <c r="G227" s="57"/>
      <c r="H227" s="65"/>
      <c r="I227" s="64"/>
      <c r="J227" s="65"/>
      <c r="K227" s="64"/>
    </row>
    <row r="228" spans="1:11" x14ac:dyDescent="0.2">
      <c r="A228">
        <v>2021</v>
      </c>
      <c r="B228" s="34">
        <v>302</v>
      </c>
      <c r="C228" s="34" t="s">
        <v>227</v>
      </c>
      <c r="D228" s="36">
        <v>350380</v>
      </c>
      <c r="E228" s="36">
        <v>2132906</v>
      </c>
      <c r="F228" s="57"/>
      <c r="G228" s="57"/>
      <c r="H228" s="65"/>
      <c r="I228" s="64"/>
      <c r="J228" s="65"/>
      <c r="K228" s="64"/>
    </row>
    <row r="229" spans="1:11" x14ac:dyDescent="0.2">
      <c r="A229">
        <v>2021</v>
      </c>
      <c r="B229" s="34">
        <v>303</v>
      </c>
      <c r="C229" s="34" t="s">
        <v>556</v>
      </c>
      <c r="D229" s="36">
        <v>111735</v>
      </c>
      <c r="E229" s="36">
        <v>501474</v>
      </c>
      <c r="F229" s="57"/>
      <c r="G229" s="57"/>
      <c r="H229" s="65"/>
      <c r="I229" s="64"/>
      <c r="J229" s="65"/>
      <c r="K229" s="64"/>
    </row>
    <row r="230" spans="1:11" x14ac:dyDescent="0.2">
      <c r="A230">
        <v>2021</v>
      </c>
      <c r="B230" s="34">
        <v>304</v>
      </c>
      <c r="C230" s="34" t="s">
        <v>229</v>
      </c>
      <c r="D230" s="36">
        <v>43740</v>
      </c>
      <c r="E230" s="36">
        <v>319770</v>
      </c>
      <c r="F230" s="57"/>
      <c r="G230" s="57"/>
      <c r="H230" s="65"/>
      <c r="I230" s="64"/>
      <c r="J230" s="65"/>
      <c r="K230" s="64"/>
    </row>
    <row r="231" spans="1:11" x14ac:dyDescent="0.2">
      <c r="A231">
        <v>2021</v>
      </c>
      <c r="B231" s="34">
        <v>305</v>
      </c>
      <c r="C231" s="34" t="s">
        <v>230</v>
      </c>
      <c r="D231" s="36">
        <v>587222</v>
      </c>
      <c r="E231" s="36">
        <v>2906321</v>
      </c>
      <c r="F231" s="57"/>
      <c r="G231" s="57"/>
      <c r="H231" s="65"/>
      <c r="I231" s="64"/>
      <c r="J231" s="65"/>
      <c r="K231" s="64"/>
    </row>
    <row r="232" spans="1:11" x14ac:dyDescent="0.2">
      <c r="A232">
        <v>2021</v>
      </c>
      <c r="B232" s="34">
        <v>306</v>
      </c>
      <c r="C232" s="34" t="s">
        <v>231</v>
      </c>
      <c r="D232" s="36">
        <v>1014753</v>
      </c>
      <c r="E232" s="36">
        <v>5008021</v>
      </c>
      <c r="F232" s="57"/>
      <c r="G232" s="57"/>
      <c r="H232" s="65"/>
      <c r="I232" s="64"/>
      <c r="J232" s="65"/>
      <c r="K232" s="64"/>
    </row>
    <row r="233" spans="1:11" x14ac:dyDescent="0.2">
      <c r="A233">
        <v>2021</v>
      </c>
      <c r="B233" s="34">
        <v>307</v>
      </c>
      <c r="C233" s="34" t="s">
        <v>232</v>
      </c>
      <c r="D233" s="36">
        <v>567074</v>
      </c>
      <c r="E233" s="36">
        <v>3654894</v>
      </c>
      <c r="F233" s="57"/>
      <c r="G233" s="57"/>
      <c r="H233" s="65"/>
      <c r="I233" s="64"/>
      <c r="J233" s="65"/>
      <c r="K233" s="64"/>
    </row>
    <row r="234" spans="1:11" x14ac:dyDescent="0.2">
      <c r="A234">
        <v>2021</v>
      </c>
      <c r="B234" s="34">
        <v>308</v>
      </c>
      <c r="C234" s="34" t="s">
        <v>233</v>
      </c>
      <c r="D234" s="36">
        <v>20544</v>
      </c>
      <c r="E234" s="36">
        <v>90034</v>
      </c>
      <c r="F234" s="57"/>
      <c r="G234" s="57"/>
      <c r="H234" s="65"/>
      <c r="I234" s="64"/>
      <c r="J234" s="65"/>
      <c r="K234" s="64"/>
    </row>
    <row r="235" spans="1:11" x14ac:dyDescent="0.2">
      <c r="A235">
        <v>2021</v>
      </c>
      <c r="B235" s="34">
        <v>313</v>
      </c>
      <c r="C235" s="34" t="s">
        <v>234</v>
      </c>
      <c r="D235" s="36">
        <v>668103</v>
      </c>
      <c r="E235" s="36">
        <v>4831082</v>
      </c>
      <c r="F235" s="57"/>
      <c r="G235" s="57"/>
      <c r="H235" s="65"/>
      <c r="I235" s="64"/>
      <c r="J235" s="65"/>
      <c r="K235" s="64"/>
    </row>
    <row r="236" spans="1:11" x14ac:dyDescent="0.2">
      <c r="A236">
        <v>2021</v>
      </c>
      <c r="B236" s="34">
        <v>314</v>
      </c>
      <c r="C236" s="34" t="s">
        <v>557</v>
      </c>
      <c r="D236" s="36">
        <v>79341</v>
      </c>
      <c r="E236" s="36">
        <v>421206</v>
      </c>
      <c r="F236" s="57"/>
      <c r="G236" s="57"/>
      <c r="H236" s="65"/>
      <c r="I236" s="64"/>
      <c r="J236" s="65"/>
      <c r="K236" s="64"/>
    </row>
    <row r="237" spans="1:11" x14ac:dyDescent="0.2">
      <c r="A237">
        <v>2021</v>
      </c>
      <c r="B237" s="34">
        <v>315</v>
      </c>
      <c r="C237" s="34" t="s">
        <v>236</v>
      </c>
      <c r="D237" s="36">
        <v>364202</v>
      </c>
      <c r="E237" s="36">
        <v>2378668</v>
      </c>
      <c r="F237" s="57"/>
      <c r="G237" s="57"/>
      <c r="H237" s="65"/>
      <c r="I237" s="64"/>
      <c r="J237" s="65"/>
      <c r="K237" s="64"/>
    </row>
    <row r="238" spans="1:11" x14ac:dyDescent="0.2">
      <c r="A238">
        <v>2021</v>
      </c>
      <c r="B238" s="34">
        <v>317</v>
      </c>
      <c r="C238" s="34" t="s">
        <v>237</v>
      </c>
      <c r="D238" s="36">
        <v>247739</v>
      </c>
      <c r="E238" s="36">
        <v>1247458</v>
      </c>
      <c r="F238" s="57"/>
      <c r="G238" s="57"/>
      <c r="H238" s="65"/>
      <c r="I238" s="64"/>
      <c r="J238" s="65"/>
      <c r="K238" s="64"/>
    </row>
    <row r="239" spans="1:11" x14ac:dyDescent="0.2">
      <c r="A239">
        <v>2021</v>
      </c>
      <c r="B239" s="34">
        <v>318</v>
      </c>
      <c r="C239" s="34" t="s">
        <v>238</v>
      </c>
      <c r="D239" s="36">
        <v>321565</v>
      </c>
      <c r="E239" s="36">
        <v>2354919</v>
      </c>
      <c r="F239" s="57"/>
      <c r="G239" s="57"/>
      <c r="H239" s="65"/>
      <c r="I239" s="64"/>
      <c r="J239" s="65"/>
      <c r="K239" s="64"/>
    </row>
    <row r="240" spans="1:11" x14ac:dyDescent="0.2">
      <c r="A240">
        <v>2021</v>
      </c>
      <c r="B240" s="34">
        <v>319</v>
      </c>
      <c r="C240" s="34" t="s">
        <v>239</v>
      </c>
      <c r="D240" s="36">
        <v>148676</v>
      </c>
      <c r="E240" s="36">
        <v>840063</v>
      </c>
      <c r="F240" s="57"/>
      <c r="G240" s="57"/>
      <c r="H240" s="65"/>
      <c r="I240" s="64"/>
      <c r="J240" s="65"/>
      <c r="K240" s="64"/>
    </row>
    <row r="241" spans="1:11" x14ac:dyDescent="0.2">
      <c r="A241">
        <v>2021</v>
      </c>
      <c r="B241" s="34">
        <v>321</v>
      </c>
      <c r="C241" s="34" t="s">
        <v>240</v>
      </c>
      <c r="D241" s="36">
        <v>53042</v>
      </c>
      <c r="E241" s="36">
        <v>233857</v>
      </c>
      <c r="F241" s="57"/>
      <c r="G241" s="57"/>
      <c r="H241" s="65"/>
      <c r="I241" s="64"/>
      <c r="J241" s="65"/>
      <c r="K241" s="64"/>
    </row>
    <row r="242" spans="1:11" x14ac:dyDescent="0.2">
      <c r="A242">
        <v>2021</v>
      </c>
      <c r="B242" s="34">
        <v>322</v>
      </c>
      <c r="C242" s="34" t="s">
        <v>241</v>
      </c>
      <c r="D242" s="36">
        <v>322193</v>
      </c>
      <c r="E242" s="36">
        <v>2253185</v>
      </c>
      <c r="F242" s="57"/>
      <c r="G242" s="57"/>
      <c r="H242" s="65"/>
      <c r="I242" s="64"/>
      <c r="J242" s="65"/>
      <c r="K242" s="64"/>
    </row>
    <row r="243" spans="1:11" x14ac:dyDescent="0.2">
      <c r="A243">
        <v>2021</v>
      </c>
      <c r="B243" s="34">
        <v>323</v>
      </c>
      <c r="C243" s="34" t="s">
        <v>242</v>
      </c>
      <c r="D243" s="36">
        <v>1176626</v>
      </c>
      <c r="E243" s="36">
        <v>9472601</v>
      </c>
      <c r="F243" s="57"/>
      <c r="G243" s="57"/>
      <c r="H243" s="65"/>
      <c r="I243" s="64"/>
      <c r="J243" s="65"/>
      <c r="K243" s="64"/>
    </row>
    <row r="244" spans="1:11" x14ac:dyDescent="0.2">
      <c r="A244">
        <v>2021</v>
      </c>
      <c r="B244" s="34">
        <v>324</v>
      </c>
      <c r="C244" s="34" t="s">
        <v>243</v>
      </c>
      <c r="D244" s="36">
        <v>45497</v>
      </c>
      <c r="E244" s="36">
        <v>413648</v>
      </c>
      <c r="F244" s="57"/>
      <c r="G244" s="57"/>
      <c r="H244" s="65"/>
      <c r="I244" s="64"/>
      <c r="J244" s="65"/>
      <c r="K244" s="64"/>
    </row>
    <row r="245" spans="1:11" x14ac:dyDescent="0.2">
      <c r="A245">
        <v>2021</v>
      </c>
      <c r="B245" s="34">
        <v>325</v>
      </c>
      <c r="C245" s="34" t="s">
        <v>244</v>
      </c>
      <c r="D245" s="36">
        <v>283478</v>
      </c>
      <c r="E245" s="36">
        <v>1917107</v>
      </c>
      <c r="F245" s="57"/>
      <c r="G245" s="57"/>
      <c r="H245" s="65"/>
      <c r="I245" s="64"/>
      <c r="J245" s="65"/>
      <c r="K245" s="64"/>
    </row>
    <row r="246" spans="1:11" x14ac:dyDescent="0.2">
      <c r="A246">
        <v>2021</v>
      </c>
      <c r="B246" s="34">
        <v>326</v>
      </c>
      <c r="C246" s="34" t="s">
        <v>245</v>
      </c>
      <c r="D246" s="36">
        <v>28661</v>
      </c>
      <c r="E246" s="36">
        <v>185097</v>
      </c>
      <c r="F246" s="57"/>
      <c r="G246" s="57"/>
      <c r="H246" s="65"/>
      <c r="I246" s="64"/>
      <c r="J246" s="65"/>
      <c r="K246" s="64"/>
    </row>
    <row r="247" spans="1:11" x14ac:dyDescent="0.2">
      <c r="A247">
        <v>2021</v>
      </c>
      <c r="B247" s="34">
        <v>328</v>
      </c>
      <c r="C247" s="34" t="s">
        <v>246</v>
      </c>
      <c r="D247" s="36">
        <v>81994</v>
      </c>
      <c r="E247" s="36">
        <v>812181</v>
      </c>
      <c r="F247" s="57"/>
      <c r="G247" s="57"/>
      <c r="H247" s="65"/>
      <c r="I247" s="64"/>
      <c r="J247" s="65"/>
      <c r="K247" s="64"/>
    </row>
    <row r="248" spans="1:11" x14ac:dyDescent="0.2">
      <c r="A248">
        <v>2021</v>
      </c>
      <c r="B248" s="34">
        <v>329</v>
      </c>
      <c r="C248" s="34" t="s">
        <v>247</v>
      </c>
      <c r="D248" s="36">
        <v>19558</v>
      </c>
      <c r="E248" s="36">
        <v>118392</v>
      </c>
      <c r="F248" s="57"/>
      <c r="G248" s="57"/>
      <c r="H248" s="65"/>
      <c r="I248" s="64"/>
      <c r="J248" s="65"/>
      <c r="K248" s="64"/>
    </row>
    <row r="249" spans="1:11" x14ac:dyDescent="0.2">
      <c r="A249">
        <v>2021</v>
      </c>
      <c r="B249" s="34">
        <v>330</v>
      </c>
      <c r="C249" s="34" t="s">
        <v>248</v>
      </c>
      <c r="D249" s="36">
        <v>34873</v>
      </c>
      <c r="E249" s="36">
        <v>395105</v>
      </c>
      <c r="F249" s="57"/>
      <c r="G249" s="57"/>
      <c r="H249" s="65"/>
      <c r="I249" s="64"/>
      <c r="J249" s="65"/>
      <c r="K249" s="64"/>
    </row>
    <row r="250" spans="1:11" x14ac:dyDescent="0.2">
      <c r="A250">
        <v>2021</v>
      </c>
      <c r="B250" s="34">
        <v>331</v>
      </c>
      <c r="C250" s="34" t="s">
        <v>249</v>
      </c>
      <c r="D250" s="36">
        <v>430698</v>
      </c>
      <c r="E250" s="36">
        <v>2632289</v>
      </c>
      <c r="F250" s="57"/>
      <c r="G250" s="57"/>
      <c r="H250" s="65"/>
      <c r="I250" s="64"/>
      <c r="J250" s="65"/>
      <c r="K250" s="64"/>
    </row>
    <row r="251" spans="1:11" x14ac:dyDescent="0.2">
      <c r="A251">
        <v>2021</v>
      </c>
      <c r="B251" s="34">
        <v>332</v>
      </c>
      <c r="C251" s="34" t="s">
        <v>250</v>
      </c>
      <c r="D251" s="36">
        <v>215935</v>
      </c>
      <c r="E251" s="36">
        <v>1333301</v>
      </c>
      <c r="F251" s="57"/>
      <c r="G251" s="57"/>
      <c r="H251" s="65"/>
      <c r="I251" s="64"/>
      <c r="J251" s="65"/>
      <c r="K251" s="64"/>
    </row>
    <row r="252" spans="1:11" x14ac:dyDescent="0.2">
      <c r="A252">
        <v>2021</v>
      </c>
      <c r="B252" s="34">
        <v>333</v>
      </c>
      <c r="C252" s="34" t="s">
        <v>251</v>
      </c>
      <c r="D252" s="36">
        <v>50156</v>
      </c>
      <c r="E252" s="36">
        <v>227073</v>
      </c>
      <c r="F252" s="57"/>
      <c r="G252" s="57"/>
      <c r="H252" s="65"/>
      <c r="I252" s="64"/>
      <c r="J252" s="65"/>
      <c r="K252" s="64"/>
    </row>
    <row r="253" spans="1:11" x14ac:dyDescent="0.2">
      <c r="A253">
        <v>2021</v>
      </c>
      <c r="B253" s="34">
        <v>335</v>
      </c>
      <c r="C253" s="34" t="s">
        <v>558</v>
      </c>
      <c r="D253" s="36">
        <v>77697</v>
      </c>
      <c r="E253" s="36">
        <v>370267</v>
      </c>
      <c r="F253" s="57"/>
      <c r="G253" s="57"/>
      <c r="H253" s="65"/>
      <c r="I253" s="64"/>
      <c r="J253" s="65"/>
      <c r="K253" s="64"/>
    </row>
    <row r="254" spans="1:11" x14ac:dyDescent="0.2">
      <c r="A254">
        <v>2021</v>
      </c>
      <c r="B254" s="34">
        <v>336</v>
      </c>
      <c r="C254" s="34" t="s">
        <v>559</v>
      </c>
      <c r="D254" s="36">
        <v>70231</v>
      </c>
      <c r="E254" s="36">
        <v>490284</v>
      </c>
      <c r="F254" s="57"/>
      <c r="G254" s="57"/>
      <c r="H254" s="65"/>
      <c r="I254" s="64"/>
      <c r="J254" s="65"/>
      <c r="K254" s="64"/>
    </row>
    <row r="255" spans="1:11" x14ac:dyDescent="0.2">
      <c r="A255">
        <v>2021</v>
      </c>
      <c r="B255" s="34">
        <v>337</v>
      </c>
      <c r="C255" s="34" t="s">
        <v>254</v>
      </c>
      <c r="D255" s="36">
        <v>645172</v>
      </c>
      <c r="E255" s="36">
        <v>3067584</v>
      </c>
      <c r="F255" s="57"/>
      <c r="G255" s="57"/>
      <c r="H255" s="65"/>
      <c r="I255" s="64"/>
      <c r="J255" s="65"/>
      <c r="K255" s="64"/>
    </row>
    <row r="256" spans="1:11" x14ac:dyDescent="0.2">
      <c r="A256">
        <v>2021</v>
      </c>
      <c r="B256" s="34">
        <v>339</v>
      </c>
      <c r="C256" s="34" t="s">
        <v>255</v>
      </c>
      <c r="D256" s="36">
        <v>12582</v>
      </c>
      <c r="E256" s="36">
        <v>52268</v>
      </c>
      <c r="F256" s="57"/>
      <c r="G256" s="57"/>
      <c r="H256" s="65"/>
      <c r="I256" s="64"/>
      <c r="J256" s="65"/>
      <c r="K256" s="64"/>
    </row>
    <row r="257" spans="1:11" x14ac:dyDescent="0.2">
      <c r="A257">
        <v>2021</v>
      </c>
      <c r="B257" s="34">
        <v>340</v>
      </c>
      <c r="C257" s="34" t="s">
        <v>256</v>
      </c>
      <c r="D257" s="36">
        <v>54555</v>
      </c>
      <c r="E257" s="36">
        <v>261847</v>
      </c>
      <c r="F257" s="57"/>
      <c r="G257" s="57"/>
      <c r="H257" s="65"/>
      <c r="I257" s="64"/>
      <c r="J257" s="65"/>
      <c r="K257" s="64"/>
    </row>
    <row r="258" spans="1:11" x14ac:dyDescent="0.2">
      <c r="A258">
        <v>2021</v>
      </c>
      <c r="B258" s="34">
        <v>351</v>
      </c>
      <c r="C258" s="34" t="s">
        <v>560</v>
      </c>
      <c r="D258" s="36">
        <v>57665</v>
      </c>
      <c r="E258" s="36">
        <v>387556</v>
      </c>
      <c r="F258" s="57"/>
      <c r="G258" s="57"/>
      <c r="H258" s="65"/>
      <c r="I258" s="64"/>
      <c r="J258" s="65"/>
      <c r="K258" s="64"/>
    </row>
    <row r="259" spans="1:11" x14ac:dyDescent="0.2">
      <c r="A259">
        <v>2021</v>
      </c>
      <c r="B259" s="34">
        <v>352</v>
      </c>
      <c r="C259" s="34" t="s">
        <v>258</v>
      </c>
      <c r="D259" s="36">
        <v>121763</v>
      </c>
      <c r="E259" s="36">
        <v>801608</v>
      </c>
      <c r="F259" s="57"/>
      <c r="G259" s="57"/>
      <c r="H259" s="65"/>
      <c r="I259" s="64"/>
      <c r="J259" s="65"/>
      <c r="K259" s="64"/>
    </row>
    <row r="260" spans="1:11" x14ac:dyDescent="0.2">
      <c r="A260">
        <v>2021</v>
      </c>
      <c r="B260" s="34">
        <v>353</v>
      </c>
      <c r="C260" s="34" t="s">
        <v>259</v>
      </c>
      <c r="D260" s="36">
        <v>166968</v>
      </c>
      <c r="E260" s="36">
        <v>1487057</v>
      </c>
      <c r="F260" s="57"/>
      <c r="G260" s="57"/>
      <c r="H260" s="65"/>
      <c r="I260" s="64"/>
      <c r="J260" s="65"/>
      <c r="K260" s="64"/>
    </row>
    <row r="261" spans="1:11" x14ac:dyDescent="0.2">
      <c r="A261">
        <v>2021</v>
      </c>
      <c r="B261" s="59">
        <v>354</v>
      </c>
      <c r="C261" s="34" t="s">
        <v>686</v>
      </c>
      <c r="D261" s="36">
        <v>38690</v>
      </c>
      <c r="E261" s="36">
        <v>318922</v>
      </c>
      <c r="F261" s="57"/>
      <c r="G261" s="65"/>
      <c r="H261" s="64"/>
      <c r="I261" s="65"/>
      <c r="J261" s="64"/>
    </row>
    <row r="262" spans="1:11" x14ac:dyDescent="0.2">
      <c r="A262">
        <v>2021</v>
      </c>
      <c r="B262" s="59">
        <v>355</v>
      </c>
      <c r="C262" s="34" t="s">
        <v>687</v>
      </c>
      <c r="D262" s="36">
        <v>58118</v>
      </c>
      <c r="E262" s="36">
        <v>300170</v>
      </c>
      <c r="F262" s="57"/>
      <c r="G262" s="65"/>
      <c r="H262" s="64"/>
      <c r="I262" s="65"/>
      <c r="J262" s="64"/>
    </row>
    <row r="263" spans="1:11" x14ac:dyDescent="0.2">
      <c r="A263">
        <v>2021</v>
      </c>
      <c r="B263" s="59">
        <v>356</v>
      </c>
      <c r="C263" s="34" t="s">
        <v>688</v>
      </c>
      <c r="D263" s="36">
        <v>101499</v>
      </c>
      <c r="E263" s="36">
        <v>799623</v>
      </c>
      <c r="F263" s="57"/>
      <c r="G263" s="65"/>
      <c r="H263" s="64"/>
      <c r="I263" s="65"/>
      <c r="J263" s="64"/>
    </row>
    <row r="264" spans="1:11" x14ac:dyDescent="0.2">
      <c r="A264">
        <v>2021</v>
      </c>
      <c r="B264" s="59">
        <v>357</v>
      </c>
      <c r="C264" s="34" t="s">
        <v>689</v>
      </c>
      <c r="D264" s="36">
        <v>72608</v>
      </c>
      <c r="E264" s="36">
        <v>320650</v>
      </c>
      <c r="F264" s="57"/>
      <c r="G264" s="65"/>
      <c r="H264" s="64"/>
      <c r="I264" s="65"/>
      <c r="J264" s="64"/>
    </row>
    <row r="265" spans="1:11" x14ac:dyDescent="0.2">
      <c r="A265">
        <v>2021</v>
      </c>
      <c r="B265" s="59">
        <v>358</v>
      </c>
      <c r="C265" s="34" t="s">
        <v>690</v>
      </c>
      <c r="D265" s="36">
        <v>120459</v>
      </c>
      <c r="E265" s="36">
        <v>1018482</v>
      </c>
      <c r="F265" s="57"/>
      <c r="G265" s="65"/>
      <c r="H265" s="64"/>
      <c r="I265" s="65"/>
      <c r="J265" s="64"/>
    </row>
    <row r="266" spans="1:11" x14ac:dyDescent="0.2">
      <c r="A266">
        <v>2021</v>
      </c>
      <c r="B266" s="59">
        <v>359</v>
      </c>
      <c r="C266" s="34" t="s">
        <v>691</v>
      </c>
      <c r="D266" s="36">
        <v>48933</v>
      </c>
      <c r="E266" s="36">
        <v>456869</v>
      </c>
      <c r="F266" s="57"/>
      <c r="G266" s="65"/>
      <c r="H266" s="64"/>
      <c r="I266" s="65"/>
      <c r="J266" s="64"/>
    </row>
    <row r="267" spans="1:11" x14ac:dyDescent="0.2">
      <c r="A267">
        <v>2021</v>
      </c>
      <c r="B267" s="59">
        <v>360</v>
      </c>
      <c r="C267" s="34" t="s">
        <v>692</v>
      </c>
      <c r="D267" s="36">
        <v>37953</v>
      </c>
      <c r="E267" s="36">
        <v>320014</v>
      </c>
      <c r="F267" s="57"/>
      <c r="G267" s="65"/>
      <c r="H267" s="64"/>
      <c r="I267" s="65"/>
      <c r="J267" s="64"/>
    </row>
    <row r="268" spans="1:11" x14ac:dyDescent="0.2">
      <c r="A268">
        <v>2021</v>
      </c>
      <c r="B268" s="59">
        <v>361</v>
      </c>
      <c r="C268" s="34" t="s">
        <v>693</v>
      </c>
      <c r="D268" s="36">
        <v>140137</v>
      </c>
      <c r="E268" s="36">
        <v>1292816</v>
      </c>
      <c r="F268" s="57"/>
      <c r="G268" s="65"/>
      <c r="H268" s="64"/>
      <c r="I268" s="65"/>
      <c r="J268" s="64"/>
    </row>
    <row r="269" spans="1:11" x14ac:dyDescent="0.2">
      <c r="A269">
        <v>2021</v>
      </c>
      <c r="B269" s="59">
        <v>362</v>
      </c>
      <c r="C269" s="34" t="s">
        <v>694</v>
      </c>
      <c r="D269" s="36">
        <v>68020</v>
      </c>
      <c r="E269" s="36">
        <v>517793</v>
      </c>
      <c r="F269" s="57"/>
      <c r="G269" s="65"/>
      <c r="H269" s="64"/>
      <c r="I269" s="65"/>
      <c r="J269" s="64"/>
    </row>
    <row r="270" spans="1:11" x14ac:dyDescent="0.2">
      <c r="A270">
        <v>2021</v>
      </c>
      <c r="B270" s="59">
        <v>363</v>
      </c>
      <c r="C270" s="34" t="s">
        <v>695</v>
      </c>
      <c r="D270" s="36">
        <v>66627</v>
      </c>
      <c r="E270" s="36">
        <v>369383</v>
      </c>
      <c r="F270" s="57"/>
      <c r="G270" s="65"/>
      <c r="H270" s="64"/>
      <c r="I270" s="65"/>
      <c r="J270" s="64"/>
    </row>
    <row r="271" spans="1:11" x14ac:dyDescent="0.2">
      <c r="A271">
        <v>2021</v>
      </c>
      <c r="B271" s="59">
        <v>364</v>
      </c>
      <c r="C271" s="34" t="s">
        <v>696</v>
      </c>
      <c r="D271" s="36">
        <v>110690</v>
      </c>
      <c r="E271" s="36">
        <v>642547</v>
      </c>
      <c r="F271" s="57"/>
      <c r="G271" s="65"/>
      <c r="H271" s="64"/>
      <c r="I271" s="65"/>
      <c r="J271" s="64"/>
    </row>
    <row r="272" spans="1:11" x14ac:dyDescent="0.2">
      <c r="A272">
        <v>2021</v>
      </c>
      <c r="B272" s="59">
        <v>365</v>
      </c>
      <c r="C272" s="34" t="s">
        <v>697</v>
      </c>
      <c r="D272" s="36">
        <v>41070</v>
      </c>
      <c r="E272" s="36">
        <v>270583</v>
      </c>
      <c r="F272" s="57"/>
      <c r="G272" s="65"/>
      <c r="H272" s="64"/>
      <c r="I272" s="65"/>
      <c r="J272" s="64"/>
    </row>
    <row r="273" spans="1:10" x14ac:dyDescent="0.2">
      <c r="A273">
        <v>2021</v>
      </c>
      <c r="B273" s="59">
        <v>366</v>
      </c>
      <c r="C273" s="34" t="s">
        <v>698</v>
      </c>
      <c r="D273" s="36">
        <v>97586</v>
      </c>
      <c r="E273" s="36">
        <v>536696</v>
      </c>
      <c r="F273" s="57"/>
      <c r="G273" s="65"/>
      <c r="H273" s="64"/>
      <c r="I273" s="65"/>
      <c r="J273" s="64"/>
    </row>
    <row r="274" spans="1:10" x14ac:dyDescent="0.2">
      <c r="A274">
        <v>2021</v>
      </c>
      <c r="B274" s="59">
        <v>367</v>
      </c>
      <c r="C274" s="34" t="s">
        <v>699</v>
      </c>
      <c r="D274" s="36">
        <v>784532</v>
      </c>
      <c r="E274" s="36">
        <v>4628129</v>
      </c>
      <c r="F274" s="57"/>
      <c r="G274" s="65"/>
      <c r="H274" s="64"/>
      <c r="I274" s="65"/>
      <c r="J274" s="64"/>
    </row>
    <row r="275" spans="1:10" x14ac:dyDescent="0.2">
      <c r="A275">
        <v>2021</v>
      </c>
      <c r="B275" s="59">
        <v>368</v>
      </c>
      <c r="C275" s="34" t="s">
        <v>700</v>
      </c>
      <c r="D275" s="36">
        <v>183018</v>
      </c>
      <c r="E275" s="36">
        <v>1019087</v>
      </c>
      <c r="F275" s="57"/>
      <c r="G275" s="65"/>
      <c r="H275" s="64"/>
      <c r="I275" s="65"/>
      <c r="J275" s="64"/>
    </row>
    <row r="276" spans="1:10" x14ac:dyDescent="0.2">
      <c r="A276">
        <v>2021</v>
      </c>
      <c r="B276" s="59">
        <v>369</v>
      </c>
      <c r="C276" s="34" t="s">
        <v>701</v>
      </c>
      <c r="D276" s="36">
        <v>24745</v>
      </c>
      <c r="E276" s="36">
        <v>184339</v>
      </c>
      <c r="F276" s="57"/>
      <c r="G276" s="65"/>
      <c r="H276" s="64"/>
      <c r="I276" s="65"/>
      <c r="J276" s="64"/>
    </row>
    <row r="277" spans="1:10" x14ac:dyDescent="0.2">
      <c r="A277">
        <v>2021</v>
      </c>
      <c r="B277" s="59">
        <v>370</v>
      </c>
      <c r="C277" s="34" t="s">
        <v>702</v>
      </c>
      <c r="D277" s="36">
        <v>22714</v>
      </c>
      <c r="E277" s="36">
        <v>117104</v>
      </c>
      <c r="F277" s="57"/>
      <c r="G277" s="65"/>
      <c r="H277" s="64"/>
      <c r="I277" s="65"/>
      <c r="J277" s="64"/>
    </row>
    <row r="278" spans="1:10" x14ac:dyDescent="0.2">
      <c r="A278">
        <v>2021</v>
      </c>
      <c r="B278" s="59">
        <v>371</v>
      </c>
      <c r="C278" s="34" t="s">
        <v>703</v>
      </c>
      <c r="D278" s="36">
        <v>95158</v>
      </c>
      <c r="E278" s="36">
        <v>750306</v>
      </c>
      <c r="F278" s="57"/>
      <c r="G278" s="65"/>
      <c r="H278" s="64"/>
      <c r="I278" s="65"/>
      <c r="J278" s="64"/>
    </row>
    <row r="279" spans="1:10" x14ac:dyDescent="0.2">
      <c r="A279">
        <v>2021</v>
      </c>
      <c r="B279" s="59">
        <v>372</v>
      </c>
      <c r="C279" s="34" t="s">
        <v>704</v>
      </c>
      <c r="D279" s="36">
        <v>27299</v>
      </c>
      <c r="E279" s="36">
        <v>170003</v>
      </c>
      <c r="F279" s="57"/>
      <c r="G279" s="65"/>
      <c r="H279" s="64"/>
      <c r="I279" s="65"/>
      <c r="J279" s="64"/>
    </row>
    <row r="280" spans="1:10" x14ac:dyDescent="0.2">
      <c r="A280">
        <v>2021</v>
      </c>
      <c r="B280" s="59">
        <v>373</v>
      </c>
      <c r="C280" s="34" t="s">
        <v>705</v>
      </c>
      <c r="D280" s="36">
        <v>65610</v>
      </c>
      <c r="E280" s="36">
        <v>504523</v>
      </c>
      <c r="F280" s="57"/>
      <c r="G280" s="65"/>
      <c r="H280" s="64"/>
      <c r="I280" s="65"/>
      <c r="J280" s="64"/>
    </row>
    <row r="281" spans="1:10" x14ac:dyDescent="0.2">
      <c r="A281">
        <v>2021</v>
      </c>
      <c r="B281" s="59">
        <v>374</v>
      </c>
      <c r="C281" s="34" t="s">
        <v>706</v>
      </c>
      <c r="D281" s="36">
        <v>20130</v>
      </c>
      <c r="E281" s="36">
        <v>122638</v>
      </c>
      <c r="F281" s="57"/>
      <c r="G281" s="65"/>
      <c r="H281" s="64"/>
      <c r="I281" s="65"/>
      <c r="J281" s="64"/>
    </row>
    <row r="282" spans="1:10" x14ac:dyDescent="0.2">
      <c r="A282">
        <v>2021</v>
      </c>
      <c r="B282" s="59">
        <v>375</v>
      </c>
      <c r="C282" s="34" t="s">
        <v>707</v>
      </c>
      <c r="D282" s="36">
        <v>172449</v>
      </c>
      <c r="E282" s="36">
        <v>1449992</v>
      </c>
      <c r="F282" s="57"/>
      <c r="G282" s="65"/>
      <c r="H282" s="64"/>
      <c r="I282" s="65"/>
      <c r="J282" s="64"/>
    </row>
    <row r="283" spans="1:10" x14ac:dyDescent="0.2">
      <c r="A283">
        <v>2021</v>
      </c>
      <c r="B283" s="59">
        <v>376</v>
      </c>
      <c r="C283" s="34" t="s">
        <v>708</v>
      </c>
      <c r="D283" s="36">
        <v>13046</v>
      </c>
      <c r="E283" s="36">
        <v>43002</v>
      </c>
      <c r="F283" s="57"/>
      <c r="G283" s="65"/>
      <c r="H283" s="64"/>
      <c r="I283" s="65"/>
      <c r="J283" s="64"/>
    </row>
    <row r="284" spans="1:10" x14ac:dyDescent="0.2">
      <c r="A284">
        <v>2021</v>
      </c>
      <c r="B284" s="59">
        <v>378</v>
      </c>
      <c r="C284" s="34" t="s">
        <v>709</v>
      </c>
      <c r="D284" s="36">
        <v>405944</v>
      </c>
      <c r="E284" s="36">
        <v>2457464</v>
      </c>
      <c r="F284" s="57"/>
      <c r="G284" s="65"/>
      <c r="H284" s="64"/>
      <c r="I284" s="65"/>
      <c r="J284" s="64"/>
    </row>
    <row r="285" spans="1:10" x14ac:dyDescent="0.2">
      <c r="A285">
        <v>2021</v>
      </c>
      <c r="B285" s="59">
        <v>379</v>
      </c>
      <c r="C285" s="34" t="s">
        <v>710</v>
      </c>
      <c r="D285" s="36">
        <v>133018</v>
      </c>
      <c r="E285" s="36">
        <v>944121</v>
      </c>
      <c r="F285" s="57"/>
      <c r="G285" s="65"/>
      <c r="H285" s="64"/>
      <c r="I285" s="65"/>
      <c r="J285" s="64"/>
    </row>
    <row r="286" spans="1:10" x14ac:dyDescent="0.2">
      <c r="A286">
        <v>2021</v>
      </c>
      <c r="B286" s="59">
        <v>380</v>
      </c>
      <c r="C286" s="34" t="s">
        <v>711</v>
      </c>
      <c r="D286" s="36">
        <v>32607</v>
      </c>
      <c r="E286" s="36">
        <v>292045</v>
      </c>
      <c r="F286" s="57"/>
      <c r="G286" s="65"/>
      <c r="H286" s="64"/>
      <c r="I286" s="65"/>
      <c r="J286" s="64"/>
    </row>
    <row r="287" spans="1:10" x14ac:dyDescent="0.2">
      <c r="A287">
        <v>2021</v>
      </c>
      <c r="B287" s="59">
        <v>381</v>
      </c>
      <c r="C287" s="34" t="s">
        <v>712</v>
      </c>
      <c r="D287" s="36">
        <v>18478</v>
      </c>
      <c r="E287" s="36">
        <v>120497</v>
      </c>
      <c r="F287" s="57"/>
      <c r="G287" s="65"/>
      <c r="H287" s="64"/>
      <c r="I287" s="65"/>
      <c r="J287" s="64"/>
    </row>
    <row r="288" spans="1:10" x14ac:dyDescent="0.2">
      <c r="A288">
        <v>2021</v>
      </c>
      <c r="B288" s="59">
        <v>383</v>
      </c>
      <c r="C288" s="34" t="s">
        <v>713</v>
      </c>
      <c r="D288" s="36">
        <v>31488</v>
      </c>
      <c r="E288" s="36">
        <v>150999</v>
      </c>
      <c r="F288" s="57"/>
      <c r="G288" s="65"/>
      <c r="H288" s="64"/>
      <c r="I288" s="65"/>
      <c r="J288" s="64"/>
    </row>
    <row r="289" spans="1:10" x14ac:dyDescent="0.2">
      <c r="A289">
        <v>2021</v>
      </c>
      <c r="B289" s="59">
        <v>384</v>
      </c>
      <c r="C289" s="34" t="s">
        <v>714</v>
      </c>
      <c r="D289" s="36">
        <v>17198</v>
      </c>
      <c r="E289" s="36">
        <v>169225</v>
      </c>
      <c r="F289" s="57"/>
      <c r="G289" s="65"/>
      <c r="H289" s="64"/>
      <c r="I289" s="65"/>
      <c r="J289" s="64"/>
    </row>
    <row r="290" spans="1:10" x14ac:dyDescent="0.2">
      <c r="A290">
        <v>2021</v>
      </c>
      <c r="B290" s="59">
        <v>386</v>
      </c>
      <c r="C290" s="34" t="s">
        <v>715</v>
      </c>
      <c r="D290" s="36">
        <v>8029</v>
      </c>
      <c r="E290" s="36">
        <v>47195</v>
      </c>
      <c r="F290" s="57"/>
      <c r="G290" s="65"/>
      <c r="H290" s="64"/>
      <c r="I290" s="65"/>
      <c r="J290" s="64"/>
    </row>
    <row r="291" spans="1:10" x14ac:dyDescent="0.2">
      <c r="A291">
        <v>2021</v>
      </c>
      <c r="B291" s="59">
        <v>388</v>
      </c>
      <c r="C291" s="34" t="s">
        <v>716</v>
      </c>
      <c r="D291" s="36">
        <v>226724</v>
      </c>
      <c r="E291" s="36">
        <v>1325550</v>
      </c>
      <c r="F291" s="57"/>
      <c r="G291" s="65"/>
      <c r="H291" s="64"/>
      <c r="I291" s="65"/>
      <c r="J291" s="64"/>
    </row>
    <row r="292" spans="1:10" x14ac:dyDescent="0.2">
      <c r="A292">
        <v>2021</v>
      </c>
      <c r="B292" s="59">
        <v>389</v>
      </c>
      <c r="C292" s="34" t="s">
        <v>717</v>
      </c>
      <c r="D292" s="36">
        <v>18095</v>
      </c>
      <c r="E292" s="36">
        <v>126580</v>
      </c>
      <c r="F292" s="57"/>
      <c r="G292" s="65"/>
      <c r="H292" s="64"/>
      <c r="I292" s="65"/>
      <c r="J292" s="64"/>
    </row>
    <row r="293" spans="1:10" x14ac:dyDescent="0.2">
      <c r="A293">
        <v>2021</v>
      </c>
      <c r="B293" s="59">
        <v>390</v>
      </c>
      <c r="C293" s="34" t="s">
        <v>718</v>
      </c>
      <c r="D293" s="36">
        <v>44855</v>
      </c>
      <c r="E293" s="36">
        <v>317439</v>
      </c>
      <c r="F293" s="57"/>
      <c r="G293" s="65"/>
      <c r="H293" s="64"/>
      <c r="I293" s="65"/>
      <c r="J293" s="64"/>
    </row>
    <row r="294" spans="1:10" x14ac:dyDescent="0.2">
      <c r="A294">
        <v>2021</v>
      </c>
      <c r="B294" s="59">
        <v>391</v>
      </c>
      <c r="C294" s="34" t="s">
        <v>719</v>
      </c>
      <c r="D294" s="36">
        <v>63150</v>
      </c>
      <c r="E294" s="36">
        <v>440085</v>
      </c>
      <c r="F294" s="57"/>
      <c r="G294" s="65"/>
      <c r="H294" s="64"/>
      <c r="I294" s="65"/>
      <c r="J294" s="64"/>
    </row>
    <row r="295" spans="1:10" x14ac:dyDescent="0.2">
      <c r="A295">
        <v>2021</v>
      </c>
      <c r="B295" s="59">
        <v>392</v>
      </c>
      <c r="C295" s="34" t="s">
        <v>720</v>
      </c>
      <c r="D295" s="36">
        <v>101240</v>
      </c>
      <c r="E295" s="36">
        <v>820617</v>
      </c>
      <c r="F295" s="57"/>
      <c r="G295" s="65"/>
      <c r="H295" s="64"/>
      <c r="I295" s="65"/>
      <c r="J295" s="64"/>
    </row>
    <row r="296" spans="1:10" x14ac:dyDescent="0.2">
      <c r="A296">
        <v>2021</v>
      </c>
      <c r="B296" s="59">
        <v>393</v>
      </c>
      <c r="C296" s="34" t="s">
        <v>721</v>
      </c>
      <c r="D296" s="36">
        <v>24170</v>
      </c>
      <c r="E296" s="36">
        <v>168953</v>
      </c>
      <c r="F296" s="57"/>
      <c r="G296" s="65"/>
      <c r="H296" s="64"/>
      <c r="I296" s="65"/>
      <c r="J296" s="64"/>
    </row>
    <row r="297" spans="1:10" x14ac:dyDescent="0.2">
      <c r="A297">
        <v>2021</v>
      </c>
      <c r="B297" s="59">
        <v>394</v>
      </c>
      <c r="C297" s="34" t="s">
        <v>722</v>
      </c>
      <c r="D297" s="36">
        <v>490965</v>
      </c>
      <c r="E297" s="36">
        <v>2796075</v>
      </c>
      <c r="F297" s="57"/>
      <c r="G297" s="65"/>
      <c r="H297" s="64"/>
      <c r="I297" s="65"/>
      <c r="J297" s="64"/>
    </row>
    <row r="298" spans="1:10" x14ac:dyDescent="0.2">
      <c r="A298">
        <v>2021</v>
      </c>
      <c r="B298" s="59">
        <v>395</v>
      </c>
      <c r="C298" s="34" t="s">
        <v>723</v>
      </c>
      <c r="D298" s="36">
        <v>26716</v>
      </c>
      <c r="E298" s="36">
        <v>184730</v>
      </c>
      <c r="F298" s="57"/>
      <c r="G298" s="65"/>
      <c r="H298" s="64"/>
      <c r="I298" s="65"/>
      <c r="J298" s="64"/>
    </row>
    <row r="299" spans="1:10" x14ac:dyDescent="0.2">
      <c r="A299">
        <v>2021</v>
      </c>
      <c r="B299" s="59">
        <v>397</v>
      </c>
      <c r="C299" s="34" t="s">
        <v>724</v>
      </c>
      <c r="D299" s="36">
        <v>63938</v>
      </c>
      <c r="E299" s="36">
        <v>280448</v>
      </c>
      <c r="F299" s="57"/>
      <c r="G299" s="65"/>
      <c r="H299" s="64"/>
      <c r="I299" s="65"/>
      <c r="J299" s="64"/>
    </row>
    <row r="300" spans="1:10" x14ac:dyDescent="0.2">
      <c r="A300">
        <v>2021</v>
      </c>
      <c r="B300" s="59">
        <v>398</v>
      </c>
      <c r="C300" s="34" t="s">
        <v>725</v>
      </c>
      <c r="D300" s="36">
        <v>242625</v>
      </c>
      <c r="E300" s="36">
        <v>1249010</v>
      </c>
      <c r="F300" s="57"/>
      <c r="G300" s="65"/>
      <c r="H300" s="64"/>
      <c r="I300" s="65"/>
      <c r="J300" s="64"/>
    </row>
    <row r="301" spans="1:10" x14ac:dyDescent="0.2">
      <c r="A301">
        <v>2021</v>
      </c>
      <c r="B301" s="59">
        <v>399</v>
      </c>
      <c r="C301" s="34" t="s">
        <v>726</v>
      </c>
      <c r="D301" s="36">
        <v>259327</v>
      </c>
      <c r="E301" s="36">
        <v>1567867</v>
      </c>
      <c r="F301" s="57"/>
      <c r="G301" s="65"/>
      <c r="H301" s="64"/>
      <c r="I301" s="65"/>
      <c r="J301" s="64"/>
    </row>
    <row r="302" spans="1:10" x14ac:dyDescent="0.2">
      <c r="A302">
        <v>2021</v>
      </c>
      <c r="B302" s="59">
        <v>400</v>
      </c>
      <c r="C302" s="34" t="s">
        <v>727</v>
      </c>
      <c r="D302" s="36">
        <v>24900</v>
      </c>
      <c r="E302" s="36">
        <v>172740</v>
      </c>
      <c r="F302" s="57"/>
      <c r="G302" s="65"/>
      <c r="H302" s="64"/>
      <c r="I302" s="65"/>
      <c r="J302" s="64"/>
    </row>
    <row r="303" spans="1:10" x14ac:dyDescent="0.2">
      <c r="A303">
        <v>2021</v>
      </c>
      <c r="B303" s="59">
        <v>401</v>
      </c>
      <c r="C303" s="34" t="s">
        <v>728</v>
      </c>
      <c r="D303" s="36">
        <v>23453</v>
      </c>
      <c r="E303" s="36">
        <v>175467</v>
      </c>
      <c r="F303" s="57"/>
      <c r="G303" s="65"/>
      <c r="H303" s="64"/>
      <c r="I303" s="65"/>
      <c r="J303" s="64"/>
    </row>
    <row r="304" spans="1:10" x14ac:dyDescent="0.2">
      <c r="A304">
        <v>2021</v>
      </c>
      <c r="B304" s="34">
        <v>402</v>
      </c>
      <c r="C304" s="34" t="s">
        <v>574</v>
      </c>
      <c r="D304" s="36">
        <v>79715</v>
      </c>
      <c r="E304" s="36">
        <v>500731</v>
      </c>
      <c r="F304" s="57"/>
      <c r="G304" s="65"/>
      <c r="H304" s="64"/>
      <c r="I304" s="65"/>
      <c r="J304" s="64"/>
    </row>
    <row r="305" spans="1:10" x14ac:dyDescent="0.2">
      <c r="A305">
        <v>2021</v>
      </c>
      <c r="B305" s="34">
        <v>403</v>
      </c>
      <c r="C305" s="34" t="s">
        <v>575</v>
      </c>
      <c r="D305" s="36">
        <v>92780</v>
      </c>
      <c r="E305" s="36">
        <v>599052</v>
      </c>
      <c r="F305" s="57"/>
      <c r="G305" s="65"/>
      <c r="H305" s="64"/>
      <c r="I305" s="65"/>
      <c r="J305" s="64"/>
    </row>
    <row r="306" spans="1:10" x14ac:dyDescent="0.2">
      <c r="A306">
        <v>2021</v>
      </c>
      <c r="B306" s="34">
        <v>404</v>
      </c>
      <c r="C306" s="34" t="s">
        <v>576</v>
      </c>
      <c r="D306" s="36">
        <v>128000</v>
      </c>
      <c r="E306" s="36">
        <v>758234</v>
      </c>
      <c r="F306" s="57"/>
      <c r="G306" s="65"/>
      <c r="H306" s="64"/>
      <c r="I306" s="65"/>
      <c r="J306" s="64"/>
    </row>
    <row r="307" spans="1:10" x14ac:dyDescent="0.2">
      <c r="A307">
        <v>2021</v>
      </c>
      <c r="B307" s="34">
        <v>405</v>
      </c>
      <c r="C307" s="34" t="s">
        <v>577</v>
      </c>
      <c r="D307" s="36">
        <v>121481</v>
      </c>
      <c r="E307" s="36">
        <v>1037754</v>
      </c>
      <c r="F307" s="57"/>
      <c r="G307" s="65"/>
      <c r="H307" s="64"/>
      <c r="I307" s="65"/>
      <c r="J307" s="64"/>
    </row>
    <row r="308" spans="1:10" x14ac:dyDescent="0.2">
      <c r="A308">
        <v>2021</v>
      </c>
      <c r="B308" s="34">
        <v>406</v>
      </c>
      <c r="C308" s="34" t="s">
        <v>578</v>
      </c>
      <c r="D308" s="36">
        <v>10141</v>
      </c>
      <c r="E308" s="36">
        <v>66254</v>
      </c>
      <c r="F308" s="57"/>
      <c r="G308" s="65"/>
      <c r="H308" s="64"/>
      <c r="I308" s="65"/>
      <c r="J308" s="64"/>
    </row>
    <row r="309" spans="1:10" x14ac:dyDescent="0.2">
      <c r="A309">
        <v>2021</v>
      </c>
      <c r="B309" s="34">
        <v>407</v>
      </c>
      <c r="C309" s="34" t="s">
        <v>579</v>
      </c>
      <c r="D309" s="36">
        <v>7033</v>
      </c>
      <c r="E309" s="36">
        <v>41419</v>
      </c>
      <c r="F309" s="57"/>
      <c r="G309" s="65"/>
      <c r="H309" s="64"/>
      <c r="I309" s="65"/>
      <c r="J309" s="64"/>
    </row>
    <row r="310" spans="1:10" x14ac:dyDescent="0.2">
      <c r="A310">
        <v>2021</v>
      </c>
      <c r="B310" s="34">
        <v>408</v>
      </c>
      <c r="C310" s="34" t="s">
        <v>580</v>
      </c>
      <c r="D310" s="36">
        <v>46129</v>
      </c>
      <c r="E310" s="36">
        <v>380537</v>
      </c>
      <c r="F310" s="57"/>
      <c r="G310" s="65"/>
      <c r="H310" s="64"/>
      <c r="I310" s="65"/>
      <c r="J310" s="64"/>
    </row>
    <row r="311" spans="1:10" x14ac:dyDescent="0.2">
      <c r="A311">
        <v>2021</v>
      </c>
      <c r="B311" s="34">
        <v>409</v>
      </c>
      <c r="C311" s="34" t="s">
        <v>581</v>
      </c>
      <c r="D311" s="36">
        <v>29287</v>
      </c>
      <c r="E311" s="36">
        <v>153988</v>
      </c>
      <c r="F311" s="57"/>
      <c r="G311" s="65"/>
      <c r="H311" s="64"/>
      <c r="I311" s="65"/>
      <c r="J311" s="64"/>
    </row>
    <row r="312" spans="1:10" x14ac:dyDescent="0.2">
      <c r="A312">
        <v>2021</v>
      </c>
      <c r="B312" s="34">
        <v>410</v>
      </c>
      <c r="C312" s="34" t="s">
        <v>582</v>
      </c>
      <c r="D312" s="36">
        <v>4102</v>
      </c>
      <c r="E312" s="36">
        <v>82271</v>
      </c>
      <c r="F312" s="57"/>
      <c r="G312" s="65"/>
      <c r="H312" s="64"/>
      <c r="I312" s="65"/>
      <c r="J312" s="64"/>
    </row>
    <row r="313" spans="1:10" x14ac:dyDescent="0.2">
      <c r="A313">
        <v>2021</v>
      </c>
      <c r="B313" s="34">
        <v>412</v>
      </c>
      <c r="C313" s="34" t="s">
        <v>583</v>
      </c>
      <c r="D313" s="36">
        <v>91617</v>
      </c>
      <c r="E313" s="36">
        <v>521746</v>
      </c>
      <c r="F313" s="57"/>
      <c r="G313" s="65"/>
      <c r="H313" s="64"/>
      <c r="I313" s="65"/>
      <c r="J313" s="64"/>
    </row>
    <row r="314" spans="1:10" x14ac:dyDescent="0.2">
      <c r="A314">
        <v>2021</v>
      </c>
      <c r="B314" s="34">
        <v>413</v>
      </c>
      <c r="C314" s="34" t="s">
        <v>584</v>
      </c>
      <c r="D314" s="36">
        <v>60065</v>
      </c>
      <c r="E314" s="36">
        <v>320087</v>
      </c>
      <c r="F314" s="57"/>
      <c r="G314" s="65"/>
      <c r="H314" s="64"/>
      <c r="I314" s="65"/>
      <c r="J314" s="64"/>
    </row>
    <row r="315" spans="1:10" x14ac:dyDescent="0.2">
      <c r="A315">
        <v>2021</v>
      </c>
      <c r="B315" s="34">
        <v>414</v>
      </c>
      <c r="C315" s="34" t="s">
        <v>585</v>
      </c>
      <c r="D315" s="36">
        <v>6683</v>
      </c>
      <c r="E315" s="36">
        <v>26373</v>
      </c>
      <c r="F315" s="57"/>
      <c r="G315" s="65"/>
      <c r="H315" s="64"/>
      <c r="I315" s="65"/>
      <c r="J315" s="64"/>
    </row>
    <row r="316" spans="1:10" x14ac:dyDescent="0.2">
      <c r="A316">
        <v>2021</v>
      </c>
      <c r="B316" s="34">
        <v>415</v>
      </c>
      <c r="C316" s="34" t="s">
        <v>586</v>
      </c>
      <c r="D316" s="36">
        <v>6970</v>
      </c>
      <c r="E316" s="36">
        <v>49506</v>
      </c>
      <c r="F316" s="57"/>
      <c r="G316" s="65"/>
      <c r="H316" s="64"/>
      <c r="I316" s="65"/>
      <c r="J316" s="64"/>
    </row>
    <row r="317" spans="1:10" x14ac:dyDescent="0.2">
      <c r="A317">
        <v>2021</v>
      </c>
      <c r="B317" s="34">
        <v>416</v>
      </c>
      <c r="C317" s="34" t="s">
        <v>587</v>
      </c>
      <c r="D317" s="36">
        <v>15545</v>
      </c>
      <c r="E317" s="36">
        <v>182849</v>
      </c>
      <c r="F317" s="57"/>
      <c r="G317" s="65"/>
      <c r="H317" s="64"/>
      <c r="I317" s="65"/>
      <c r="J317" s="64"/>
    </row>
    <row r="318" spans="1:10" x14ac:dyDescent="0.2">
      <c r="A318">
        <v>2021</v>
      </c>
      <c r="B318" s="34">
        <v>417</v>
      </c>
      <c r="C318" s="34" t="s">
        <v>588</v>
      </c>
      <c r="D318" s="36">
        <v>48829</v>
      </c>
      <c r="E318" s="36">
        <v>275708</v>
      </c>
      <c r="F318" s="57"/>
      <c r="G318" s="65"/>
      <c r="H318" s="64"/>
      <c r="I318" s="65"/>
      <c r="J318" s="64"/>
    </row>
    <row r="319" spans="1:10" x14ac:dyDescent="0.2">
      <c r="A319">
        <v>2021</v>
      </c>
      <c r="B319" s="34">
        <v>418</v>
      </c>
      <c r="C319" s="34" t="s">
        <v>589</v>
      </c>
      <c r="D319" s="36">
        <v>132960</v>
      </c>
      <c r="E319" s="36">
        <v>825114</v>
      </c>
      <c r="F319" s="57"/>
      <c r="G319" s="65"/>
      <c r="H319" s="64"/>
      <c r="I319" s="65"/>
      <c r="J319" s="64"/>
    </row>
    <row r="320" spans="1:10" x14ac:dyDescent="0.2">
      <c r="A320">
        <v>2021</v>
      </c>
      <c r="B320" s="34">
        <v>419</v>
      </c>
      <c r="C320" s="34" t="s">
        <v>590</v>
      </c>
      <c r="D320" s="36">
        <v>106182</v>
      </c>
      <c r="E320" s="36">
        <v>525609</v>
      </c>
      <c r="F320" s="57"/>
      <c r="G320" s="65"/>
      <c r="H320" s="64"/>
      <c r="I320" s="65"/>
      <c r="J320" s="64"/>
    </row>
    <row r="321" spans="1:10" x14ac:dyDescent="0.2">
      <c r="A321">
        <v>2021</v>
      </c>
      <c r="B321" s="34">
        <v>420</v>
      </c>
      <c r="C321" s="34" t="s">
        <v>591</v>
      </c>
      <c r="D321" s="36">
        <v>182945</v>
      </c>
      <c r="E321" s="36">
        <v>993023</v>
      </c>
      <c r="F321" s="57"/>
      <c r="G321" s="65"/>
      <c r="H321" s="64"/>
      <c r="I321" s="65"/>
      <c r="J321" s="64"/>
    </row>
    <row r="322" spans="1:10" x14ac:dyDescent="0.2">
      <c r="A322">
        <v>2021</v>
      </c>
      <c r="B322" s="34">
        <v>421</v>
      </c>
      <c r="C322" s="34" t="s">
        <v>592</v>
      </c>
      <c r="D322" s="36">
        <v>196681</v>
      </c>
      <c r="E322" s="36">
        <v>1158886</v>
      </c>
      <c r="F322" s="57"/>
      <c r="G322" s="65"/>
      <c r="H322" s="64"/>
      <c r="I322" s="65"/>
      <c r="J322" s="64"/>
    </row>
    <row r="323" spans="1:10" x14ac:dyDescent="0.2">
      <c r="A323">
        <v>2021</v>
      </c>
      <c r="B323" s="34">
        <v>422</v>
      </c>
      <c r="C323" s="34" t="s">
        <v>593</v>
      </c>
      <c r="D323" s="36">
        <v>23344</v>
      </c>
      <c r="E323" s="36">
        <v>177427</v>
      </c>
      <c r="F323" s="57"/>
      <c r="G323" s="65"/>
      <c r="H323" s="64"/>
      <c r="I323" s="65"/>
      <c r="J323" s="64"/>
    </row>
    <row r="324" spans="1:10" x14ac:dyDescent="0.2">
      <c r="A324">
        <v>2021</v>
      </c>
      <c r="B324" s="34">
        <v>423</v>
      </c>
      <c r="C324" s="34" t="s">
        <v>594</v>
      </c>
      <c r="D324" s="36">
        <v>28790</v>
      </c>
      <c r="E324" s="36">
        <v>197659</v>
      </c>
      <c r="F324" s="57"/>
      <c r="G324" s="65"/>
      <c r="H324" s="64"/>
      <c r="I324" s="65"/>
      <c r="J324" s="64"/>
    </row>
    <row r="325" spans="1:10" x14ac:dyDescent="0.2">
      <c r="A325">
        <v>2021</v>
      </c>
      <c r="B325" s="34">
        <v>424</v>
      </c>
      <c r="C325" s="34" t="s">
        <v>595</v>
      </c>
      <c r="D325" s="36">
        <v>75900</v>
      </c>
      <c r="E325" s="36">
        <v>502106</v>
      </c>
      <c r="F325" s="57"/>
      <c r="G325" s="65"/>
      <c r="H325" s="64"/>
      <c r="I325" s="65"/>
      <c r="J325" s="64"/>
    </row>
    <row r="326" spans="1:10" x14ac:dyDescent="0.2">
      <c r="A326">
        <v>2021</v>
      </c>
      <c r="B326" s="34">
        <v>425</v>
      </c>
      <c r="C326" s="34" t="s">
        <v>596</v>
      </c>
      <c r="D326" s="36">
        <v>575267</v>
      </c>
      <c r="E326" s="36">
        <v>3042329</v>
      </c>
      <c r="F326" s="57"/>
      <c r="G326" s="65"/>
      <c r="H326" s="64"/>
      <c r="I326" s="65"/>
      <c r="J326" s="64"/>
    </row>
    <row r="327" spans="1:10" x14ac:dyDescent="0.2">
      <c r="A327">
        <v>2021</v>
      </c>
      <c r="B327" s="34">
        <v>426</v>
      </c>
      <c r="C327" s="34" t="s">
        <v>597</v>
      </c>
      <c r="D327" s="36">
        <v>114013</v>
      </c>
      <c r="E327" s="36">
        <v>913862</v>
      </c>
      <c r="F327" s="57"/>
      <c r="G327" s="65"/>
      <c r="H327" s="64"/>
      <c r="I327" s="65"/>
      <c r="J327" s="64"/>
    </row>
    <row r="328" spans="1:10" x14ac:dyDescent="0.2">
      <c r="A328">
        <v>2021</v>
      </c>
      <c r="B328" s="34">
        <v>427</v>
      </c>
      <c r="C328" s="34" t="s">
        <v>598</v>
      </c>
      <c r="D328" s="36">
        <v>161535</v>
      </c>
      <c r="E328" s="36">
        <v>954917</v>
      </c>
      <c r="F328" s="57"/>
      <c r="G328" s="65"/>
      <c r="H328" s="64"/>
      <c r="I328" s="65"/>
      <c r="J328" s="64"/>
    </row>
    <row r="329" spans="1:10" x14ac:dyDescent="0.2">
      <c r="A329">
        <v>2021</v>
      </c>
      <c r="B329" s="34">
        <v>428</v>
      </c>
      <c r="C329" s="34" t="s">
        <v>599</v>
      </c>
      <c r="D329" s="36">
        <v>14830</v>
      </c>
      <c r="E329" s="36">
        <v>117383</v>
      </c>
      <c r="F329" s="57"/>
      <c r="G329" s="65"/>
      <c r="H329" s="64"/>
      <c r="I329" s="65"/>
      <c r="J329" s="64"/>
    </row>
    <row r="330" spans="1:10" x14ac:dyDescent="0.2">
      <c r="A330">
        <v>2021</v>
      </c>
      <c r="B330" s="34">
        <v>429</v>
      </c>
      <c r="C330" s="34" t="s">
        <v>600</v>
      </c>
      <c r="D330" s="36">
        <v>31481</v>
      </c>
      <c r="E330" s="36">
        <v>193428</v>
      </c>
      <c r="F330" s="57"/>
      <c r="G330" s="65"/>
      <c r="H330" s="64"/>
      <c r="I330" s="65"/>
      <c r="J330" s="64"/>
    </row>
    <row r="331" spans="1:10" x14ac:dyDescent="0.2">
      <c r="A331">
        <v>2021</v>
      </c>
      <c r="B331" s="34">
        <v>430</v>
      </c>
      <c r="C331" s="34" t="s">
        <v>601</v>
      </c>
      <c r="D331" s="36">
        <v>150040</v>
      </c>
      <c r="E331" s="36">
        <v>1242124</v>
      </c>
      <c r="F331" s="57"/>
      <c r="G331" s="65"/>
      <c r="H331" s="64"/>
      <c r="I331" s="65"/>
      <c r="J331" s="64"/>
    </row>
    <row r="332" spans="1:10" x14ac:dyDescent="0.2">
      <c r="A332">
        <v>2021</v>
      </c>
      <c r="B332" s="34">
        <v>431</v>
      </c>
      <c r="C332" s="34" t="s">
        <v>602</v>
      </c>
      <c r="D332" s="36">
        <v>25022</v>
      </c>
      <c r="E332" s="36">
        <v>164591</v>
      </c>
      <c r="F332" s="57"/>
      <c r="G332" s="65"/>
      <c r="H332" s="64"/>
      <c r="I332" s="65"/>
      <c r="J332" s="64"/>
    </row>
    <row r="333" spans="1:10" x14ac:dyDescent="0.2">
      <c r="A333">
        <v>2021</v>
      </c>
      <c r="B333" s="34">
        <v>432</v>
      </c>
      <c r="C333" s="34" t="s">
        <v>603</v>
      </c>
      <c r="D333" s="36">
        <v>23885</v>
      </c>
      <c r="E333" s="36">
        <v>212009</v>
      </c>
      <c r="F333" s="57"/>
      <c r="G333" s="65"/>
      <c r="H333" s="64"/>
      <c r="I333" s="65"/>
      <c r="J333" s="64"/>
    </row>
    <row r="334" spans="1:10" x14ac:dyDescent="0.2">
      <c r="A334">
        <v>2021</v>
      </c>
      <c r="B334" s="34">
        <v>433</v>
      </c>
      <c r="C334" s="34" t="s">
        <v>604</v>
      </c>
      <c r="D334" s="36">
        <v>37363</v>
      </c>
      <c r="E334" s="36">
        <v>200438</v>
      </c>
      <c r="F334" s="57"/>
      <c r="G334" s="65"/>
      <c r="H334" s="64"/>
      <c r="I334" s="65"/>
      <c r="J334" s="64"/>
    </row>
    <row r="335" spans="1:10" x14ac:dyDescent="0.2">
      <c r="A335">
        <v>2021</v>
      </c>
      <c r="B335" s="34">
        <v>434</v>
      </c>
      <c r="C335" s="34" t="s">
        <v>605</v>
      </c>
      <c r="D335" s="36">
        <v>30515</v>
      </c>
      <c r="E335" s="36">
        <v>182737</v>
      </c>
      <c r="F335" s="57"/>
      <c r="G335" s="65"/>
      <c r="H335" s="64"/>
      <c r="I335" s="65"/>
      <c r="J335" s="64"/>
    </row>
    <row r="336" spans="1:10" x14ac:dyDescent="0.2">
      <c r="A336">
        <v>2021</v>
      </c>
      <c r="B336" s="34">
        <v>435</v>
      </c>
      <c r="C336" s="34" t="s">
        <v>606</v>
      </c>
      <c r="D336" s="36">
        <v>14682</v>
      </c>
      <c r="E336" s="36">
        <v>157298</v>
      </c>
      <c r="F336" s="57"/>
      <c r="G336" s="65"/>
      <c r="H336" s="64"/>
      <c r="I336" s="65"/>
      <c r="J336" s="64"/>
    </row>
    <row r="337" spans="1:11" x14ac:dyDescent="0.2">
      <c r="A337">
        <v>2021</v>
      </c>
      <c r="B337" s="34">
        <v>436</v>
      </c>
      <c r="C337" s="34" t="s">
        <v>607</v>
      </c>
      <c r="D337" s="36">
        <v>32558</v>
      </c>
      <c r="E337" s="36">
        <v>116185</v>
      </c>
      <c r="F337" s="57"/>
      <c r="G337" s="65"/>
      <c r="H337" s="64"/>
      <c r="I337" s="65"/>
      <c r="J337" s="64"/>
    </row>
    <row r="338" spans="1:11" x14ac:dyDescent="0.2">
      <c r="A338">
        <v>2021</v>
      </c>
      <c r="B338" s="34">
        <v>437</v>
      </c>
      <c r="C338" s="34" t="s">
        <v>608</v>
      </c>
      <c r="D338" s="36">
        <v>67181</v>
      </c>
      <c r="E338" s="36">
        <v>520231</v>
      </c>
      <c r="F338" s="57"/>
      <c r="G338" s="65"/>
      <c r="H338" s="64"/>
      <c r="I338" s="65"/>
      <c r="J338" s="64"/>
    </row>
    <row r="339" spans="1:11" x14ac:dyDescent="0.2">
      <c r="A339">
        <v>2021</v>
      </c>
      <c r="B339" s="34">
        <v>438</v>
      </c>
      <c r="C339" s="34" t="s">
        <v>609</v>
      </c>
      <c r="D339" s="36">
        <v>28974</v>
      </c>
      <c r="E339" s="36">
        <v>181713</v>
      </c>
      <c r="F339" s="57"/>
      <c r="G339" s="65"/>
      <c r="H339" s="64"/>
      <c r="I339" s="65"/>
      <c r="J339" s="64"/>
    </row>
    <row r="340" spans="1:11" x14ac:dyDescent="0.2">
      <c r="A340">
        <v>2021</v>
      </c>
      <c r="B340" s="34">
        <v>439</v>
      </c>
      <c r="C340" s="34" t="s">
        <v>610</v>
      </c>
      <c r="D340" s="36">
        <v>79477</v>
      </c>
      <c r="E340" s="36">
        <v>490415</v>
      </c>
      <c r="F340" s="57"/>
      <c r="G340" s="65"/>
      <c r="H340" s="64"/>
      <c r="I340" s="65"/>
      <c r="J340" s="64"/>
    </row>
    <row r="341" spans="1:11" x14ac:dyDescent="0.2">
      <c r="A341">
        <v>2021</v>
      </c>
      <c r="B341" s="34">
        <v>440</v>
      </c>
      <c r="C341" s="34" t="s">
        <v>611</v>
      </c>
      <c r="D341" s="36">
        <v>23372</v>
      </c>
      <c r="E341" s="36">
        <v>166121</v>
      </c>
      <c r="F341" s="57"/>
      <c r="G341" s="65"/>
      <c r="H341" s="64"/>
      <c r="I341" s="65"/>
      <c r="J341" s="64"/>
    </row>
    <row r="342" spans="1:11" x14ac:dyDescent="0.2">
      <c r="A342">
        <v>2021</v>
      </c>
      <c r="B342" s="34">
        <v>441</v>
      </c>
      <c r="C342" s="34" t="s">
        <v>612</v>
      </c>
      <c r="D342" s="36">
        <v>56954</v>
      </c>
      <c r="E342" s="36">
        <v>408855</v>
      </c>
      <c r="F342" s="57"/>
      <c r="G342" s="65"/>
      <c r="H342" s="64"/>
      <c r="I342" s="65"/>
      <c r="J342" s="64"/>
    </row>
    <row r="343" spans="1:11" x14ac:dyDescent="0.2">
      <c r="A343">
        <v>2021</v>
      </c>
      <c r="B343" s="34">
        <v>442</v>
      </c>
      <c r="C343" s="34" t="s">
        <v>613</v>
      </c>
      <c r="D343" s="36">
        <v>79936</v>
      </c>
      <c r="E343" s="36">
        <v>553869</v>
      </c>
      <c r="F343" s="57"/>
      <c r="G343" s="65"/>
      <c r="H343" s="64"/>
      <c r="I343" s="65"/>
      <c r="J343" s="64"/>
    </row>
    <row r="344" spans="1:11" x14ac:dyDescent="0.2">
      <c r="A344">
        <v>2021</v>
      </c>
      <c r="B344" s="34">
        <v>443</v>
      </c>
      <c r="C344" s="34" t="s">
        <v>614</v>
      </c>
      <c r="D344" s="36">
        <v>5649</v>
      </c>
      <c r="E344" s="36">
        <v>40852</v>
      </c>
      <c r="F344" s="57"/>
      <c r="G344" s="65"/>
      <c r="H344" s="64"/>
      <c r="I344" s="65"/>
      <c r="J344" s="64"/>
    </row>
    <row r="345" spans="1:11" x14ac:dyDescent="0.2">
      <c r="A345">
        <v>2021</v>
      </c>
      <c r="B345" s="34">
        <v>444</v>
      </c>
      <c r="C345" s="34" t="s">
        <v>615</v>
      </c>
      <c r="D345" s="36">
        <v>48717</v>
      </c>
      <c r="E345" s="36">
        <v>215146</v>
      </c>
      <c r="F345" s="57"/>
      <c r="G345" s="65"/>
      <c r="H345" s="64"/>
      <c r="I345" s="65"/>
      <c r="J345" s="64"/>
    </row>
    <row r="346" spans="1:11" x14ac:dyDescent="0.2">
      <c r="A346">
        <v>2021</v>
      </c>
      <c r="B346" s="34">
        <v>445</v>
      </c>
      <c r="C346" s="34" t="s">
        <v>616</v>
      </c>
      <c r="D346" s="36">
        <v>55574</v>
      </c>
      <c r="E346" s="36">
        <v>272321</v>
      </c>
      <c r="F346" s="57"/>
      <c r="G346" s="65"/>
      <c r="H346" s="64"/>
      <c r="I346" s="65"/>
      <c r="J346" s="64"/>
    </row>
    <row r="347" spans="1:11" x14ac:dyDescent="0.2">
      <c r="A347">
        <v>2021</v>
      </c>
      <c r="B347" s="34">
        <v>446</v>
      </c>
      <c r="C347" s="34" t="s">
        <v>617</v>
      </c>
      <c r="D347" s="36">
        <v>73478</v>
      </c>
      <c r="E347" s="36">
        <v>405871</v>
      </c>
      <c r="F347" s="57"/>
      <c r="G347" s="57"/>
      <c r="H347" s="65"/>
      <c r="I347" s="64"/>
      <c r="J347" s="65"/>
      <c r="K347" s="64"/>
    </row>
    <row r="348" spans="1:11" x14ac:dyDescent="0.2">
      <c r="A348">
        <v>2021</v>
      </c>
      <c r="B348" s="34">
        <v>447</v>
      </c>
      <c r="C348" s="34" t="s">
        <v>618</v>
      </c>
      <c r="D348" s="36">
        <v>20979</v>
      </c>
      <c r="E348" s="36">
        <v>126824</v>
      </c>
      <c r="F348" s="57"/>
      <c r="G348" s="57"/>
      <c r="H348" s="65"/>
      <c r="I348" s="64"/>
      <c r="J348" s="65"/>
      <c r="K348" s="64"/>
    </row>
    <row r="349" spans="1:11" x14ac:dyDescent="0.2">
      <c r="A349">
        <v>2021</v>
      </c>
      <c r="B349" s="34">
        <v>448</v>
      </c>
      <c r="C349" s="34" t="s">
        <v>619</v>
      </c>
      <c r="D349" s="36">
        <v>27325</v>
      </c>
      <c r="E349" s="36">
        <v>176073</v>
      </c>
      <c r="F349" s="57"/>
      <c r="G349" s="57"/>
      <c r="H349" s="65"/>
      <c r="I349" s="64"/>
      <c r="J349" s="65"/>
      <c r="K349" s="64"/>
    </row>
    <row r="350" spans="1:11" x14ac:dyDescent="0.2">
      <c r="A350">
        <v>2021</v>
      </c>
      <c r="B350" s="34">
        <v>449</v>
      </c>
      <c r="C350" s="34" t="s">
        <v>620</v>
      </c>
      <c r="D350" s="36">
        <v>72195</v>
      </c>
      <c r="E350" s="36">
        <v>454390</v>
      </c>
      <c r="F350" s="57"/>
      <c r="G350" s="57"/>
      <c r="H350" s="65"/>
      <c r="I350" s="64"/>
      <c r="J350" s="65"/>
      <c r="K350" s="64"/>
    </row>
    <row r="351" spans="1:11" x14ac:dyDescent="0.2">
      <c r="A351">
        <v>2021</v>
      </c>
      <c r="B351" s="34">
        <v>450</v>
      </c>
      <c r="C351" s="34" t="s">
        <v>621</v>
      </c>
      <c r="D351" s="36">
        <v>15910</v>
      </c>
      <c r="E351" s="36">
        <v>126106</v>
      </c>
      <c r="F351" s="57"/>
      <c r="G351" s="57"/>
      <c r="H351" s="65"/>
      <c r="I351" s="64"/>
      <c r="J351" s="65"/>
      <c r="K351" s="64"/>
    </row>
    <row r="352" spans="1:11" x14ac:dyDescent="0.2">
      <c r="A352">
        <v>2021</v>
      </c>
      <c r="B352" s="34">
        <v>451</v>
      </c>
      <c r="C352" s="34" t="s">
        <v>622</v>
      </c>
      <c r="D352" s="36">
        <v>18348</v>
      </c>
      <c r="E352" s="36">
        <v>150293</v>
      </c>
      <c r="F352" s="57"/>
      <c r="G352" s="57"/>
      <c r="H352" s="65"/>
      <c r="I352" s="64"/>
      <c r="J352" s="65"/>
      <c r="K352" s="64"/>
    </row>
    <row r="353" spans="1:11" x14ac:dyDescent="0.2">
      <c r="A353">
        <v>2021</v>
      </c>
      <c r="B353" s="34">
        <v>452</v>
      </c>
      <c r="C353" s="34" t="s">
        <v>623</v>
      </c>
      <c r="D353" s="36">
        <v>37727</v>
      </c>
      <c r="E353" s="36">
        <v>402474</v>
      </c>
      <c r="F353" s="57"/>
      <c r="G353" s="57"/>
      <c r="H353" s="65"/>
      <c r="I353" s="64"/>
      <c r="J353" s="65"/>
      <c r="K353" s="64"/>
    </row>
    <row r="354" spans="1:11" x14ac:dyDescent="0.2">
      <c r="A354">
        <v>2021</v>
      </c>
      <c r="B354" s="34">
        <v>453</v>
      </c>
      <c r="C354" s="34" t="s">
        <v>624</v>
      </c>
      <c r="D354" s="36">
        <v>17042</v>
      </c>
      <c r="E354" s="36">
        <v>158361</v>
      </c>
      <c r="F354" s="57"/>
      <c r="G354" s="57"/>
      <c r="H354" s="65"/>
      <c r="I354" s="64"/>
      <c r="J354" s="65"/>
      <c r="K354" s="64"/>
    </row>
    <row r="355" spans="1:11" x14ac:dyDescent="0.2">
      <c r="A355">
        <v>2021</v>
      </c>
      <c r="B355" s="34">
        <v>454</v>
      </c>
      <c r="C355" s="34" t="s">
        <v>625</v>
      </c>
      <c r="D355" s="36">
        <v>110784</v>
      </c>
      <c r="E355" s="36">
        <v>581149</v>
      </c>
      <c r="F355" s="57"/>
      <c r="G355" s="57"/>
      <c r="H355" s="65"/>
      <c r="I355" s="64"/>
      <c r="J355" s="65"/>
      <c r="K355" s="64"/>
    </row>
    <row r="356" spans="1:11" x14ac:dyDescent="0.2">
      <c r="A356">
        <v>2021</v>
      </c>
      <c r="B356" s="34">
        <v>455</v>
      </c>
      <c r="C356" s="34" t="s">
        <v>626</v>
      </c>
      <c r="D356" s="36">
        <v>263260</v>
      </c>
      <c r="E356" s="36">
        <v>1649815</v>
      </c>
      <c r="F356" s="57"/>
      <c r="G356" s="57"/>
      <c r="H356" s="65"/>
      <c r="I356" s="64"/>
      <c r="J356" s="65"/>
      <c r="K356" s="64"/>
    </row>
    <row r="357" spans="1:11" x14ac:dyDescent="0.2">
      <c r="A357">
        <v>2021</v>
      </c>
      <c r="B357" s="34">
        <v>462</v>
      </c>
      <c r="C357" s="34" t="s">
        <v>627</v>
      </c>
      <c r="D357" s="36">
        <v>12667</v>
      </c>
      <c r="E357" s="36">
        <v>72838</v>
      </c>
      <c r="F357" s="57"/>
      <c r="G357" s="57"/>
      <c r="H357" s="65"/>
      <c r="I357" s="64"/>
      <c r="J357" s="65"/>
      <c r="K357" s="64"/>
    </row>
    <row r="358" spans="1:11" x14ac:dyDescent="0.2">
      <c r="A358">
        <v>2021</v>
      </c>
      <c r="B358" s="34">
        <v>467</v>
      </c>
      <c r="C358" s="34" t="s">
        <v>628</v>
      </c>
      <c r="D358" s="36">
        <v>38682</v>
      </c>
      <c r="E358" s="36">
        <v>233998</v>
      </c>
      <c r="F358" s="57"/>
      <c r="G358" s="57"/>
      <c r="H358" s="65"/>
      <c r="I358" s="64"/>
      <c r="J358" s="65"/>
      <c r="K358" s="64"/>
    </row>
    <row r="359" spans="1:11" x14ac:dyDescent="0.2">
      <c r="A359">
        <v>2021</v>
      </c>
      <c r="B359" s="34">
        <v>468</v>
      </c>
      <c r="C359" s="34" t="s">
        <v>629</v>
      </c>
      <c r="D359" s="36">
        <v>36896</v>
      </c>
      <c r="E359" s="36">
        <v>232428</v>
      </c>
      <c r="F359" s="57"/>
      <c r="G359" s="57"/>
      <c r="H359" s="65"/>
      <c r="I359" s="64"/>
      <c r="J359" s="65"/>
      <c r="K359" s="64"/>
    </row>
    <row r="360" spans="1:11" x14ac:dyDescent="0.2">
      <c r="A360">
        <v>2021</v>
      </c>
      <c r="B360" s="34">
        <v>469</v>
      </c>
      <c r="C360" s="34" t="s">
        <v>630</v>
      </c>
      <c r="D360" s="36">
        <v>43934</v>
      </c>
      <c r="E360" s="36">
        <v>387679</v>
      </c>
      <c r="F360" s="57"/>
      <c r="G360" s="57"/>
      <c r="H360" s="65"/>
      <c r="I360" s="64"/>
      <c r="J360" s="65"/>
      <c r="K360" s="64"/>
    </row>
    <row r="361" spans="1:11" x14ac:dyDescent="0.2">
      <c r="A361">
        <v>2021</v>
      </c>
      <c r="B361" s="34">
        <v>470</v>
      </c>
      <c r="C361" s="34" t="s">
        <v>631</v>
      </c>
      <c r="D361" s="36">
        <v>57055</v>
      </c>
      <c r="E361" s="36">
        <v>257027</v>
      </c>
      <c r="F361" s="57"/>
      <c r="G361" s="57"/>
      <c r="H361" s="65"/>
      <c r="I361" s="64"/>
      <c r="J361" s="65"/>
      <c r="K361" s="64"/>
    </row>
    <row r="362" spans="1:11" x14ac:dyDescent="0.2">
      <c r="A362">
        <v>2021</v>
      </c>
      <c r="B362" s="34">
        <v>471</v>
      </c>
      <c r="C362" s="34" t="s">
        <v>632</v>
      </c>
      <c r="D362" s="36">
        <v>28754</v>
      </c>
      <c r="E362" s="36">
        <v>161845</v>
      </c>
      <c r="F362" s="57"/>
      <c r="G362" s="57"/>
      <c r="H362" s="65"/>
      <c r="I362" s="64"/>
      <c r="J362" s="65"/>
      <c r="K362" s="64"/>
    </row>
    <row r="363" spans="1:11" x14ac:dyDescent="0.2">
      <c r="A363">
        <v>2021</v>
      </c>
      <c r="B363" s="34">
        <v>472</v>
      </c>
      <c r="C363" s="34" t="s">
        <v>633</v>
      </c>
      <c r="D363" s="36">
        <v>584890</v>
      </c>
      <c r="E363" s="36">
        <v>3532674</v>
      </c>
      <c r="F363" s="57"/>
      <c r="G363" s="57"/>
      <c r="H363" s="65"/>
      <c r="I363" s="64"/>
      <c r="J363" s="65"/>
      <c r="K363" s="64"/>
    </row>
    <row r="364" spans="1:11" x14ac:dyDescent="0.2">
      <c r="A364">
        <v>2021</v>
      </c>
      <c r="B364" s="34">
        <v>476</v>
      </c>
      <c r="C364" s="34" t="s">
        <v>634</v>
      </c>
      <c r="D364" s="36">
        <v>175728</v>
      </c>
      <c r="E364" s="36">
        <v>1291297</v>
      </c>
      <c r="F364" s="57"/>
      <c r="G364" s="57"/>
      <c r="H364" s="65"/>
      <c r="I364" s="64"/>
      <c r="J364" s="65"/>
      <c r="K364" s="64"/>
    </row>
    <row r="365" spans="1:11" x14ac:dyDescent="0.2">
      <c r="A365">
        <v>2021</v>
      </c>
      <c r="B365" s="34">
        <v>477</v>
      </c>
      <c r="C365" s="34" t="s">
        <v>635</v>
      </c>
      <c r="D365" s="36">
        <v>54114</v>
      </c>
      <c r="E365" s="36">
        <v>303587</v>
      </c>
      <c r="F365" s="57"/>
      <c r="G365" s="57"/>
      <c r="H365" s="65"/>
      <c r="I365" s="64"/>
      <c r="J365" s="65"/>
      <c r="K365" s="64"/>
    </row>
    <row r="366" spans="1:11" x14ac:dyDescent="0.2">
      <c r="A366">
        <v>2021</v>
      </c>
      <c r="B366" s="34">
        <v>478</v>
      </c>
      <c r="C366" s="34" t="s">
        <v>636</v>
      </c>
      <c r="D366" s="36">
        <v>29261</v>
      </c>
      <c r="E366" s="36">
        <v>133382</v>
      </c>
      <c r="F366" s="57"/>
      <c r="G366" s="57"/>
      <c r="H366" s="65"/>
      <c r="I366" s="64"/>
      <c r="J366" s="65"/>
      <c r="K366" s="64"/>
    </row>
    <row r="367" spans="1:11" x14ac:dyDescent="0.2">
      <c r="A367">
        <v>2021</v>
      </c>
      <c r="B367" s="34">
        <v>479</v>
      </c>
      <c r="C367" s="34" t="s">
        <v>637</v>
      </c>
      <c r="D367" s="36">
        <v>473221</v>
      </c>
      <c r="E367" s="36">
        <v>3412204</v>
      </c>
      <c r="F367" s="57"/>
      <c r="G367" s="57"/>
      <c r="H367" s="65"/>
      <c r="I367" s="64"/>
      <c r="J367" s="65"/>
      <c r="K367" s="64"/>
    </row>
    <row r="368" spans="1:11" x14ac:dyDescent="0.2">
      <c r="A368">
        <v>2021</v>
      </c>
      <c r="B368" s="34">
        <v>485</v>
      </c>
      <c r="C368" s="34" t="s">
        <v>638</v>
      </c>
      <c r="D368" s="36">
        <v>134073</v>
      </c>
      <c r="E368" s="36">
        <v>990255</v>
      </c>
      <c r="F368" s="57"/>
      <c r="G368" s="57"/>
      <c r="H368" s="65"/>
      <c r="I368" s="64"/>
      <c r="J368" s="65"/>
      <c r="K368" s="64"/>
    </row>
    <row r="369" spans="1:11" x14ac:dyDescent="0.2">
      <c r="A369">
        <v>2021</v>
      </c>
      <c r="B369" s="34">
        <v>486</v>
      </c>
      <c r="C369" s="34" t="s">
        <v>639</v>
      </c>
      <c r="D369" s="36">
        <v>86283</v>
      </c>
      <c r="E369" s="36">
        <v>533608</v>
      </c>
      <c r="F369" s="57"/>
      <c r="G369" s="57"/>
      <c r="H369" s="65"/>
      <c r="I369" s="64"/>
      <c r="J369" s="65"/>
      <c r="K369" s="64"/>
    </row>
    <row r="370" spans="1:11" x14ac:dyDescent="0.2">
      <c r="A370">
        <v>2021</v>
      </c>
      <c r="B370" s="34">
        <v>487</v>
      </c>
      <c r="C370" s="34" t="s">
        <v>640</v>
      </c>
      <c r="D370" s="36">
        <v>65036</v>
      </c>
      <c r="E370" s="36">
        <v>387674</v>
      </c>
      <c r="F370" s="57"/>
      <c r="G370" s="57"/>
      <c r="H370" s="65"/>
      <c r="I370" s="64"/>
      <c r="J370" s="65"/>
      <c r="K370" s="64"/>
    </row>
    <row r="371" spans="1:11" x14ac:dyDescent="0.2">
      <c r="A371">
        <v>2021</v>
      </c>
      <c r="B371" s="34">
        <v>489</v>
      </c>
      <c r="C371" s="34" t="s">
        <v>641</v>
      </c>
      <c r="D371" s="36">
        <v>11191</v>
      </c>
      <c r="E371" s="36">
        <v>54026</v>
      </c>
      <c r="F371" s="57"/>
      <c r="G371" s="57"/>
      <c r="H371" s="65"/>
      <c r="I371" s="64"/>
      <c r="J371" s="65"/>
      <c r="K371" s="64"/>
    </row>
    <row r="372" spans="1:11" x14ac:dyDescent="0.2">
      <c r="A372">
        <v>2021</v>
      </c>
      <c r="B372" s="34">
        <v>490</v>
      </c>
      <c r="C372" s="34" t="s">
        <v>642</v>
      </c>
      <c r="D372" s="36">
        <v>60340</v>
      </c>
      <c r="E372" s="36">
        <v>461493</v>
      </c>
      <c r="F372" s="57"/>
      <c r="G372" s="57"/>
      <c r="H372" s="65"/>
      <c r="I372" s="64"/>
      <c r="J372" s="65"/>
      <c r="K372" s="64"/>
    </row>
    <row r="373" spans="1:11" x14ac:dyDescent="0.2">
      <c r="A373">
        <v>2021</v>
      </c>
      <c r="B373" s="34">
        <v>491</v>
      </c>
      <c r="C373" s="34" t="s">
        <v>643</v>
      </c>
      <c r="D373" s="36">
        <v>82799</v>
      </c>
      <c r="E373" s="36">
        <v>784706</v>
      </c>
      <c r="F373" s="57"/>
      <c r="G373" s="57"/>
      <c r="H373" s="65"/>
      <c r="I373" s="64"/>
      <c r="J373" s="65"/>
      <c r="K373" s="64"/>
    </row>
    <row r="374" spans="1:11" x14ac:dyDescent="0.2">
      <c r="A374">
        <v>2021</v>
      </c>
      <c r="B374" s="34">
        <v>492</v>
      </c>
      <c r="C374" s="34" t="s">
        <v>644</v>
      </c>
      <c r="D374" s="36">
        <v>564036</v>
      </c>
      <c r="E374" s="36">
        <v>3600488</v>
      </c>
      <c r="F374" s="57"/>
      <c r="G374" s="57"/>
      <c r="H374" s="65"/>
      <c r="I374" s="64"/>
      <c r="J374" s="65"/>
      <c r="K374" s="64"/>
    </row>
    <row r="375" spans="1:11" x14ac:dyDescent="0.2">
      <c r="A375">
        <v>2021</v>
      </c>
      <c r="B375" s="34">
        <v>493</v>
      </c>
      <c r="C375" s="34" t="s">
        <v>645</v>
      </c>
      <c r="D375" s="36">
        <v>2198368</v>
      </c>
      <c r="E375" s="36">
        <v>10956491</v>
      </c>
      <c r="F375" s="57"/>
      <c r="G375" s="57"/>
      <c r="H375" s="65"/>
      <c r="I375" s="64"/>
      <c r="J375" s="65"/>
      <c r="K375" s="64"/>
    </row>
    <row r="376" spans="1:11" x14ac:dyDescent="0.2">
      <c r="A376">
        <v>2021</v>
      </c>
      <c r="B376" s="34">
        <v>494</v>
      </c>
      <c r="C376" s="34" t="s">
        <v>646</v>
      </c>
      <c r="D376" s="36">
        <v>300336</v>
      </c>
      <c r="E376" s="36">
        <v>2034926</v>
      </c>
      <c r="F376" s="57"/>
      <c r="G376" s="57"/>
      <c r="H376" s="65"/>
      <c r="I376" s="64"/>
      <c r="J376" s="65"/>
      <c r="K376" s="64"/>
    </row>
    <row r="377" spans="1:11" x14ac:dyDescent="0.2">
      <c r="A377">
        <v>2021</v>
      </c>
      <c r="B377" s="34">
        <v>495</v>
      </c>
      <c r="C377" s="34" t="s">
        <v>647</v>
      </c>
      <c r="D377" s="36">
        <v>48843</v>
      </c>
      <c r="E377" s="36">
        <v>257021</v>
      </c>
      <c r="F377" s="57"/>
      <c r="G377" s="57"/>
      <c r="H377" s="65"/>
      <c r="I377" s="64"/>
      <c r="J377" s="65"/>
      <c r="K377" s="64"/>
    </row>
    <row r="378" spans="1:11" x14ac:dyDescent="0.2">
      <c r="A378">
        <v>2021</v>
      </c>
      <c r="B378" s="34">
        <v>496</v>
      </c>
      <c r="C378" s="34" t="s">
        <v>648</v>
      </c>
      <c r="D378" s="36">
        <v>36145</v>
      </c>
      <c r="E378" s="36">
        <v>171360</v>
      </c>
      <c r="F378" s="57"/>
      <c r="G378" s="57"/>
      <c r="H378" s="65"/>
      <c r="I378" s="64"/>
      <c r="J378" s="65"/>
      <c r="K378" s="64"/>
    </row>
    <row r="379" spans="1:11" x14ac:dyDescent="0.2">
      <c r="A379">
        <v>2021</v>
      </c>
      <c r="B379" s="34">
        <v>497</v>
      </c>
      <c r="C379" s="34" t="s">
        <v>649</v>
      </c>
      <c r="D379" s="36">
        <v>36914</v>
      </c>
      <c r="E379" s="36">
        <v>264521</v>
      </c>
      <c r="F379" s="57"/>
      <c r="G379" s="57"/>
      <c r="H379" s="65"/>
      <c r="I379" s="64"/>
      <c r="J379" s="65"/>
      <c r="K379" s="64"/>
    </row>
    <row r="380" spans="1:11" x14ac:dyDescent="0.2">
      <c r="A380">
        <v>2021</v>
      </c>
      <c r="B380" s="34">
        <v>498</v>
      </c>
      <c r="C380" s="34" t="s">
        <v>650</v>
      </c>
      <c r="D380" s="36">
        <v>67142</v>
      </c>
      <c r="E380" s="36">
        <v>339673</v>
      </c>
      <c r="F380" s="57"/>
      <c r="G380" s="57"/>
      <c r="H380" s="65"/>
      <c r="I380" s="64"/>
      <c r="J380" s="65"/>
      <c r="K380" s="64"/>
    </row>
    <row r="381" spans="1:11" x14ac:dyDescent="0.2">
      <c r="A381">
        <v>2021</v>
      </c>
      <c r="B381" s="34">
        <v>499</v>
      </c>
      <c r="C381" s="34" t="s">
        <v>651</v>
      </c>
      <c r="D381" s="36">
        <v>74458</v>
      </c>
      <c r="E381" s="36">
        <v>591285</v>
      </c>
      <c r="F381" s="57"/>
      <c r="G381" s="57"/>
      <c r="H381" s="65"/>
      <c r="I381" s="64"/>
      <c r="J381" s="65"/>
      <c r="K381" s="64"/>
    </row>
    <row r="382" spans="1:11" x14ac:dyDescent="0.2">
      <c r="A382">
        <v>2021</v>
      </c>
      <c r="B382" s="34">
        <v>500</v>
      </c>
      <c r="C382" s="34" t="s">
        <v>652</v>
      </c>
      <c r="D382" s="36">
        <v>111503</v>
      </c>
      <c r="E382" s="36">
        <v>591573</v>
      </c>
      <c r="F382" s="57"/>
      <c r="G382" s="57"/>
      <c r="H382" s="65"/>
      <c r="I382" s="64"/>
      <c r="J382" s="65"/>
      <c r="K382" s="64"/>
    </row>
    <row r="383" spans="1:11" x14ac:dyDescent="0.2">
      <c r="A383">
        <v>2021</v>
      </c>
      <c r="B383" s="34">
        <v>501</v>
      </c>
      <c r="C383" s="34" t="s">
        <v>653</v>
      </c>
      <c r="D383" s="36">
        <v>59898</v>
      </c>
      <c r="E383" s="36">
        <v>354982</v>
      </c>
      <c r="F383" s="57"/>
      <c r="G383" s="57"/>
      <c r="H383" s="65"/>
      <c r="I383" s="64"/>
      <c r="J383" s="65"/>
      <c r="K383" s="64"/>
    </row>
    <row r="384" spans="1:11" x14ac:dyDescent="0.2">
      <c r="A384">
        <v>2021</v>
      </c>
      <c r="B384" s="34">
        <v>502</v>
      </c>
      <c r="C384" s="34" t="s">
        <v>654</v>
      </c>
      <c r="D384" s="36">
        <v>10443</v>
      </c>
      <c r="E384" s="36">
        <v>47176</v>
      </c>
      <c r="F384" s="57"/>
      <c r="G384" s="57"/>
      <c r="H384" s="65"/>
      <c r="I384" s="64"/>
      <c r="J384" s="65"/>
      <c r="K384" s="64"/>
    </row>
    <row r="385" spans="1:11" x14ac:dyDescent="0.2">
      <c r="A385">
        <v>2021</v>
      </c>
      <c r="B385" s="34">
        <v>503</v>
      </c>
      <c r="C385" s="34" t="s">
        <v>655</v>
      </c>
      <c r="D385" s="36">
        <v>62721</v>
      </c>
      <c r="E385" s="36">
        <v>379596</v>
      </c>
      <c r="F385" s="57"/>
      <c r="G385" s="57"/>
      <c r="H385" s="65"/>
      <c r="I385" s="64"/>
      <c r="J385" s="65"/>
      <c r="K385" s="64"/>
    </row>
    <row r="386" spans="1:11" x14ac:dyDescent="0.2">
      <c r="A386">
        <v>2021</v>
      </c>
      <c r="B386" s="34">
        <v>504</v>
      </c>
      <c r="C386" s="34" t="s">
        <v>656</v>
      </c>
      <c r="D386" s="36">
        <v>101638</v>
      </c>
      <c r="E386" s="36">
        <v>456470</v>
      </c>
      <c r="F386" s="57"/>
      <c r="G386" s="57"/>
      <c r="H386" s="65"/>
      <c r="I386" s="64"/>
      <c r="J386" s="65"/>
      <c r="K386" s="64"/>
    </row>
    <row r="387" spans="1:11" x14ac:dyDescent="0.2">
      <c r="A387">
        <v>2021</v>
      </c>
      <c r="B387" s="34">
        <v>505</v>
      </c>
      <c r="C387" s="34" t="s">
        <v>657</v>
      </c>
      <c r="D387" s="36">
        <v>866146</v>
      </c>
      <c r="E387" s="36">
        <v>4876051</v>
      </c>
      <c r="F387" s="57"/>
      <c r="G387" s="57"/>
      <c r="H387" s="65"/>
      <c r="I387" s="64"/>
      <c r="J387" s="65"/>
      <c r="K387" s="64"/>
    </row>
    <row r="388" spans="1:11" x14ac:dyDescent="0.2">
      <c r="A388">
        <v>2021</v>
      </c>
      <c r="B388" s="34">
        <v>507</v>
      </c>
      <c r="C388" s="34" t="s">
        <v>658</v>
      </c>
      <c r="D388" s="36">
        <v>82101</v>
      </c>
      <c r="E388" s="36">
        <v>484584</v>
      </c>
      <c r="F388" s="57"/>
      <c r="G388" s="57"/>
      <c r="H388" s="65"/>
      <c r="I388" s="64"/>
      <c r="J388" s="65"/>
      <c r="K388" s="64"/>
    </row>
    <row r="389" spans="1:11" x14ac:dyDescent="0.2">
      <c r="A389">
        <v>2021</v>
      </c>
      <c r="B389" s="34">
        <v>509</v>
      </c>
      <c r="C389" s="34" t="s">
        <v>659</v>
      </c>
      <c r="D389" s="36">
        <v>63357</v>
      </c>
      <c r="E389" s="36">
        <v>558645</v>
      </c>
      <c r="F389" s="57"/>
      <c r="G389" s="57"/>
      <c r="H389" s="65"/>
      <c r="I389" s="64"/>
      <c r="J389" s="65"/>
      <c r="K389" s="64"/>
    </row>
    <row r="390" spans="1:11" x14ac:dyDescent="0.2">
      <c r="A390">
        <v>2021</v>
      </c>
      <c r="B390" s="34">
        <v>510</v>
      </c>
      <c r="C390" s="34" t="s">
        <v>660</v>
      </c>
      <c r="D390" s="36">
        <v>97673</v>
      </c>
      <c r="E390" s="36">
        <v>641064</v>
      </c>
      <c r="F390" s="57"/>
      <c r="G390" s="57"/>
      <c r="H390" s="65"/>
      <c r="I390" s="64"/>
      <c r="J390" s="65"/>
      <c r="K390" s="64"/>
    </row>
    <row r="391" spans="1:11" x14ac:dyDescent="0.2">
      <c r="A391">
        <v>2021</v>
      </c>
      <c r="B391" s="34">
        <v>511</v>
      </c>
      <c r="C391" s="34" t="s">
        <v>479</v>
      </c>
      <c r="D391" s="36">
        <v>41528</v>
      </c>
      <c r="E391" s="36">
        <v>314864</v>
      </c>
      <c r="F391" s="57"/>
      <c r="G391" s="57"/>
      <c r="H391" s="65"/>
      <c r="I391" s="64"/>
      <c r="J391" s="65"/>
      <c r="K391" s="64"/>
    </row>
    <row r="392" spans="1:11" x14ac:dyDescent="0.2">
      <c r="A392">
        <v>2021</v>
      </c>
      <c r="B392" s="34">
        <v>512</v>
      </c>
      <c r="C392" s="34" t="s">
        <v>480</v>
      </c>
      <c r="D392" s="36">
        <v>19752</v>
      </c>
      <c r="E392" s="36">
        <v>129984</v>
      </c>
      <c r="F392" s="57"/>
      <c r="G392" s="57"/>
      <c r="H392" s="65"/>
      <c r="I392" s="64"/>
      <c r="J392" s="65"/>
      <c r="K392" s="64"/>
    </row>
    <row r="393" spans="1:11" x14ac:dyDescent="0.2">
      <c r="A393">
        <v>2021</v>
      </c>
      <c r="B393" s="34">
        <v>514</v>
      </c>
      <c r="C393" s="34" t="s">
        <v>481</v>
      </c>
      <c r="D393" s="36">
        <v>25456</v>
      </c>
      <c r="E393" s="36">
        <v>172885</v>
      </c>
      <c r="F393" s="57"/>
      <c r="G393" s="57"/>
      <c r="H393" s="65"/>
      <c r="I393" s="64"/>
      <c r="J393" s="65"/>
      <c r="K393" s="64"/>
    </row>
    <row r="394" spans="1:11" x14ac:dyDescent="0.2">
      <c r="A394">
        <v>2021</v>
      </c>
      <c r="B394" s="34">
        <v>516</v>
      </c>
      <c r="C394" s="34" t="s">
        <v>482</v>
      </c>
      <c r="D394" s="36">
        <v>255249</v>
      </c>
      <c r="E394" s="36">
        <v>1732447</v>
      </c>
      <c r="F394" s="57"/>
      <c r="G394" s="57"/>
      <c r="H394" s="65"/>
      <c r="I394" s="64"/>
      <c r="J394" s="65"/>
      <c r="K394" s="64"/>
    </row>
    <row r="395" spans="1:11" x14ac:dyDescent="0.2">
      <c r="A395">
        <v>2021</v>
      </c>
      <c r="B395" s="34">
        <v>522</v>
      </c>
      <c r="C395" s="34" t="s">
        <v>483</v>
      </c>
      <c r="D395" s="36">
        <v>34498</v>
      </c>
      <c r="E395" s="36">
        <v>272920</v>
      </c>
      <c r="F395" s="57"/>
      <c r="G395" s="57"/>
      <c r="H395" s="65"/>
      <c r="I395" s="64"/>
      <c r="J395" s="65"/>
      <c r="K395" s="64"/>
    </row>
    <row r="396" spans="1:11" x14ac:dyDescent="0.2">
      <c r="A396">
        <v>2021</v>
      </c>
      <c r="B396" s="34">
        <v>523</v>
      </c>
      <c r="C396" s="34" t="s">
        <v>484</v>
      </c>
      <c r="D396" s="36">
        <v>84368</v>
      </c>
      <c r="E396" s="36">
        <v>785913</v>
      </c>
      <c r="F396" s="57"/>
      <c r="G396" s="57"/>
      <c r="H396" s="65"/>
      <c r="I396" s="64"/>
      <c r="J396" s="65"/>
      <c r="K396" s="64"/>
    </row>
    <row r="397" spans="1:11" x14ac:dyDescent="0.2">
      <c r="A397">
        <v>2021</v>
      </c>
      <c r="B397" s="34">
        <v>524</v>
      </c>
      <c r="C397" s="34" t="s">
        <v>485</v>
      </c>
      <c r="D397" s="36">
        <v>132645</v>
      </c>
      <c r="E397" s="36">
        <v>1009548</v>
      </c>
      <c r="F397" s="57"/>
      <c r="G397" s="57"/>
      <c r="H397" s="65"/>
      <c r="I397" s="64"/>
      <c r="J397" s="65"/>
      <c r="K397" s="64"/>
    </row>
    <row r="398" spans="1:11" x14ac:dyDescent="0.2">
      <c r="A398">
        <v>2021</v>
      </c>
      <c r="B398" s="34">
        <v>525</v>
      </c>
      <c r="C398" s="34" t="s">
        <v>486</v>
      </c>
      <c r="D398" s="36">
        <v>25646</v>
      </c>
      <c r="E398" s="36">
        <v>193826</v>
      </c>
      <c r="F398" s="57"/>
      <c r="G398" s="57"/>
      <c r="H398" s="65"/>
      <c r="I398" s="64"/>
      <c r="J398" s="65"/>
      <c r="K398" s="64"/>
    </row>
    <row r="399" spans="1:11" x14ac:dyDescent="0.2">
      <c r="A399">
        <v>2021</v>
      </c>
      <c r="B399" s="34">
        <v>526</v>
      </c>
      <c r="C399" s="34" t="s">
        <v>661</v>
      </c>
      <c r="D399" s="36">
        <v>8689</v>
      </c>
      <c r="E399" s="36">
        <v>56391</v>
      </c>
      <c r="F399" s="57"/>
      <c r="G399" s="57"/>
      <c r="H399" s="65"/>
      <c r="I399" s="64"/>
      <c r="J399" s="65"/>
      <c r="K399" s="64"/>
    </row>
    <row r="400" spans="1:11" x14ac:dyDescent="0.2">
      <c r="A400">
        <v>2021</v>
      </c>
      <c r="B400" s="34">
        <v>527</v>
      </c>
      <c r="C400" s="34" t="s">
        <v>662</v>
      </c>
      <c r="D400" s="36">
        <v>49363</v>
      </c>
      <c r="E400" s="36">
        <v>317588</v>
      </c>
      <c r="F400" s="57"/>
      <c r="G400" s="57"/>
      <c r="H400" s="65"/>
      <c r="I400" s="64"/>
      <c r="J400" s="65"/>
      <c r="K400" s="64"/>
    </row>
    <row r="401" spans="1:11" x14ac:dyDescent="0.2">
      <c r="A401">
        <v>2021</v>
      </c>
      <c r="B401" s="34">
        <v>528</v>
      </c>
      <c r="C401" s="34" t="s">
        <v>489</v>
      </c>
      <c r="D401" s="36">
        <v>34606</v>
      </c>
      <c r="E401" s="36">
        <v>140167</v>
      </c>
      <c r="F401" s="57"/>
      <c r="G401" s="57"/>
      <c r="H401" s="65"/>
      <c r="I401" s="64"/>
      <c r="J401" s="65"/>
      <c r="K401" s="64"/>
    </row>
    <row r="402" spans="1:11" x14ac:dyDescent="0.2">
      <c r="A402">
        <v>2021</v>
      </c>
      <c r="B402" s="34">
        <v>529</v>
      </c>
      <c r="C402" s="34" t="s">
        <v>490</v>
      </c>
      <c r="D402" s="36">
        <v>47871</v>
      </c>
      <c r="E402" s="36">
        <v>296347</v>
      </c>
      <c r="F402" s="57"/>
      <c r="G402" s="57"/>
      <c r="H402" s="65"/>
      <c r="I402" s="64"/>
      <c r="J402" s="65"/>
      <c r="K402" s="64"/>
    </row>
    <row r="403" spans="1:11" x14ac:dyDescent="0.2">
      <c r="A403">
        <v>2021</v>
      </c>
      <c r="B403" s="34">
        <v>532</v>
      </c>
      <c r="C403" s="34" t="s">
        <v>663</v>
      </c>
      <c r="D403" s="36">
        <v>196538</v>
      </c>
      <c r="E403" s="36">
        <v>961684</v>
      </c>
      <c r="F403" s="57"/>
      <c r="G403" s="57"/>
      <c r="H403" s="65"/>
      <c r="I403" s="64"/>
      <c r="J403" s="65"/>
      <c r="K403" s="64"/>
    </row>
    <row r="404" spans="1:11" x14ac:dyDescent="0.2">
      <c r="A404">
        <v>2021</v>
      </c>
      <c r="B404" s="34">
        <v>533</v>
      </c>
      <c r="C404" s="34" t="s">
        <v>664</v>
      </c>
      <c r="D404" s="36">
        <v>29132</v>
      </c>
      <c r="E404" s="36">
        <v>268249</v>
      </c>
      <c r="F404" s="57"/>
      <c r="G404" s="57"/>
      <c r="H404" s="65"/>
      <c r="I404" s="64"/>
      <c r="J404" s="65"/>
      <c r="K404" s="64"/>
    </row>
    <row r="405" spans="1:11" x14ac:dyDescent="0.2">
      <c r="A405">
        <v>2021</v>
      </c>
      <c r="B405" s="34">
        <v>534</v>
      </c>
      <c r="C405" s="34" t="s">
        <v>493</v>
      </c>
      <c r="D405" s="36">
        <v>9355</v>
      </c>
      <c r="E405" s="36">
        <v>67209</v>
      </c>
      <c r="F405" s="57"/>
      <c r="G405" s="57"/>
      <c r="H405" s="65"/>
      <c r="I405" s="64"/>
      <c r="J405" s="65"/>
      <c r="K405" s="64"/>
    </row>
    <row r="406" spans="1:11" x14ac:dyDescent="0.2">
      <c r="A406">
        <v>2021</v>
      </c>
      <c r="B406" s="34">
        <v>535</v>
      </c>
      <c r="C406" s="34" t="s">
        <v>494</v>
      </c>
      <c r="D406" s="36">
        <v>19236</v>
      </c>
      <c r="E406" s="36">
        <v>93964</v>
      </c>
      <c r="F406" s="57"/>
      <c r="G406" s="57"/>
      <c r="H406" s="65"/>
      <c r="I406" s="64"/>
      <c r="J406" s="65"/>
      <c r="K406" s="64"/>
    </row>
    <row r="407" spans="1:11" x14ac:dyDescent="0.2">
      <c r="A407">
        <v>2021</v>
      </c>
      <c r="B407" s="34">
        <v>536</v>
      </c>
      <c r="C407" s="34" t="s">
        <v>495</v>
      </c>
      <c r="D407" s="36">
        <v>2987912</v>
      </c>
      <c r="E407" s="36">
        <v>17268353</v>
      </c>
      <c r="F407" s="57"/>
      <c r="G407" s="57"/>
      <c r="H407" s="65"/>
      <c r="I407" s="64"/>
      <c r="J407" s="65"/>
      <c r="K407" s="64"/>
    </row>
    <row r="408" spans="1:11" x14ac:dyDescent="0.2">
      <c r="A408">
        <v>2021</v>
      </c>
      <c r="B408" s="34">
        <v>537</v>
      </c>
      <c r="C408" s="34" t="s">
        <v>496</v>
      </c>
      <c r="D408" s="36">
        <v>2643095</v>
      </c>
      <c r="E408" s="36">
        <v>15877368</v>
      </c>
      <c r="F408" s="57"/>
      <c r="G408" s="57"/>
      <c r="H408" s="65"/>
      <c r="I408" s="64"/>
      <c r="J408" s="65"/>
      <c r="K408" s="64"/>
    </row>
    <row r="409" spans="1:11" x14ac:dyDescent="0.2">
      <c r="A409">
        <v>2021</v>
      </c>
      <c r="B409" s="34">
        <v>538</v>
      </c>
      <c r="C409" s="34" t="s">
        <v>497</v>
      </c>
      <c r="D409" s="36">
        <v>2681972</v>
      </c>
      <c r="E409" s="36">
        <v>15856288</v>
      </c>
      <c r="F409" s="57"/>
      <c r="G409" s="57"/>
      <c r="H409" s="65"/>
      <c r="I409" s="64"/>
      <c r="J409" s="65"/>
      <c r="K409" s="64"/>
    </row>
    <row r="410" spans="1:11" x14ac:dyDescent="0.2">
      <c r="A410">
        <v>2021</v>
      </c>
      <c r="B410" s="34">
        <v>539</v>
      </c>
      <c r="C410" s="34" t="s">
        <v>498</v>
      </c>
      <c r="D410" s="36">
        <v>432933</v>
      </c>
      <c r="E410" s="36">
        <v>2073520</v>
      </c>
      <c r="F410" s="57"/>
      <c r="G410" s="57"/>
      <c r="H410" s="65"/>
      <c r="I410" s="64"/>
      <c r="J410" s="65"/>
      <c r="K410" s="64"/>
    </row>
    <row r="411" spans="1:11" x14ac:dyDescent="0.2">
      <c r="A411">
        <v>2021</v>
      </c>
      <c r="B411" s="34">
        <v>540</v>
      </c>
      <c r="C411" s="34" t="s">
        <v>499</v>
      </c>
      <c r="D411" s="36">
        <v>878969</v>
      </c>
      <c r="E411" s="36">
        <v>5812979</v>
      </c>
      <c r="F411" s="57"/>
      <c r="G411" s="57"/>
      <c r="H411" s="65"/>
      <c r="I411" s="64"/>
      <c r="J411" s="65"/>
      <c r="K411" s="64"/>
    </row>
    <row r="412" spans="1:11" x14ac:dyDescent="0.2">
      <c r="A412">
        <v>2021</v>
      </c>
      <c r="B412" s="34">
        <v>541</v>
      </c>
      <c r="C412" s="34" t="s">
        <v>500</v>
      </c>
      <c r="D412" s="36">
        <v>37485</v>
      </c>
      <c r="E412" s="36">
        <v>239215</v>
      </c>
      <c r="F412" s="57"/>
      <c r="G412" s="57"/>
      <c r="H412" s="65"/>
      <c r="I412" s="64"/>
      <c r="J412" s="65"/>
      <c r="K412" s="64"/>
    </row>
    <row r="413" spans="1:11" x14ac:dyDescent="0.2">
      <c r="A413">
        <v>2021</v>
      </c>
      <c r="B413" s="34">
        <v>542</v>
      </c>
      <c r="C413" s="34" t="s">
        <v>501</v>
      </c>
      <c r="D413" s="36">
        <v>7924</v>
      </c>
      <c r="E413" s="36">
        <v>48140</v>
      </c>
      <c r="F413" s="57"/>
      <c r="G413" s="57"/>
      <c r="H413" s="65"/>
      <c r="I413" s="64"/>
      <c r="J413" s="65"/>
      <c r="K413" s="64"/>
    </row>
    <row r="414" spans="1:11" x14ac:dyDescent="0.2">
      <c r="A414">
        <v>2021</v>
      </c>
      <c r="B414" s="34">
        <v>544</v>
      </c>
      <c r="C414" s="34" t="s">
        <v>502</v>
      </c>
      <c r="D414" s="36">
        <v>34169</v>
      </c>
      <c r="E414" s="36">
        <v>287298</v>
      </c>
      <c r="F414" s="57"/>
      <c r="G414" s="57"/>
      <c r="H414" s="65"/>
      <c r="I414" s="64"/>
      <c r="J414" s="65"/>
      <c r="K414" s="64"/>
    </row>
    <row r="415" spans="1:11" x14ac:dyDescent="0.2">
      <c r="A415">
        <v>2021</v>
      </c>
      <c r="B415" s="34">
        <v>545</v>
      </c>
      <c r="C415" s="34" t="s">
        <v>503</v>
      </c>
      <c r="D415" s="36">
        <v>36209</v>
      </c>
      <c r="E415" s="36">
        <v>338049</v>
      </c>
      <c r="F415" s="57"/>
      <c r="G415" s="57"/>
      <c r="H415" s="65"/>
      <c r="I415" s="64"/>
      <c r="J415" s="65"/>
      <c r="K415" s="64"/>
    </row>
    <row r="416" spans="1:11" x14ac:dyDescent="0.2">
      <c r="A416">
        <v>2021</v>
      </c>
      <c r="B416" s="34">
        <v>546</v>
      </c>
      <c r="C416" s="34" t="s">
        <v>665</v>
      </c>
      <c r="D416" s="36">
        <v>328922</v>
      </c>
      <c r="E416" s="36">
        <v>2125628</v>
      </c>
      <c r="F416" s="57"/>
      <c r="G416" s="57"/>
      <c r="H416" s="65"/>
      <c r="I416" s="64"/>
      <c r="J416" s="65"/>
      <c r="K416" s="64"/>
    </row>
    <row r="417" spans="1:11" x14ac:dyDescent="0.2">
      <c r="A417">
        <v>2021</v>
      </c>
      <c r="B417" s="34">
        <v>547</v>
      </c>
      <c r="C417" s="34" t="s">
        <v>505</v>
      </c>
      <c r="D417" s="36">
        <v>243359</v>
      </c>
      <c r="E417" s="36">
        <v>1600306</v>
      </c>
      <c r="F417" s="57"/>
      <c r="G417" s="57"/>
      <c r="H417" s="65"/>
      <c r="I417" s="64"/>
      <c r="J417" s="65"/>
      <c r="K417" s="64"/>
    </row>
    <row r="418" spans="1:11" x14ac:dyDescent="0.2">
      <c r="A418">
        <v>2021</v>
      </c>
      <c r="B418" s="34">
        <v>548</v>
      </c>
      <c r="C418" s="34" t="s">
        <v>506</v>
      </c>
      <c r="D418" s="36">
        <v>120767</v>
      </c>
      <c r="E418" s="36">
        <v>759575</v>
      </c>
      <c r="F418" s="57"/>
      <c r="G418" s="57"/>
      <c r="H418" s="65"/>
      <c r="I418" s="64"/>
      <c r="J418" s="65"/>
      <c r="K418" s="64"/>
    </row>
    <row r="419" spans="1:11" x14ac:dyDescent="0.2">
      <c r="A419">
        <v>2021</v>
      </c>
      <c r="B419" s="34">
        <v>549</v>
      </c>
      <c r="C419" s="34" t="s">
        <v>507</v>
      </c>
      <c r="D419" s="36">
        <v>56746</v>
      </c>
      <c r="E419" s="36">
        <v>349602</v>
      </c>
      <c r="F419" s="57"/>
      <c r="G419" s="57"/>
      <c r="H419" s="65"/>
      <c r="I419" s="64"/>
      <c r="J419" s="65"/>
      <c r="K419" s="64"/>
    </row>
    <row r="420" spans="1:11" x14ac:dyDescent="0.2">
      <c r="A420">
        <v>2021</v>
      </c>
      <c r="B420" s="34">
        <v>550</v>
      </c>
      <c r="C420" s="34" t="s">
        <v>508</v>
      </c>
      <c r="D420" s="36">
        <v>472406</v>
      </c>
      <c r="E420" s="36">
        <v>2733929</v>
      </c>
      <c r="F420" s="57"/>
      <c r="G420" s="57"/>
      <c r="H420" s="65"/>
      <c r="I420" s="64"/>
      <c r="J420" s="65"/>
      <c r="K420" s="64"/>
    </row>
    <row r="421" spans="1:11" x14ac:dyDescent="0.2">
      <c r="A421">
        <v>2021</v>
      </c>
      <c r="B421" s="34">
        <v>557</v>
      </c>
      <c r="C421" s="34" t="s">
        <v>509</v>
      </c>
      <c r="D421" s="36">
        <v>237083</v>
      </c>
      <c r="E421" s="36">
        <v>1796518</v>
      </c>
      <c r="F421" s="57"/>
      <c r="G421" s="57"/>
      <c r="H421" s="65"/>
      <c r="I421" s="64"/>
      <c r="J421" s="65"/>
      <c r="K421" s="64"/>
    </row>
    <row r="422" spans="1:11" x14ac:dyDescent="0.2">
      <c r="A422">
        <v>2021</v>
      </c>
      <c r="B422" s="34">
        <v>559</v>
      </c>
      <c r="C422" s="34" t="s">
        <v>666</v>
      </c>
      <c r="D422" s="36">
        <v>2557269</v>
      </c>
      <c r="E422" s="36">
        <v>15528415</v>
      </c>
      <c r="F422" s="57"/>
      <c r="G422" s="57"/>
      <c r="H422" s="65"/>
      <c r="I422" s="64"/>
      <c r="J422" s="65"/>
      <c r="K422" s="64"/>
    </row>
    <row r="423" spans="1:11" x14ac:dyDescent="0.2">
      <c r="A423">
        <v>2021</v>
      </c>
      <c r="B423" s="34">
        <v>560</v>
      </c>
      <c r="C423" s="34" t="s">
        <v>667</v>
      </c>
      <c r="D423" s="36">
        <v>1751040</v>
      </c>
      <c r="E423" s="36">
        <v>9522326</v>
      </c>
      <c r="F423" s="57"/>
      <c r="G423" s="57"/>
      <c r="H423" s="65"/>
      <c r="I423" s="64"/>
      <c r="J423" s="65"/>
      <c r="K423" s="64"/>
    </row>
    <row r="424" spans="1:11" x14ac:dyDescent="0.2">
      <c r="A424">
        <v>2021</v>
      </c>
      <c r="B424" s="34">
        <v>561</v>
      </c>
      <c r="C424" s="34" t="s">
        <v>512</v>
      </c>
      <c r="D424" s="36">
        <v>1353977</v>
      </c>
      <c r="E424" s="36">
        <v>6822176</v>
      </c>
      <c r="F424" s="57"/>
      <c r="G424" s="57"/>
      <c r="H424" s="65"/>
      <c r="I424" s="64"/>
      <c r="J424" s="65"/>
      <c r="K424" s="64"/>
    </row>
    <row r="425" spans="1:11" x14ac:dyDescent="0.2">
      <c r="A425">
        <v>2021</v>
      </c>
      <c r="B425" s="34">
        <v>562</v>
      </c>
      <c r="C425" s="34" t="s">
        <v>513</v>
      </c>
      <c r="D425" s="36">
        <v>3109561</v>
      </c>
      <c r="E425" s="36">
        <v>19284606</v>
      </c>
      <c r="F425" s="57"/>
      <c r="G425" s="57"/>
      <c r="H425" s="65"/>
      <c r="I425" s="64"/>
      <c r="J425" s="65"/>
      <c r="K425" s="64"/>
    </row>
    <row r="426" spans="1:11" x14ac:dyDescent="0.2">
      <c r="A426">
        <v>2021</v>
      </c>
      <c r="B426" s="34">
        <v>563</v>
      </c>
      <c r="C426" s="34" t="s">
        <v>514</v>
      </c>
      <c r="D426" s="36">
        <v>865679</v>
      </c>
      <c r="E426" s="36">
        <v>5810520</v>
      </c>
      <c r="F426" s="57"/>
      <c r="G426" s="57"/>
      <c r="H426" s="65"/>
      <c r="I426" s="64"/>
      <c r="J426" s="65"/>
      <c r="K426" s="64"/>
    </row>
    <row r="427" spans="1:11" x14ac:dyDescent="0.2">
      <c r="A427">
        <v>2021</v>
      </c>
      <c r="B427" s="34">
        <v>564</v>
      </c>
      <c r="C427" s="34" t="s">
        <v>515</v>
      </c>
      <c r="D427" s="36">
        <v>779092</v>
      </c>
      <c r="E427" s="36">
        <v>5833752</v>
      </c>
      <c r="F427" s="57"/>
      <c r="G427" s="57"/>
      <c r="H427" s="65"/>
      <c r="I427" s="64"/>
      <c r="J427" s="65"/>
      <c r="K427" s="64"/>
    </row>
    <row r="428" spans="1:11" x14ac:dyDescent="0.2">
      <c r="A428">
        <v>2021</v>
      </c>
      <c r="B428" s="34">
        <v>565</v>
      </c>
      <c r="C428" s="34" t="s">
        <v>516</v>
      </c>
      <c r="D428" s="36">
        <v>1203129</v>
      </c>
      <c r="E428" s="36">
        <v>8430864</v>
      </c>
      <c r="F428" s="57"/>
      <c r="G428" s="57"/>
      <c r="H428" s="65"/>
      <c r="I428" s="64"/>
      <c r="J428" s="65"/>
      <c r="K428" s="64"/>
    </row>
    <row r="429" spans="1:11" x14ac:dyDescent="0.2">
      <c r="A429">
        <v>2021</v>
      </c>
      <c r="B429" s="34">
        <v>566</v>
      </c>
      <c r="C429" s="34" t="s">
        <v>517</v>
      </c>
      <c r="D429" s="36">
        <v>332728</v>
      </c>
      <c r="E429" s="36">
        <v>2217176</v>
      </c>
      <c r="F429" s="57"/>
      <c r="G429" s="57"/>
      <c r="H429" s="65"/>
      <c r="I429" s="64"/>
      <c r="J429" s="65"/>
      <c r="K429" s="64"/>
    </row>
    <row r="430" spans="1:11" x14ac:dyDescent="0.2">
      <c r="A430">
        <v>2021</v>
      </c>
      <c r="B430" s="34">
        <v>567</v>
      </c>
      <c r="C430" s="34" t="s">
        <v>518</v>
      </c>
      <c r="D430" s="36">
        <v>150121</v>
      </c>
      <c r="E430" s="36">
        <v>1401940</v>
      </c>
      <c r="F430" s="57"/>
      <c r="G430" s="57"/>
      <c r="H430" s="65"/>
      <c r="I430" s="64"/>
      <c r="J430" s="65"/>
      <c r="K430" s="64"/>
    </row>
    <row r="431" spans="1:11" x14ac:dyDescent="0.2">
      <c r="A431">
        <v>2021</v>
      </c>
      <c r="B431" s="34">
        <v>569</v>
      </c>
      <c r="C431" s="34" t="s">
        <v>519</v>
      </c>
      <c r="D431" s="36">
        <v>203304</v>
      </c>
      <c r="E431" s="36">
        <v>1157693</v>
      </c>
      <c r="F431" s="57"/>
      <c r="G431" s="57"/>
      <c r="H431" s="65"/>
      <c r="I431" s="64"/>
      <c r="J431" s="65"/>
      <c r="K431" s="64"/>
    </row>
    <row r="432" spans="1:11" x14ac:dyDescent="0.2">
      <c r="A432">
        <v>2021</v>
      </c>
      <c r="B432" s="34">
        <v>570</v>
      </c>
      <c r="C432" s="34" t="s">
        <v>520</v>
      </c>
      <c r="D432" s="36">
        <v>590848</v>
      </c>
      <c r="E432" s="36">
        <v>4119889</v>
      </c>
      <c r="F432" s="57"/>
      <c r="G432" s="57"/>
      <c r="H432" s="65"/>
      <c r="I432" s="64"/>
      <c r="J432" s="65"/>
      <c r="K432" s="64"/>
    </row>
    <row r="433" spans="1:11" x14ac:dyDescent="0.2">
      <c r="A433">
        <v>2021</v>
      </c>
      <c r="B433" s="34">
        <v>571</v>
      </c>
      <c r="C433" s="34" t="s">
        <v>389</v>
      </c>
      <c r="D433" s="36">
        <v>167411</v>
      </c>
      <c r="E433" s="36">
        <v>1395834</v>
      </c>
      <c r="F433" s="57"/>
      <c r="G433" s="57"/>
      <c r="H433" s="65"/>
      <c r="I433" s="64"/>
      <c r="J433" s="65"/>
      <c r="K433" s="64"/>
    </row>
    <row r="434" spans="1:11" x14ac:dyDescent="0.2">
      <c r="A434">
        <v>2021</v>
      </c>
      <c r="B434" s="34">
        <v>572</v>
      </c>
      <c r="C434" s="34" t="s">
        <v>390</v>
      </c>
      <c r="D434" s="36">
        <v>316293</v>
      </c>
      <c r="E434" s="36">
        <v>1971512</v>
      </c>
      <c r="F434" s="57"/>
      <c r="G434" s="57"/>
      <c r="H434" s="65"/>
      <c r="I434" s="64"/>
      <c r="J434" s="65"/>
      <c r="K434" s="64"/>
    </row>
    <row r="435" spans="1:11" x14ac:dyDescent="0.2">
      <c r="A435">
        <v>2021</v>
      </c>
      <c r="B435" s="34">
        <v>574</v>
      </c>
      <c r="C435" s="34" t="s">
        <v>391</v>
      </c>
      <c r="D435" s="36">
        <v>244467</v>
      </c>
      <c r="E435" s="36">
        <v>1602501</v>
      </c>
      <c r="F435" s="57"/>
      <c r="G435" s="57"/>
      <c r="H435" s="65"/>
      <c r="I435" s="64"/>
      <c r="J435" s="65"/>
      <c r="K435" s="64"/>
    </row>
    <row r="436" spans="1:11" x14ac:dyDescent="0.2">
      <c r="A436">
        <v>2021</v>
      </c>
      <c r="B436" s="34">
        <v>575</v>
      </c>
      <c r="C436" s="34" t="s">
        <v>668</v>
      </c>
      <c r="D436" s="36">
        <v>633805</v>
      </c>
      <c r="E436" s="36">
        <v>2171951</v>
      </c>
      <c r="F436" s="57"/>
      <c r="G436" s="57"/>
      <c r="H436" s="65"/>
      <c r="I436" s="64"/>
      <c r="J436" s="65"/>
      <c r="K436" s="64"/>
    </row>
    <row r="437" spans="1:11" x14ac:dyDescent="0.2">
      <c r="A437">
        <v>2021</v>
      </c>
      <c r="B437" s="34">
        <v>576</v>
      </c>
      <c r="C437" s="34" t="s">
        <v>393</v>
      </c>
      <c r="D437" s="36">
        <v>619118</v>
      </c>
      <c r="E437" s="36">
        <v>5260398</v>
      </c>
      <c r="F437" s="57"/>
      <c r="G437" s="57"/>
      <c r="H437" s="65"/>
      <c r="I437" s="64"/>
      <c r="J437" s="65"/>
      <c r="K437" s="64"/>
    </row>
    <row r="438" spans="1:11" x14ac:dyDescent="0.2">
      <c r="A438">
        <v>2021</v>
      </c>
      <c r="B438" s="34">
        <v>577</v>
      </c>
      <c r="C438" s="34" t="s">
        <v>394</v>
      </c>
      <c r="D438" s="36">
        <v>651261</v>
      </c>
      <c r="E438" s="36">
        <v>3545951</v>
      </c>
      <c r="F438" s="57"/>
      <c r="G438" s="57"/>
      <c r="H438" s="65"/>
      <c r="I438" s="64"/>
      <c r="J438" s="65"/>
      <c r="K438" s="64"/>
    </row>
    <row r="439" spans="1:11" x14ac:dyDescent="0.2">
      <c r="A439">
        <v>2021</v>
      </c>
      <c r="B439" s="34">
        <v>578</v>
      </c>
      <c r="C439" s="34" t="s">
        <v>395</v>
      </c>
      <c r="D439" s="36">
        <v>88633</v>
      </c>
      <c r="E439" s="36">
        <v>976050</v>
      </c>
      <c r="F439" s="57"/>
      <c r="G439" s="57"/>
      <c r="H439" s="65"/>
      <c r="I439" s="64"/>
      <c r="J439" s="65"/>
      <c r="K439" s="64"/>
    </row>
    <row r="440" spans="1:11" x14ac:dyDescent="0.2">
      <c r="A440">
        <v>2021</v>
      </c>
      <c r="B440" s="34">
        <v>580</v>
      </c>
      <c r="C440" s="34" t="s">
        <v>396</v>
      </c>
      <c r="D440" s="36">
        <v>366591</v>
      </c>
      <c r="E440" s="36">
        <v>2923481</v>
      </c>
      <c r="F440" s="57"/>
      <c r="G440" s="57"/>
      <c r="H440" s="65"/>
      <c r="I440" s="64"/>
      <c r="J440" s="65"/>
      <c r="K440" s="64"/>
    </row>
    <row r="441" spans="1:11" x14ac:dyDescent="0.2">
      <c r="A441">
        <v>2021</v>
      </c>
      <c r="B441" s="34">
        <v>581</v>
      </c>
      <c r="C441" s="34" t="s">
        <v>397</v>
      </c>
      <c r="D441" s="36">
        <v>602019</v>
      </c>
      <c r="E441" s="36">
        <v>4682866</v>
      </c>
      <c r="F441" s="57"/>
      <c r="G441" s="57"/>
      <c r="H441" s="65"/>
      <c r="I441" s="64"/>
      <c r="J441" s="65"/>
      <c r="K441" s="64"/>
    </row>
    <row r="442" spans="1:11" x14ac:dyDescent="0.2">
      <c r="A442">
        <v>2021</v>
      </c>
      <c r="B442" s="34">
        <v>582</v>
      </c>
      <c r="C442" s="34" t="s">
        <v>398</v>
      </c>
      <c r="D442" s="36">
        <v>417430</v>
      </c>
      <c r="E442" s="36">
        <v>4981128</v>
      </c>
      <c r="F442" s="57"/>
      <c r="G442" s="57"/>
      <c r="H442" s="65"/>
      <c r="I442" s="64"/>
      <c r="J442" s="65"/>
      <c r="K442" s="64"/>
    </row>
    <row r="443" spans="1:11" x14ac:dyDescent="0.2">
      <c r="A443">
        <v>2021</v>
      </c>
      <c r="B443" s="34">
        <v>583</v>
      </c>
      <c r="C443" s="34" t="s">
        <v>399</v>
      </c>
      <c r="D443" s="36">
        <v>2517642</v>
      </c>
      <c r="E443" s="36">
        <v>18732413</v>
      </c>
      <c r="F443" s="57"/>
      <c r="G443" s="57"/>
      <c r="H443" s="65"/>
      <c r="I443" s="64"/>
      <c r="J443" s="65"/>
      <c r="K443" s="64"/>
    </row>
    <row r="444" spans="1:11" x14ac:dyDescent="0.2">
      <c r="A444">
        <v>2021</v>
      </c>
      <c r="B444" s="34">
        <v>584</v>
      </c>
      <c r="C444" s="34" t="s">
        <v>400</v>
      </c>
      <c r="D444" s="36">
        <v>8525443</v>
      </c>
      <c r="E444" s="36">
        <v>31363752</v>
      </c>
      <c r="F444" s="57"/>
      <c r="G444" s="57"/>
      <c r="H444" s="65"/>
      <c r="I444" s="64"/>
      <c r="J444" s="65"/>
      <c r="K444" s="64"/>
    </row>
    <row r="445" spans="1:11" x14ac:dyDescent="0.2">
      <c r="A445">
        <v>2021</v>
      </c>
      <c r="B445" s="34">
        <v>586</v>
      </c>
      <c r="C445" s="34" t="s">
        <v>401</v>
      </c>
      <c r="D445" s="36">
        <v>13285</v>
      </c>
      <c r="E445" s="36">
        <v>74672</v>
      </c>
      <c r="F445" s="57"/>
      <c r="G445" s="57"/>
      <c r="H445" s="65"/>
      <c r="I445" s="64"/>
      <c r="J445" s="65"/>
      <c r="K445" s="64"/>
    </row>
    <row r="446" spans="1:11" x14ac:dyDescent="0.2">
      <c r="A446">
        <v>2021</v>
      </c>
      <c r="B446" s="34">
        <v>588</v>
      </c>
      <c r="C446" s="34" t="s">
        <v>402</v>
      </c>
      <c r="D446" s="36">
        <v>6496</v>
      </c>
      <c r="E446" s="36">
        <v>50316</v>
      </c>
      <c r="F446" s="57"/>
      <c r="G446" s="57"/>
      <c r="H446" s="65"/>
      <c r="I446" s="64"/>
      <c r="J446" s="65"/>
      <c r="K446" s="64"/>
    </row>
    <row r="447" spans="1:11" x14ac:dyDescent="0.2">
      <c r="A447">
        <v>2021</v>
      </c>
      <c r="B447" s="34">
        <v>589</v>
      </c>
      <c r="C447" s="34" t="s">
        <v>403</v>
      </c>
      <c r="D447" s="36">
        <v>12330</v>
      </c>
      <c r="E447" s="36">
        <v>98181</v>
      </c>
      <c r="F447" s="57"/>
      <c r="G447" s="57"/>
      <c r="H447" s="65"/>
      <c r="I447" s="64"/>
      <c r="J447" s="65"/>
      <c r="K447" s="64"/>
    </row>
    <row r="448" spans="1:11" x14ac:dyDescent="0.2">
      <c r="A448">
        <v>2021</v>
      </c>
      <c r="B448" s="34">
        <v>590</v>
      </c>
      <c r="C448" s="34" t="s">
        <v>669</v>
      </c>
      <c r="D448" s="36">
        <v>39745</v>
      </c>
      <c r="E448" s="36">
        <v>316140</v>
      </c>
      <c r="F448" s="57"/>
      <c r="G448" s="57"/>
      <c r="H448" s="65"/>
      <c r="I448" s="64"/>
      <c r="J448" s="65"/>
      <c r="K448" s="64"/>
    </row>
    <row r="449" spans="1:11" x14ac:dyDescent="0.2">
      <c r="A449">
        <v>2021</v>
      </c>
      <c r="B449" s="34">
        <v>592</v>
      </c>
      <c r="C449" s="34" t="s">
        <v>404</v>
      </c>
      <c r="D449" s="36">
        <v>14755</v>
      </c>
      <c r="E449" s="36">
        <v>39195</v>
      </c>
      <c r="F449" s="57"/>
      <c r="G449" s="57"/>
      <c r="H449" s="65"/>
      <c r="I449" s="64"/>
      <c r="J449" s="65"/>
      <c r="K449" s="64"/>
    </row>
    <row r="450" spans="1:11" x14ac:dyDescent="0.2">
      <c r="A450">
        <v>2021</v>
      </c>
      <c r="B450" s="34">
        <v>596</v>
      </c>
      <c r="C450" s="34" t="s">
        <v>405</v>
      </c>
      <c r="D450" s="36">
        <v>5298</v>
      </c>
      <c r="E450" s="36">
        <v>39628</v>
      </c>
      <c r="F450" s="57"/>
      <c r="G450" s="57"/>
      <c r="H450" s="65"/>
      <c r="I450" s="64"/>
      <c r="J450" s="65"/>
      <c r="K450" s="64"/>
    </row>
    <row r="451" spans="1:11" x14ac:dyDescent="0.2">
      <c r="A451">
        <v>2021</v>
      </c>
      <c r="B451" s="34">
        <v>597</v>
      </c>
      <c r="C451" s="34" t="s">
        <v>406</v>
      </c>
      <c r="D451" s="36">
        <v>271801</v>
      </c>
      <c r="E451" s="36">
        <v>1818273</v>
      </c>
      <c r="F451" s="57"/>
      <c r="G451" s="57"/>
      <c r="H451" s="65"/>
      <c r="I451" s="64"/>
      <c r="J451" s="65"/>
      <c r="K451" s="64"/>
    </row>
    <row r="452" spans="1:11" x14ac:dyDescent="0.2">
      <c r="A452">
        <v>2021</v>
      </c>
      <c r="B452" s="34">
        <v>598</v>
      </c>
      <c r="C452" s="34" t="s">
        <v>407</v>
      </c>
      <c r="D452" s="36">
        <v>53311</v>
      </c>
      <c r="E452" s="36">
        <v>261024</v>
      </c>
      <c r="F452" s="57"/>
      <c r="G452" s="57"/>
      <c r="H452" s="65"/>
      <c r="I452" s="64"/>
      <c r="J452" s="65"/>
      <c r="K452" s="64"/>
    </row>
    <row r="453" spans="1:11" x14ac:dyDescent="0.2">
      <c r="A453">
        <v>2021</v>
      </c>
      <c r="B453" s="34">
        <v>601</v>
      </c>
      <c r="C453" s="34" t="s">
        <v>408</v>
      </c>
      <c r="D453" s="36">
        <v>66834</v>
      </c>
      <c r="E453" s="36">
        <v>437319</v>
      </c>
      <c r="F453" s="57"/>
      <c r="G453" s="57"/>
      <c r="H453" s="65"/>
      <c r="I453" s="64"/>
      <c r="J453" s="65"/>
      <c r="K453" s="64"/>
    </row>
    <row r="454" spans="1:11" x14ac:dyDescent="0.2">
      <c r="A454">
        <v>2021</v>
      </c>
      <c r="B454" s="34">
        <v>602</v>
      </c>
      <c r="C454" s="34" t="s">
        <v>409</v>
      </c>
      <c r="D454" s="36">
        <v>91032</v>
      </c>
      <c r="E454" s="36">
        <v>480040</v>
      </c>
      <c r="F454" s="57"/>
      <c r="G454" s="57"/>
      <c r="H454" s="65"/>
      <c r="I454" s="64"/>
      <c r="J454" s="65"/>
      <c r="K454" s="64"/>
    </row>
    <row r="455" spans="1:11" x14ac:dyDescent="0.2">
      <c r="A455">
        <v>2021</v>
      </c>
      <c r="B455" s="34">
        <v>603</v>
      </c>
      <c r="C455" s="34" t="s">
        <v>410</v>
      </c>
      <c r="F455" s="57"/>
      <c r="G455" s="57"/>
      <c r="H455" s="57"/>
      <c r="I455" s="64"/>
      <c r="J455" s="57"/>
      <c r="K455" s="64"/>
    </row>
    <row r="456" spans="1:11" x14ac:dyDescent="0.2">
      <c r="A456">
        <v>2021</v>
      </c>
      <c r="B456" s="34">
        <v>607</v>
      </c>
      <c r="C456" s="34" t="s">
        <v>411</v>
      </c>
      <c r="D456" s="36">
        <v>83148</v>
      </c>
      <c r="E456" s="36">
        <v>637706</v>
      </c>
      <c r="F456" s="57"/>
      <c r="G456" s="57"/>
      <c r="H456" s="65"/>
      <c r="I456" s="64"/>
      <c r="J456" s="65"/>
      <c r="K456" s="64"/>
    </row>
    <row r="457" spans="1:11" x14ac:dyDescent="0.2">
      <c r="A457">
        <v>2021</v>
      </c>
      <c r="B457" s="34">
        <v>608</v>
      </c>
      <c r="C457" s="34" t="s">
        <v>412</v>
      </c>
      <c r="D457" s="36">
        <v>46920</v>
      </c>
      <c r="E457" s="36">
        <v>417074</v>
      </c>
      <c r="F457" s="57"/>
      <c r="G457" s="57"/>
      <c r="H457" s="65"/>
      <c r="I457" s="64"/>
      <c r="J457" s="65"/>
      <c r="K457" s="64"/>
    </row>
    <row r="458" spans="1:11" x14ac:dyDescent="0.2">
      <c r="A458">
        <v>2021</v>
      </c>
      <c r="B458" s="34">
        <v>609</v>
      </c>
      <c r="C458" s="34" t="s">
        <v>413</v>
      </c>
      <c r="D458" s="36">
        <v>19738</v>
      </c>
      <c r="E458" s="36">
        <v>242537</v>
      </c>
      <c r="F458" s="57"/>
      <c r="G458" s="57"/>
      <c r="H458" s="65"/>
      <c r="I458" s="64"/>
      <c r="J458" s="65"/>
      <c r="K458" s="64"/>
    </row>
    <row r="459" spans="1:11" x14ac:dyDescent="0.2">
      <c r="A459">
        <v>2021</v>
      </c>
      <c r="B459" s="34">
        <v>610</v>
      </c>
      <c r="C459" s="34" t="s">
        <v>414</v>
      </c>
      <c r="D459" s="36">
        <v>66637</v>
      </c>
      <c r="E459" s="36">
        <v>635055</v>
      </c>
      <c r="F459" s="57"/>
      <c r="G459" s="57"/>
      <c r="H459" s="65"/>
      <c r="I459" s="64"/>
      <c r="J459" s="65"/>
      <c r="K459" s="64"/>
    </row>
    <row r="460" spans="1:11" x14ac:dyDescent="0.2">
      <c r="A460">
        <v>2021</v>
      </c>
      <c r="B460" s="34">
        <v>611</v>
      </c>
      <c r="C460" s="34" t="s">
        <v>415</v>
      </c>
      <c r="D460" s="36">
        <v>27826</v>
      </c>
      <c r="E460" s="36">
        <v>250989</v>
      </c>
      <c r="F460" s="57"/>
      <c r="G460" s="57"/>
      <c r="H460" s="65"/>
      <c r="I460" s="64"/>
      <c r="J460" s="65"/>
      <c r="K460" s="64"/>
    </row>
    <row r="461" spans="1:11" x14ac:dyDescent="0.2">
      <c r="A461">
        <v>2021</v>
      </c>
      <c r="B461" s="34">
        <v>612</v>
      </c>
      <c r="C461" s="34" t="s">
        <v>416</v>
      </c>
      <c r="D461" s="36">
        <v>352955</v>
      </c>
      <c r="E461" s="36">
        <v>2565248</v>
      </c>
      <c r="F461" s="57"/>
      <c r="G461" s="57"/>
      <c r="H461" s="65"/>
      <c r="I461" s="64"/>
      <c r="J461" s="65"/>
      <c r="K461" s="64"/>
    </row>
    <row r="462" spans="1:11" x14ac:dyDescent="0.2">
      <c r="A462">
        <v>2021</v>
      </c>
      <c r="B462" s="34">
        <v>613</v>
      </c>
      <c r="C462" s="34" t="s">
        <v>417</v>
      </c>
      <c r="D462" s="36">
        <v>15549</v>
      </c>
      <c r="E462" s="36">
        <v>117458</v>
      </c>
      <c r="F462" s="57"/>
      <c r="G462" s="57"/>
      <c r="H462" s="65"/>
      <c r="I462" s="64"/>
      <c r="J462" s="65"/>
      <c r="K462" s="64"/>
    </row>
    <row r="463" spans="1:11" x14ac:dyDescent="0.2">
      <c r="A463">
        <v>2021</v>
      </c>
      <c r="B463" s="34">
        <v>614</v>
      </c>
      <c r="C463" s="34" t="s">
        <v>418</v>
      </c>
      <c r="D463" s="36">
        <v>47785</v>
      </c>
      <c r="E463" s="36">
        <v>195919</v>
      </c>
      <c r="F463" s="57"/>
      <c r="G463" s="57"/>
      <c r="H463" s="65"/>
      <c r="I463" s="64"/>
      <c r="J463" s="65"/>
      <c r="K463" s="64"/>
    </row>
    <row r="464" spans="1:11" x14ac:dyDescent="0.2">
      <c r="A464">
        <v>2021</v>
      </c>
      <c r="B464" s="34">
        <v>615</v>
      </c>
      <c r="C464" s="34" t="s">
        <v>419</v>
      </c>
      <c r="D464" s="36">
        <v>54973</v>
      </c>
      <c r="E464" s="36">
        <v>320093</v>
      </c>
      <c r="F464" s="57"/>
      <c r="G464" s="57"/>
      <c r="H464" s="65"/>
      <c r="I464" s="64"/>
      <c r="J464" s="65"/>
      <c r="K464" s="64"/>
    </row>
    <row r="465" spans="1:11" x14ac:dyDescent="0.2">
      <c r="A465">
        <v>2021</v>
      </c>
      <c r="B465" s="34">
        <v>617</v>
      </c>
      <c r="C465" s="34" t="s">
        <v>420</v>
      </c>
      <c r="D465" s="36">
        <v>114549</v>
      </c>
      <c r="E465" s="36">
        <v>506947</v>
      </c>
      <c r="F465" s="57"/>
      <c r="G465" s="57"/>
      <c r="H465" s="65"/>
      <c r="I465" s="64"/>
      <c r="J465" s="65"/>
      <c r="K465" s="64"/>
    </row>
    <row r="466" spans="1:11" x14ac:dyDescent="0.2">
      <c r="A466">
        <v>2021</v>
      </c>
      <c r="B466" s="34">
        <v>618</v>
      </c>
      <c r="C466" s="34" t="s">
        <v>421</v>
      </c>
      <c r="D466" s="36">
        <v>44077</v>
      </c>
      <c r="E466" s="36">
        <v>264089</v>
      </c>
      <c r="F466" s="57"/>
      <c r="G466" s="57"/>
      <c r="H466" s="65"/>
      <c r="I466" s="64"/>
      <c r="J466" s="65"/>
      <c r="K466" s="64"/>
    </row>
    <row r="467" spans="1:11" x14ac:dyDescent="0.2">
      <c r="A467">
        <v>2021</v>
      </c>
      <c r="B467" s="34">
        <v>619</v>
      </c>
      <c r="C467" s="34" t="s">
        <v>422</v>
      </c>
      <c r="D467" s="36">
        <v>43933</v>
      </c>
      <c r="E467" s="36">
        <v>220948</v>
      </c>
      <c r="F467" s="57"/>
      <c r="G467" s="57"/>
      <c r="H467" s="65"/>
      <c r="I467" s="64"/>
      <c r="J467" s="65"/>
      <c r="K467" s="64"/>
    </row>
    <row r="468" spans="1:11" x14ac:dyDescent="0.2">
      <c r="A468">
        <v>2021</v>
      </c>
      <c r="B468" s="34">
        <v>620</v>
      </c>
      <c r="C468" s="34" t="s">
        <v>423</v>
      </c>
      <c r="D468" s="36">
        <v>30180</v>
      </c>
      <c r="E468" s="36">
        <v>204846</v>
      </c>
      <c r="F468" s="57"/>
      <c r="G468" s="57"/>
      <c r="H468" s="65"/>
      <c r="I468" s="64"/>
      <c r="J468" s="65"/>
      <c r="K468" s="64"/>
    </row>
    <row r="469" spans="1:11" x14ac:dyDescent="0.2">
      <c r="A469">
        <v>2021</v>
      </c>
      <c r="B469" s="34">
        <v>621</v>
      </c>
      <c r="C469" s="34" t="s">
        <v>424</v>
      </c>
      <c r="D469" s="36">
        <v>35205</v>
      </c>
      <c r="E469" s="36">
        <v>298397</v>
      </c>
      <c r="F469" s="57"/>
      <c r="G469" s="57"/>
      <c r="H469" s="65"/>
      <c r="I469" s="64"/>
      <c r="J469" s="65"/>
      <c r="K469" s="64"/>
    </row>
    <row r="470" spans="1:11" x14ac:dyDescent="0.2">
      <c r="A470">
        <v>2021</v>
      </c>
      <c r="B470" s="34">
        <v>622</v>
      </c>
      <c r="C470" s="34" t="s">
        <v>425</v>
      </c>
      <c r="D470" s="36">
        <v>73848</v>
      </c>
      <c r="E470" s="36">
        <v>489643</v>
      </c>
      <c r="F470" s="57"/>
      <c r="G470" s="57"/>
      <c r="H470" s="65"/>
      <c r="I470" s="64"/>
      <c r="J470" s="65"/>
      <c r="K470" s="64"/>
    </row>
    <row r="471" spans="1:11" x14ac:dyDescent="0.2">
      <c r="A471">
        <v>2021</v>
      </c>
      <c r="B471" s="34">
        <v>623</v>
      </c>
      <c r="C471" s="34" t="s">
        <v>426</v>
      </c>
      <c r="D471" s="36">
        <v>163228</v>
      </c>
      <c r="E471" s="36">
        <v>1500802</v>
      </c>
      <c r="F471" s="57"/>
      <c r="G471" s="57"/>
      <c r="H471" s="65"/>
      <c r="I471" s="64"/>
      <c r="J471" s="65"/>
      <c r="K471" s="64"/>
    </row>
    <row r="472" spans="1:11" x14ac:dyDescent="0.2">
      <c r="A472">
        <v>2021</v>
      </c>
      <c r="B472" s="34">
        <v>624</v>
      </c>
      <c r="C472" s="34" t="s">
        <v>427</v>
      </c>
      <c r="D472" s="36">
        <v>39753</v>
      </c>
      <c r="E472" s="36">
        <v>381416</v>
      </c>
      <c r="F472" s="57"/>
      <c r="G472" s="57"/>
      <c r="H472" s="65"/>
      <c r="I472" s="64"/>
      <c r="J472" s="65"/>
      <c r="K472" s="64"/>
    </row>
    <row r="473" spans="1:11" x14ac:dyDescent="0.2">
      <c r="A473">
        <v>2021</v>
      </c>
      <c r="B473" s="34">
        <v>625</v>
      </c>
      <c r="C473" s="34" t="s">
        <v>428</v>
      </c>
      <c r="D473" s="36">
        <v>72471</v>
      </c>
      <c r="E473" s="36">
        <v>384128</v>
      </c>
      <c r="F473" s="57"/>
      <c r="G473" s="57"/>
      <c r="H473" s="65"/>
      <c r="I473" s="64"/>
      <c r="J473" s="65"/>
      <c r="K473" s="64"/>
    </row>
    <row r="474" spans="1:11" x14ac:dyDescent="0.2">
      <c r="A474">
        <v>2021</v>
      </c>
      <c r="B474" s="34">
        <v>626</v>
      </c>
      <c r="C474" s="34" t="s">
        <v>429</v>
      </c>
      <c r="D474" s="36">
        <v>17739</v>
      </c>
      <c r="E474" s="36">
        <v>168632</v>
      </c>
      <c r="F474" s="57"/>
      <c r="G474" s="57"/>
      <c r="H474" s="65"/>
      <c r="I474" s="64"/>
      <c r="J474" s="65"/>
      <c r="K474" s="64"/>
    </row>
    <row r="475" spans="1:11" x14ac:dyDescent="0.2">
      <c r="A475">
        <v>2021</v>
      </c>
      <c r="B475" s="34">
        <v>627</v>
      </c>
      <c r="C475" s="34" t="s">
        <v>430</v>
      </c>
      <c r="D475" s="36">
        <v>51252</v>
      </c>
      <c r="E475" s="36">
        <v>327968</v>
      </c>
      <c r="F475" s="57"/>
      <c r="G475" s="57"/>
      <c r="H475" s="65"/>
      <c r="I475" s="64"/>
      <c r="J475" s="65"/>
      <c r="K475" s="64"/>
    </row>
    <row r="476" spans="1:11" x14ac:dyDescent="0.2">
      <c r="A476">
        <v>2021</v>
      </c>
      <c r="B476" s="34">
        <v>628</v>
      </c>
      <c r="C476" s="34" t="s">
        <v>431</v>
      </c>
      <c r="D476" s="36">
        <v>47348</v>
      </c>
      <c r="E476" s="36">
        <v>391070</v>
      </c>
      <c r="F476" s="57"/>
      <c r="G476" s="57"/>
      <c r="H476" s="65"/>
      <c r="I476" s="64"/>
      <c r="J476" s="65"/>
      <c r="K476" s="64"/>
    </row>
    <row r="477" spans="1:11" x14ac:dyDescent="0.2">
      <c r="A477">
        <v>2021</v>
      </c>
      <c r="B477" s="34">
        <v>629</v>
      </c>
      <c r="C477" s="34" t="s">
        <v>432</v>
      </c>
      <c r="D477" s="36">
        <v>261237</v>
      </c>
      <c r="E477" s="36">
        <v>1497346</v>
      </c>
      <c r="F477" s="57"/>
      <c r="G477" s="57"/>
      <c r="H477" s="65"/>
      <c r="I477" s="64"/>
      <c r="J477" s="65"/>
      <c r="K477" s="64"/>
    </row>
    <row r="478" spans="1:11" x14ac:dyDescent="0.2">
      <c r="A478">
        <v>2021</v>
      </c>
      <c r="B478" s="34">
        <v>630</v>
      </c>
      <c r="C478" s="34" t="s">
        <v>433</v>
      </c>
      <c r="D478" s="36">
        <v>93395</v>
      </c>
      <c r="E478" s="36">
        <v>465534</v>
      </c>
      <c r="F478" s="57"/>
      <c r="G478" s="57"/>
      <c r="H478" s="65"/>
      <c r="I478" s="64"/>
      <c r="J478" s="65"/>
      <c r="K478" s="64"/>
    </row>
    <row r="479" spans="1:11" x14ac:dyDescent="0.2">
      <c r="A479">
        <v>2021</v>
      </c>
      <c r="B479" s="34">
        <v>631</v>
      </c>
      <c r="C479" s="34" t="s">
        <v>434</v>
      </c>
      <c r="D479" s="36">
        <v>45184</v>
      </c>
      <c r="E479" s="36">
        <v>241776</v>
      </c>
      <c r="F479" s="57"/>
      <c r="G479" s="57"/>
      <c r="H479" s="65"/>
      <c r="I479" s="64"/>
      <c r="J479" s="65"/>
      <c r="K479" s="64"/>
    </row>
    <row r="480" spans="1:11" x14ac:dyDescent="0.2">
      <c r="A480">
        <v>2021</v>
      </c>
      <c r="B480" s="34">
        <v>632</v>
      </c>
      <c r="C480" s="34" t="s">
        <v>435</v>
      </c>
      <c r="D480" s="36">
        <v>29973</v>
      </c>
      <c r="E480" s="36">
        <v>95001</v>
      </c>
      <c r="F480" s="57"/>
      <c r="G480" s="57"/>
      <c r="H480" s="65"/>
      <c r="I480" s="64"/>
      <c r="J480" s="65"/>
      <c r="K480" s="64"/>
    </row>
    <row r="481" spans="1:11" x14ac:dyDescent="0.2">
      <c r="A481">
        <v>2021</v>
      </c>
      <c r="B481" s="34">
        <v>633</v>
      </c>
      <c r="C481" s="34" t="s">
        <v>436</v>
      </c>
      <c r="D481" s="36">
        <v>77269</v>
      </c>
      <c r="E481" s="36">
        <v>507785</v>
      </c>
      <c r="F481" s="57"/>
      <c r="G481" s="57"/>
      <c r="H481" s="65"/>
      <c r="I481" s="64"/>
      <c r="J481" s="65"/>
      <c r="K481" s="64"/>
    </row>
    <row r="482" spans="1:11" x14ac:dyDescent="0.2">
      <c r="A482">
        <v>2021</v>
      </c>
      <c r="B482" s="34">
        <v>634</v>
      </c>
      <c r="C482" s="34" t="s">
        <v>437</v>
      </c>
      <c r="D482" s="36">
        <v>32530</v>
      </c>
      <c r="E482" s="36">
        <v>160633</v>
      </c>
      <c r="F482" s="57"/>
      <c r="G482" s="57"/>
      <c r="H482" s="65"/>
      <c r="I482" s="64"/>
      <c r="J482" s="65"/>
      <c r="K482" s="64"/>
    </row>
    <row r="483" spans="1:11" x14ac:dyDescent="0.2">
      <c r="A483">
        <v>2021</v>
      </c>
      <c r="B483" s="34">
        <v>635</v>
      </c>
      <c r="C483" s="34" t="s">
        <v>438</v>
      </c>
      <c r="D483" s="36">
        <v>30129</v>
      </c>
      <c r="E483" s="36">
        <v>109451</v>
      </c>
      <c r="F483" s="57"/>
      <c r="G483" s="57"/>
      <c r="H483" s="65"/>
      <c r="I483" s="64"/>
      <c r="J483" s="65"/>
      <c r="K483" s="64"/>
    </row>
    <row r="484" spans="1:11" x14ac:dyDescent="0.2">
      <c r="A484">
        <v>2021</v>
      </c>
      <c r="B484" s="34">
        <v>636</v>
      </c>
      <c r="C484" s="34" t="s">
        <v>439</v>
      </c>
      <c r="D484" s="36">
        <v>172393</v>
      </c>
      <c r="E484" s="36">
        <v>983621</v>
      </c>
      <c r="F484" s="57"/>
      <c r="G484" s="57"/>
      <c r="H484" s="65"/>
      <c r="I484" s="64"/>
      <c r="J484" s="65"/>
      <c r="K484" s="64"/>
    </row>
    <row r="485" spans="1:11" x14ac:dyDescent="0.2">
      <c r="A485">
        <v>2021</v>
      </c>
      <c r="B485" s="34">
        <v>637</v>
      </c>
      <c r="C485" s="34" t="s">
        <v>440</v>
      </c>
      <c r="D485" s="36">
        <v>659923</v>
      </c>
      <c r="E485" s="36">
        <v>3348034</v>
      </c>
      <c r="F485" s="57"/>
      <c r="G485" s="57"/>
      <c r="H485" s="65"/>
      <c r="I485" s="64"/>
      <c r="J485" s="65"/>
      <c r="K485" s="64"/>
    </row>
    <row r="486" spans="1:11" x14ac:dyDescent="0.2">
      <c r="A486">
        <v>2021</v>
      </c>
      <c r="B486" s="34">
        <v>638</v>
      </c>
      <c r="C486" s="34" t="s">
        <v>441</v>
      </c>
      <c r="D486" s="36">
        <v>224820</v>
      </c>
      <c r="E486" s="36">
        <v>1057003</v>
      </c>
      <c r="F486" s="57"/>
      <c r="G486" s="57"/>
      <c r="H486" s="65"/>
      <c r="I486" s="64"/>
      <c r="J486" s="65"/>
      <c r="K486" s="64"/>
    </row>
    <row r="487" spans="1:11" x14ac:dyDescent="0.2">
      <c r="A487">
        <v>2021</v>
      </c>
      <c r="B487" s="34">
        <v>639</v>
      </c>
      <c r="C487" s="34" t="s">
        <v>442</v>
      </c>
      <c r="D487" s="36">
        <v>43677</v>
      </c>
      <c r="E487" s="36">
        <v>203116</v>
      </c>
      <c r="F487" s="57"/>
      <c r="G487" s="57"/>
      <c r="H487" s="65"/>
      <c r="I487" s="64"/>
      <c r="J487" s="65"/>
      <c r="K487" s="64"/>
    </row>
    <row r="488" spans="1:11" x14ac:dyDescent="0.2">
      <c r="A488">
        <v>2021</v>
      </c>
      <c r="B488" s="34">
        <v>641</v>
      </c>
      <c r="C488" s="34" t="s">
        <v>443</v>
      </c>
      <c r="D488" s="36">
        <v>8648</v>
      </c>
      <c r="E488" s="36">
        <v>45286</v>
      </c>
      <c r="F488" s="57"/>
      <c r="G488" s="57"/>
      <c r="H488" s="65"/>
      <c r="I488" s="64"/>
      <c r="J488" s="65"/>
      <c r="K488" s="64"/>
    </row>
    <row r="489" spans="1:11" x14ac:dyDescent="0.2">
      <c r="A489">
        <v>2021</v>
      </c>
      <c r="B489" s="34">
        <v>643</v>
      </c>
      <c r="C489" s="34" t="s">
        <v>444</v>
      </c>
      <c r="D489" s="36">
        <v>152805</v>
      </c>
      <c r="E489" s="36">
        <v>693694</v>
      </c>
      <c r="F489" s="57"/>
      <c r="G489" s="57"/>
      <c r="H489" s="65"/>
      <c r="I489" s="64"/>
      <c r="J489" s="65"/>
      <c r="K489" s="64"/>
    </row>
    <row r="490" spans="1:11" x14ac:dyDescent="0.2">
      <c r="A490">
        <v>2021</v>
      </c>
      <c r="B490" s="34">
        <v>644</v>
      </c>
      <c r="C490" s="34" t="s">
        <v>445</v>
      </c>
      <c r="D490" s="36">
        <v>39625</v>
      </c>
      <c r="E490" s="36">
        <v>275978</v>
      </c>
      <c r="F490" s="57"/>
      <c r="G490" s="57"/>
      <c r="H490" s="65"/>
      <c r="I490" s="64"/>
      <c r="J490" s="65"/>
      <c r="K490" s="64"/>
    </row>
    <row r="491" spans="1:11" x14ac:dyDescent="0.2">
      <c r="A491">
        <v>2021</v>
      </c>
      <c r="B491" s="34">
        <v>645</v>
      </c>
      <c r="C491" s="34" t="s">
        <v>446</v>
      </c>
      <c r="D491" s="36">
        <v>101744</v>
      </c>
      <c r="E491" s="36">
        <v>584343</v>
      </c>
      <c r="F491" s="57"/>
      <c r="G491" s="57"/>
      <c r="H491" s="65"/>
      <c r="I491" s="64"/>
      <c r="J491" s="65"/>
      <c r="K491" s="64"/>
    </row>
    <row r="492" spans="1:11" x14ac:dyDescent="0.2">
      <c r="A492">
        <v>2021</v>
      </c>
      <c r="B492" s="34">
        <v>646</v>
      </c>
      <c r="C492" s="34" t="s">
        <v>447</v>
      </c>
      <c r="D492" s="36">
        <v>74657</v>
      </c>
      <c r="E492" s="36">
        <v>327377</v>
      </c>
      <c r="F492" s="57"/>
      <c r="G492" s="57"/>
      <c r="H492" s="65"/>
      <c r="I492" s="64"/>
      <c r="J492" s="65"/>
      <c r="K492" s="64"/>
    </row>
    <row r="493" spans="1:11" x14ac:dyDescent="0.2">
      <c r="A493">
        <v>2021</v>
      </c>
      <c r="B493" s="34">
        <v>647</v>
      </c>
      <c r="C493" s="34" t="s">
        <v>448</v>
      </c>
      <c r="D493" s="36">
        <v>16969</v>
      </c>
      <c r="E493" s="36">
        <v>99048</v>
      </c>
      <c r="F493" s="57"/>
      <c r="G493" s="57"/>
      <c r="H493" s="65"/>
      <c r="I493" s="64"/>
      <c r="J493" s="65"/>
      <c r="K493" s="64"/>
    </row>
    <row r="494" spans="1:11" x14ac:dyDescent="0.2">
      <c r="A494">
        <v>2021</v>
      </c>
      <c r="B494" s="34">
        <v>648</v>
      </c>
      <c r="C494" s="34" t="s">
        <v>449</v>
      </c>
      <c r="D494" s="36">
        <v>26930</v>
      </c>
      <c r="E494" s="36">
        <v>115556</v>
      </c>
      <c r="F494" s="57"/>
      <c r="G494" s="57"/>
      <c r="H494" s="65"/>
      <c r="I494" s="64"/>
      <c r="J494" s="65"/>
      <c r="K494" s="64"/>
    </row>
    <row r="495" spans="1:11" x14ac:dyDescent="0.2">
      <c r="A495">
        <v>2021</v>
      </c>
      <c r="B495" s="34">
        <v>649</v>
      </c>
      <c r="C495" s="34" t="s">
        <v>450</v>
      </c>
      <c r="D495" s="36">
        <v>89318</v>
      </c>
      <c r="E495" s="36">
        <v>495952</v>
      </c>
      <c r="F495" s="57"/>
      <c r="G495" s="57"/>
      <c r="H495" s="65"/>
      <c r="I495" s="64"/>
      <c r="J495" s="65"/>
      <c r="K495" s="64"/>
    </row>
    <row r="496" spans="1:11" x14ac:dyDescent="0.2">
      <c r="A496">
        <v>2021</v>
      </c>
      <c r="B496" s="34">
        <v>653</v>
      </c>
      <c r="C496" s="34" t="s">
        <v>451</v>
      </c>
      <c r="D496" s="36">
        <v>25973</v>
      </c>
      <c r="E496" s="36">
        <v>149691</v>
      </c>
      <c r="F496" s="57"/>
      <c r="G496" s="57"/>
      <c r="H496" s="65"/>
      <c r="I496" s="64"/>
      <c r="J496" s="65"/>
      <c r="K496" s="64"/>
    </row>
    <row r="497" spans="1:11" x14ac:dyDescent="0.2">
      <c r="A497">
        <v>2021</v>
      </c>
      <c r="B497" s="34">
        <v>656</v>
      </c>
      <c r="C497" s="34" t="s">
        <v>452</v>
      </c>
      <c r="D497" s="36">
        <v>238815</v>
      </c>
      <c r="E497" s="36">
        <v>1842652</v>
      </c>
      <c r="F497" s="57"/>
      <c r="G497" s="57"/>
      <c r="H497" s="65"/>
      <c r="I497" s="64"/>
      <c r="J497" s="65"/>
      <c r="K497" s="64"/>
    </row>
    <row r="498" spans="1:11" x14ac:dyDescent="0.2">
      <c r="A498">
        <v>2021</v>
      </c>
      <c r="B498" s="34">
        <v>657</v>
      </c>
      <c r="C498" s="34" t="s">
        <v>453</v>
      </c>
      <c r="D498" s="36">
        <v>12027</v>
      </c>
      <c r="E498" s="36">
        <v>120877</v>
      </c>
      <c r="F498" s="57"/>
      <c r="G498" s="57"/>
      <c r="H498" s="65"/>
      <c r="I498" s="64"/>
      <c r="J498" s="65"/>
      <c r="K498" s="64"/>
    </row>
    <row r="499" spans="1:11" x14ac:dyDescent="0.2">
      <c r="A499">
        <v>2021</v>
      </c>
      <c r="B499" s="34">
        <v>658</v>
      </c>
      <c r="C499" s="34" t="s">
        <v>454</v>
      </c>
      <c r="D499" s="36">
        <v>14050</v>
      </c>
      <c r="E499" s="36">
        <v>158535</v>
      </c>
      <c r="F499" s="57"/>
      <c r="G499" s="57"/>
      <c r="H499" s="65"/>
      <c r="I499" s="64"/>
      <c r="J499" s="65"/>
      <c r="K499" s="64"/>
    </row>
    <row r="500" spans="1:11" x14ac:dyDescent="0.2">
      <c r="A500">
        <v>2021</v>
      </c>
      <c r="B500" s="34">
        <v>659</v>
      </c>
      <c r="C500" s="34" t="s">
        <v>455</v>
      </c>
      <c r="D500" s="36">
        <v>206808</v>
      </c>
      <c r="E500" s="36">
        <v>1378641</v>
      </c>
      <c r="F500" s="57"/>
      <c r="G500" s="57"/>
      <c r="H500" s="65"/>
      <c r="I500" s="64"/>
      <c r="J500" s="65"/>
      <c r="K500" s="64"/>
    </row>
    <row r="501" spans="1:11" x14ac:dyDescent="0.2">
      <c r="A501">
        <v>2021</v>
      </c>
      <c r="B501" s="34">
        <v>660</v>
      </c>
      <c r="C501" s="34" t="s">
        <v>456</v>
      </c>
      <c r="D501" s="36">
        <v>422385</v>
      </c>
      <c r="E501" s="36">
        <v>2301422</v>
      </c>
      <c r="F501" s="57"/>
      <c r="G501" s="57"/>
      <c r="H501" s="65"/>
      <c r="I501" s="64"/>
      <c r="J501" s="65"/>
      <c r="K501" s="64"/>
    </row>
    <row r="502" spans="1:11" x14ac:dyDescent="0.2">
      <c r="A502">
        <v>2021</v>
      </c>
      <c r="B502" s="34">
        <v>661</v>
      </c>
      <c r="C502" s="34" t="s">
        <v>457</v>
      </c>
      <c r="D502" s="36">
        <v>232640</v>
      </c>
      <c r="E502" s="36">
        <v>1557291</v>
      </c>
      <c r="F502" s="57"/>
      <c r="G502" s="57"/>
      <c r="H502" s="65"/>
      <c r="I502" s="64"/>
      <c r="J502" s="65"/>
      <c r="K502" s="64"/>
    </row>
    <row r="503" spans="1:11" x14ac:dyDescent="0.2">
      <c r="A503">
        <v>2021</v>
      </c>
      <c r="B503" s="34">
        <v>662</v>
      </c>
      <c r="C503" s="34" t="s">
        <v>458</v>
      </c>
      <c r="D503" s="36">
        <v>52553</v>
      </c>
      <c r="E503" s="36">
        <v>307302</v>
      </c>
      <c r="F503" s="57"/>
      <c r="G503" s="57"/>
      <c r="H503" s="65"/>
      <c r="I503" s="64"/>
      <c r="J503" s="65"/>
      <c r="K503" s="64"/>
    </row>
    <row r="504" spans="1:11" x14ac:dyDescent="0.2">
      <c r="A504">
        <v>2021</v>
      </c>
      <c r="B504" s="34">
        <v>663</v>
      </c>
      <c r="C504" s="34" t="s">
        <v>459</v>
      </c>
      <c r="D504" s="36">
        <v>40673</v>
      </c>
      <c r="E504" s="36">
        <v>128273</v>
      </c>
      <c r="F504" s="57"/>
      <c r="G504" s="57"/>
      <c r="H504" s="65"/>
      <c r="I504" s="64"/>
      <c r="J504" s="65"/>
      <c r="K504" s="64"/>
    </row>
    <row r="505" spans="1:11" x14ac:dyDescent="0.2">
      <c r="A505">
        <v>2021</v>
      </c>
      <c r="B505" s="34">
        <v>666</v>
      </c>
      <c r="C505" s="34" t="s">
        <v>460</v>
      </c>
      <c r="D505" s="36">
        <v>113805</v>
      </c>
      <c r="E505" s="36">
        <v>651246</v>
      </c>
      <c r="F505" s="57"/>
      <c r="G505" s="57"/>
      <c r="H505" s="65"/>
      <c r="I505" s="64"/>
      <c r="J505" s="65"/>
      <c r="K505" s="64"/>
    </row>
    <row r="506" spans="1:11" x14ac:dyDescent="0.2">
      <c r="A506">
        <v>2021</v>
      </c>
      <c r="B506" s="34">
        <v>667</v>
      </c>
      <c r="C506" s="34" t="s">
        <v>461</v>
      </c>
      <c r="D506" s="36">
        <v>118941</v>
      </c>
      <c r="E506" s="36">
        <v>636424</v>
      </c>
      <c r="F506" s="57"/>
      <c r="G506" s="57"/>
      <c r="H506" s="65"/>
      <c r="I506" s="64"/>
      <c r="J506" s="65"/>
      <c r="K506" s="64"/>
    </row>
    <row r="507" spans="1:11" x14ac:dyDescent="0.2">
      <c r="A507">
        <v>2021</v>
      </c>
      <c r="B507" s="34">
        <v>668</v>
      </c>
      <c r="C507" s="34" t="s">
        <v>462</v>
      </c>
      <c r="D507" s="36">
        <v>82798</v>
      </c>
      <c r="E507" s="36">
        <v>488620</v>
      </c>
      <c r="F507" s="57"/>
      <c r="G507" s="57"/>
      <c r="H507" s="65"/>
      <c r="I507" s="64"/>
      <c r="J507" s="65"/>
      <c r="K507" s="64"/>
    </row>
    <row r="508" spans="1:11" x14ac:dyDescent="0.2">
      <c r="A508">
        <v>2021</v>
      </c>
      <c r="B508" s="34">
        <v>673</v>
      </c>
      <c r="C508" s="34" t="s">
        <v>463</v>
      </c>
      <c r="D508" s="36">
        <v>245580</v>
      </c>
      <c r="E508" s="36">
        <v>2248349</v>
      </c>
      <c r="F508" s="57"/>
      <c r="G508" s="57"/>
      <c r="H508" s="65"/>
      <c r="I508" s="64"/>
      <c r="J508" s="65"/>
      <c r="K508" s="64"/>
    </row>
    <row r="509" spans="1:11" x14ac:dyDescent="0.2">
      <c r="A509">
        <v>2021</v>
      </c>
      <c r="B509" s="34">
        <v>674</v>
      </c>
      <c r="C509" s="34" t="s">
        <v>464</v>
      </c>
      <c r="D509" s="36">
        <v>82728</v>
      </c>
      <c r="E509" s="36">
        <v>530911</v>
      </c>
      <c r="F509" s="57"/>
      <c r="G509" s="57"/>
      <c r="H509" s="65"/>
      <c r="I509" s="64"/>
      <c r="J509" s="65"/>
      <c r="K509" s="64"/>
    </row>
    <row r="510" spans="1:11" x14ac:dyDescent="0.2">
      <c r="A510">
        <v>2021</v>
      </c>
      <c r="B510" s="34">
        <v>675</v>
      </c>
      <c r="C510" s="34" t="s">
        <v>465</v>
      </c>
      <c r="D510" s="36">
        <v>84433</v>
      </c>
      <c r="E510" s="36">
        <v>445182</v>
      </c>
      <c r="F510" s="57"/>
      <c r="G510" s="57"/>
      <c r="H510" s="65"/>
      <c r="I510" s="64"/>
      <c r="J510" s="65"/>
      <c r="K510" s="64"/>
    </row>
    <row r="511" spans="1:11" x14ac:dyDescent="0.2">
      <c r="A511">
        <v>2021</v>
      </c>
      <c r="B511" s="34">
        <v>676</v>
      </c>
      <c r="C511" s="34" t="s">
        <v>466</v>
      </c>
      <c r="D511" s="36">
        <v>25100</v>
      </c>
      <c r="E511" s="36">
        <v>227008</v>
      </c>
      <c r="F511" s="57"/>
      <c r="G511" s="57"/>
      <c r="H511" s="65"/>
      <c r="I511" s="64"/>
      <c r="J511" s="65"/>
      <c r="K511" s="64"/>
    </row>
    <row r="512" spans="1:11" x14ac:dyDescent="0.2">
      <c r="A512">
        <v>2021</v>
      </c>
      <c r="B512" s="34">
        <v>677</v>
      </c>
      <c r="C512" s="34" t="s">
        <v>467</v>
      </c>
      <c r="D512" s="36">
        <v>39871</v>
      </c>
      <c r="E512" s="36">
        <v>221666</v>
      </c>
      <c r="F512" s="57"/>
      <c r="G512" s="57"/>
      <c r="H512" s="65"/>
      <c r="I512" s="64"/>
      <c r="J512" s="65"/>
      <c r="K512" s="64"/>
    </row>
    <row r="513" spans="1:12" x14ac:dyDescent="0.2">
      <c r="A513">
        <v>2021</v>
      </c>
      <c r="B513" s="34">
        <v>680</v>
      </c>
      <c r="C513" s="34" t="s">
        <v>468</v>
      </c>
      <c r="D513" s="36">
        <v>37420</v>
      </c>
      <c r="E513" s="36">
        <v>297904</v>
      </c>
      <c r="F513" s="57"/>
      <c r="G513" s="57"/>
      <c r="H513" s="65"/>
      <c r="I513" s="64"/>
      <c r="J513" s="65"/>
      <c r="K513" s="64"/>
    </row>
    <row r="514" spans="1:12" x14ac:dyDescent="0.2">
      <c r="A514">
        <v>2021</v>
      </c>
      <c r="B514" s="34">
        <v>681</v>
      </c>
      <c r="C514" s="34" t="s">
        <v>469</v>
      </c>
      <c r="D514" s="36">
        <v>63007</v>
      </c>
      <c r="E514" s="36">
        <v>525613</v>
      </c>
      <c r="F514" s="57"/>
      <c r="G514" s="57"/>
      <c r="H514" s="65"/>
      <c r="I514" s="64"/>
      <c r="J514" s="65"/>
      <c r="K514" s="64"/>
    </row>
    <row r="515" spans="1:12" x14ac:dyDescent="0.2">
      <c r="A515">
        <v>2021</v>
      </c>
      <c r="B515" s="34">
        <v>682</v>
      </c>
      <c r="C515" s="34" t="s">
        <v>470</v>
      </c>
      <c r="D515" s="36">
        <v>161873</v>
      </c>
      <c r="E515" s="36">
        <v>990082</v>
      </c>
      <c r="F515" s="57"/>
      <c r="G515" s="57"/>
      <c r="H515" s="65"/>
      <c r="I515" s="64"/>
      <c r="J515" s="65"/>
      <c r="K515" s="64"/>
    </row>
    <row r="516" spans="1:12" x14ac:dyDescent="0.2">
      <c r="A516">
        <v>2021</v>
      </c>
      <c r="B516" s="34">
        <v>683</v>
      </c>
      <c r="C516" s="34" t="s">
        <v>471</v>
      </c>
      <c r="D516" s="36">
        <v>63432</v>
      </c>
      <c r="E516" s="36">
        <v>487610</v>
      </c>
      <c r="F516" s="57"/>
      <c r="G516" s="57"/>
      <c r="H516" s="65"/>
      <c r="I516" s="64"/>
      <c r="J516" s="65"/>
      <c r="K516" s="64"/>
    </row>
    <row r="517" spans="1:12" x14ac:dyDescent="0.2">
      <c r="A517">
        <v>2021</v>
      </c>
      <c r="B517" s="34">
        <v>684</v>
      </c>
      <c r="C517" s="34" t="s">
        <v>472</v>
      </c>
      <c r="D517" s="36">
        <v>12834</v>
      </c>
      <c r="E517" s="36">
        <v>53341</v>
      </c>
      <c r="F517" s="57"/>
      <c r="G517" s="57"/>
      <c r="H517" s="65"/>
      <c r="I517" s="64"/>
      <c r="J517" s="65"/>
      <c r="K517" s="64"/>
    </row>
    <row r="518" spans="1:12" x14ac:dyDescent="0.2">
      <c r="A518">
        <v>2021</v>
      </c>
      <c r="B518" s="34">
        <v>699</v>
      </c>
      <c r="C518" s="34" t="s">
        <v>473</v>
      </c>
      <c r="D518" s="36">
        <v>47635</v>
      </c>
      <c r="E518" s="36">
        <v>543433</v>
      </c>
      <c r="F518" s="57"/>
      <c r="G518" s="57"/>
      <c r="H518" s="65"/>
      <c r="I518" s="64"/>
      <c r="J518" s="65"/>
      <c r="K518" s="64"/>
    </row>
    <row r="519" spans="1:12" x14ac:dyDescent="0.2">
      <c r="A519">
        <v>2021</v>
      </c>
      <c r="B519" s="34">
        <v>701</v>
      </c>
      <c r="C519" s="34" t="s">
        <v>670</v>
      </c>
      <c r="E519" s="36">
        <v>183332</v>
      </c>
      <c r="G519" s="57"/>
      <c r="H519" s="57"/>
      <c r="I519" s="65"/>
      <c r="J519" s="64"/>
      <c r="K519" s="57"/>
      <c r="L519" s="64"/>
    </row>
    <row r="520" spans="1:12" x14ac:dyDescent="0.2">
      <c r="A520">
        <v>2021</v>
      </c>
      <c r="B520" s="34">
        <v>702</v>
      </c>
      <c r="C520" s="34" t="s">
        <v>671</v>
      </c>
      <c r="E520" s="36">
        <v>153285</v>
      </c>
      <c r="G520" s="57"/>
      <c r="H520" s="57"/>
      <c r="I520" s="65"/>
      <c r="J520" s="64"/>
      <c r="K520" s="57"/>
      <c r="L520" s="64"/>
    </row>
    <row r="521" spans="1:12" x14ac:dyDescent="0.2">
      <c r="A521">
        <v>2021</v>
      </c>
      <c r="B521" s="34">
        <v>704</v>
      </c>
      <c r="C521" s="34" t="s">
        <v>672</v>
      </c>
      <c r="E521" s="36">
        <v>60141</v>
      </c>
      <c r="G521" s="57"/>
      <c r="H521" s="57"/>
      <c r="I521" s="65"/>
      <c r="J521" s="64"/>
      <c r="K521" s="57"/>
      <c r="L521" s="64"/>
    </row>
    <row r="522" spans="1:12" x14ac:dyDescent="0.2">
      <c r="A522">
        <v>2021</v>
      </c>
      <c r="B522" s="34">
        <v>711</v>
      </c>
      <c r="C522" s="34" t="s">
        <v>674</v>
      </c>
      <c r="D522" s="36">
        <v>107234</v>
      </c>
      <c r="E522" s="36">
        <v>210036</v>
      </c>
      <c r="G522" s="57"/>
      <c r="H522" s="57"/>
      <c r="I522" s="65"/>
      <c r="J522" s="64"/>
      <c r="K522" s="65"/>
      <c r="L522" s="64"/>
    </row>
    <row r="523" spans="1:12" x14ac:dyDescent="0.2">
      <c r="A523">
        <v>2021</v>
      </c>
      <c r="B523" s="34">
        <v>714</v>
      </c>
      <c r="C523" s="34" t="s">
        <v>675</v>
      </c>
      <c r="D523" s="36">
        <v>29018</v>
      </c>
      <c r="G523" s="57"/>
      <c r="H523" s="57"/>
      <c r="I523" s="57"/>
      <c r="J523" s="64"/>
      <c r="K523" s="65"/>
      <c r="L523" s="64"/>
    </row>
    <row r="524" spans="1:12" x14ac:dyDescent="0.2">
      <c r="A524">
        <v>2021</v>
      </c>
      <c r="B524" s="34">
        <v>750</v>
      </c>
      <c r="C524" s="34" t="s">
        <v>676</v>
      </c>
      <c r="D524" s="36">
        <v>63289</v>
      </c>
      <c r="E524" s="36">
        <v>328258</v>
      </c>
      <c r="G524" s="57"/>
      <c r="H524" s="57"/>
      <c r="I524" s="65"/>
      <c r="J524" s="64"/>
      <c r="K524" s="65"/>
      <c r="L524" s="64"/>
    </row>
    <row r="525" spans="1:12" x14ac:dyDescent="0.2">
      <c r="A525">
        <v>2021</v>
      </c>
      <c r="B525" s="34">
        <v>801</v>
      </c>
      <c r="C525" s="34" t="s">
        <v>474</v>
      </c>
      <c r="D525" s="36">
        <v>129994</v>
      </c>
      <c r="E525" s="36">
        <v>1170257</v>
      </c>
      <c r="G525" s="57"/>
      <c r="H525" s="57"/>
      <c r="I525" s="65"/>
      <c r="J525" s="64"/>
      <c r="K525" s="65"/>
      <c r="L525" s="64"/>
    </row>
    <row r="526" spans="1:12" x14ac:dyDescent="0.2">
      <c r="A526">
        <v>2021</v>
      </c>
      <c r="B526" s="34">
        <v>802</v>
      </c>
      <c r="C526" s="34" t="s">
        <v>677</v>
      </c>
      <c r="D526" s="36">
        <v>209489</v>
      </c>
      <c r="E526" s="36">
        <v>1277181</v>
      </c>
      <c r="G526" s="57"/>
      <c r="H526" s="57"/>
      <c r="I526" s="65"/>
      <c r="J526" s="64"/>
      <c r="K526" s="65"/>
      <c r="L526" s="64"/>
    </row>
    <row r="527" spans="1:12" x14ac:dyDescent="0.2">
      <c r="A527">
        <v>2021</v>
      </c>
      <c r="B527" s="34">
        <v>803</v>
      </c>
      <c r="C527" s="34" t="s">
        <v>475</v>
      </c>
      <c r="D527" s="36">
        <v>2024411</v>
      </c>
      <c r="E527" s="36">
        <v>4721345</v>
      </c>
      <c r="G527" s="57"/>
      <c r="H527" s="57"/>
      <c r="I527" s="65"/>
      <c r="J527" s="64"/>
      <c r="K527" s="65"/>
      <c r="L527" s="64"/>
    </row>
    <row r="528" spans="1:12" x14ac:dyDescent="0.2">
      <c r="A528">
        <v>2021</v>
      </c>
      <c r="B528" s="34">
        <v>805</v>
      </c>
      <c r="C528" s="34" t="s">
        <v>678</v>
      </c>
      <c r="D528" s="36">
        <v>459838</v>
      </c>
      <c r="E528" s="36">
        <v>1674836</v>
      </c>
      <c r="G528" s="57"/>
      <c r="H528" s="57"/>
      <c r="I528" s="65"/>
      <c r="J528" s="64"/>
      <c r="K528" s="65"/>
      <c r="L528" s="64"/>
    </row>
    <row r="529" spans="1:12" x14ac:dyDescent="0.2">
      <c r="A529">
        <v>2021</v>
      </c>
      <c r="B529" s="34">
        <v>806</v>
      </c>
      <c r="C529" s="34" t="s">
        <v>476</v>
      </c>
      <c r="D529" s="36">
        <v>201778</v>
      </c>
      <c r="E529" s="36">
        <v>2188407</v>
      </c>
      <c r="G529" s="57"/>
      <c r="H529" s="57"/>
      <c r="I529" s="65"/>
      <c r="J529" s="64"/>
      <c r="K529" s="65"/>
      <c r="L529" s="64"/>
    </row>
    <row r="530" spans="1:12" x14ac:dyDescent="0.2">
      <c r="A530">
        <v>2021</v>
      </c>
      <c r="B530" s="34">
        <v>807</v>
      </c>
      <c r="C530" s="34" t="s">
        <v>679</v>
      </c>
      <c r="D530" s="36">
        <v>170038</v>
      </c>
      <c r="E530" s="36">
        <v>1837708</v>
      </c>
      <c r="G530" s="57"/>
      <c r="H530" s="57"/>
      <c r="I530" s="65"/>
      <c r="J530" s="64"/>
      <c r="K530" s="65"/>
      <c r="L530" s="64"/>
    </row>
    <row r="531" spans="1:12" x14ac:dyDescent="0.2">
      <c r="A531">
        <v>2021</v>
      </c>
      <c r="B531" s="34">
        <v>808</v>
      </c>
      <c r="C531" s="34" t="s">
        <v>680</v>
      </c>
      <c r="D531" s="36">
        <v>272459</v>
      </c>
      <c r="E531" s="36">
        <v>1435326</v>
      </c>
      <c r="G531" s="57"/>
      <c r="H531" s="57"/>
      <c r="I531" s="65"/>
      <c r="J531" s="64"/>
      <c r="K531" s="65"/>
      <c r="L531" s="64"/>
    </row>
    <row r="532" spans="1:12" x14ac:dyDescent="0.2">
      <c r="A532">
        <v>2021</v>
      </c>
      <c r="B532" s="34">
        <v>809</v>
      </c>
      <c r="C532" s="34" t="s">
        <v>681</v>
      </c>
      <c r="D532" s="36">
        <v>190098</v>
      </c>
      <c r="E532" s="36">
        <v>906745</v>
      </c>
      <c r="G532" s="57"/>
      <c r="H532" s="57"/>
      <c r="I532" s="65"/>
      <c r="J532" s="64"/>
      <c r="K532" s="65"/>
      <c r="L532" s="64"/>
    </row>
    <row r="533" spans="1:12" x14ac:dyDescent="0.2">
      <c r="A533">
        <v>2021</v>
      </c>
      <c r="B533" s="34">
        <v>810</v>
      </c>
      <c r="C533" s="34" t="s">
        <v>682</v>
      </c>
      <c r="E533" s="36">
        <v>8751373</v>
      </c>
      <c r="G533" s="57"/>
      <c r="H533" s="57"/>
      <c r="I533" s="65"/>
      <c r="J533" s="64"/>
      <c r="K533" s="57"/>
      <c r="L533" s="64"/>
    </row>
    <row r="534" spans="1:12" x14ac:dyDescent="0.2">
      <c r="A534">
        <v>2021</v>
      </c>
      <c r="B534" s="34">
        <v>811</v>
      </c>
      <c r="C534" s="34" t="s">
        <v>477</v>
      </c>
      <c r="D534" s="36">
        <v>324289</v>
      </c>
      <c r="E534" s="36">
        <v>520845</v>
      </c>
      <c r="G534" s="57"/>
      <c r="H534" s="57"/>
      <c r="I534" s="65"/>
      <c r="J534" s="64"/>
      <c r="K534" s="65"/>
      <c r="L534" s="64"/>
    </row>
    <row r="535" spans="1:12" x14ac:dyDescent="0.2">
      <c r="A535">
        <v>2021</v>
      </c>
      <c r="B535" s="34">
        <v>812</v>
      </c>
      <c r="C535" s="34" t="s">
        <v>683</v>
      </c>
      <c r="D535" s="36">
        <v>578426</v>
      </c>
      <c r="E535" s="36">
        <v>2138761</v>
      </c>
      <c r="G535" s="57"/>
      <c r="H535" s="57"/>
      <c r="I535" s="65"/>
      <c r="J535" s="64"/>
      <c r="K535" s="65"/>
      <c r="L535" s="64"/>
    </row>
    <row r="536" spans="1:12" x14ac:dyDescent="0.2">
      <c r="A536">
        <v>2021</v>
      </c>
      <c r="B536" s="34">
        <v>813</v>
      </c>
      <c r="C536" s="34" t="s">
        <v>684</v>
      </c>
      <c r="D536" s="36">
        <v>894291</v>
      </c>
      <c r="E536" s="36">
        <v>3611788</v>
      </c>
      <c r="G536" s="57"/>
      <c r="H536" s="57"/>
      <c r="I536" s="66"/>
      <c r="J536" s="66"/>
    </row>
    <row r="538" spans="1:12" x14ac:dyDescent="0.2">
      <c r="D538" s="36">
        <f>SUM(D2:D536)</f>
        <v>125712392</v>
      </c>
      <c r="E538" s="36">
        <f>SUM(E2:E536)</f>
        <v>744694744</v>
      </c>
    </row>
    <row r="540" spans="1:12" x14ac:dyDescent="0.2">
      <c r="D540" s="36">
        <v>125712392</v>
      </c>
      <c r="E540" s="34">
        <v>744694744</v>
      </c>
    </row>
    <row r="542" spans="1:12" x14ac:dyDescent="0.2">
      <c r="C542" s="61" t="s">
        <v>685</v>
      </c>
      <c r="D542" s="67">
        <f>D538-D540</f>
        <v>0</v>
      </c>
      <c r="E542" s="67">
        <f>E538-E540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58FA-FB7B-1542-8F53-AC4064ED9B88}">
  <sheetPr>
    <tabColor rgb="FFFFFF00"/>
  </sheetPr>
  <dimension ref="A1:O542"/>
  <sheetViews>
    <sheetView topLeftCell="C512" workbookViewId="0">
      <selection activeCell="E536" sqref="E2:E536"/>
    </sheetView>
  </sheetViews>
  <sheetFormatPr baseColWidth="10" defaultRowHeight="16" x14ac:dyDescent="0.2"/>
  <cols>
    <col min="2" max="2" width="11" style="34" bestFit="1" customWidth="1"/>
    <col min="3" max="3" width="21.83203125" style="34" bestFit="1" customWidth="1"/>
    <col min="4" max="4" width="19.83203125" style="34" bestFit="1" customWidth="1"/>
    <col min="5" max="5" width="11" style="34" bestFit="1" customWidth="1"/>
    <col min="6" max="6" width="11.1640625" style="34" bestFit="1" customWidth="1"/>
    <col min="7" max="7" width="11" style="34" bestFit="1" customWidth="1"/>
  </cols>
  <sheetData>
    <row r="1" spans="1:15" x14ac:dyDescent="0.2">
      <c r="A1" t="s">
        <v>729</v>
      </c>
      <c r="B1" s="33" t="s">
        <v>521</v>
      </c>
      <c r="C1" s="39" t="s">
        <v>522</v>
      </c>
      <c r="D1" s="39" t="s">
        <v>523</v>
      </c>
      <c r="F1"/>
      <c r="G1"/>
    </row>
    <row r="2" spans="1:15" x14ac:dyDescent="0.2">
      <c r="A2">
        <v>2022</v>
      </c>
      <c r="B2" s="34">
        <v>1</v>
      </c>
      <c r="C2" s="34" t="s">
        <v>0</v>
      </c>
      <c r="D2" s="36">
        <v>29054</v>
      </c>
      <c r="E2" s="36">
        <v>189158</v>
      </c>
      <c r="F2" s="57"/>
      <c r="G2" s="57"/>
      <c r="H2" s="11"/>
      <c r="I2" s="57"/>
      <c r="J2" s="11"/>
      <c r="K2" s="64"/>
      <c r="L2" s="11"/>
      <c r="M2" s="57"/>
      <c r="N2" s="11"/>
      <c r="O2" s="64"/>
    </row>
    <row r="3" spans="1:15" x14ac:dyDescent="0.2">
      <c r="A3">
        <v>2022</v>
      </c>
      <c r="B3" s="34">
        <v>2</v>
      </c>
      <c r="C3" s="34" t="s">
        <v>1</v>
      </c>
      <c r="D3" s="36">
        <v>34111</v>
      </c>
      <c r="E3" s="36">
        <v>202011</v>
      </c>
      <c r="F3" s="57"/>
      <c r="G3" s="57"/>
      <c r="H3" s="11"/>
      <c r="I3" s="65"/>
      <c r="J3" s="11"/>
      <c r="K3" s="64"/>
      <c r="L3" s="11"/>
      <c r="M3" s="65"/>
      <c r="N3" s="11"/>
      <c r="O3" s="64"/>
    </row>
    <row r="4" spans="1:15" x14ac:dyDescent="0.2">
      <c r="A4">
        <v>2022</v>
      </c>
      <c r="B4" s="34">
        <v>3</v>
      </c>
      <c r="C4" s="34" t="s">
        <v>2</v>
      </c>
      <c r="D4" s="36">
        <v>336495</v>
      </c>
      <c r="E4" s="36">
        <v>1945961</v>
      </c>
      <c r="F4" s="57"/>
      <c r="G4" s="57"/>
      <c r="H4" s="11"/>
      <c r="I4" s="65"/>
      <c r="J4" s="11"/>
      <c r="K4" s="64"/>
      <c r="L4" s="11"/>
      <c r="M4" s="65"/>
      <c r="N4" s="11"/>
      <c r="O4" s="64"/>
    </row>
    <row r="5" spans="1:15" x14ac:dyDescent="0.2">
      <c r="A5">
        <v>2022</v>
      </c>
      <c r="B5" s="34">
        <v>4</v>
      </c>
      <c r="C5" s="34" t="s">
        <v>3</v>
      </c>
      <c r="D5" s="36">
        <v>206486</v>
      </c>
      <c r="E5" s="36">
        <v>1551488</v>
      </c>
      <c r="F5" s="57"/>
      <c r="G5" s="57"/>
      <c r="H5" s="11"/>
      <c r="I5" s="65"/>
      <c r="J5" s="11"/>
      <c r="K5" s="64"/>
      <c r="L5" s="11"/>
      <c r="M5" s="65"/>
      <c r="N5" s="11"/>
      <c r="O5" s="64"/>
    </row>
    <row r="6" spans="1:15" x14ac:dyDescent="0.2">
      <c r="A6">
        <v>2022</v>
      </c>
      <c r="B6" s="34">
        <v>5</v>
      </c>
      <c r="C6" s="34" t="s">
        <v>4</v>
      </c>
      <c r="D6" s="36">
        <v>35181</v>
      </c>
      <c r="E6" s="36">
        <v>292135</v>
      </c>
      <c r="F6" s="57"/>
      <c r="G6" s="57"/>
      <c r="H6" s="11"/>
      <c r="I6" s="65"/>
      <c r="J6" s="11"/>
      <c r="K6" s="64"/>
      <c r="L6" s="11"/>
      <c r="M6" s="65"/>
      <c r="N6" s="11"/>
      <c r="O6" s="64"/>
    </row>
    <row r="7" spans="1:15" x14ac:dyDescent="0.2">
      <c r="A7">
        <v>2022</v>
      </c>
      <c r="B7" s="34">
        <v>6</v>
      </c>
      <c r="C7" s="34" t="s">
        <v>5</v>
      </c>
      <c r="D7" s="36">
        <v>23363</v>
      </c>
      <c r="E7" s="36">
        <v>126344</v>
      </c>
      <c r="F7" s="57"/>
      <c r="G7" s="57"/>
      <c r="H7" s="11"/>
      <c r="I7" s="65"/>
      <c r="J7" s="11"/>
      <c r="K7" s="64"/>
      <c r="L7" s="11"/>
      <c r="M7" s="65"/>
      <c r="N7" s="11"/>
      <c r="O7" s="64"/>
    </row>
    <row r="8" spans="1:15" x14ac:dyDescent="0.2">
      <c r="A8">
        <v>2022</v>
      </c>
      <c r="B8" s="34">
        <v>8</v>
      </c>
      <c r="C8" s="34" t="s">
        <v>6</v>
      </c>
      <c r="D8" s="36">
        <v>39507</v>
      </c>
      <c r="E8" s="36">
        <v>348428</v>
      </c>
      <c r="F8" s="57"/>
      <c r="G8" s="57"/>
      <c r="H8" s="11"/>
      <c r="I8" s="65"/>
      <c r="J8" s="11"/>
      <c r="K8" s="64"/>
      <c r="L8" s="11"/>
      <c r="M8" s="65"/>
      <c r="N8" s="11"/>
      <c r="O8" s="64"/>
    </row>
    <row r="9" spans="1:15" x14ac:dyDescent="0.2">
      <c r="A9">
        <v>2022</v>
      </c>
      <c r="B9" s="34">
        <v>9</v>
      </c>
      <c r="C9" s="34" t="s">
        <v>7</v>
      </c>
      <c r="D9" s="36">
        <v>40695</v>
      </c>
      <c r="E9" s="36">
        <v>290422</v>
      </c>
      <c r="F9" s="57"/>
      <c r="G9" s="57"/>
      <c r="H9" s="11"/>
      <c r="I9" s="65"/>
      <c r="J9" s="11"/>
      <c r="K9" s="64"/>
      <c r="L9" s="11"/>
      <c r="M9" s="65"/>
      <c r="N9" s="11"/>
      <c r="O9" s="64"/>
    </row>
    <row r="10" spans="1:15" x14ac:dyDescent="0.2">
      <c r="A10">
        <v>2022</v>
      </c>
      <c r="B10" s="34">
        <v>10</v>
      </c>
      <c r="C10" s="34" t="s">
        <v>8</v>
      </c>
      <c r="D10" s="36">
        <v>9667</v>
      </c>
      <c r="E10" s="36">
        <v>159187</v>
      </c>
      <c r="F10" s="57"/>
      <c r="G10" s="57"/>
      <c r="H10" s="11"/>
      <c r="I10" s="65"/>
      <c r="J10" s="11"/>
      <c r="K10" s="64"/>
      <c r="L10" s="11"/>
      <c r="M10" s="65"/>
      <c r="N10" s="11"/>
      <c r="O10" s="64"/>
    </row>
    <row r="11" spans="1:15" x14ac:dyDescent="0.2">
      <c r="A11">
        <v>2022</v>
      </c>
      <c r="B11" s="34">
        <v>12</v>
      </c>
      <c r="C11" s="34" t="s">
        <v>9</v>
      </c>
      <c r="D11" s="36">
        <v>68774</v>
      </c>
      <c r="E11" s="36">
        <v>418255</v>
      </c>
      <c r="F11" s="57"/>
      <c r="G11" s="57"/>
      <c r="H11" s="11"/>
      <c r="I11" s="65"/>
      <c r="J11" s="11"/>
      <c r="K11" s="64"/>
      <c r="L11" s="11"/>
      <c r="M11" s="65"/>
      <c r="N11" s="11"/>
      <c r="O11" s="64"/>
    </row>
    <row r="12" spans="1:15" x14ac:dyDescent="0.2">
      <c r="A12">
        <v>2022</v>
      </c>
      <c r="B12" s="34">
        <v>14</v>
      </c>
      <c r="C12" s="34" t="s">
        <v>10</v>
      </c>
      <c r="D12" s="36">
        <v>42787</v>
      </c>
      <c r="E12" s="36">
        <v>286902</v>
      </c>
      <c r="F12" s="57"/>
      <c r="G12" s="57"/>
      <c r="H12" s="11"/>
      <c r="I12" s="65"/>
      <c r="J12" s="11"/>
      <c r="K12" s="64"/>
      <c r="L12" s="11"/>
      <c r="M12" s="65"/>
      <c r="N12" s="11"/>
      <c r="O12" s="64"/>
    </row>
    <row r="13" spans="1:15" x14ac:dyDescent="0.2">
      <c r="A13">
        <v>2022</v>
      </c>
      <c r="B13" s="34">
        <v>15</v>
      </c>
      <c r="C13" s="34" t="s">
        <v>11</v>
      </c>
      <c r="D13" s="36">
        <v>349170</v>
      </c>
      <c r="E13" s="36">
        <v>1837307</v>
      </c>
      <c r="F13" s="57"/>
      <c r="G13" s="57"/>
      <c r="H13" s="11"/>
      <c r="I13" s="65"/>
      <c r="J13" s="11"/>
      <c r="K13" s="64"/>
      <c r="L13" s="11"/>
      <c r="M13" s="65"/>
      <c r="N13" s="11"/>
      <c r="O13" s="64"/>
    </row>
    <row r="14" spans="1:15" x14ac:dyDescent="0.2">
      <c r="A14">
        <v>2022</v>
      </c>
      <c r="B14" s="34">
        <v>19</v>
      </c>
      <c r="C14" s="34" t="s">
        <v>540</v>
      </c>
      <c r="D14" s="36">
        <v>341778</v>
      </c>
      <c r="E14" s="36">
        <v>2054124</v>
      </c>
      <c r="F14" s="57"/>
      <c r="G14" s="57"/>
      <c r="H14" s="11"/>
      <c r="I14" s="65"/>
      <c r="J14" s="11"/>
      <c r="K14" s="64"/>
      <c r="L14" s="11"/>
      <c r="M14" s="65"/>
      <c r="N14" s="11"/>
      <c r="O14" s="64"/>
    </row>
    <row r="15" spans="1:15" x14ac:dyDescent="0.2">
      <c r="A15">
        <v>2022</v>
      </c>
      <c r="B15" s="34">
        <v>20</v>
      </c>
      <c r="C15" s="34" t="s">
        <v>13</v>
      </c>
      <c r="D15" s="36">
        <v>82756</v>
      </c>
      <c r="E15" s="36">
        <v>442689</v>
      </c>
      <c r="F15" s="57"/>
      <c r="G15" s="57"/>
      <c r="H15" s="11"/>
      <c r="I15" s="65"/>
      <c r="J15" s="11"/>
      <c r="K15" s="64"/>
      <c r="L15" s="11"/>
      <c r="M15" s="65"/>
      <c r="N15" s="11"/>
      <c r="O15" s="64"/>
    </row>
    <row r="16" spans="1:15" x14ac:dyDescent="0.2">
      <c r="A16">
        <v>2022</v>
      </c>
      <c r="B16" s="34">
        <v>21</v>
      </c>
      <c r="C16" s="34" t="s">
        <v>14</v>
      </c>
      <c r="D16" s="36">
        <v>55147</v>
      </c>
      <c r="E16" s="36">
        <v>281425</v>
      </c>
      <c r="F16" s="57"/>
      <c r="G16" s="57"/>
      <c r="H16" s="11"/>
      <c r="I16" s="65"/>
      <c r="J16" s="11"/>
      <c r="K16" s="64"/>
      <c r="L16" s="11"/>
      <c r="M16" s="65"/>
      <c r="N16" s="11"/>
      <c r="O16" s="64"/>
    </row>
    <row r="17" spans="1:15" x14ac:dyDescent="0.2">
      <c r="A17">
        <v>2022</v>
      </c>
      <c r="B17" s="34">
        <v>22</v>
      </c>
      <c r="C17" s="34" t="s">
        <v>15</v>
      </c>
      <c r="D17" s="36">
        <v>247696</v>
      </c>
      <c r="E17" s="36">
        <v>1377510</v>
      </c>
      <c r="F17" s="57"/>
      <c r="G17" s="57"/>
      <c r="H17" s="11"/>
      <c r="I17" s="65"/>
      <c r="J17" s="11"/>
      <c r="K17" s="64"/>
      <c r="L17" s="11"/>
      <c r="M17" s="65"/>
      <c r="N17" s="11"/>
      <c r="O17" s="64"/>
    </row>
    <row r="18" spans="1:15" x14ac:dyDescent="0.2">
      <c r="A18">
        <v>2022</v>
      </c>
      <c r="B18" s="34">
        <v>23</v>
      </c>
      <c r="C18" s="34" t="s">
        <v>16</v>
      </c>
      <c r="D18" s="36">
        <v>97649</v>
      </c>
      <c r="E18" s="36">
        <v>515363</v>
      </c>
      <c r="F18" s="57"/>
      <c r="G18" s="57"/>
      <c r="H18" s="11"/>
      <c r="I18" s="65"/>
      <c r="J18" s="11"/>
      <c r="K18" s="64"/>
      <c r="L18" s="11"/>
      <c r="M18" s="65"/>
      <c r="N18" s="11"/>
      <c r="O18" s="64"/>
    </row>
    <row r="19" spans="1:15" x14ac:dyDescent="0.2">
      <c r="A19">
        <v>2022</v>
      </c>
      <c r="B19" s="34">
        <v>24</v>
      </c>
      <c r="C19" s="34" t="s">
        <v>17</v>
      </c>
      <c r="D19" s="36">
        <v>47039</v>
      </c>
      <c r="E19" s="36">
        <v>206236</v>
      </c>
      <c r="F19" s="57"/>
      <c r="G19" s="57"/>
      <c r="H19" s="11"/>
      <c r="I19" s="65"/>
      <c r="J19" s="11"/>
      <c r="K19" s="64"/>
      <c r="L19" s="11"/>
      <c r="M19" s="65"/>
      <c r="N19" s="11"/>
      <c r="O19" s="64"/>
    </row>
    <row r="20" spans="1:15" x14ac:dyDescent="0.2">
      <c r="A20">
        <v>2022</v>
      </c>
      <c r="B20" s="34">
        <v>28</v>
      </c>
      <c r="C20" s="34" t="s">
        <v>18</v>
      </c>
      <c r="D20" s="36">
        <v>49226</v>
      </c>
      <c r="E20" s="36">
        <v>218704</v>
      </c>
      <c r="F20" s="57"/>
      <c r="G20" s="57"/>
      <c r="H20" s="11"/>
      <c r="I20" s="65"/>
      <c r="J20" s="11"/>
      <c r="K20" s="64"/>
      <c r="L20" s="11"/>
      <c r="M20" s="65"/>
      <c r="N20" s="11"/>
      <c r="O20" s="64"/>
    </row>
    <row r="21" spans="1:15" x14ac:dyDescent="0.2">
      <c r="A21">
        <v>2022</v>
      </c>
      <c r="B21" s="34">
        <v>31</v>
      </c>
      <c r="C21" s="34" t="s">
        <v>541</v>
      </c>
      <c r="D21" s="36">
        <v>139774</v>
      </c>
      <c r="E21" s="36">
        <v>997590</v>
      </c>
      <c r="F21" s="57"/>
      <c r="G21" s="57"/>
      <c r="H21" s="11"/>
      <c r="I21" s="65"/>
      <c r="J21" s="11"/>
      <c r="K21" s="64"/>
      <c r="L21" s="11"/>
      <c r="M21" s="65"/>
      <c r="N21" s="11"/>
      <c r="O21" s="64"/>
    </row>
    <row r="22" spans="1:15" x14ac:dyDescent="0.2">
      <c r="A22">
        <v>2022</v>
      </c>
      <c r="B22" s="34">
        <v>32</v>
      </c>
      <c r="C22" s="34" t="s">
        <v>542</v>
      </c>
      <c r="D22" s="36">
        <v>35594</v>
      </c>
      <c r="E22" s="36">
        <v>247224</v>
      </c>
      <c r="F22" s="57"/>
      <c r="G22" s="57"/>
      <c r="H22" s="11"/>
      <c r="I22" s="65"/>
      <c r="J22" s="11"/>
      <c r="K22" s="64"/>
      <c r="L22" s="11"/>
      <c r="M22" s="65"/>
      <c r="N22" s="11"/>
      <c r="O22" s="64"/>
    </row>
    <row r="23" spans="1:15" x14ac:dyDescent="0.2">
      <c r="A23">
        <v>2022</v>
      </c>
      <c r="B23" s="34">
        <v>33</v>
      </c>
      <c r="C23" s="34" t="s">
        <v>21</v>
      </c>
      <c r="D23" s="36">
        <v>30934</v>
      </c>
      <c r="E23" s="36">
        <v>146467</v>
      </c>
      <c r="F23" s="57"/>
      <c r="G23" s="57"/>
      <c r="H23" s="11"/>
      <c r="I23" s="65"/>
      <c r="J23" s="11"/>
      <c r="K23" s="64"/>
      <c r="L23" s="11"/>
      <c r="M23" s="65"/>
      <c r="N23" s="11"/>
      <c r="O23" s="64"/>
    </row>
    <row r="24" spans="1:15" x14ac:dyDescent="0.2">
      <c r="A24">
        <v>2022</v>
      </c>
      <c r="B24" s="34">
        <v>34</v>
      </c>
      <c r="C24" s="34" t="s">
        <v>22</v>
      </c>
      <c r="D24" s="36">
        <v>26481</v>
      </c>
      <c r="E24" s="36">
        <v>162299</v>
      </c>
      <c r="F24" s="57"/>
      <c r="G24" s="57"/>
      <c r="H24" s="11"/>
      <c r="I24" s="65"/>
      <c r="J24" s="11"/>
      <c r="K24" s="64"/>
      <c r="L24" s="11"/>
      <c r="M24" s="65"/>
      <c r="N24" s="11"/>
      <c r="O24" s="64"/>
    </row>
    <row r="25" spans="1:15" x14ac:dyDescent="0.2">
      <c r="A25">
        <v>2022</v>
      </c>
      <c r="B25" s="34">
        <v>35</v>
      </c>
      <c r="C25" s="34" t="s">
        <v>543</v>
      </c>
      <c r="D25" s="36">
        <v>17366</v>
      </c>
      <c r="E25" s="36">
        <v>112487</v>
      </c>
      <c r="F25" s="57"/>
      <c r="G25" s="57"/>
      <c r="H25" s="11"/>
      <c r="I25" s="65"/>
      <c r="J25" s="11"/>
      <c r="K25" s="64"/>
      <c r="L25" s="11"/>
      <c r="M25" s="65"/>
      <c r="N25" s="11"/>
      <c r="O25" s="64"/>
    </row>
    <row r="26" spans="1:15" x14ac:dyDescent="0.2">
      <c r="A26">
        <v>2022</v>
      </c>
      <c r="B26" s="34">
        <v>36</v>
      </c>
      <c r="C26" s="34" t="s">
        <v>24</v>
      </c>
      <c r="D26" s="36">
        <v>62648</v>
      </c>
      <c r="E26" s="36">
        <v>495864</v>
      </c>
      <c r="F26" s="57"/>
      <c r="G26" s="57"/>
      <c r="H26" s="11"/>
      <c r="I26" s="65"/>
      <c r="J26" s="11"/>
      <c r="K26" s="64"/>
      <c r="L26" s="11"/>
      <c r="M26" s="65"/>
      <c r="N26" s="11"/>
      <c r="O26" s="64"/>
    </row>
    <row r="27" spans="1:15" x14ac:dyDescent="0.2">
      <c r="A27">
        <v>2022</v>
      </c>
      <c r="B27" s="34">
        <v>37</v>
      </c>
      <c r="C27" s="34" t="s">
        <v>25</v>
      </c>
      <c r="D27" s="36">
        <v>36271</v>
      </c>
      <c r="E27" s="36">
        <v>259993</v>
      </c>
      <c r="F27" s="57"/>
      <c r="G27" s="57"/>
      <c r="H27" s="11"/>
      <c r="I27" s="65"/>
      <c r="J27" s="11"/>
      <c r="K27" s="64"/>
      <c r="L27" s="11"/>
      <c r="M27" s="65"/>
      <c r="N27" s="11"/>
      <c r="O27" s="64"/>
    </row>
    <row r="28" spans="1:15" x14ac:dyDescent="0.2">
      <c r="A28">
        <v>2022</v>
      </c>
      <c r="B28" s="34">
        <v>38</v>
      </c>
      <c r="C28" s="34" t="s">
        <v>26</v>
      </c>
      <c r="D28" s="36">
        <v>98486</v>
      </c>
      <c r="E28" s="36">
        <v>701515</v>
      </c>
      <c r="F28" s="57"/>
      <c r="G28" s="57"/>
      <c r="H28" s="11"/>
      <c r="I28" s="65"/>
      <c r="J28" s="11"/>
      <c r="K28" s="64"/>
      <c r="L28" s="11"/>
      <c r="M28" s="65"/>
      <c r="N28" s="11"/>
      <c r="O28" s="64"/>
    </row>
    <row r="29" spans="1:15" x14ac:dyDescent="0.2">
      <c r="A29">
        <v>2022</v>
      </c>
      <c r="B29" s="34">
        <v>39</v>
      </c>
      <c r="C29" s="34" t="s">
        <v>27</v>
      </c>
      <c r="D29" s="36">
        <v>18557</v>
      </c>
      <c r="E29" s="36">
        <v>125124</v>
      </c>
      <c r="F29" s="57"/>
      <c r="G29" s="57"/>
      <c r="H29" s="11"/>
      <c r="I29" s="65"/>
      <c r="J29" s="11"/>
      <c r="K29" s="64"/>
      <c r="L29" s="11"/>
      <c r="M29" s="65"/>
      <c r="N29" s="11"/>
      <c r="O29" s="64"/>
    </row>
    <row r="30" spans="1:15" x14ac:dyDescent="0.2">
      <c r="A30">
        <v>2022</v>
      </c>
      <c r="B30" s="34">
        <v>40</v>
      </c>
      <c r="C30" s="34" t="s">
        <v>28</v>
      </c>
      <c r="D30" s="36">
        <v>6394</v>
      </c>
      <c r="E30" s="36">
        <v>45143</v>
      </c>
      <c r="F30" s="57"/>
      <c r="G30" s="57"/>
      <c r="H30" s="11"/>
      <c r="I30" s="65"/>
      <c r="J30" s="11"/>
      <c r="K30" s="64"/>
      <c r="L30" s="11"/>
      <c r="M30" s="65"/>
      <c r="N30" s="11"/>
      <c r="O30" s="64"/>
    </row>
    <row r="31" spans="1:15" x14ac:dyDescent="0.2">
      <c r="A31">
        <v>2022</v>
      </c>
      <c r="B31" s="34">
        <v>41</v>
      </c>
      <c r="C31" s="34" t="s">
        <v>544</v>
      </c>
      <c r="D31" s="36">
        <v>77394</v>
      </c>
      <c r="E31" s="36">
        <v>500608</v>
      </c>
      <c r="F31" s="57"/>
      <c r="G31" s="57"/>
      <c r="H31" s="11"/>
      <c r="I31" s="65"/>
      <c r="J31" s="11"/>
      <c r="K31" s="64"/>
      <c r="L31" s="11"/>
      <c r="M31" s="65"/>
      <c r="N31" s="11"/>
      <c r="O31" s="64"/>
    </row>
    <row r="32" spans="1:15" x14ac:dyDescent="0.2">
      <c r="A32">
        <v>2022</v>
      </c>
      <c r="B32" s="34">
        <v>42</v>
      </c>
      <c r="C32" s="34" t="s">
        <v>545</v>
      </c>
      <c r="D32" s="36">
        <v>60989</v>
      </c>
      <c r="E32" s="36">
        <v>353350</v>
      </c>
      <c r="F32" s="57"/>
      <c r="G32" s="57"/>
      <c r="H32" s="11"/>
      <c r="I32" s="65"/>
      <c r="J32" s="11"/>
      <c r="K32" s="64"/>
      <c r="L32" s="11"/>
      <c r="M32" s="65"/>
      <c r="N32" s="11"/>
      <c r="O32" s="64"/>
    </row>
    <row r="33" spans="1:15" x14ac:dyDescent="0.2">
      <c r="A33">
        <v>2022</v>
      </c>
      <c r="B33" s="34">
        <v>43</v>
      </c>
      <c r="C33" s="34" t="s">
        <v>31</v>
      </c>
      <c r="D33" s="36">
        <v>174657</v>
      </c>
      <c r="E33" s="36">
        <v>790796</v>
      </c>
      <c r="F33" s="57"/>
      <c r="G33" s="57"/>
      <c r="H33" s="11"/>
      <c r="I33" s="65"/>
      <c r="J33" s="11"/>
      <c r="K33" s="64"/>
      <c r="L33" s="11"/>
      <c r="M33" s="65"/>
      <c r="N33" s="11"/>
      <c r="O33" s="64"/>
    </row>
    <row r="34" spans="1:15" x14ac:dyDescent="0.2">
      <c r="A34">
        <v>2022</v>
      </c>
      <c r="B34" s="34">
        <v>46</v>
      </c>
      <c r="C34" s="34" t="s">
        <v>32</v>
      </c>
      <c r="D34" s="36">
        <v>54851</v>
      </c>
      <c r="E34" s="36">
        <v>340691</v>
      </c>
      <c r="F34" s="57"/>
      <c r="G34" s="57"/>
      <c r="H34" s="11"/>
      <c r="I34" s="65"/>
      <c r="J34" s="11"/>
      <c r="K34" s="64"/>
      <c r="L34" s="11"/>
      <c r="M34" s="65"/>
      <c r="N34" s="11"/>
      <c r="O34" s="64"/>
    </row>
    <row r="35" spans="1:15" x14ac:dyDescent="0.2">
      <c r="A35">
        <v>2022</v>
      </c>
      <c r="B35" s="34">
        <v>47</v>
      </c>
      <c r="C35" s="34" t="s">
        <v>33</v>
      </c>
      <c r="D35" s="36">
        <v>15429</v>
      </c>
      <c r="E35" s="36">
        <v>133144</v>
      </c>
      <c r="F35" s="57"/>
      <c r="G35" s="57"/>
      <c r="H35" s="11"/>
      <c r="I35" s="65"/>
      <c r="J35" s="11"/>
      <c r="K35" s="64"/>
      <c r="L35" s="11"/>
      <c r="M35" s="65"/>
      <c r="N35" s="11"/>
      <c r="O35" s="64"/>
    </row>
    <row r="36" spans="1:15" x14ac:dyDescent="0.2">
      <c r="A36">
        <v>2022</v>
      </c>
      <c r="B36" s="34">
        <v>48</v>
      </c>
      <c r="C36" s="34" t="s">
        <v>34</v>
      </c>
      <c r="D36" s="36">
        <v>84124</v>
      </c>
      <c r="E36" s="36">
        <v>593278</v>
      </c>
      <c r="F36" s="57"/>
      <c r="G36" s="57"/>
      <c r="H36" s="11"/>
      <c r="I36" s="65"/>
      <c r="J36" s="11"/>
      <c r="K36" s="64"/>
      <c r="L36" s="11"/>
      <c r="M36" s="65"/>
      <c r="N36" s="11"/>
      <c r="O36" s="64"/>
    </row>
    <row r="37" spans="1:15" x14ac:dyDescent="0.2">
      <c r="A37">
        <v>2022</v>
      </c>
      <c r="B37" s="34">
        <v>49</v>
      </c>
      <c r="C37" s="34" t="s">
        <v>35</v>
      </c>
      <c r="D37" s="36">
        <v>27059</v>
      </c>
      <c r="E37" s="36">
        <v>148109</v>
      </c>
      <c r="F37" s="57"/>
      <c r="G37" s="57"/>
      <c r="H37" s="11"/>
      <c r="I37" s="65"/>
      <c r="J37" s="11"/>
      <c r="K37" s="64"/>
      <c r="L37" s="11"/>
      <c r="M37" s="65"/>
      <c r="N37" s="11"/>
      <c r="O37" s="64"/>
    </row>
    <row r="38" spans="1:15" x14ac:dyDescent="0.2">
      <c r="A38">
        <v>2022</v>
      </c>
      <c r="B38" s="34">
        <v>50</v>
      </c>
      <c r="C38" s="34" t="s">
        <v>36</v>
      </c>
      <c r="D38" s="36">
        <v>181111</v>
      </c>
      <c r="E38" s="36">
        <v>1457140</v>
      </c>
      <c r="F38" s="57"/>
      <c r="G38" s="57"/>
      <c r="H38" s="11"/>
      <c r="I38" s="65"/>
      <c r="J38" s="11"/>
      <c r="K38" s="64"/>
      <c r="L38" s="11"/>
      <c r="M38" s="65"/>
      <c r="N38" s="11"/>
      <c r="O38" s="64"/>
    </row>
    <row r="39" spans="1:15" x14ac:dyDescent="0.2">
      <c r="A39">
        <v>2022</v>
      </c>
      <c r="B39" s="34">
        <v>52</v>
      </c>
      <c r="C39" s="34" t="s">
        <v>37</v>
      </c>
      <c r="D39" s="36">
        <v>137772</v>
      </c>
      <c r="E39" s="36">
        <v>982695</v>
      </c>
      <c r="F39" s="57"/>
      <c r="G39" s="57"/>
      <c r="H39" s="11"/>
      <c r="I39" s="65"/>
      <c r="J39" s="11"/>
      <c r="K39" s="64"/>
      <c r="L39" s="11"/>
      <c r="M39" s="65"/>
      <c r="N39" s="11"/>
      <c r="O39" s="64"/>
    </row>
    <row r="40" spans="1:15" x14ac:dyDescent="0.2">
      <c r="A40">
        <v>2022</v>
      </c>
      <c r="B40" s="34">
        <v>53</v>
      </c>
      <c r="C40" s="34" t="s">
        <v>38</v>
      </c>
      <c r="D40" s="36">
        <v>46738</v>
      </c>
      <c r="E40" s="36">
        <v>306664</v>
      </c>
      <c r="F40" s="57"/>
      <c r="G40" s="57"/>
      <c r="H40" s="11"/>
      <c r="I40" s="65"/>
      <c r="J40" s="11"/>
      <c r="K40" s="64"/>
      <c r="L40" s="11"/>
      <c r="M40" s="65"/>
      <c r="N40" s="11"/>
      <c r="O40" s="64"/>
    </row>
    <row r="41" spans="1:15" x14ac:dyDescent="0.2">
      <c r="A41">
        <v>2022</v>
      </c>
      <c r="B41" s="34">
        <v>54</v>
      </c>
      <c r="C41" s="34" t="s">
        <v>39</v>
      </c>
      <c r="D41" s="36">
        <v>94486</v>
      </c>
      <c r="E41" s="36">
        <v>957027</v>
      </c>
      <c r="F41" s="57"/>
      <c r="G41" s="57"/>
      <c r="H41" s="11"/>
      <c r="I41" s="65"/>
      <c r="J41" s="11"/>
      <c r="K41" s="64"/>
      <c r="L41" s="11"/>
      <c r="M41" s="65"/>
      <c r="N41" s="11"/>
      <c r="O41" s="64"/>
    </row>
    <row r="42" spans="1:15" x14ac:dyDescent="0.2">
      <c r="A42">
        <v>2022</v>
      </c>
      <c r="B42" s="34">
        <v>55</v>
      </c>
      <c r="C42" s="34" t="s">
        <v>40</v>
      </c>
      <c r="D42" s="36">
        <v>53137</v>
      </c>
      <c r="E42" s="36">
        <v>444161</v>
      </c>
      <c r="F42" s="57"/>
      <c r="G42" s="57"/>
      <c r="H42" s="11"/>
      <c r="I42" s="65"/>
      <c r="J42" s="11"/>
      <c r="K42" s="64"/>
      <c r="L42" s="11"/>
      <c r="M42" s="65"/>
      <c r="N42" s="11"/>
      <c r="O42" s="64"/>
    </row>
    <row r="43" spans="1:15" x14ac:dyDescent="0.2">
      <c r="A43">
        <v>2022</v>
      </c>
      <c r="B43" s="34">
        <v>57</v>
      </c>
      <c r="C43" s="34" t="s">
        <v>41</v>
      </c>
      <c r="D43" s="36">
        <v>3352269</v>
      </c>
      <c r="E43" s="36">
        <v>17739470</v>
      </c>
      <c r="F43" s="57"/>
      <c r="G43" s="57"/>
      <c r="H43" s="11"/>
      <c r="I43" s="65"/>
      <c r="J43" s="11"/>
      <c r="K43" s="64"/>
      <c r="L43" s="11"/>
      <c r="M43" s="65"/>
      <c r="N43" s="11"/>
      <c r="O43" s="64"/>
    </row>
    <row r="44" spans="1:15" x14ac:dyDescent="0.2">
      <c r="A44">
        <v>2022</v>
      </c>
      <c r="B44" s="34">
        <v>63</v>
      </c>
      <c r="C44" s="34" t="s">
        <v>42</v>
      </c>
      <c r="D44" s="36">
        <v>48396</v>
      </c>
      <c r="E44" s="36">
        <v>245352</v>
      </c>
      <c r="F44" s="57"/>
      <c r="G44" s="57"/>
      <c r="H44" s="11"/>
      <c r="I44" s="65"/>
      <c r="J44" s="11"/>
      <c r="K44" s="64"/>
      <c r="L44" s="11"/>
      <c r="M44" s="65"/>
      <c r="N44" s="11"/>
      <c r="O44" s="64"/>
    </row>
    <row r="45" spans="1:15" x14ac:dyDescent="0.2">
      <c r="A45">
        <v>2022</v>
      </c>
      <c r="B45" s="34">
        <v>64</v>
      </c>
      <c r="C45" s="34" t="s">
        <v>43</v>
      </c>
      <c r="D45" s="36">
        <v>62735</v>
      </c>
      <c r="E45" s="36">
        <v>563287</v>
      </c>
      <c r="F45" s="57"/>
      <c r="G45" s="57"/>
      <c r="H45" s="11"/>
      <c r="I45" s="65"/>
      <c r="J45" s="11"/>
      <c r="K45" s="64"/>
      <c r="L45" s="11"/>
      <c r="M45" s="65"/>
      <c r="N45" s="11"/>
      <c r="O45" s="64"/>
    </row>
    <row r="46" spans="1:15" x14ac:dyDescent="0.2">
      <c r="A46">
        <v>2022</v>
      </c>
      <c r="B46" s="34">
        <v>65</v>
      </c>
      <c r="C46" s="34" t="s">
        <v>44</v>
      </c>
      <c r="D46" s="36">
        <v>66017</v>
      </c>
      <c r="E46" s="36">
        <v>567307</v>
      </c>
      <c r="F46" s="57"/>
      <c r="G46" s="57"/>
      <c r="H46" s="65"/>
      <c r="I46" s="64"/>
      <c r="J46" s="65"/>
      <c r="K46" s="64"/>
    </row>
    <row r="47" spans="1:15" x14ac:dyDescent="0.2">
      <c r="A47">
        <v>2022</v>
      </c>
      <c r="B47" s="34">
        <v>66</v>
      </c>
      <c r="C47" s="34" t="s">
        <v>45</v>
      </c>
      <c r="D47" s="36">
        <v>1585247</v>
      </c>
      <c r="E47" s="36">
        <v>8298916</v>
      </c>
      <c r="F47" s="57"/>
      <c r="G47" s="57"/>
      <c r="H47" s="65"/>
      <c r="I47" s="64"/>
      <c r="J47" s="65"/>
      <c r="K47" s="64"/>
    </row>
    <row r="48" spans="1:15" x14ac:dyDescent="0.2">
      <c r="A48">
        <v>2022</v>
      </c>
      <c r="B48" s="34">
        <v>67</v>
      </c>
      <c r="C48" s="34" t="s">
        <v>546</v>
      </c>
      <c r="D48" s="36">
        <v>691839</v>
      </c>
      <c r="E48" s="36">
        <v>3729001</v>
      </c>
      <c r="F48" s="57"/>
      <c r="G48" s="57"/>
      <c r="H48" s="65"/>
      <c r="I48" s="64"/>
      <c r="J48" s="65"/>
      <c r="K48" s="64"/>
    </row>
    <row r="49" spans="1:11" x14ac:dyDescent="0.2">
      <c r="A49">
        <v>2022</v>
      </c>
      <c r="B49" s="34">
        <v>68</v>
      </c>
      <c r="C49" s="34" t="s">
        <v>47</v>
      </c>
      <c r="D49" s="36">
        <v>66835</v>
      </c>
      <c r="E49" s="36">
        <v>476926</v>
      </c>
      <c r="F49" s="57"/>
      <c r="G49" s="57"/>
      <c r="H49" s="65"/>
      <c r="I49" s="64"/>
      <c r="J49" s="65"/>
      <c r="K49" s="64"/>
    </row>
    <row r="50" spans="1:11" x14ac:dyDescent="0.2">
      <c r="A50">
        <v>2022</v>
      </c>
      <c r="B50" s="34">
        <v>69</v>
      </c>
      <c r="C50" s="34" t="s">
        <v>48</v>
      </c>
      <c r="D50" s="36">
        <v>97439</v>
      </c>
      <c r="E50" s="36">
        <v>636431</v>
      </c>
      <c r="F50" s="57"/>
      <c r="G50" s="57"/>
      <c r="H50" s="65"/>
      <c r="I50" s="64"/>
      <c r="J50" s="65"/>
      <c r="K50" s="64"/>
    </row>
    <row r="51" spans="1:11" x14ac:dyDescent="0.2">
      <c r="A51">
        <v>2022</v>
      </c>
      <c r="B51" s="34">
        <v>74</v>
      </c>
      <c r="C51" s="34" t="s">
        <v>49</v>
      </c>
      <c r="D51" s="36">
        <v>20984</v>
      </c>
      <c r="E51" s="36">
        <v>78718</v>
      </c>
      <c r="F51" s="57"/>
      <c r="G51" s="57"/>
      <c r="H51" s="65"/>
      <c r="I51" s="64"/>
      <c r="J51" s="65"/>
      <c r="K51" s="64"/>
    </row>
    <row r="52" spans="1:11" x14ac:dyDescent="0.2">
      <c r="A52">
        <v>2022</v>
      </c>
      <c r="B52" s="34">
        <v>75</v>
      </c>
      <c r="C52" s="34" t="s">
        <v>50</v>
      </c>
      <c r="D52" s="36">
        <v>69037</v>
      </c>
      <c r="E52" s="36">
        <v>540460</v>
      </c>
      <c r="F52" s="57"/>
      <c r="G52" s="57"/>
      <c r="H52" s="65"/>
      <c r="I52" s="64"/>
      <c r="J52" s="65"/>
      <c r="K52" s="64"/>
    </row>
    <row r="53" spans="1:11" x14ac:dyDescent="0.2">
      <c r="A53">
        <v>2022</v>
      </c>
      <c r="B53" s="34">
        <v>76</v>
      </c>
      <c r="C53" s="34" t="s">
        <v>51</v>
      </c>
      <c r="D53" s="36">
        <v>3379</v>
      </c>
      <c r="E53" s="36">
        <v>41758</v>
      </c>
      <c r="F53" s="57"/>
      <c r="G53" s="57"/>
      <c r="H53" s="65"/>
      <c r="I53" s="64"/>
      <c r="J53" s="65"/>
      <c r="K53" s="64"/>
    </row>
    <row r="54" spans="1:11" x14ac:dyDescent="0.2">
      <c r="A54">
        <v>2022</v>
      </c>
      <c r="B54" s="34">
        <v>77</v>
      </c>
      <c r="C54" s="34" t="s">
        <v>52</v>
      </c>
      <c r="D54" s="36">
        <v>9485</v>
      </c>
      <c r="E54" s="36">
        <v>52047</v>
      </c>
      <c r="F54" s="57"/>
      <c r="G54" s="57"/>
      <c r="H54" s="65"/>
      <c r="I54" s="64"/>
      <c r="J54" s="65"/>
      <c r="K54" s="64"/>
    </row>
    <row r="55" spans="1:11" x14ac:dyDescent="0.2">
      <c r="A55">
        <v>2022</v>
      </c>
      <c r="B55" s="34">
        <v>78</v>
      </c>
      <c r="C55" s="34" t="s">
        <v>53</v>
      </c>
      <c r="D55" s="36">
        <v>46467</v>
      </c>
      <c r="E55" s="36">
        <v>351661</v>
      </c>
      <c r="F55" s="57"/>
      <c r="G55" s="57"/>
      <c r="H55" s="65"/>
      <c r="I55" s="64"/>
      <c r="J55" s="65"/>
      <c r="K55" s="64"/>
    </row>
    <row r="56" spans="1:11" x14ac:dyDescent="0.2">
      <c r="A56">
        <v>2022</v>
      </c>
      <c r="B56" s="34">
        <v>79</v>
      </c>
      <c r="C56" s="34" t="s">
        <v>54</v>
      </c>
      <c r="D56" s="36">
        <v>5899</v>
      </c>
      <c r="E56" s="36">
        <v>33763</v>
      </c>
      <c r="F56" s="57"/>
      <c r="G56" s="57"/>
      <c r="H56" s="65"/>
      <c r="I56" s="64"/>
      <c r="J56" s="65"/>
      <c r="K56" s="64"/>
    </row>
    <row r="57" spans="1:11" x14ac:dyDescent="0.2">
      <c r="A57">
        <v>2022</v>
      </c>
      <c r="B57" s="34">
        <v>80</v>
      </c>
      <c r="C57" s="34" t="s">
        <v>55</v>
      </c>
      <c r="D57" s="36">
        <v>38364</v>
      </c>
      <c r="E57" s="36">
        <v>235283</v>
      </c>
      <c r="F57" s="57"/>
      <c r="G57" s="57"/>
      <c r="H57" s="65"/>
      <c r="I57" s="64"/>
      <c r="J57" s="65"/>
      <c r="K57" s="64"/>
    </row>
    <row r="58" spans="1:11" x14ac:dyDescent="0.2">
      <c r="A58">
        <v>2022</v>
      </c>
      <c r="B58" s="34">
        <v>82</v>
      </c>
      <c r="C58" s="34" t="s">
        <v>56</v>
      </c>
      <c r="D58" s="36">
        <v>4226</v>
      </c>
      <c r="E58" s="36">
        <v>37497</v>
      </c>
      <c r="F58" s="57"/>
      <c r="G58" s="57"/>
      <c r="H58" s="65"/>
      <c r="I58" s="64"/>
      <c r="J58" s="65"/>
      <c r="K58" s="64"/>
    </row>
    <row r="59" spans="1:11" x14ac:dyDescent="0.2">
      <c r="A59">
        <v>2022</v>
      </c>
      <c r="B59" s="34">
        <v>83</v>
      </c>
      <c r="C59" s="34" t="s">
        <v>547</v>
      </c>
      <c r="D59" s="36">
        <v>105803</v>
      </c>
      <c r="E59" s="36">
        <v>788978</v>
      </c>
      <c r="F59" s="57"/>
      <c r="G59" s="57"/>
      <c r="H59" s="65"/>
      <c r="I59" s="64"/>
      <c r="J59" s="65"/>
      <c r="K59" s="64"/>
    </row>
    <row r="60" spans="1:11" x14ac:dyDescent="0.2">
      <c r="A60">
        <v>2022</v>
      </c>
      <c r="B60" s="34">
        <v>84</v>
      </c>
      <c r="C60" s="34" t="s">
        <v>85</v>
      </c>
      <c r="D60" s="36">
        <v>121691</v>
      </c>
      <c r="E60" s="36">
        <v>695142</v>
      </c>
      <c r="F60" s="57"/>
      <c r="G60" s="57"/>
      <c r="H60" s="65"/>
      <c r="I60" s="64"/>
      <c r="J60" s="65"/>
      <c r="K60" s="64"/>
    </row>
    <row r="61" spans="1:11" x14ac:dyDescent="0.2">
      <c r="A61">
        <v>2022</v>
      </c>
      <c r="B61" s="34">
        <v>85</v>
      </c>
      <c r="C61" s="34" t="s">
        <v>58</v>
      </c>
      <c r="D61" s="36">
        <v>55527</v>
      </c>
      <c r="E61" s="36">
        <v>434890</v>
      </c>
      <c r="F61" s="57"/>
      <c r="G61" s="57"/>
      <c r="H61" s="65"/>
      <c r="I61" s="64"/>
      <c r="J61" s="65"/>
      <c r="K61" s="64"/>
    </row>
    <row r="62" spans="1:11" x14ac:dyDescent="0.2">
      <c r="A62">
        <v>2022</v>
      </c>
      <c r="B62" s="34">
        <v>86</v>
      </c>
      <c r="C62" s="34" t="s">
        <v>59</v>
      </c>
      <c r="D62" s="36">
        <v>342489</v>
      </c>
      <c r="E62" s="36">
        <v>1590889</v>
      </c>
      <c r="F62" s="57"/>
      <c r="G62" s="57"/>
      <c r="H62" s="65"/>
      <c r="I62" s="64"/>
      <c r="J62" s="65"/>
      <c r="K62" s="64"/>
    </row>
    <row r="63" spans="1:11" x14ac:dyDescent="0.2">
      <c r="A63">
        <v>2022</v>
      </c>
      <c r="B63" s="34">
        <v>93</v>
      </c>
      <c r="C63" s="34" t="s">
        <v>60</v>
      </c>
      <c r="D63" s="36">
        <v>54114</v>
      </c>
      <c r="E63" s="36">
        <v>287589</v>
      </c>
      <c r="F63" s="57"/>
      <c r="G63" s="57"/>
      <c r="H63" s="65"/>
      <c r="I63" s="64"/>
      <c r="J63" s="65"/>
      <c r="K63" s="64"/>
    </row>
    <row r="64" spans="1:11" x14ac:dyDescent="0.2">
      <c r="A64">
        <v>2022</v>
      </c>
      <c r="B64" s="34">
        <v>94</v>
      </c>
      <c r="C64" s="34" t="s">
        <v>61</v>
      </c>
      <c r="D64" s="36">
        <v>573961</v>
      </c>
      <c r="E64" s="36">
        <v>3489861</v>
      </c>
      <c r="F64" s="57"/>
      <c r="G64" s="57"/>
      <c r="H64" s="65"/>
      <c r="I64" s="64"/>
      <c r="J64" s="65"/>
      <c r="K64" s="64"/>
    </row>
    <row r="65" spans="1:11" x14ac:dyDescent="0.2">
      <c r="A65">
        <v>2022</v>
      </c>
      <c r="B65" s="34">
        <v>95</v>
      </c>
      <c r="C65" s="34" t="s">
        <v>62</v>
      </c>
      <c r="D65" s="36">
        <v>45433</v>
      </c>
      <c r="E65" s="36">
        <v>195541</v>
      </c>
      <c r="F65" s="57"/>
      <c r="G65" s="57"/>
      <c r="H65" s="65"/>
      <c r="I65" s="64"/>
      <c r="J65" s="65"/>
      <c r="K65" s="64"/>
    </row>
    <row r="66" spans="1:11" x14ac:dyDescent="0.2">
      <c r="A66">
        <v>2022</v>
      </c>
      <c r="B66" s="34">
        <v>96</v>
      </c>
      <c r="C66" s="34" t="s">
        <v>63</v>
      </c>
      <c r="D66" s="36">
        <v>36282</v>
      </c>
      <c r="E66" s="36">
        <v>257855</v>
      </c>
      <c r="F66" s="57"/>
      <c r="G66" s="57"/>
      <c r="H66" s="65"/>
      <c r="I66" s="64"/>
      <c r="J66" s="65"/>
      <c r="K66" s="64"/>
    </row>
    <row r="67" spans="1:11" x14ac:dyDescent="0.2">
      <c r="A67">
        <v>2022</v>
      </c>
      <c r="B67" s="34">
        <v>97</v>
      </c>
      <c r="C67" s="34" t="s">
        <v>548</v>
      </c>
      <c r="D67" s="36">
        <v>838109</v>
      </c>
      <c r="E67" s="36">
        <v>3745982</v>
      </c>
      <c r="F67" s="57"/>
      <c r="G67" s="57"/>
      <c r="H67" s="65"/>
      <c r="I67" s="64"/>
      <c r="J67" s="65"/>
      <c r="K67" s="64"/>
    </row>
    <row r="68" spans="1:11" x14ac:dyDescent="0.2">
      <c r="A68">
        <v>2022</v>
      </c>
      <c r="B68" s="34">
        <v>98</v>
      </c>
      <c r="C68" s="34" t="s">
        <v>65</v>
      </c>
      <c r="D68" s="36">
        <v>32945</v>
      </c>
      <c r="E68" s="36">
        <v>265357</v>
      </c>
      <c r="F68" s="57"/>
      <c r="G68" s="57"/>
      <c r="H68" s="65"/>
      <c r="I68" s="64"/>
      <c r="J68" s="65"/>
      <c r="K68" s="64"/>
    </row>
    <row r="69" spans="1:11" x14ac:dyDescent="0.2">
      <c r="A69">
        <v>2022</v>
      </c>
      <c r="B69" s="34">
        <v>99</v>
      </c>
      <c r="C69" s="34" t="s">
        <v>66</v>
      </c>
      <c r="D69" s="36">
        <v>26299</v>
      </c>
      <c r="E69" s="36">
        <v>230738</v>
      </c>
      <c r="F69" s="57"/>
      <c r="G69" s="57"/>
      <c r="H69" s="65"/>
      <c r="I69" s="64"/>
      <c r="J69" s="65"/>
      <c r="K69" s="64"/>
    </row>
    <row r="70" spans="1:11" x14ac:dyDescent="0.2">
      <c r="A70">
        <v>2022</v>
      </c>
      <c r="B70" s="34">
        <v>100</v>
      </c>
      <c r="C70" s="34" t="s">
        <v>67</v>
      </c>
      <c r="D70" s="36">
        <v>45687</v>
      </c>
      <c r="E70" s="36">
        <v>234225</v>
      </c>
      <c r="F70" s="57"/>
      <c r="G70" s="57"/>
      <c r="H70" s="65"/>
      <c r="I70" s="64"/>
      <c r="J70" s="65"/>
      <c r="K70" s="64"/>
    </row>
    <row r="71" spans="1:11" x14ac:dyDescent="0.2">
      <c r="A71">
        <v>2022</v>
      </c>
      <c r="B71" s="34">
        <v>101</v>
      </c>
      <c r="C71" s="34" t="s">
        <v>68</v>
      </c>
      <c r="D71" s="36">
        <v>654899</v>
      </c>
      <c r="E71" s="36">
        <v>3565687</v>
      </c>
      <c r="F71" s="57"/>
      <c r="G71" s="57"/>
      <c r="H71" s="65"/>
      <c r="I71" s="64"/>
      <c r="J71" s="65"/>
      <c r="K71" s="64"/>
    </row>
    <row r="72" spans="1:11" x14ac:dyDescent="0.2">
      <c r="A72">
        <v>2022</v>
      </c>
      <c r="B72" s="34">
        <v>103</v>
      </c>
      <c r="C72" s="34" t="s">
        <v>69</v>
      </c>
      <c r="D72" s="36">
        <v>18485</v>
      </c>
      <c r="E72" s="36">
        <v>128691</v>
      </c>
      <c r="F72" s="57"/>
      <c r="G72" s="57"/>
      <c r="H72" s="65"/>
      <c r="I72" s="64"/>
      <c r="J72" s="65"/>
      <c r="K72" s="64"/>
    </row>
    <row r="73" spans="1:11" x14ac:dyDescent="0.2">
      <c r="A73">
        <v>2022</v>
      </c>
      <c r="B73" s="34">
        <v>104</v>
      </c>
      <c r="C73" s="34" t="s">
        <v>549</v>
      </c>
      <c r="D73" s="36">
        <v>15127</v>
      </c>
      <c r="E73" s="36">
        <v>153279</v>
      </c>
      <c r="F73" s="57"/>
      <c r="G73" s="57"/>
      <c r="H73" s="65"/>
      <c r="I73" s="64"/>
      <c r="J73" s="65"/>
      <c r="K73" s="64"/>
    </row>
    <row r="74" spans="1:11" x14ac:dyDescent="0.2">
      <c r="A74">
        <v>2022</v>
      </c>
      <c r="B74" s="34">
        <v>106</v>
      </c>
      <c r="C74" s="34" t="s">
        <v>71</v>
      </c>
      <c r="D74" s="36">
        <v>22754</v>
      </c>
      <c r="E74" s="36">
        <v>80898</v>
      </c>
      <c r="F74" s="57"/>
      <c r="G74" s="57"/>
      <c r="H74" s="65"/>
      <c r="I74" s="64"/>
      <c r="J74" s="65"/>
      <c r="K74" s="64"/>
    </row>
    <row r="75" spans="1:11" x14ac:dyDescent="0.2">
      <c r="A75">
        <v>2022</v>
      </c>
      <c r="B75" s="34">
        <v>107</v>
      </c>
      <c r="C75" s="34" t="s">
        <v>72</v>
      </c>
      <c r="D75" s="36">
        <v>110508</v>
      </c>
      <c r="E75" s="36">
        <v>807091</v>
      </c>
      <c r="F75" s="57"/>
      <c r="G75" s="57"/>
      <c r="H75" s="65"/>
      <c r="I75" s="64"/>
      <c r="J75" s="65"/>
      <c r="K75" s="64"/>
    </row>
    <row r="76" spans="1:11" x14ac:dyDescent="0.2">
      <c r="A76">
        <v>2022</v>
      </c>
      <c r="B76" s="34">
        <v>108</v>
      </c>
      <c r="C76" s="34" t="s">
        <v>73</v>
      </c>
      <c r="D76" s="36">
        <v>26206</v>
      </c>
      <c r="E76" s="36">
        <v>197970</v>
      </c>
      <c r="F76" s="57"/>
      <c r="G76" s="57"/>
      <c r="H76" s="65"/>
      <c r="I76" s="64"/>
      <c r="J76" s="65"/>
      <c r="K76" s="64"/>
    </row>
    <row r="77" spans="1:11" x14ac:dyDescent="0.2">
      <c r="A77">
        <v>2022</v>
      </c>
      <c r="B77" s="34">
        <v>110</v>
      </c>
      <c r="C77" s="34" t="s">
        <v>74</v>
      </c>
      <c r="D77" s="36">
        <v>71932</v>
      </c>
      <c r="E77" s="36">
        <v>367668</v>
      </c>
      <c r="F77" s="57"/>
      <c r="G77" s="57"/>
      <c r="H77" s="65"/>
      <c r="I77" s="64"/>
      <c r="J77" s="65"/>
      <c r="K77" s="64"/>
    </row>
    <row r="78" spans="1:11" x14ac:dyDescent="0.2">
      <c r="A78">
        <v>2022</v>
      </c>
      <c r="B78" s="34">
        <v>111</v>
      </c>
      <c r="C78" s="34" t="s">
        <v>86</v>
      </c>
      <c r="D78" s="36">
        <v>86211</v>
      </c>
      <c r="E78" s="36">
        <v>459329</v>
      </c>
      <c r="F78" s="57"/>
      <c r="G78" s="57"/>
      <c r="H78" s="65"/>
      <c r="I78" s="64"/>
      <c r="J78" s="65"/>
      <c r="K78" s="64"/>
    </row>
    <row r="79" spans="1:11" x14ac:dyDescent="0.2">
      <c r="A79">
        <v>2022</v>
      </c>
      <c r="B79" s="34">
        <v>112</v>
      </c>
      <c r="C79" s="34" t="s">
        <v>550</v>
      </c>
      <c r="D79" s="36">
        <v>34680</v>
      </c>
      <c r="E79" s="36">
        <v>343202</v>
      </c>
      <c r="F79" s="57"/>
      <c r="G79" s="57"/>
      <c r="H79" s="65"/>
      <c r="I79" s="64"/>
      <c r="J79" s="65"/>
      <c r="K79" s="64"/>
    </row>
    <row r="80" spans="1:11" x14ac:dyDescent="0.2">
      <c r="A80">
        <v>2022</v>
      </c>
      <c r="B80" s="34">
        <v>113</v>
      </c>
      <c r="C80" s="34" t="s">
        <v>77</v>
      </c>
      <c r="D80" s="36">
        <v>834650</v>
      </c>
      <c r="E80" s="36">
        <v>5129260</v>
      </c>
      <c r="F80" s="57"/>
      <c r="G80" s="57"/>
      <c r="H80" s="65"/>
      <c r="I80" s="64"/>
      <c r="J80" s="65"/>
      <c r="K80" s="64"/>
    </row>
    <row r="81" spans="1:11" x14ac:dyDescent="0.2">
      <c r="A81">
        <v>2022</v>
      </c>
      <c r="B81" s="34">
        <v>114</v>
      </c>
      <c r="C81" s="34" t="s">
        <v>78</v>
      </c>
      <c r="D81" s="36">
        <v>199452</v>
      </c>
      <c r="E81" s="36">
        <v>1553803</v>
      </c>
      <c r="F81" s="57"/>
      <c r="G81" s="57"/>
      <c r="H81" s="65"/>
      <c r="I81" s="64"/>
      <c r="J81" s="65"/>
      <c r="K81" s="64"/>
    </row>
    <row r="82" spans="1:11" x14ac:dyDescent="0.2">
      <c r="A82">
        <v>2022</v>
      </c>
      <c r="B82" s="34">
        <v>115</v>
      </c>
      <c r="C82" s="34" t="s">
        <v>87</v>
      </c>
      <c r="D82" s="36">
        <v>35085</v>
      </c>
      <c r="E82" s="36">
        <v>249846</v>
      </c>
      <c r="F82" s="57"/>
      <c r="G82" s="57"/>
      <c r="H82" s="65"/>
      <c r="I82" s="64"/>
      <c r="J82" s="65"/>
      <c r="K82" s="64"/>
    </row>
    <row r="83" spans="1:11" x14ac:dyDescent="0.2">
      <c r="A83">
        <v>2022</v>
      </c>
      <c r="B83" s="34">
        <v>116</v>
      </c>
      <c r="C83" s="34" t="s">
        <v>79</v>
      </c>
      <c r="D83" s="36">
        <v>35456</v>
      </c>
      <c r="E83" s="36">
        <v>387782</v>
      </c>
      <c r="F83" s="57"/>
      <c r="G83" s="57"/>
      <c r="H83" s="65"/>
      <c r="I83" s="64"/>
      <c r="J83" s="65"/>
      <c r="K83" s="64"/>
    </row>
    <row r="84" spans="1:11" x14ac:dyDescent="0.2">
      <c r="A84">
        <v>2022</v>
      </c>
      <c r="B84" s="34">
        <v>117</v>
      </c>
      <c r="C84" s="34" t="s">
        <v>80</v>
      </c>
      <c r="D84" s="36">
        <v>110267</v>
      </c>
      <c r="E84" s="36">
        <v>575117</v>
      </c>
      <c r="F84" s="57"/>
      <c r="G84" s="57"/>
      <c r="H84" s="65"/>
      <c r="I84" s="64"/>
      <c r="J84" s="65"/>
      <c r="K84" s="64"/>
    </row>
    <row r="85" spans="1:11" x14ac:dyDescent="0.2">
      <c r="A85">
        <v>2022</v>
      </c>
      <c r="B85" s="34">
        <v>118</v>
      </c>
      <c r="C85" s="34" t="s">
        <v>81</v>
      </c>
      <c r="D85" s="36">
        <v>200705</v>
      </c>
      <c r="E85" s="36">
        <v>1840489</v>
      </c>
      <c r="F85" s="57"/>
      <c r="G85" s="57"/>
      <c r="H85" s="65"/>
      <c r="I85" s="64"/>
      <c r="J85" s="65"/>
      <c r="K85" s="64"/>
    </row>
    <row r="86" spans="1:11" x14ac:dyDescent="0.2">
      <c r="A86">
        <v>2022</v>
      </c>
      <c r="B86" s="34">
        <v>119</v>
      </c>
      <c r="C86" s="34" t="s">
        <v>82</v>
      </c>
      <c r="D86" s="36">
        <v>12131</v>
      </c>
      <c r="E86" s="36">
        <v>110777</v>
      </c>
      <c r="F86" s="57"/>
      <c r="G86" s="57"/>
      <c r="H86" s="65"/>
      <c r="I86" s="64"/>
      <c r="J86" s="65"/>
      <c r="K86" s="64"/>
    </row>
    <row r="87" spans="1:11" x14ac:dyDescent="0.2">
      <c r="A87">
        <v>2022</v>
      </c>
      <c r="B87" s="34">
        <v>120</v>
      </c>
      <c r="C87" s="34" t="s">
        <v>83</v>
      </c>
      <c r="D87" s="36">
        <v>622094</v>
      </c>
      <c r="E87" s="36">
        <v>3793675</v>
      </c>
      <c r="F87" s="57"/>
      <c r="G87" s="57"/>
      <c r="H87" s="65"/>
      <c r="I87" s="64"/>
      <c r="J87" s="65"/>
      <c r="K87" s="64"/>
    </row>
    <row r="88" spans="1:11" x14ac:dyDescent="0.2">
      <c r="A88">
        <v>2022</v>
      </c>
      <c r="B88" s="34">
        <v>125</v>
      </c>
      <c r="C88" s="34" t="s">
        <v>84</v>
      </c>
      <c r="D88" s="36">
        <v>18709</v>
      </c>
      <c r="E88" s="36">
        <v>133834</v>
      </c>
      <c r="F88" s="57"/>
      <c r="G88" s="57"/>
      <c r="H88" s="65"/>
      <c r="I88" s="64"/>
      <c r="J88" s="65"/>
      <c r="K88" s="64"/>
    </row>
    <row r="89" spans="1:11" x14ac:dyDescent="0.2">
      <c r="A89">
        <v>2022</v>
      </c>
      <c r="B89" s="34">
        <v>129</v>
      </c>
      <c r="C89" s="34" t="s">
        <v>129</v>
      </c>
      <c r="D89" s="36">
        <v>149992</v>
      </c>
      <c r="E89" s="36">
        <v>910262</v>
      </c>
      <c r="F89" s="57"/>
      <c r="G89" s="57"/>
      <c r="H89" s="65"/>
      <c r="I89" s="64"/>
      <c r="J89" s="65"/>
      <c r="K89" s="64"/>
    </row>
    <row r="90" spans="1:11" x14ac:dyDescent="0.2">
      <c r="A90">
        <v>2022</v>
      </c>
      <c r="B90" s="34">
        <v>130</v>
      </c>
      <c r="C90" s="34" t="s">
        <v>88</v>
      </c>
      <c r="D90" s="36">
        <v>138904</v>
      </c>
      <c r="E90" s="36">
        <v>806106</v>
      </c>
      <c r="F90" s="57"/>
      <c r="G90" s="57"/>
      <c r="H90" s="65"/>
      <c r="I90" s="64"/>
      <c r="J90" s="65"/>
      <c r="K90" s="64"/>
    </row>
    <row r="91" spans="1:11" x14ac:dyDescent="0.2">
      <c r="A91">
        <v>2022</v>
      </c>
      <c r="B91" s="34">
        <v>131</v>
      </c>
      <c r="C91" s="34" t="s">
        <v>89</v>
      </c>
      <c r="D91" s="36">
        <v>28490</v>
      </c>
      <c r="E91" s="36">
        <v>185210</v>
      </c>
      <c r="F91" s="57"/>
      <c r="G91" s="57"/>
      <c r="H91" s="65"/>
      <c r="I91" s="64"/>
      <c r="J91" s="65"/>
      <c r="K91" s="64"/>
    </row>
    <row r="92" spans="1:11" x14ac:dyDescent="0.2">
      <c r="A92">
        <v>2022</v>
      </c>
      <c r="B92" s="34">
        <v>132</v>
      </c>
      <c r="C92" s="34" t="s">
        <v>90</v>
      </c>
      <c r="D92" s="36">
        <v>48633</v>
      </c>
      <c r="E92" s="36">
        <v>219258</v>
      </c>
      <c r="F92" s="57"/>
      <c r="G92" s="57"/>
      <c r="H92" s="65"/>
      <c r="I92" s="64"/>
      <c r="J92" s="65"/>
      <c r="K92" s="64"/>
    </row>
    <row r="93" spans="1:11" x14ac:dyDescent="0.2">
      <c r="A93">
        <v>2022</v>
      </c>
      <c r="B93" s="34">
        <v>133</v>
      </c>
      <c r="C93" s="34" t="s">
        <v>91</v>
      </c>
      <c r="D93" s="36">
        <v>30686</v>
      </c>
      <c r="E93" s="36">
        <v>160718</v>
      </c>
      <c r="F93" s="57"/>
      <c r="G93" s="57"/>
      <c r="H93" s="65"/>
      <c r="I93" s="64"/>
      <c r="J93" s="65"/>
      <c r="K93" s="64"/>
    </row>
    <row r="94" spans="1:11" x14ac:dyDescent="0.2">
      <c r="A94">
        <v>2022</v>
      </c>
      <c r="B94" s="34">
        <v>134</v>
      </c>
      <c r="C94" s="34" t="s">
        <v>92</v>
      </c>
      <c r="D94" s="36">
        <v>75504</v>
      </c>
      <c r="E94" s="36">
        <v>430772</v>
      </c>
      <c r="F94" s="57"/>
      <c r="G94" s="57"/>
      <c r="H94" s="65"/>
      <c r="I94" s="64"/>
      <c r="J94" s="65"/>
      <c r="K94" s="64"/>
    </row>
    <row r="95" spans="1:11" x14ac:dyDescent="0.2">
      <c r="A95">
        <v>2022</v>
      </c>
      <c r="B95" s="34">
        <v>137</v>
      </c>
      <c r="C95" s="34" t="s">
        <v>93</v>
      </c>
      <c r="D95" s="36">
        <v>42629</v>
      </c>
      <c r="E95" s="36">
        <v>186257</v>
      </c>
      <c r="F95" s="57"/>
      <c r="G95" s="57"/>
      <c r="H95" s="65"/>
      <c r="I95" s="64"/>
      <c r="J95" s="65"/>
      <c r="K95" s="64"/>
    </row>
    <row r="96" spans="1:11" x14ac:dyDescent="0.2">
      <c r="A96">
        <v>2022</v>
      </c>
      <c r="B96" s="34">
        <v>138</v>
      </c>
      <c r="C96" s="34" t="s">
        <v>94</v>
      </c>
      <c r="D96" s="36">
        <v>558720</v>
      </c>
      <c r="E96" s="36">
        <v>4863527</v>
      </c>
      <c r="F96" s="57"/>
      <c r="G96" s="57"/>
      <c r="H96" s="65"/>
      <c r="I96" s="64"/>
      <c r="J96" s="65"/>
      <c r="K96" s="64"/>
    </row>
    <row r="97" spans="1:11" x14ac:dyDescent="0.2">
      <c r="A97">
        <v>2022</v>
      </c>
      <c r="B97" s="34">
        <v>139</v>
      </c>
      <c r="C97" s="34" t="s">
        <v>95</v>
      </c>
      <c r="D97" s="36">
        <v>87413</v>
      </c>
      <c r="E97" s="36">
        <v>474951</v>
      </c>
      <c r="F97" s="57"/>
      <c r="G97" s="57"/>
      <c r="H97" s="65"/>
      <c r="I97" s="64"/>
      <c r="J97" s="65"/>
      <c r="K97" s="64"/>
    </row>
    <row r="98" spans="1:11" x14ac:dyDescent="0.2">
      <c r="A98">
        <v>2022</v>
      </c>
      <c r="B98" s="34">
        <v>140</v>
      </c>
      <c r="C98" s="34" t="s">
        <v>96</v>
      </c>
      <c r="D98" s="36">
        <v>37712</v>
      </c>
      <c r="E98" s="36">
        <v>272669</v>
      </c>
      <c r="F98" s="57"/>
      <c r="G98" s="57"/>
      <c r="H98" s="65"/>
      <c r="I98" s="64"/>
      <c r="J98" s="65"/>
      <c r="K98" s="64"/>
    </row>
    <row r="99" spans="1:11" x14ac:dyDescent="0.2">
      <c r="A99">
        <v>2022</v>
      </c>
      <c r="B99" s="34">
        <v>141</v>
      </c>
      <c r="C99" s="34" t="s">
        <v>97</v>
      </c>
      <c r="D99" s="36">
        <v>120356</v>
      </c>
      <c r="E99" s="36">
        <v>850896</v>
      </c>
      <c r="F99" s="57"/>
      <c r="G99" s="57"/>
      <c r="H99" s="65"/>
      <c r="I99" s="64"/>
      <c r="J99" s="65"/>
      <c r="K99" s="64"/>
    </row>
    <row r="100" spans="1:11" x14ac:dyDescent="0.2">
      <c r="A100">
        <v>2022</v>
      </c>
      <c r="B100" s="34">
        <v>142</v>
      </c>
      <c r="C100" s="34" t="s">
        <v>98</v>
      </c>
      <c r="D100" s="36">
        <v>753662</v>
      </c>
      <c r="E100" s="36">
        <v>4854514</v>
      </c>
      <c r="F100" s="57"/>
      <c r="G100" s="57"/>
      <c r="H100" s="65"/>
      <c r="I100" s="64"/>
      <c r="J100" s="65"/>
      <c r="K100" s="64"/>
    </row>
    <row r="101" spans="1:11" x14ac:dyDescent="0.2">
      <c r="A101">
        <v>2022</v>
      </c>
      <c r="B101" s="34">
        <v>143</v>
      </c>
      <c r="C101" s="34" t="s">
        <v>99</v>
      </c>
      <c r="D101" s="36">
        <v>87806</v>
      </c>
      <c r="E101" s="36">
        <v>474749</v>
      </c>
      <c r="F101" s="57"/>
      <c r="G101" s="57"/>
      <c r="H101" s="65"/>
      <c r="I101" s="64"/>
      <c r="J101" s="65"/>
      <c r="K101" s="64"/>
    </row>
    <row r="102" spans="1:11" x14ac:dyDescent="0.2">
      <c r="A102">
        <v>2022</v>
      </c>
      <c r="B102" s="34">
        <v>144</v>
      </c>
      <c r="C102" s="34" t="s">
        <v>100</v>
      </c>
      <c r="D102" s="36">
        <v>126792</v>
      </c>
      <c r="E102" s="36">
        <v>740373</v>
      </c>
      <c r="F102" s="57"/>
      <c r="G102" s="57"/>
      <c r="H102" s="65"/>
      <c r="I102" s="64"/>
      <c r="J102" s="65"/>
      <c r="K102" s="64"/>
    </row>
    <row r="103" spans="1:11" x14ac:dyDescent="0.2">
      <c r="A103">
        <v>2022</v>
      </c>
      <c r="B103" s="34">
        <v>149</v>
      </c>
      <c r="C103" s="34" t="s">
        <v>101</v>
      </c>
      <c r="F103" s="57"/>
      <c r="G103" s="57"/>
      <c r="H103" s="57"/>
      <c r="I103" s="64"/>
      <c r="J103" s="57"/>
      <c r="K103" s="64"/>
    </row>
    <row r="104" spans="1:11" x14ac:dyDescent="0.2">
      <c r="A104">
        <v>2022</v>
      </c>
      <c r="B104" s="34">
        <v>151</v>
      </c>
      <c r="C104" s="34" t="s">
        <v>102</v>
      </c>
      <c r="D104" s="36">
        <v>383887</v>
      </c>
      <c r="E104" s="36">
        <v>2831072</v>
      </c>
      <c r="F104" s="57"/>
      <c r="G104" s="57"/>
      <c r="H104" s="65"/>
      <c r="I104" s="64"/>
      <c r="J104" s="65"/>
      <c r="K104" s="64"/>
    </row>
    <row r="105" spans="1:11" x14ac:dyDescent="0.2">
      <c r="A105">
        <v>2022</v>
      </c>
      <c r="B105" s="34">
        <v>152</v>
      </c>
      <c r="C105" s="34" t="s">
        <v>103</v>
      </c>
      <c r="D105" s="36">
        <v>292085</v>
      </c>
      <c r="E105" s="36">
        <v>1961928</v>
      </c>
      <c r="F105" s="57"/>
      <c r="G105" s="57"/>
      <c r="H105" s="65"/>
      <c r="I105" s="64"/>
      <c r="J105" s="65"/>
      <c r="K105" s="64"/>
    </row>
    <row r="106" spans="1:11" x14ac:dyDescent="0.2">
      <c r="A106">
        <v>2022</v>
      </c>
      <c r="B106" s="34">
        <v>154</v>
      </c>
      <c r="C106" s="34" t="s">
        <v>104</v>
      </c>
      <c r="D106" s="36">
        <v>369907</v>
      </c>
      <c r="E106" s="36">
        <v>2221287</v>
      </c>
      <c r="F106" s="57"/>
      <c r="G106" s="57"/>
      <c r="H106" s="65"/>
      <c r="I106" s="64"/>
      <c r="J106" s="65"/>
      <c r="K106" s="64"/>
    </row>
    <row r="107" spans="1:11" x14ac:dyDescent="0.2">
      <c r="A107">
        <v>2022</v>
      </c>
      <c r="B107" s="34">
        <v>155</v>
      </c>
      <c r="C107" s="34" t="s">
        <v>105</v>
      </c>
      <c r="D107" s="36">
        <v>2141297</v>
      </c>
      <c r="E107" s="36">
        <v>10732066</v>
      </c>
      <c r="F107" s="57"/>
      <c r="G107" s="57"/>
      <c r="H107" s="65"/>
      <c r="I107" s="64"/>
      <c r="J107" s="65"/>
      <c r="K107" s="64"/>
    </row>
    <row r="108" spans="1:11" x14ac:dyDescent="0.2">
      <c r="A108">
        <v>2022</v>
      </c>
      <c r="B108" s="34">
        <v>156</v>
      </c>
      <c r="C108" s="34" t="s">
        <v>106</v>
      </c>
      <c r="D108" s="36">
        <v>3946708</v>
      </c>
      <c r="E108" s="36">
        <v>19022640</v>
      </c>
      <c r="F108" s="57"/>
      <c r="G108" s="57"/>
      <c r="H108" s="65"/>
      <c r="I108" s="64"/>
      <c r="J108" s="65"/>
      <c r="K108" s="64"/>
    </row>
    <row r="109" spans="1:11" x14ac:dyDescent="0.2">
      <c r="A109">
        <v>2022</v>
      </c>
      <c r="B109" s="34">
        <v>165</v>
      </c>
      <c r="C109" s="34" t="s">
        <v>107</v>
      </c>
      <c r="D109" s="36">
        <v>8498</v>
      </c>
      <c r="E109" s="36">
        <v>25110</v>
      </c>
      <c r="F109" s="57"/>
      <c r="G109" s="57"/>
      <c r="H109" s="65"/>
      <c r="I109" s="64"/>
      <c r="J109" s="65"/>
      <c r="K109" s="64"/>
    </row>
    <row r="110" spans="1:11" x14ac:dyDescent="0.2">
      <c r="A110">
        <v>2022</v>
      </c>
      <c r="B110" s="34">
        <v>167</v>
      </c>
      <c r="C110" s="34" t="s">
        <v>108</v>
      </c>
      <c r="D110" s="36">
        <v>187169</v>
      </c>
      <c r="E110" s="36">
        <v>1314449</v>
      </c>
      <c r="F110" s="57"/>
      <c r="G110" s="57"/>
      <c r="H110" s="65"/>
      <c r="I110" s="64"/>
      <c r="J110" s="65"/>
      <c r="K110" s="64"/>
    </row>
    <row r="111" spans="1:11" x14ac:dyDescent="0.2">
      <c r="A111">
        <v>2022</v>
      </c>
      <c r="B111" s="34">
        <v>168</v>
      </c>
      <c r="C111" s="34" t="s">
        <v>109</v>
      </c>
      <c r="D111" s="36">
        <v>115722</v>
      </c>
      <c r="E111" s="36">
        <v>818490</v>
      </c>
      <c r="F111" s="57"/>
      <c r="G111" s="57"/>
      <c r="H111" s="65"/>
      <c r="I111" s="64"/>
      <c r="J111" s="65"/>
      <c r="K111" s="64"/>
    </row>
    <row r="112" spans="1:11" x14ac:dyDescent="0.2">
      <c r="A112">
        <v>2022</v>
      </c>
      <c r="B112" s="34">
        <v>169</v>
      </c>
      <c r="C112" s="34" t="s">
        <v>110</v>
      </c>
      <c r="D112" s="36">
        <v>33020</v>
      </c>
      <c r="E112" s="36">
        <v>556090</v>
      </c>
      <c r="F112" s="57"/>
      <c r="G112" s="57"/>
      <c r="H112" s="65"/>
      <c r="I112" s="64"/>
      <c r="J112" s="65"/>
      <c r="K112" s="64"/>
    </row>
    <row r="113" spans="1:11" x14ac:dyDescent="0.2">
      <c r="A113">
        <v>2022</v>
      </c>
      <c r="B113" s="34">
        <v>170</v>
      </c>
      <c r="C113" s="34" t="s">
        <v>111</v>
      </c>
      <c r="D113" s="36">
        <v>63187</v>
      </c>
      <c r="E113" s="36">
        <v>437206</v>
      </c>
      <c r="F113" s="57"/>
      <c r="G113" s="57"/>
      <c r="H113" s="65"/>
      <c r="I113" s="64"/>
      <c r="J113" s="65"/>
      <c r="K113" s="64"/>
    </row>
    <row r="114" spans="1:11" x14ac:dyDescent="0.2">
      <c r="A114">
        <v>2022</v>
      </c>
      <c r="B114" s="34">
        <v>171</v>
      </c>
      <c r="C114" s="34" t="s">
        <v>112</v>
      </c>
      <c r="D114" s="36">
        <v>111221</v>
      </c>
      <c r="E114" s="36">
        <v>811001</v>
      </c>
      <c r="F114" s="57"/>
      <c r="G114" s="57"/>
      <c r="H114" s="65"/>
      <c r="I114" s="64"/>
      <c r="J114" s="65"/>
      <c r="K114" s="64"/>
    </row>
    <row r="115" spans="1:11" x14ac:dyDescent="0.2">
      <c r="A115">
        <v>2022</v>
      </c>
      <c r="B115" s="34">
        <v>173</v>
      </c>
      <c r="C115" s="34" t="s">
        <v>552</v>
      </c>
      <c r="D115" s="36">
        <v>41915</v>
      </c>
      <c r="E115" s="36">
        <v>389118</v>
      </c>
      <c r="F115" s="57"/>
      <c r="G115" s="57"/>
      <c r="H115" s="65"/>
      <c r="I115" s="64"/>
      <c r="J115" s="65"/>
      <c r="K115" s="64"/>
    </row>
    <row r="116" spans="1:11" x14ac:dyDescent="0.2">
      <c r="A116">
        <v>2022</v>
      </c>
      <c r="B116" s="34">
        <v>174</v>
      </c>
      <c r="C116" s="34" t="s">
        <v>113</v>
      </c>
      <c r="D116" s="36">
        <v>1205121</v>
      </c>
      <c r="E116" s="36">
        <v>7391922</v>
      </c>
      <c r="F116" s="57"/>
      <c r="G116" s="57"/>
      <c r="H116" s="65"/>
      <c r="I116" s="64"/>
      <c r="J116" s="65"/>
      <c r="K116" s="64"/>
    </row>
    <row r="117" spans="1:11" x14ac:dyDescent="0.2">
      <c r="A117">
        <v>2022</v>
      </c>
      <c r="B117" s="34">
        <v>175</v>
      </c>
      <c r="C117" s="34" t="s">
        <v>114</v>
      </c>
      <c r="D117" s="36">
        <v>170975</v>
      </c>
      <c r="E117" s="36">
        <v>1172900</v>
      </c>
      <c r="F117" s="57"/>
      <c r="G117" s="57"/>
      <c r="H117" s="65"/>
      <c r="I117" s="64"/>
      <c r="J117" s="65"/>
      <c r="K117" s="64"/>
    </row>
    <row r="118" spans="1:11" x14ac:dyDescent="0.2">
      <c r="A118">
        <v>2022</v>
      </c>
      <c r="B118" s="34">
        <v>176</v>
      </c>
      <c r="C118" s="34" t="s">
        <v>115</v>
      </c>
      <c r="D118" s="36">
        <v>10111</v>
      </c>
      <c r="E118" s="36">
        <v>86831</v>
      </c>
      <c r="F118" s="57"/>
      <c r="G118" s="57"/>
      <c r="H118" s="65"/>
      <c r="I118" s="64"/>
      <c r="J118" s="65"/>
      <c r="K118" s="64"/>
    </row>
    <row r="119" spans="1:11" x14ac:dyDescent="0.2">
      <c r="A119">
        <v>2022</v>
      </c>
      <c r="B119" s="34">
        <v>177</v>
      </c>
      <c r="C119" s="34" t="s">
        <v>116</v>
      </c>
      <c r="D119" s="36">
        <v>26579</v>
      </c>
      <c r="E119" s="36">
        <v>138388</v>
      </c>
      <c r="F119" s="57"/>
      <c r="G119" s="57"/>
      <c r="H119" s="65"/>
      <c r="I119" s="64"/>
      <c r="J119" s="65"/>
      <c r="K119" s="64"/>
    </row>
    <row r="120" spans="1:11" x14ac:dyDescent="0.2">
      <c r="A120">
        <v>2022</v>
      </c>
      <c r="B120" s="34">
        <v>178</v>
      </c>
      <c r="C120" s="34" t="s">
        <v>117</v>
      </c>
      <c r="D120" s="36">
        <v>22933</v>
      </c>
      <c r="E120" s="36">
        <v>131722</v>
      </c>
      <c r="F120" s="57"/>
      <c r="G120" s="57"/>
      <c r="H120" s="65"/>
      <c r="I120" s="64"/>
      <c r="J120" s="65"/>
      <c r="K120" s="64"/>
    </row>
    <row r="121" spans="1:11" x14ac:dyDescent="0.2">
      <c r="A121">
        <v>2022</v>
      </c>
      <c r="B121" s="34">
        <v>179</v>
      </c>
      <c r="C121" s="34" t="s">
        <v>118</v>
      </c>
      <c r="D121" s="36">
        <v>44209</v>
      </c>
      <c r="E121" s="36">
        <v>183406</v>
      </c>
      <c r="F121" s="57"/>
      <c r="G121" s="57"/>
      <c r="H121" s="65"/>
      <c r="I121" s="64"/>
      <c r="J121" s="65"/>
      <c r="K121" s="64"/>
    </row>
    <row r="122" spans="1:11" x14ac:dyDescent="0.2">
      <c r="A122">
        <v>2022</v>
      </c>
      <c r="B122" s="34">
        <v>180</v>
      </c>
      <c r="C122" s="34" t="s">
        <v>119</v>
      </c>
      <c r="D122" s="36">
        <v>35678</v>
      </c>
      <c r="E122" s="36">
        <v>220301</v>
      </c>
      <c r="F122" s="57"/>
      <c r="G122" s="57"/>
      <c r="H122" s="65"/>
      <c r="I122" s="64"/>
      <c r="J122" s="65"/>
      <c r="K122" s="64"/>
    </row>
    <row r="123" spans="1:11" x14ac:dyDescent="0.2">
      <c r="A123">
        <v>2022</v>
      </c>
      <c r="B123" s="34">
        <v>181</v>
      </c>
      <c r="C123" s="34" t="s">
        <v>120</v>
      </c>
      <c r="D123" s="36">
        <v>109265</v>
      </c>
      <c r="E123" s="36">
        <v>638072</v>
      </c>
      <c r="F123" s="57"/>
      <c r="G123" s="57"/>
      <c r="H123" s="65"/>
      <c r="I123" s="64"/>
      <c r="J123" s="65"/>
      <c r="K123" s="64"/>
    </row>
    <row r="124" spans="1:11" x14ac:dyDescent="0.2">
      <c r="A124">
        <v>2022</v>
      </c>
      <c r="B124" s="34">
        <v>182</v>
      </c>
      <c r="C124" s="34" t="s">
        <v>121</v>
      </c>
      <c r="D124" s="36">
        <v>147322</v>
      </c>
      <c r="E124" s="36">
        <v>897185</v>
      </c>
      <c r="F124" s="57"/>
      <c r="G124" s="57"/>
      <c r="H124" s="65"/>
      <c r="I124" s="64"/>
      <c r="J124" s="65"/>
      <c r="K124" s="64"/>
    </row>
    <row r="125" spans="1:11" x14ac:dyDescent="0.2">
      <c r="A125">
        <v>2022</v>
      </c>
      <c r="B125" s="34">
        <v>183</v>
      </c>
      <c r="C125" s="34" t="s">
        <v>122</v>
      </c>
      <c r="D125" s="36">
        <v>107850</v>
      </c>
      <c r="E125" s="36">
        <v>616767</v>
      </c>
      <c r="F125" s="57"/>
      <c r="G125" s="57"/>
      <c r="H125" s="65"/>
      <c r="I125" s="64"/>
      <c r="J125" s="65"/>
      <c r="K125" s="64"/>
    </row>
    <row r="126" spans="1:11" x14ac:dyDescent="0.2">
      <c r="A126">
        <v>2022</v>
      </c>
      <c r="B126" s="34">
        <v>184</v>
      </c>
      <c r="C126" s="34" t="s">
        <v>123</v>
      </c>
      <c r="D126" s="36">
        <v>36972</v>
      </c>
      <c r="E126" s="36">
        <v>230725</v>
      </c>
      <c r="F126" s="57"/>
      <c r="G126" s="57"/>
      <c r="H126" s="65"/>
      <c r="I126" s="64"/>
      <c r="J126" s="65"/>
      <c r="K126" s="64"/>
    </row>
    <row r="127" spans="1:11" x14ac:dyDescent="0.2">
      <c r="A127">
        <v>2022</v>
      </c>
      <c r="B127" s="34">
        <v>185</v>
      </c>
      <c r="C127" s="34" t="s">
        <v>124</v>
      </c>
      <c r="D127" s="36">
        <v>10118</v>
      </c>
      <c r="E127" s="36">
        <v>137750</v>
      </c>
      <c r="F127" s="57"/>
      <c r="G127" s="57"/>
      <c r="H127" s="65"/>
      <c r="I127" s="64"/>
      <c r="J127" s="65"/>
      <c r="K127" s="64"/>
    </row>
    <row r="128" spans="1:11" x14ac:dyDescent="0.2">
      <c r="A128">
        <v>2022</v>
      </c>
      <c r="B128" s="34">
        <v>186</v>
      </c>
      <c r="C128" s="34" t="s">
        <v>125</v>
      </c>
      <c r="D128" s="36">
        <v>13760</v>
      </c>
      <c r="E128" s="36">
        <v>129378</v>
      </c>
      <c r="F128" s="57"/>
      <c r="G128" s="57"/>
      <c r="H128" s="65"/>
      <c r="I128" s="64"/>
      <c r="J128" s="65"/>
      <c r="K128" s="64"/>
    </row>
    <row r="129" spans="1:11" x14ac:dyDescent="0.2">
      <c r="A129">
        <v>2022</v>
      </c>
      <c r="B129" s="34">
        <v>187</v>
      </c>
      <c r="C129" s="34" t="s">
        <v>126</v>
      </c>
      <c r="D129" s="36">
        <v>50580</v>
      </c>
      <c r="E129" s="36">
        <v>287282</v>
      </c>
      <c r="F129" s="57"/>
      <c r="G129" s="57"/>
      <c r="H129" s="65"/>
      <c r="I129" s="64"/>
      <c r="J129" s="65"/>
      <c r="K129" s="64"/>
    </row>
    <row r="130" spans="1:11" x14ac:dyDescent="0.2">
      <c r="A130">
        <v>2022</v>
      </c>
      <c r="B130" s="34">
        <v>188</v>
      </c>
      <c r="C130" s="34" t="s">
        <v>127</v>
      </c>
      <c r="D130" s="36">
        <v>247422</v>
      </c>
      <c r="E130" s="36">
        <v>1247532</v>
      </c>
      <c r="F130" s="57"/>
      <c r="G130" s="57"/>
      <c r="H130" s="65"/>
      <c r="I130" s="64"/>
      <c r="J130" s="65"/>
      <c r="K130" s="64"/>
    </row>
    <row r="131" spans="1:11" x14ac:dyDescent="0.2">
      <c r="A131">
        <v>2022</v>
      </c>
      <c r="B131" s="34">
        <v>191</v>
      </c>
      <c r="C131" s="34" t="s">
        <v>128</v>
      </c>
      <c r="D131" s="36">
        <v>19511</v>
      </c>
      <c r="E131" s="36">
        <v>132847</v>
      </c>
      <c r="F131" s="57"/>
      <c r="G131" s="57"/>
      <c r="H131" s="65"/>
      <c r="I131" s="64"/>
      <c r="J131" s="65"/>
      <c r="K131" s="64"/>
    </row>
    <row r="132" spans="1:11" x14ac:dyDescent="0.2">
      <c r="A132">
        <v>2022</v>
      </c>
      <c r="B132" s="34">
        <v>192</v>
      </c>
      <c r="C132" s="34" t="s">
        <v>130</v>
      </c>
      <c r="D132" s="36">
        <v>16401</v>
      </c>
      <c r="E132" s="36">
        <v>104198</v>
      </c>
      <c r="F132" s="57"/>
      <c r="G132" s="57"/>
      <c r="H132" s="65"/>
      <c r="I132" s="64"/>
      <c r="J132" s="65"/>
      <c r="K132" s="64"/>
    </row>
    <row r="133" spans="1:11" x14ac:dyDescent="0.2">
      <c r="A133">
        <v>2022</v>
      </c>
      <c r="B133" s="34">
        <v>193</v>
      </c>
      <c r="C133" s="34" t="s">
        <v>131</v>
      </c>
      <c r="D133" s="36">
        <v>82322</v>
      </c>
      <c r="E133" s="36">
        <v>408431</v>
      </c>
      <c r="F133" s="57"/>
      <c r="G133" s="57"/>
      <c r="H133" s="65"/>
      <c r="I133" s="64"/>
      <c r="J133" s="65"/>
      <c r="K133" s="64"/>
    </row>
    <row r="134" spans="1:11" x14ac:dyDescent="0.2">
      <c r="A134">
        <v>2022</v>
      </c>
      <c r="B134" s="34">
        <v>194</v>
      </c>
      <c r="C134" s="34" t="s">
        <v>132</v>
      </c>
      <c r="D134" s="36">
        <v>18074</v>
      </c>
      <c r="E134" s="36">
        <v>168661</v>
      </c>
      <c r="F134" s="57"/>
      <c r="G134" s="57"/>
      <c r="H134" s="65"/>
      <c r="I134" s="64"/>
      <c r="J134" s="65"/>
      <c r="K134" s="64"/>
    </row>
    <row r="135" spans="1:11" x14ac:dyDescent="0.2">
      <c r="A135">
        <v>2022</v>
      </c>
      <c r="B135" s="34">
        <v>195</v>
      </c>
      <c r="C135" s="34" t="s">
        <v>133</v>
      </c>
      <c r="D135" s="36">
        <v>56605</v>
      </c>
      <c r="E135" s="36">
        <v>165107</v>
      </c>
      <c r="F135" s="57"/>
      <c r="G135" s="57"/>
      <c r="H135" s="65"/>
      <c r="I135" s="64"/>
      <c r="J135" s="65"/>
      <c r="K135" s="64"/>
    </row>
    <row r="136" spans="1:11" x14ac:dyDescent="0.2">
      <c r="A136">
        <v>2022</v>
      </c>
      <c r="B136" s="34">
        <v>196</v>
      </c>
      <c r="C136" s="34" t="s">
        <v>134</v>
      </c>
      <c r="D136" s="36">
        <v>19588</v>
      </c>
      <c r="E136" s="36">
        <v>133470</v>
      </c>
      <c r="F136" s="57"/>
      <c r="G136" s="57"/>
      <c r="H136" s="65"/>
      <c r="I136" s="64"/>
      <c r="J136" s="65"/>
      <c r="K136" s="64"/>
    </row>
    <row r="137" spans="1:11" x14ac:dyDescent="0.2">
      <c r="A137">
        <v>2022</v>
      </c>
      <c r="B137" s="34">
        <v>197</v>
      </c>
      <c r="C137" s="34" t="s">
        <v>135</v>
      </c>
      <c r="D137" s="36">
        <v>41524</v>
      </c>
      <c r="E137" s="36">
        <v>411696</v>
      </c>
      <c r="F137" s="57"/>
      <c r="G137" s="57"/>
      <c r="H137" s="65"/>
      <c r="I137" s="64"/>
      <c r="J137" s="65"/>
      <c r="K137" s="64"/>
    </row>
    <row r="138" spans="1:11" x14ac:dyDescent="0.2">
      <c r="A138">
        <v>2022</v>
      </c>
      <c r="B138" s="34">
        <v>198</v>
      </c>
      <c r="C138" s="34" t="s">
        <v>136</v>
      </c>
      <c r="D138" s="36">
        <v>23544</v>
      </c>
      <c r="E138" s="36">
        <v>173566</v>
      </c>
      <c r="F138" s="57"/>
      <c r="G138" s="57"/>
      <c r="H138" s="65"/>
      <c r="I138" s="64"/>
      <c r="J138" s="65"/>
      <c r="K138" s="64"/>
    </row>
    <row r="139" spans="1:11" x14ac:dyDescent="0.2">
      <c r="A139">
        <v>2022</v>
      </c>
      <c r="B139" s="34">
        <v>200</v>
      </c>
      <c r="C139" s="34" t="s">
        <v>137</v>
      </c>
      <c r="D139" s="36">
        <v>22392</v>
      </c>
      <c r="E139" s="36">
        <v>179550</v>
      </c>
      <c r="F139" s="57"/>
      <c r="G139" s="57"/>
      <c r="H139" s="65"/>
      <c r="I139" s="64"/>
      <c r="J139" s="65"/>
      <c r="K139" s="64"/>
    </row>
    <row r="140" spans="1:11" x14ac:dyDescent="0.2">
      <c r="A140">
        <v>2022</v>
      </c>
      <c r="B140" s="34">
        <v>201</v>
      </c>
      <c r="C140" s="34" t="s">
        <v>138</v>
      </c>
      <c r="D140" s="36">
        <v>22147</v>
      </c>
      <c r="E140" s="36">
        <v>102006</v>
      </c>
      <c r="F140" s="57"/>
      <c r="G140" s="57"/>
      <c r="H140" s="65"/>
      <c r="I140" s="64"/>
      <c r="J140" s="65"/>
      <c r="K140" s="64"/>
    </row>
    <row r="141" spans="1:11" x14ac:dyDescent="0.2">
      <c r="A141">
        <v>2022</v>
      </c>
      <c r="B141" s="34">
        <v>202</v>
      </c>
      <c r="C141" s="34" t="s">
        <v>139</v>
      </c>
      <c r="D141" s="36">
        <v>26585</v>
      </c>
      <c r="E141" s="36">
        <v>128804</v>
      </c>
      <c r="F141" s="57"/>
      <c r="G141" s="57"/>
      <c r="H141" s="65"/>
      <c r="I141" s="64"/>
      <c r="J141" s="65"/>
      <c r="K141" s="64"/>
    </row>
    <row r="142" spans="1:11" x14ac:dyDescent="0.2">
      <c r="A142">
        <v>2022</v>
      </c>
      <c r="B142" s="34">
        <v>203</v>
      </c>
      <c r="C142" s="34" t="s">
        <v>140</v>
      </c>
      <c r="D142" s="36">
        <v>38085</v>
      </c>
      <c r="E142" s="36">
        <v>214074</v>
      </c>
      <c r="F142" s="57"/>
      <c r="G142" s="57"/>
      <c r="H142" s="65"/>
      <c r="I142" s="64"/>
      <c r="J142" s="65"/>
      <c r="K142" s="64"/>
    </row>
    <row r="143" spans="1:11" x14ac:dyDescent="0.2">
      <c r="A143">
        <v>2022</v>
      </c>
      <c r="B143" s="34">
        <v>204</v>
      </c>
      <c r="C143" s="34" t="s">
        <v>141</v>
      </c>
      <c r="D143" s="36">
        <v>28297</v>
      </c>
      <c r="E143" s="36">
        <v>113645</v>
      </c>
      <c r="F143" s="57"/>
      <c r="G143" s="57"/>
      <c r="H143" s="65"/>
      <c r="I143" s="64"/>
      <c r="J143" s="65"/>
      <c r="K143" s="64"/>
    </row>
    <row r="144" spans="1:11" x14ac:dyDescent="0.2">
      <c r="A144">
        <v>2022</v>
      </c>
      <c r="B144" s="34">
        <v>205</v>
      </c>
      <c r="C144" s="34" t="s">
        <v>142</v>
      </c>
      <c r="D144" s="36">
        <v>148167</v>
      </c>
      <c r="E144" s="36">
        <v>912370</v>
      </c>
      <c r="F144" s="57"/>
      <c r="G144" s="57"/>
      <c r="H144" s="65"/>
      <c r="I144" s="64"/>
      <c r="J144" s="65"/>
      <c r="K144" s="64"/>
    </row>
    <row r="145" spans="1:11" x14ac:dyDescent="0.2">
      <c r="A145">
        <v>2022</v>
      </c>
      <c r="B145" s="34">
        <v>206</v>
      </c>
      <c r="C145" s="34" t="s">
        <v>553</v>
      </c>
      <c r="D145" s="36">
        <v>148323</v>
      </c>
      <c r="E145" s="36">
        <v>890974</v>
      </c>
      <c r="F145" s="57"/>
      <c r="G145" s="57"/>
      <c r="H145" s="65"/>
      <c r="I145" s="64"/>
      <c r="J145" s="65"/>
      <c r="K145" s="64"/>
    </row>
    <row r="146" spans="1:11" x14ac:dyDescent="0.2">
      <c r="A146">
        <v>2022</v>
      </c>
      <c r="B146" s="34">
        <v>207</v>
      </c>
      <c r="C146" s="34" t="s">
        <v>144</v>
      </c>
      <c r="D146" s="36">
        <v>16356</v>
      </c>
      <c r="E146" s="36">
        <v>80367</v>
      </c>
      <c r="F146" s="57"/>
      <c r="G146" s="57"/>
      <c r="H146" s="65"/>
      <c r="I146" s="64"/>
      <c r="J146" s="65"/>
      <c r="K146" s="64"/>
    </row>
    <row r="147" spans="1:11" x14ac:dyDescent="0.2">
      <c r="A147">
        <v>2022</v>
      </c>
      <c r="B147" s="34">
        <v>208</v>
      </c>
      <c r="C147" s="34" t="s">
        <v>145</v>
      </c>
      <c r="D147" s="36">
        <v>16085</v>
      </c>
      <c r="E147" s="36">
        <v>54012</v>
      </c>
      <c r="F147" s="57"/>
      <c r="G147" s="57"/>
      <c r="H147" s="65"/>
      <c r="I147" s="64"/>
      <c r="J147" s="65"/>
      <c r="K147" s="64"/>
    </row>
    <row r="148" spans="1:11" x14ac:dyDescent="0.2">
      <c r="A148">
        <v>2022</v>
      </c>
      <c r="B148" s="34">
        <v>209</v>
      </c>
      <c r="C148" s="34" t="s">
        <v>146</v>
      </c>
      <c r="D148" s="36">
        <v>117685</v>
      </c>
      <c r="E148" s="36">
        <v>656575</v>
      </c>
      <c r="F148" s="57"/>
      <c r="G148" s="57"/>
      <c r="H148" s="65"/>
      <c r="I148" s="64"/>
      <c r="J148" s="65"/>
      <c r="K148" s="64"/>
    </row>
    <row r="149" spans="1:11" x14ac:dyDescent="0.2">
      <c r="A149">
        <v>2022</v>
      </c>
      <c r="B149" s="34">
        <v>210</v>
      </c>
      <c r="C149" s="34" t="s">
        <v>147</v>
      </c>
      <c r="D149" s="36">
        <v>50937</v>
      </c>
      <c r="E149" s="36">
        <v>358034</v>
      </c>
      <c r="F149" s="57"/>
      <c r="G149" s="57"/>
      <c r="H149" s="65"/>
      <c r="I149" s="64"/>
      <c r="J149" s="65"/>
      <c r="K149" s="64"/>
    </row>
    <row r="150" spans="1:11" x14ac:dyDescent="0.2">
      <c r="A150">
        <v>2022</v>
      </c>
      <c r="B150" s="34">
        <v>211</v>
      </c>
      <c r="C150" s="34" t="s">
        <v>148</v>
      </c>
      <c r="D150" s="36">
        <v>50859</v>
      </c>
      <c r="E150" s="36">
        <v>342537</v>
      </c>
      <c r="F150" s="57"/>
      <c r="G150" s="57"/>
      <c r="H150" s="65"/>
      <c r="I150" s="64"/>
      <c r="J150" s="65"/>
      <c r="K150" s="64"/>
    </row>
    <row r="151" spans="1:11" x14ac:dyDescent="0.2">
      <c r="A151">
        <v>2022</v>
      </c>
      <c r="B151" s="34">
        <v>212</v>
      </c>
      <c r="C151" s="34" t="s">
        <v>149</v>
      </c>
      <c r="D151" s="36">
        <v>56221</v>
      </c>
      <c r="E151" s="36">
        <v>237193</v>
      </c>
      <c r="F151" s="57"/>
      <c r="G151" s="57"/>
      <c r="H151" s="65"/>
      <c r="I151" s="64"/>
      <c r="J151" s="65"/>
      <c r="K151" s="64"/>
    </row>
    <row r="152" spans="1:11" x14ac:dyDescent="0.2">
      <c r="A152">
        <v>2022</v>
      </c>
      <c r="B152" s="34">
        <v>213</v>
      </c>
      <c r="C152" s="34" t="s">
        <v>150</v>
      </c>
      <c r="D152" s="36">
        <v>89993</v>
      </c>
      <c r="E152" s="36">
        <v>464878</v>
      </c>
      <c r="F152" s="57"/>
      <c r="G152" s="57"/>
      <c r="H152" s="65"/>
      <c r="I152" s="64"/>
      <c r="J152" s="65"/>
      <c r="K152" s="64"/>
    </row>
    <row r="153" spans="1:11" x14ac:dyDescent="0.2">
      <c r="A153">
        <v>2022</v>
      </c>
      <c r="B153" s="34">
        <v>214</v>
      </c>
      <c r="C153" s="34" t="s">
        <v>151</v>
      </c>
      <c r="D153" s="36">
        <v>56459</v>
      </c>
      <c r="E153" s="36">
        <v>198952</v>
      </c>
      <c r="F153" s="57"/>
      <c r="G153" s="57"/>
      <c r="H153" s="65"/>
      <c r="I153" s="64"/>
      <c r="J153" s="65"/>
      <c r="K153" s="64"/>
    </row>
    <row r="154" spans="1:11" x14ac:dyDescent="0.2">
      <c r="A154">
        <v>2022</v>
      </c>
      <c r="B154" s="34">
        <v>215</v>
      </c>
      <c r="C154" s="34" t="s">
        <v>152</v>
      </c>
      <c r="D154" s="36">
        <v>201413</v>
      </c>
      <c r="E154" s="36">
        <v>1344478</v>
      </c>
      <c r="F154" s="57"/>
      <c r="G154" s="57"/>
      <c r="H154" s="65"/>
      <c r="I154" s="64"/>
      <c r="J154" s="65"/>
      <c r="K154" s="64"/>
    </row>
    <row r="155" spans="1:11" x14ac:dyDescent="0.2">
      <c r="A155">
        <v>2022</v>
      </c>
      <c r="B155" s="34">
        <v>216</v>
      </c>
      <c r="C155" s="34" t="s">
        <v>153</v>
      </c>
      <c r="D155" s="36">
        <v>24815</v>
      </c>
      <c r="E155" s="36">
        <v>130627</v>
      </c>
      <c r="F155" s="57"/>
      <c r="G155" s="57"/>
      <c r="H155" s="65"/>
      <c r="I155" s="64"/>
      <c r="J155" s="65"/>
      <c r="K155" s="64"/>
    </row>
    <row r="156" spans="1:11" x14ac:dyDescent="0.2">
      <c r="A156">
        <v>2022</v>
      </c>
      <c r="B156" s="34">
        <v>217</v>
      </c>
      <c r="C156" s="34" t="s">
        <v>154</v>
      </c>
      <c r="D156" s="36">
        <v>527398</v>
      </c>
      <c r="E156" s="36">
        <v>2782227</v>
      </c>
      <c r="F156" s="57"/>
      <c r="G156" s="57"/>
      <c r="H156" s="65"/>
      <c r="I156" s="64"/>
      <c r="J156" s="65"/>
      <c r="K156" s="64"/>
    </row>
    <row r="157" spans="1:11" x14ac:dyDescent="0.2">
      <c r="A157">
        <v>2022</v>
      </c>
      <c r="B157" s="34">
        <v>218</v>
      </c>
      <c r="C157" s="34" t="s">
        <v>155</v>
      </c>
      <c r="D157" s="36">
        <v>302663</v>
      </c>
      <c r="E157" s="36">
        <v>2495163</v>
      </c>
      <c r="F157" s="57"/>
      <c r="G157" s="57"/>
      <c r="H157" s="65"/>
      <c r="I157" s="64"/>
      <c r="J157" s="65"/>
      <c r="K157" s="64"/>
    </row>
    <row r="158" spans="1:11" x14ac:dyDescent="0.2">
      <c r="A158">
        <v>2022</v>
      </c>
      <c r="B158" s="34">
        <v>219</v>
      </c>
      <c r="C158" s="34" t="s">
        <v>156</v>
      </c>
      <c r="D158" s="36">
        <v>358076</v>
      </c>
      <c r="E158" s="36">
        <v>1675909</v>
      </c>
      <c r="F158" s="57"/>
      <c r="G158" s="57"/>
      <c r="H158" s="65"/>
      <c r="I158" s="64"/>
      <c r="J158" s="65"/>
      <c r="K158" s="64"/>
    </row>
    <row r="159" spans="1:11" x14ac:dyDescent="0.2">
      <c r="A159">
        <v>2022</v>
      </c>
      <c r="B159" s="34">
        <v>220</v>
      </c>
      <c r="C159" s="34" t="s">
        <v>157</v>
      </c>
      <c r="D159" s="36">
        <v>46275</v>
      </c>
      <c r="E159" s="36">
        <v>226985</v>
      </c>
      <c r="F159" s="57"/>
      <c r="G159" s="57"/>
      <c r="H159" s="65"/>
      <c r="I159" s="64"/>
      <c r="J159" s="65"/>
      <c r="K159" s="64"/>
    </row>
    <row r="160" spans="1:11" x14ac:dyDescent="0.2">
      <c r="A160">
        <v>2022</v>
      </c>
      <c r="B160" s="34">
        <v>221</v>
      </c>
      <c r="C160" s="34" t="s">
        <v>554</v>
      </c>
      <c r="D160" s="36">
        <v>20342</v>
      </c>
      <c r="E160" s="36">
        <v>162894</v>
      </c>
      <c r="F160" s="57"/>
      <c r="G160" s="57"/>
      <c r="H160" s="65"/>
      <c r="I160" s="64"/>
      <c r="J160" s="65"/>
      <c r="K160" s="64"/>
    </row>
    <row r="161" spans="1:11" x14ac:dyDescent="0.2">
      <c r="A161">
        <v>2022</v>
      </c>
      <c r="B161" s="34">
        <v>222</v>
      </c>
      <c r="C161" s="34" t="s">
        <v>159</v>
      </c>
      <c r="D161" s="36">
        <v>7290</v>
      </c>
      <c r="E161" s="36">
        <v>63207</v>
      </c>
      <c r="F161" s="57"/>
      <c r="G161" s="57"/>
      <c r="H161" s="65"/>
      <c r="I161" s="64"/>
      <c r="J161" s="65"/>
      <c r="K161" s="64"/>
    </row>
    <row r="162" spans="1:11" x14ac:dyDescent="0.2">
      <c r="A162">
        <v>2022</v>
      </c>
      <c r="B162" s="34">
        <v>223</v>
      </c>
      <c r="C162" s="34" t="s">
        <v>160</v>
      </c>
      <c r="D162" s="36">
        <v>226453</v>
      </c>
      <c r="E162" s="36">
        <v>1615187</v>
      </c>
      <c r="F162" s="57"/>
      <c r="G162" s="57"/>
      <c r="H162" s="65"/>
      <c r="I162" s="64"/>
      <c r="J162" s="65"/>
      <c r="K162" s="64"/>
    </row>
    <row r="163" spans="1:11" x14ac:dyDescent="0.2">
      <c r="A163">
        <v>2022</v>
      </c>
      <c r="B163" s="34">
        <v>224</v>
      </c>
      <c r="C163" s="34" t="s">
        <v>161</v>
      </c>
      <c r="D163" s="36">
        <v>510398</v>
      </c>
      <c r="E163" s="36">
        <v>3410101</v>
      </c>
      <c r="F163" s="57"/>
      <c r="G163" s="57"/>
      <c r="H163" s="65"/>
      <c r="I163" s="64"/>
      <c r="J163" s="65"/>
      <c r="K163" s="64"/>
    </row>
    <row r="164" spans="1:11" x14ac:dyDescent="0.2">
      <c r="A164">
        <v>2022</v>
      </c>
      <c r="B164" s="34">
        <v>225</v>
      </c>
      <c r="C164" s="34" t="s">
        <v>162</v>
      </c>
      <c r="D164" s="36">
        <v>56872</v>
      </c>
      <c r="E164" s="36">
        <v>383374</v>
      </c>
      <c r="F164" s="57"/>
      <c r="G164" s="57"/>
      <c r="H164" s="65"/>
      <c r="I164" s="64"/>
      <c r="J164" s="65"/>
      <c r="K164" s="64"/>
    </row>
    <row r="165" spans="1:11" x14ac:dyDescent="0.2">
      <c r="A165">
        <v>2022</v>
      </c>
      <c r="B165" s="34">
        <v>229</v>
      </c>
      <c r="C165" s="34" t="s">
        <v>163</v>
      </c>
      <c r="D165" s="36">
        <v>117098</v>
      </c>
      <c r="E165" s="36">
        <v>693364</v>
      </c>
      <c r="F165" s="57"/>
      <c r="G165" s="57"/>
      <c r="H165" s="65"/>
      <c r="I165" s="64"/>
      <c r="J165" s="65"/>
      <c r="K165" s="64"/>
    </row>
    <row r="166" spans="1:11" x14ac:dyDescent="0.2">
      <c r="A166">
        <v>2022</v>
      </c>
      <c r="B166" s="34">
        <v>230</v>
      </c>
      <c r="C166" s="34" t="s">
        <v>164</v>
      </c>
      <c r="D166" s="36">
        <v>222772</v>
      </c>
      <c r="E166" s="36">
        <v>1125452</v>
      </c>
      <c r="F166" s="57"/>
      <c r="G166" s="57"/>
      <c r="H166" s="65"/>
      <c r="I166" s="64"/>
      <c r="J166" s="65"/>
      <c r="K166" s="64"/>
    </row>
    <row r="167" spans="1:11" x14ac:dyDescent="0.2">
      <c r="A167">
        <v>2022</v>
      </c>
      <c r="B167" s="34">
        <v>232</v>
      </c>
      <c r="C167" s="34" t="s">
        <v>165</v>
      </c>
      <c r="D167" s="36">
        <v>39439</v>
      </c>
      <c r="E167" s="36">
        <v>351112</v>
      </c>
      <c r="F167" s="57"/>
      <c r="G167" s="57"/>
      <c r="H167" s="65"/>
      <c r="I167" s="64"/>
      <c r="J167" s="65"/>
      <c r="K167" s="64"/>
    </row>
    <row r="168" spans="1:11" x14ac:dyDescent="0.2">
      <c r="A168">
        <v>2022</v>
      </c>
      <c r="B168" s="34">
        <v>233</v>
      </c>
      <c r="C168" s="34" t="s">
        <v>166</v>
      </c>
      <c r="D168" s="36">
        <v>26896</v>
      </c>
      <c r="E168" s="36">
        <v>297267</v>
      </c>
      <c r="F168" s="57"/>
      <c r="G168" s="57"/>
      <c r="H168" s="65"/>
      <c r="I168" s="64"/>
      <c r="J168" s="65"/>
      <c r="K168" s="64"/>
    </row>
    <row r="169" spans="1:11" x14ac:dyDescent="0.2">
      <c r="A169">
        <v>2022</v>
      </c>
      <c r="B169" s="34">
        <v>234</v>
      </c>
      <c r="C169" s="34" t="s">
        <v>167</v>
      </c>
      <c r="D169" s="36">
        <v>51835</v>
      </c>
      <c r="E169" s="36">
        <v>326232</v>
      </c>
      <c r="F169" s="57"/>
      <c r="G169" s="57"/>
      <c r="H169" s="65"/>
      <c r="I169" s="64"/>
      <c r="J169" s="65"/>
      <c r="K169" s="64"/>
    </row>
    <row r="170" spans="1:11" x14ac:dyDescent="0.2">
      <c r="A170">
        <v>2022</v>
      </c>
      <c r="B170" s="34">
        <v>235</v>
      </c>
      <c r="C170" s="34" t="s">
        <v>168</v>
      </c>
      <c r="D170" s="36">
        <v>576953</v>
      </c>
      <c r="E170" s="36">
        <v>3643182</v>
      </c>
      <c r="F170" s="57"/>
      <c r="G170" s="57"/>
      <c r="H170" s="65"/>
      <c r="I170" s="64"/>
      <c r="J170" s="65"/>
      <c r="K170" s="64"/>
    </row>
    <row r="171" spans="1:11" x14ac:dyDescent="0.2">
      <c r="A171">
        <v>2022</v>
      </c>
      <c r="B171" s="34">
        <v>236</v>
      </c>
      <c r="C171" s="34" t="s">
        <v>169</v>
      </c>
      <c r="D171" s="36">
        <v>671727</v>
      </c>
      <c r="E171" s="36">
        <v>3827443</v>
      </c>
      <c r="F171" s="57"/>
      <c r="G171" s="57"/>
      <c r="H171" s="65"/>
      <c r="I171" s="64"/>
      <c r="J171" s="65"/>
      <c r="K171" s="64"/>
    </row>
    <row r="172" spans="1:11" x14ac:dyDescent="0.2">
      <c r="A172">
        <v>2022</v>
      </c>
      <c r="B172" s="34">
        <v>237</v>
      </c>
      <c r="C172" s="34" t="s">
        <v>170</v>
      </c>
      <c r="D172" s="36">
        <v>83103</v>
      </c>
      <c r="E172" s="36">
        <v>521354</v>
      </c>
      <c r="F172" s="57"/>
      <c r="G172" s="57"/>
      <c r="H172" s="65"/>
      <c r="I172" s="64"/>
      <c r="J172" s="65"/>
      <c r="K172" s="64"/>
    </row>
    <row r="173" spans="1:11" x14ac:dyDescent="0.2">
      <c r="A173">
        <v>2022</v>
      </c>
      <c r="B173" s="34">
        <v>238</v>
      </c>
      <c r="C173" s="34" t="s">
        <v>171</v>
      </c>
      <c r="D173" s="36">
        <v>26450</v>
      </c>
      <c r="E173" s="36">
        <v>202898</v>
      </c>
      <c r="F173" s="57"/>
      <c r="G173" s="57"/>
      <c r="H173" s="65"/>
      <c r="I173" s="64"/>
      <c r="J173" s="65"/>
      <c r="K173" s="64"/>
    </row>
    <row r="174" spans="1:11" x14ac:dyDescent="0.2">
      <c r="A174">
        <v>2022</v>
      </c>
      <c r="B174" s="34">
        <v>239</v>
      </c>
      <c r="C174" s="34" t="s">
        <v>172</v>
      </c>
      <c r="D174" s="36">
        <v>177248</v>
      </c>
      <c r="E174" s="36">
        <v>932170</v>
      </c>
      <c r="F174" s="57"/>
      <c r="G174" s="57"/>
      <c r="H174" s="65"/>
      <c r="I174" s="64"/>
      <c r="J174" s="65"/>
      <c r="K174" s="64"/>
    </row>
    <row r="175" spans="1:11" x14ac:dyDescent="0.2">
      <c r="A175">
        <v>2022</v>
      </c>
      <c r="B175" s="34">
        <v>240</v>
      </c>
      <c r="C175" s="34" t="s">
        <v>216</v>
      </c>
      <c r="D175" s="36">
        <v>351771</v>
      </c>
      <c r="E175" s="36">
        <v>1790212</v>
      </c>
      <c r="F175" s="57"/>
      <c r="G175" s="57"/>
      <c r="H175" s="65"/>
      <c r="I175" s="64"/>
      <c r="J175" s="65"/>
      <c r="K175" s="64"/>
    </row>
    <row r="176" spans="1:11" x14ac:dyDescent="0.2">
      <c r="A176">
        <v>2022</v>
      </c>
      <c r="B176" s="34">
        <v>241</v>
      </c>
      <c r="C176" s="34" t="s">
        <v>173</v>
      </c>
      <c r="D176" s="36">
        <v>124324</v>
      </c>
      <c r="E176" s="36">
        <v>747483</v>
      </c>
      <c r="F176" s="57"/>
      <c r="G176" s="57"/>
      <c r="H176" s="65"/>
      <c r="I176" s="64"/>
      <c r="J176" s="65"/>
      <c r="K176" s="64"/>
    </row>
    <row r="177" spans="1:11" x14ac:dyDescent="0.2">
      <c r="A177">
        <v>2022</v>
      </c>
      <c r="B177" s="34">
        <v>242</v>
      </c>
      <c r="C177" s="34" t="s">
        <v>174</v>
      </c>
      <c r="D177" s="36">
        <v>4090015</v>
      </c>
      <c r="E177" s="36">
        <v>21311714</v>
      </c>
      <c r="F177" s="57"/>
      <c r="G177" s="57"/>
      <c r="H177" s="65"/>
      <c r="I177" s="64"/>
      <c r="J177" s="65"/>
      <c r="K177" s="64"/>
    </row>
    <row r="178" spans="1:11" x14ac:dyDescent="0.2">
      <c r="A178">
        <v>2022</v>
      </c>
      <c r="B178" s="34">
        <v>243</v>
      </c>
      <c r="C178" s="34" t="s">
        <v>175</v>
      </c>
      <c r="D178" s="36">
        <v>11233</v>
      </c>
      <c r="E178" s="36">
        <v>38044</v>
      </c>
      <c r="F178" s="57"/>
      <c r="G178" s="57"/>
      <c r="H178" s="65"/>
      <c r="I178" s="64"/>
      <c r="J178" s="65"/>
      <c r="K178" s="64"/>
    </row>
    <row r="179" spans="1:11" x14ac:dyDescent="0.2">
      <c r="A179">
        <v>2022</v>
      </c>
      <c r="B179" s="34">
        <v>244</v>
      </c>
      <c r="C179" s="34" t="s">
        <v>176</v>
      </c>
      <c r="D179" s="36">
        <v>38425</v>
      </c>
      <c r="E179" s="36">
        <v>133121</v>
      </c>
      <c r="F179" s="57"/>
      <c r="G179" s="57"/>
      <c r="H179" s="65"/>
      <c r="I179" s="64"/>
      <c r="J179" s="65"/>
      <c r="K179" s="64"/>
    </row>
    <row r="180" spans="1:11" x14ac:dyDescent="0.2">
      <c r="A180">
        <v>2022</v>
      </c>
      <c r="B180" s="34">
        <v>245</v>
      </c>
      <c r="C180" s="34" t="s">
        <v>177</v>
      </c>
      <c r="D180" s="36">
        <v>30617</v>
      </c>
      <c r="E180" s="36">
        <v>109221</v>
      </c>
      <c r="F180" s="57"/>
      <c r="G180" s="57"/>
      <c r="H180" s="65"/>
      <c r="I180" s="64"/>
      <c r="J180" s="65"/>
      <c r="K180" s="64"/>
    </row>
    <row r="181" spans="1:11" x14ac:dyDescent="0.2">
      <c r="A181">
        <v>2022</v>
      </c>
      <c r="B181" s="34">
        <v>246</v>
      </c>
      <c r="C181" s="34" t="s">
        <v>178</v>
      </c>
      <c r="D181" s="36">
        <v>10453</v>
      </c>
      <c r="E181" s="36">
        <v>54371</v>
      </c>
      <c r="F181" s="57"/>
      <c r="G181" s="57"/>
      <c r="H181" s="65"/>
      <c r="I181" s="64"/>
      <c r="J181" s="65"/>
      <c r="K181" s="64"/>
    </row>
    <row r="182" spans="1:11" x14ac:dyDescent="0.2">
      <c r="A182">
        <v>2022</v>
      </c>
      <c r="B182" s="34">
        <v>247</v>
      </c>
      <c r="C182" s="34" t="s">
        <v>179</v>
      </c>
      <c r="D182" s="36">
        <v>137214</v>
      </c>
      <c r="E182" s="36">
        <v>850181</v>
      </c>
      <c r="F182" s="57"/>
      <c r="G182" s="57"/>
      <c r="H182" s="65"/>
      <c r="I182" s="64"/>
      <c r="J182" s="65"/>
      <c r="K182" s="64"/>
    </row>
    <row r="183" spans="1:11" x14ac:dyDescent="0.2">
      <c r="A183">
        <v>2022</v>
      </c>
      <c r="B183" s="34">
        <v>248</v>
      </c>
      <c r="C183" s="34" t="s">
        <v>180</v>
      </c>
      <c r="D183" s="36">
        <v>32965</v>
      </c>
      <c r="E183" s="36">
        <v>60985</v>
      </c>
      <c r="F183" s="57"/>
      <c r="G183" s="57"/>
      <c r="H183" s="65"/>
      <c r="I183" s="64"/>
      <c r="J183" s="65"/>
      <c r="K183" s="64"/>
    </row>
    <row r="184" spans="1:11" x14ac:dyDescent="0.2">
      <c r="A184">
        <v>2022</v>
      </c>
      <c r="B184" s="34">
        <v>249</v>
      </c>
      <c r="C184" s="34" t="s">
        <v>181</v>
      </c>
      <c r="D184" s="36">
        <v>116491</v>
      </c>
      <c r="E184" s="36">
        <v>662527</v>
      </c>
      <c r="F184" s="57"/>
      <c r="G184" s="57"/>
      <c r="H184" s="65"/>
      <c r="I184" s="64"/>
      <c r="J184" s="65"/>
      <c r="K184" s="64"/>
    </row>
    <row r="185" spans="1:11" x14ac:dyDescent="0.2">
      <c r="A185">
        <v>2022</v>
      </c>
      <c r="B185" s="34">
        <v>250</v>
      </c>
      <c r="C185" s="34" t="s">
        <v>182</v>
      </c>
      <c r="D185" s="36">
        <v>34406</v>
      </c>
      <c r="E185" s="36">
        <v>181711</v>
      </c>
      <c r="F185" s="57"/>
      <c r="G185" s="57"/>
      <c r="H185" s="65"/>
      <c r="I185" s="64"/>
      <c r="J185" s="65"/>
      <c r="K185" s="64"/>
    </row>
    <row r="186" spans="1:11" x14ac:dyDescent="0.2">
      <c r="A186">
        <v>2022</v>
      </c>
      <c r="B186" s="34">
        <v>251</v>
      </c>
      <c r="C186" s="34" t="s">
        <v>183</v>
      </c>
      <c r="D186" s="36">
        <v>33794</v>
      </c>
      <c r="E186" s="36">
        <v>106039</v>
      </c>
      <c r="F186" s="57"/>
      <c r="G186" s="57"/>
      <c r="H186" s="65"/>
      <c r="I186" s="64"/>
      <c r="J186" s="65"/>
      <c r="K186" s="64"/>
    </row>
    <row r="187" spans="1:11" x14ac:dyDescent="0.2">
      <c r="A187">
        <v>2022</v>
      </c>
      <c r="B187" s="34">
        <v>252</v>
      </c>
      <c r="C187" s="34" t="s">
        <v>184</v>
      </c>
      <c r="D187" s="36">
        <v>21344</v>
      </c>
      <c r="E187" s="36">
        <v>78716</v>
      </c>
      <c r="F187" s="57"/>
      <c r="G187" s="57"/>
      <c r="H187" s="65"/>
      <c r="I187" s="64"/>
      <c r="J187" s="65"/>
      <c r="K187" s="64"/>
    </row>
    <row r="188" spans="1:11" x14ac:dyDescent="0.2">
      <c r="A188">
        <v>2022</v>
      </c>
      <c r="B188" s="34">
        <v>254</v>
      </c>
      <c r="C188" s="34" t="s">
        <v>185</v>
      </c>
      <c r="D188" s="36">
        <v>54802</v>
      </c>
      <c r="E188" s="36">
        <v>509399</v>
      </c>
      <c r="F188" s="57"/>
      <c r="G188" s="57"/>
      <c r="H188" s="65"/>
      <c r="I188" s="64"/>
      <c r="J188" s="65"/>
      <c r="K188" s="64"/>
    </row>
    <row r="189" spans="1:11" x14ac:dyDescent="0.2">
      <c r="A189">
        <v>2022</v>
      </c>
      <c r="B189" s="34">
        <v>256</v>
      </c>
      <c r="C189" s="34" t="s">
        <v>186</v>
      </c>
      <c r="D189" s="36">
        <v>6343</v>
      </c>
      <c r="E189" s="36">
        <v>50277</v>
      </c>
      <c r="F189" s="57"/>
      <c r="G189" s="57"/>
      <c r="H189" s="65"/>
      <c r="I189" s="64"/>
      <c r="J189" s="65"/>
      <c r="K189" s="64"/>
    </row>
    <row r="190" spans="1:11" x14ac:dyDescent="0.2">
      <c r="A190">
        <v>2022</v>
      </c>
      <c r="B190" s="34">
        <v>258</v>
      </c>
      <c r="C190" s="34" t="s">
        <v>187</v>
      </c>
      <c r="D190" s="36">
        <v>30839</v>
      </c>
      <c r="E190" s="36">
        <v>145563</v>
      </c>
      <c r="F190" s="57"/>
      <c r="G190" s="57"/>
      <c r="H190" s="65"/>
      <c r="I190" s="64"/>
      <c r="J190" s="65"/>
      <c r="K190" s="64"/>
    </row>
    <row r="191" spans="1:11" x14ac:dyDescent="0.2">
      <c r="A191">
        <v>2022</v>
      </c>
      <c r="B191" s="34">
        <v>259</v>
      </c>
      <c r="C191" s="34" t="s">
        <v>188</v>
      </c>
      <c r="D191" s="36">
        <v>10642</v>
      </c>
      <c r="E191" s="36">
        <v>86475</v>
      </c>
      <c r="F191" s="57"/>
      <c r="G191" s="57"/>
      <c r="H191" s="65"/>
      <c r="I191" s="64"/>
      <c r="J191" s="65"/>
      <c r="K191" s="64"/>
    </row>
    <row r="192" spans="1:11" x14ac:dyDescent="0.2">
      <c r="A192">
        <v>2022</v>
      </c>
      <c r="B192" s="34">
        <v>260</v>
      </c>
      <c r="C192" s="34" t="s">
        <v>189</v>
      </c>
      <c r="D192" s="36">
        <v>7347</v>
      </c>
      <c r="E192" s="36">
        <v>29319</v>
      </c>
      <c r="F192" s="57"/>
      <c r="G192" s="57"/>
      <c r="H192" s="65"/>
      <c r="I192" s="64"/>
      <c r="J192" s="65"/>
      <c r="K192" s="64"/>
    </row>
    <row r="193" spans="1:11" x14ac:dyDescent="0.2">
      <c r="A193">
        <v>2022</v>
      </c>
      <c r="B193" s="34">
        <v>261</v>
      </c>
      <c r="C193" s="34" t="s">
        <v>190</v>
      </c>
      <c r="D193" s="36">
        <v>16443</v>
      </c>
      <c r="E193" s="36">
        <v>88032</v>
      </c>
      <c r="F193" s="57"/>
      <c r="G193" s="57"/>
      <c r="H193" s="65"/>
      <c r="I193" s="64"/>
      <c r="J193" s="65"/>
      <c r="K193" s="64"/>
    </row>
    <row r="194" spans="1:11" x14ac:dyDescent="0.2">
      <c r="A194">
        <v>2022</v>
      </c>
      <c r="B194" s="34">
        <v>264</v>
      </c>
      <c r="C194" s="34" t="s">
        <v>191</v>
      </c>
      <c r="D194" s="36">
        <v>177128</v>
      </c>
      <c r="E194" s="36">
        <v>1374904</v>
      </c>
      <c r="F194" s="57"/>
      <c r="G194" s="57"/>
      <c r="H194" s="65"/>
      <c r="I194" s="64"/>
      <c r="J194" s="65"/>
      <c r="K194" s="64"/>
    </row>
    <row r="195" spans="1:11" x14ac:dyDescent="0.2">
      <c r="A195">
        <v>2022</v>
      </c>
      <c r="B195" s="34">
        <v>266</v>
      </c>
      <c r="C195" s="34" t="s">
        <v>192</v>
      </c>
      <c r="D195" s="36">
        <v>62708</v>
      </c>
      <c r="E195" s="36">
        <v>491215</v>
      </c>
      <c r="F195" s="57"/>
      <c r="G195" s="57"/>
      <c r="H195" s="65"/>
      <c r="I195" s="64"/>
      <c r="J195" s="65"/>
      <c r="K195" s="64"/>
    </row>
    <row r="196" spans="1:11" x14ac:dyDescent="0.2">
      <c r="A196">
        <v>2022</v>
      </c>
      <c r="B196" s="34">
        <v>267</v>
      </c>
      <c r="C196" s="34" t="s">
        <v>193</v>
      </c>
      <c r="D196" s="36">
        <v>52766</v>
      </c>
      <c r="E196" s="36">
        <v>228697</v>
      </c>
      <c r="F196" s="57"/>
      <c r="G196" s="57"/>
      <c r="H196" s="65"/>
      <c r="I196" s="64"/>
      <c r="J196" s="65"/>
      <c r="K196" s="64"/>
    </row>
    <row r="197" spans="1:11" x14ac:dyDescent="0.2">
      <c r="A197">
        <v>2022</v>
      </c>
      <c r="B197" s="34">
        <v>268</v>
      </c>
      <c r="C197" s="34" t="s">
        <v>194</v>
      </c>
      <c r="D197" s="36">
        <v>34891</v>
      </c>
      <c r="E197" s="36">
        <v>221931</v>
      </c>
      <c r="F197" s="57"/>
      <c r="G197" s="57"/>
      <c r="H197" s="65"/>
      <c r="I197" s="64"/>
      <c r="J197" s="65"/>
      <c r="K197" s="64"/>
    </row>
    <row r="198" spans="1:11" x14ac:dyDescent="0.2">
      <c r="A198">
        <v>2022</v>
      </c>
      <c r="B198" s="34">
        <v>269</v>
      </c>
      <c r="C198" s="34" t="s">
        <v>555</v>
      </c>
      <c r="D198" s="36">
        <v>39055</v>
      </c>
      <c r="E198" s="36">
        <v>240648</v>
      </c>
      <c r="F198" s="57"/>
      <c r="G198" s="57"/>
      <c r="H198" s="65"/>
      <c r="I198" s="64"/>
      <c r="J198" s="65"/>
      <c r="K198" s="64"/>
    </row>
    <row r="199" spans="1:11" x14ac:dyDescent="0.2">
      <c r="A199">
        <v>2022</v>
      </c>
      <c r="B199" s="34">
        <v>270</v>
      </c>
      <c r="C199" s="34" t="s">
        <v>196</v>
      </c>
      <c r="D199" s="36">
        <v>29577</v>
      </c>
      <c r="E199" s="36">
        <v>253514</v>
      </c>
      <c r="F199" s="57"/>
      <c r="G199" s="57"/>
      <c r="H199" s="65"/>
      <c r="I199" s="64"/>
      <c r="J199" s="65"/>
      <c r="K199" s="64"/>
    </row>
    <row r="200" spans="1:11" x14ac:dyDescent="0.2">
      <c r="A200">
        <v>2022</v>
      </c>
      <c r="B200" s="34">
        <v>271</v>
      </c>
      <c r="C200" s="34" t="s">
        <v>197</v>
      </c>
      <c r="D200" s="36">
        <v>39534</v>
      </c>
      <c r="E200" s="36">
        <v>268007</v>
      </c>
      <c r="F200" s="57"/>
      <c r="G200" s="57"/>
      <c r="H200" s="65"/>
      <c r="I200" s="64"/>
      <c r="J200" s="65"/>
      <c r="K200" s="64"/>
    </row>
    <row r="201" spans="1:11" x14ac:dyDescent="0.2">
      <c r="A201">
        <v>2022</v>
      </c>
      <c r="B201" s="34">
        <v>272</v>
      </c>
      <c r="C201" s="34" t="s">
        <v>198</v>
      </c>
      <c r="D201" s="36">
        <v>10841</v>
      </c>
      <c r="E201" s="36">
        <v>117294</v>
      </c>
      <c r="F201" s="57"/>
      <c r="G201" s="57"/>
      <c r="H201" s="65"/>
      <c r="I201" s="64"/>
      <c r="J201" s="65"/>
      <c r="K201" s="64"/>
    </row>
    <row r="202" spans="1:11" x14ac:dyDescent="0.2">
      <c r="A202">
        <v>2022</v>
      </c>
      <c r="B202" s="34">
        <v>273</v>
      </c>
      <c r="C202" s="34" t="s">
        <v>199</v>
      </c>
      <c r="D202" s="36">
        <v>46562</v>
      </c>
      <c r="E202" s="36">
        <v>346021</v>
      </c>
      <c r="F202" s="57"/>
      <c r="G202" s="57"/>
      <c r="H202" s="65"/>
      <c r="I202" s="64"/>
      <c r="J202" s="65"/>
      <c r="K202" s="64"/>
    </row>
    <row r="203" spans="1:11" x14ac:dyDescent="0.2">
      <c r="A203">
        <v>2022</v>
      </c>
      <c r="B203" s="34">
        <v>274</v>
      </c>
      <c r="C203" s="34" t="s">
        <v>200</v>
      </c>
      <c r="D203" s="36">
        <v>32915</v>
      </c>
      <c r="E203" s="36">
        <v>243080</v>
      </c>
      <c r="F203" s="57"/>
      <c r="G203" s="57"/>
      <c r="H203" s="65"/>
      <c r="I203" s="64"/>
      <c r="J203" s="65"/>
      <c r="K203" s="64"/>
    </row>
    <row r="204" spans="1:11" x14ac:dyDescent="0.2">
      <c r="A204">
        <v>2022</v>
      </c>
      <c r="B204" s="34">
        <v>275</v>
      </c>
      <c r="C204" s="34" t="s">
        <v>201</v>
      </c>
      <c r="D204" s="36">
        <v>58927</v>
      </c>
      <c r="E204" s="36">
        <v>435270</v>
      </c>
      <c r="F204" s="57"/>
      <c r="G204" s="57"/>
      <c r="H204" s="65"/>
      <c r="I204" s="64"/>
      <c r="J204" s="65"/>
      <c r="K204" s="64"/>
    </row>
    <row r="205" spans="1:11" x14ac:dyDescent="0.2">
      <c r="A205">
        <v>2022</v>
      </c>
      <c r="B205" s="34">
        <v>276</v>
      </c>
      <c r="C205" s="34" t="s">
        <v>202</v>
      </c>
      <c r="D205" s="36">
        <v>26362</v>
      </c>
      <c r="E205" s="36">
        <v>166091</v>
      </c>
      <c r="F205" s="57"/>
      <c r="G205" s="57"/>
      <c r="H205" s="65"/>
      <c r="I205" s="64"/>
      <c r="J205" s="65"/>
      <c r="K205" s="64"/>
    </row>
    <row r="206" spans="1:11" x14ac:dyDescent="0.2">
      <c r="A206">
        <v>2022</v>
      </c>
      <c r="B206" s="34">
        <v>277</v>
      </c>
      <c r="C206" s="34" t="s">
        <v>203</v>
      </c>
      <c r="D206" s="36">
        <v>124413</v>
      </c>
      <c r="E206" s="36">
        <v>843521</v>
      </c>
      <c r="F206" s="57"/>
      <c r="G206" s="57"/>
      <c r="H206" s="65"/>
      <c r="I206" s="64"/>
      <c r="J206" s="65"/>
      <c r="K206" s="64"/>
    </row>
    <row r="207" spans="1:11" x14ac:dyDescent="0.2">
      <c r="A207">
        <v>2022</v>
      </c>
      <c r="B207" s="34">
        <v>278</v>
      </c>
      <c r="C207" s="34" t="s">
        <v>204</v>
      </c>
      <c r="D207" s="36">
        <v>140936</v>
      </c>
      <c r="E207" s="36">
        <v>993434</v>
      </c>
      <c r="F207" s="57"/>
      <c r="G207" s="57"/>
      <c r="H207" s="65"/>
      <c r="I207" s="64"/>
      <c r="J207" s="65"/>
      <c r="K207" s="64"/>
    </row>
    <row r="208" spans="1:11" x14ac:dyDescent="0.2">
      <c r="A208">
        <v>2022</v>
      </c>
      <c r="B208" s="34">
        <v>279</v>
      </c>
      <c r="C208" s="34" t="s">
        <v>205</v>
      </c>
      <c r="D208" s="36">
        <v>40309</v>
      </c>
      <c r="E208" s="36">
        <v>228341</v>
      </c>
      <c r="F208" s="57"/>
      <c r="G208" s="57"/>
      <c r="H208" s="65"/>
      <c r="I208" s="64"/>
      <c r="J208" s="65"/>
      <c r="K208" s="64"/>
    </row>
    <row r="209" spans="1:11" x14ac:dyDescent="0.2">
      <c r="A209">
        <v>2022</v>
      </c>
      <c r="B209" s="34">
        <v>280</v>
      </c>
      <c r="C209" s="34" t="s">
        <v>206</v>
      </c>
      <c r="D209" s="36">
        <v>340406</v>
      </c>
      <c r="E209" s="36">
        <v>1900157</v>
      </c>
      <c r="F209" s="57"/>
      <c r="G209" s="57"/>
      <c r="H209" s="65"/>
      <c r="I209" s="64"/>
      <c r="J209" s="65"/>
      <c r="K209" s="64"/>
    </row>
    <row r="210" spans="1:11" x14ac:dyDescent="0.2">
      <c r="A210">
        <v>2022</v>
      </c>
      <c r="B210" s="34">
        <v>281</v>
      </c>
      <c r="C210" s="34" t="s">
        <v>207</v>
      </c>
      <c r="D210" s="36">
        <v>22242</v>
      </c>
      <c r="E210" s="36">
        <v>187440</v>
      </c>
      <c r="F210" s="57"/>
      <c r="G210" s="57"/>
      <c r="H210" s="65"/>
      <c r="I210" s="64"/>
      <c r="J210" s="65"/>
      <c r="K210" s="64"/>
    </row>
    <row r="211" spans="1:11" x14ac:dyDescent="0.2">
      <c r="A211">
        <v>2022</v>
      </c>
      <c r="B211" s="34">
        <v>282</v>
      </c>
      <c r="C211" s="34" t="s">
        <v>208</v>
      </c>
      <c r="D211" s="36">
        <v>60542</v>
      </c>
      <c r="E211" s="36">
        <v>350074</v>
      </c>
      <c r="F211" s="57"/>
      <c r="G211" s="57"/>
      <c r="H211" s="65"/>
      <c r="I211" s="64"/>
      <c r="J211" s="65"/>
      <c r="K211" s="64"/>
    </row>
    <row r="212" spans="1:11" x14ac:dyDescent="0.2">
      <c r="A212">
        <v>2022</v>
      </c>
      <c r="B212" s="34">
        <v>284</v>
      </c>
      <c r="C212" s="34" t="s">
        <v>209</v>
      </c>
      <c r="D212" s="36">
        <v>35425</v>
      </c>
      <c r="E212" s="36">
        <v>160284</v>
      </c>
      <c r="F212" s="57"/>
      <c r="G212" s="57"/>
      <c r="H212" s="65"/>
      <c r="I212" s="64"/>
      <c r="J212" s="65"/>
      <c r="K212" s="64"/>
    </row>
    <row r="213" spans="1:11" x14ac:dyDescent="0.2">
      <c r="A213">
        <v>2022</v>
      </c>
      <c r="B213" s="34">
        <v>285</v>
      </c>
      <c r="C213" s="34" t="s">
        <v>210</v>
      </c>
      <c r="D213" s="36">
        <v>49560</v>
      </c>
      <c r="E213" s="36">
        <v>244670</v>
      </c>
      <c r="F213" s="57"/>
      <c r="G213" s="57"/>
      <c r="H213" s="65"/>
      <c r="I213" s="64"/>
      <c r="J213" s="65"/>
      <c r="K213" s="64"/>
    </row>
    <row r="214" spans="1:11" x14ac:dyDescent="0.2">
      <c r="A214">
        <v>2022</v>
      </c>
      <c r="B214" s="34">
        <v>286</v>
      </c>
      <c r="C214" s="34" t="s">
        <v>211</v>
      </c>
      <c r="D214" s="36">
        <v>114652</v>
      </c>
      <c r="E214" s="36">
        <v>906395</v>
      </c>
      <c r="F214" s="57"/>
      <c r="G214" s="57"/>
      <c r="H214" s="65"/>
      <c r="I214" s="64"/>
      <c r="J214" s="65"/>
      <c r="K214" s="64"/>
    </row>
    <row r="215" spans="1:11" x14ac:dyDescent="0.2">
      <c r="A215">
        <v>2022</v>
      </c>
      <c r="B215" s="34">
        <v>287</v>
      </c>
      <c r="C215" s="34" t="s">
        <v>212</v>
      </c>
      <c r="D215" s="36">
        <v>16237</v>
      </c>
      <c r="E215" s="36">
        <v>79504</v>
      </c>
      <c r="F215" s="57"/>
      <c r="G215" s="57"/>
      <c r="H215" s="65"/>
      <c r="I215" s="64"/>
      <c r="J215" s="65"/>
      <c r="K215" s="64"/>
    </row>
    <row r="216" spans="1:11" x14ac:dyDescent="0.2">
      <c r="A216">
        <v>2022</v>
      </c>
      <c r="B216" s="34">
        <v>288</v>
      </c>
      <c r="C216" s="34" t="s">
        <v>213</v>
      </c>
      <c r="D216" s="36">
        <v>48076</v>
      </c>
      <c r="E216" s="36">
        <v>266117</v>
      </c>
      <c r="F216" s="57"/>
      <c r="G216" s="57"/>
      <c r="H216" s="65"/>
      <c r="I216" s="64"/>
      <c r="J216" s="65"/>
      <c r="K216" s="64"/>
    </row>
    <row r="217" spans="1:11" x14ac:dyDescent="0.2">
      <c r="A217">
        <v>2022</v>
      </c>
      <c r="B217" s="34">
        <v>289</v>
      </c>
      <c r="C217" s="34" t="s">
        <v>214</v>
      </c>
      <c r="D217" s="36">
        <v>759526</v>
      </c>
      <c r="E217" s="36">
        <v>4126821</v>
      </c>
      <c r="F217" s="57"/>
      <c r="G217" s="57"/>
      <c r="H217" s="65"/>
      <c r="I217" s="64"/>
      <c r="J217" s="65"/>
      <c r="K217" s="64"/>
    </row>
    <row r="218" spans="1:11" x14ac:dyDescent="0.2">
      <c r="A218">
        <v>2022</v>
      </c>
      <c r="B218" s="34">
        <v>290</v>
      </c>
      <c r="C218" s="34" t="s">
        <v>217</v>
      </c>
      <c r="D218" s="36">
        <v>2072420</v>
      </c>
      <c r="E218" s="36">
        <v>12048069</v>
      </c>
      <c r="F218" s="57"/>
      <c r="G218" s="57"/>
      <c r="H218" s="65"/>
      <c r="I218" s="64"/>
      <c r="J218" s="65"/>
      <c r="K218" s="64"/>
    </row>
    <row r="219" spans="1:11" x14ac:dyDescent="0.2">
      <c r="A219">
        <v>2022</v>
      </c>
      <c r="B219" s="34">
        <v>291</v>
      </c>
      <c r="C219" s="34" t="s">
        <v>218</v>
      </c>
      <c r="D219" s="36">
        <v>637417</v>
      </c>
      <c r="E219" s="36">
        <v>3489615</v>
      </c>
      <c r="F219" s="57"/>
      <c r="G219" s="57"/>
      <c r="H219" s="65"/>
      <c r="I219" s="64"/>
      <c r="J219" s="65"/>
      <c r="K219" s="64"/>
    </row>
    <row r="220" spans="1:11" x14ac:dyDescent="0.2">
      <c r="A220">
        <v>2022</v>
      </c>
      <c r="B220" s="34">
        <v>292</v>
      </c>
      <c r="C220" s="34" t="s">
        <v>219</v>
      </c>
      <c r="D220" s="36">
        <v>149971</v>
      </c>
      <c r="E220" s="36">
        <v>1545942</v>
      </c>
      <c r="F220" s="57"/>
      <c r="G220" s="57"/>
      <c r="H220" s="65"/>
      <c r="I220" s="64"/>
      <c r="J220" s="65"/>
      <c r="K220" s="64"/>
    </row>
    <row r="221" spans="1:11" x14ac:dyDescent="0.2">
      <c r="A221">
        <v>2022</v>
      </c>
      <c r="B221" s="34">
        <v>293</v>
      </c>
      <c r="C221" s="34" t="s">
        <v>220</v>
      </c>
      <c r="D221" s="36">
        <v>3401771</v>
      </c>
      <c r="E221" s="36">
        <v>16730046</v>
      </c>
      <c r="F221" s="57"/>
      <c r="G221" s="57"/>
      <c r="H221" s="65"/>
      <c r="I221" s="64"/>
      <c r="J221" s="65"/>
      <c r="K221" s="64"/>
    </row>
    <row r="222" spans="1:11" x14ac:dyDescent="0.2">
      <c r="A222">
        <v>2022</v>
      </c>
      <c r="B222" s="34">
        <v>294</v>
      </c>
      <c r="C222" s="34" t="s">
        <v>221</v>
      </c>
      <c r="D222" s="36">
        <v>849707</v>
      </c>
      <c r="E222" s="36">
        <v>4409093</v>
      </c>
      <c r="F222" s="57"/>
      <c r="G222" s="57"/>
      <c r="H222" s="65"/>
      <c r="I222" s="64"/>
      <c r="J222" s="65"/>
      <c r="K222" s="64"/>
    </row>
    <row r="223" spans="1:11" x14ac:dyDescent="0.2">
      <c r="A223">
        <v>2022</v>
      </c>
      <c r="B223" s="34">
        <v>295</v>
      </c>
      <c r="C223" s="34" t="s">
        <v>222</v>
      </c>
      <c r="D223" s="36">
        <v>1668499</v>
      </c>
      <c r="E223" s="36">
        <v>8020763</v>
      </c>
      <c r="F223" s="57"/>
      <c r="G223" s="57"/>
      <c r="H223" s="65"/>
      <c r="I223" s="64"/>
      <c r="J223" s="65"/>
      <c r="K223" s="64"/>
    </row>
    <row r="224" spans="1:11" x14ac:dyDescent="0.2">
      <c r="A224">
        <v>2022</v>
      </c>
      <c r="B224" s="34">
        <v>296</v>
      </c>
      <c r="C224" s="34" t="s">
        <v>223</v>
      </c>
      <c r="D224" s="36">
        <v>638628</v>
      </c>
      <c r="E224" s="36">
        <v>3887471</v>
      </c>
      <c r="F224" s="57"/>
      <c r="G224" s="57"/>
      <c r="H224" s="65"/>
      <c r="I224" s="64"/>
      <c r="J224" s="65"/>
      <c r="K224" s="64"/>
    </row>
    <row r="225" spans="1:11" x14ac:dyDescent="0.2">
      <c r="A225">
        <v>2022</v>
      </c>
      <c r="B225" s="34">
        <v>297</v>
      </c>
      <c r="C225" s="34" t="s">
        <v>224</v>
      </c>
      <c r="D225" s="36">
        <v>62602</v>
      </c>
      <c r="E225" s="36">
        <v>522880</v>
      </c>
      <c r="F225" s="57"/>
      <c r="G225" s="57"/>
      <c r="H225" s="65"/>
      <c r="I225" s="64"/>
      <c r="J225" s="65"/>
      <c r="K225" s="64"/>
    </row>
    <row r="226" spans="1:11" x14ac:dyDescent="0.2">
      <c r="A226">
        <v>2022</v>
      </c>
      <c r="B226" s="34">
        <v>298</v>
      </c>
      <c r="C226" s="34" t="s">
        <v>225</v>
      </c>
      <c r="D226" s="36">
        <v>2621457</v>
      </c>
      <c r="E226" s="36">
        <v>11382750</v>
      </c>
      <c r="F226" s="57"/>
      <c r="G226" s="57"/>
      <c r="H226" s="65"/>
      <c r="I226" s="64"/>
      <c r="J226" s="65"/>
      <c r="K226" s="64"/>
    </row>
    <row r="227" spans="1:11" x14ac:dyDescent="0.2">
      <c r="A227">
        <v>2022</v>
      </c>
      <c r="B227" s="34">
        <v>299</v>
      </c>
      <c r="C227" s="34" t="s">
        <v>226</v>
      </c>
      <c r="D227" s="36">
        <v>534239</v>
      </c>
      <c r="E227" s="36">
        <v>2805449</v>
      </c>
      <c r="F227" s="57"/>
      <c r="G227" s="57"/>
      <c r="H227" s="65"/>
      <c r="I227" s="64"/>
      <c r="J227" s="65"/>
      <c r="K227" s="64"/>
    </row>
    <row r="228" spans="1:11" x14ac:dyDescent="0.2">
      <c r="A228">
        <v>2022</v>
      </c>
      <c r="B228" s="34">
        <v>302</v>
      </c>
      <c r="C228" s="34" t="s">
        <v>227</v>
      </c>
      <c r="D228" s="36">
        <v>362867</v>
      </c>
      <c r="E228" s="36">
        <v>2260772</v>
      </c>
      <c r="F228" s="57"/>
      <c r="G228" s="57"/>
      <c r="H228" s="65"/>
      <c r="I228" s="64"/>
      <c r="J228" s="65"/>
      <c r="K228" s="64"/>
    </row>
    <row r="229" spans="1:11" x14ac:dyDescent="0.2">
      <c r="A229">
        <v>2022</v>
      </c>
      <c r="B229" s="34">
        <v>303</v>
      </c>
      <c r="C229" s="34" t="s">
        <v>556</v>
      </c>
      <c r="D229" s="36">
        <v>134432</v>
      </c>
      <c r="E229" s="36">
        <v>514773</v>
      </c>
      <c r="F229" s="57"/>
      <c r="G229" s="57"/>
      <c r="H229" s="65"/>
      <c r="I229" s="64"/>
      <c r="J229" s="65"/>
      <c r="K229" s="64"/>
    </row>
    <row r="230" spans="1:11" x14ac:dyDescent="0.2">
      <c r="A230">
        <v>2022</v>
      </c>
      <c r="B230" s="34">
        <v>304</v>
      </c>
      <c r="C230" s="34" t="s">
        <v>229</v>
      </c>
      <c r="D230" s="36">
        <v>42844</v>
      </c>
      <c r="E230" s="36">
        <v>326589</v>
      </c>
      <c r="F230" s="57"/>
      <c r="G230" s="57"/>
      <c r="H230" s="65"/>
      <c r="I230" s="64"/>
      <c r="J230" s="65"/>
      <c r="K230" s="64"/>
    </row>
    <row r="231" spans="1:11" x14ac:dyDescent="0.2">
      <c r="A231">
        <v>2022</v>
      </c>
      <c r="B231" s="34">
        <v>305</v>
      </c>
      <c r="C231" s="34" t="s">
        <v>230</v>
      </c>
      <c r="D231" s="36">
        <v>604659</v>
      </c>
      <c r="E231" s="36">
        <v>3055886</v>
      </c>
      <c r="F231" s="57"/>
      <c r="G231" s="57"/>
      <c r="H231" s="65"/>
      <c r="I231" s="64"/>
      <c r="J231" s="65"/>
      <c r="K231" s="64"/>
    </row>
    <row r="232" spans="1:11" x14ac:dyDescent="0.2">
      <c r="A232">
        <v>2022</v>
      </c>
      <c r="B232" s="34">
        <v>306</v>
      </c>
      <c r="C232" s="34" t="s">
        <v>231</v>
      </c>
      <c r="D232" s="36">
        <v>1197418</v>
      </c>
      <c r="E232" s="36">
        <v>5456256</v>
      </c>
      <c r="F232" s="57"/>
      <c r="G232" s="57"/>
      <c r="H232" s="65"/>
      <c r="I232" s="64"/>
      <c r="J232" s="65"/>
      <c r="K232" s="64"/>
    </row>
    <row r="233" spans="1:11" x14ac:dyDescent="0.2">
      <c r="A233">
        <v>2022</v>
      </c>
      <c r="B233" s="34">
        <v>307</v>
      </c>
      <c r="C233" s="34" t="s">
        <v>232</v>
      </c>
      <c r="D233" s="36">
        <v>652847</v>
      </c>
      <c r="E233" s="36">
        <v>3864607</v>
      </c>
      <c r="F233" s="57"/>
      <c r="G233" s="57"/>
      <c r="H233" s="65"/>
      <c r="I233" s="64"/>
      <c r="J233" s="65"/>
      <c r="K233" s="64"/>
    </row>
    <row r="234" spans="1:11" x14ac:dyDescent="0.2">
      <c r="A234">
        <v>2022</v>
      </c>
      <c r="B234" s="34">
        <v>308</v>
      </c>
      <c r="C234" s="34" t="s">
        <v>233</v>
      </c>
      <c r="D234" s="36">
        <v>19048</v>
      </c>
      <c r="E234" s="36">
        <v>103002</v>
      </c>
      <c r="F234" s="57"/>
      <c r="G234" s="57"/>
      <c r="H234" s="65"/>
      <c r="I234" s="64"/>
      <c r="J234" s="65"/>
      <c r="K234" s="64"/>
    </row>
    <row r="235" spans="1:11" x14ac:dyDescent="0.2">
      <c r="A235">
        <v>2022</v>
      </c>
      <c r="B235" s="34">
        <v>313</v>
      </c>
      <c r="C235" s="34" t="s">
        <v>234</v>
      </c>
      <c r="D235" s="36">
        <v>683083</v>
      </c>
      <c r="E235" s="36">
        <v>4922005</v>
      </c>
      <c r="F235" s="57"/>
      <c r="G235" s="57"/>
      <c r="H235" s="65"/>
      <c r="I235" s="64"/>
      <c r="J235" s="65"/>
      <c r="K235" s="64"/>
    </row>
    <row r="236" spans="1:11" x14ac:dyDescent="0.2">
      <c r="A236">
        <v>2022</v>
      </c>
      <c r="B236" s="34">
        <v>314</v>
      </c>
      <c r="C236" s="34" t="s">
        <v>557</v>
      </c>
      <c r="D236" s="36">
        <v>81399</v>
      </c>
      <c r="E236" s="36">
        <v>465039</v>
      </c>
      <c r="F236" s="57"/>
      <c r="G236" s="57"/>
      <c r="H236" s="65"/>
      <c r="I236" s="64"/>
      <c r="J236" s="65"/>
      <c r="K236" s="64"/>
    </row>
    <row r="237" spans="1:11" x14ac:dyDescent="0.2">
      <c r="A237">
        <v>2022</v>
      </c>
      <c r="B237" s="34">
        <v>315</v>
      </c>
      <c r="C237" s="34" t="s">
        <v>236</v>
      </c>
      <c r="D237" s="36">
        <v>391341</v>
      </c>
      <c r="E237" s="36">
        <v>2514716</v>
      </c>
      <c r="F237" s="57"/>
      <c r="G237" s="57"/>
      <c r="H237" s="65"/>
      <c r="I237" s="64"/>
      <c r="J237" s="65"/>
      <c r="K237" s="64"/>
    </row>
    <row r="238" spans="1:11" x14ac:dyDescent="0.2">
      <c r="A238">
        <v>2022</v>
      </c>
      <c r="B238" s="34">
        <v>317</v>
      </c>
      <c r="C238" s="34" t="s">
        <v>237</v>
      </c>
      <c r="D238" s="36">
        <v>279935</v>
      </c>
      <c r="E238" s="36">
        <v>1334429</v>
      </c>
      <c r="F238" s="57"/>
      <c r="G238" s="57"/>
      <c r="H238" s="65"/>
      <c r="I238" s="64"/>
      <c r="J238" s="65"/>
      <c r="K238" s="64"/>
    </row>
    <row r="239" spans="1:11" x14ac:dyDescent="0.2">
      <c r="A239">
        <v>2022</v>
      </c>
      <c r="B239" s="34">
        <v>318</v>
      </c>
      <c r="C239" s="34" t="s">
        <v>238</v>
      </c>
      <c r="D239" s="36">
        <v>319554</v>
      </c>
      <c r="E239" s="36">
        <v>2459378</v>
      </c>
      <c r="F239" s="57"/>
      <c r="G239" s="57"/>
      <c r="H239" s="65"/>
      <c r="I239" s="64"/>
      <c r="J239" s="65"/>
      <c r="K239" s="64"/>
    </row>
    <row r="240" spans="1:11" x14ac:dyDescent="0.2">
      <c r="A240">
        <v>2022</v>
      </c>
      <c r="B240" s="34">
        <v>319</v>
      </c>
      <c r="C240" s="34" t="s">
        <v>239</v>
      </c>
      <c r="D240" s="36">
        <v>162391</v>
      </c>
      <c r="E240" s="36">
        <v>859976</v>
      </c>
      <c r="F240" s="57"/>
      <c r="G240" s="57"/>
      <c r="H240" s="65"/>
      <c r="I240" s="64"/>
      <c r="J240" s="65"/>
      <c r="K240" s="64"/>
    </row>
    <row r="241" spans="1:11" x14ac:dyDescent="0.2">
      <c r="A241">
        <v>2022</v>
      </c>
      <c r="B241" s="34">
        <v>321</v>
      </c>
      <c r="C241" s="34" t="s">
        <v>240</v>
      </c>
      <c r="D241" s="36">
        <v>59273</v>
      </c>
      <c r="E241" s="36">
        <v>235154</v>
      </c>
      <c r="F241" s="57"/>
      <c r="G241" s="57"/>
      <c r="H241" s="65"/>
      <c r="I241" s="64"/>
      <c r="J241" s="65"/>
      <c r="K241" s="64"/>
    </row>
    <row r="242" spans="1:11" x14ac:dyDescent="0.2">
      <c r="A242">
        <v>2022</v>
      </c>
      <c r="B242" s="34">
        <v>322</v>
      </c>
      <c r="C242" s="34" t="s">
        <v>241</v>
      </c>
      <c r="D242" s="36">
        <v>348142</v>
      </c>
      <c r="E242" s="36">
        <v>2309088</v>
      </c>
      <c r="F242" s="57"/>
      <c r="G242" s="57"/>
      <c r="H242" s="65"/>
      <c r="I242" s="64"/>
      <c r="J242" s="65"/>
      <c r="K242" s="64"/>
    </row>
    <row r="243" spans="1:11" x14ac:dyDescent="0.2">
      <c r="A243">
        <v>2022</v>
      </c>
      <c r="B243" s="34">
        <v>323</v>
      </c>
      <c r="C243" s="34" t="s">
        <v>242</v>
      </c>
      <c r="D243" s="36">
        <v>1244992</v>
      </c>
      <c r="E243" s="36">
        <v>9452325</v>
      </c>
      <c r="F243" s="57"/>
      <c r="G243" s="57"/>
      <c r="H243" s="65"/>
      <c r="I243" s="64"/>
      <c r="J243" s="65"/>
      <c r="K243" s="64"/>
    </row>
    <row r="244" spans="1:11" x14ac:dyDescent="0.2">
      <c r="A244">
        <v>2022</v>
      </c>
      <c r="B244" s="34">
        <v>324</v>
      </c>
      <c r="C244" s="34" t="s">
        <v>243</v>
      </c>
      <c r="D244" s="36">
        <v>51778</v>
      </c>
      <c r="E244" s="36">
        <v>434359</v>
      </c>
      <c r="F244" s="57"/>
      <c r="G244" s="57"/>
      <c r="H244" s="65"/>
      <c r="I244" s="64"/>
      <c r="J244" s="65"/>
      <c r="K244" s="64"/>
    </row>
    <row r="245" spans="1:11" x14ac:dyDescent="0.2">
      <c r="A245">
        <v>2022</v>
      </c>
      <c r="B245" s="34">
        <v>325</v>
      </c>
      <c r="C245" s="34" t="s">
        <v>244</v>
      </c>
      <c r="D245" s="36">
        <v>293582</v>
      </c>
      <c r="E245" s="36">
        <v>2059697</v>
      </c>
      <c r="F245" s="57"/>
      <c r="G245" s="57"/>
      <c r="H245" s="65"/>
      <c r="I245" s="64"/>
      <c r="J245" s="65"/>
      <c r="K245" s="64"/>
    </row>
    <row r="246" spans="1:11" x14ac:dyDescent="0.2">
      <c r="A246">
        <v>2022</v>
      </c>
      <c r="B246" s="34">
        <v>326</v>
      </c>
      <c r="C246" s="34" t="s">
        <v>245</v>
      </c>
      <c r="D246" s="36">
        <v>29807</v>
      </c>
      <c r="E246" s="36">
        <v>191679</v>
      </c>
      <c r="F246" s="57"/>
      <c r="G246" s="57"/>
      <c r="H246" s="65"/>
      <c r="I246" s="64"/>
      <c r="J246" s="65"/>
      <c r="K246" s="64"/>
    </row>
    <row r="247" spans="1:11" x14ac:dyDescent="0.2">
      <c r="A247">
        <v>2022</v>
      </c>
      <c r="B247" s="34">
        <v>328</v>
      </c>
      <c r="C247" s="34" t="s">
        <v>246</v>
      </c>
      <c r="D247" s="36">
        <v>80664</v>
      </c>
      <c r="E247" s="36">
        <v>854669</v>
      </c>
      <c r="F247" s="57"/>
      <c r="G247" s="57"/>
      <c r="H247" s="65"/>
      <c r="I247" s="64"/>
      <c r="J247" s="65"/>
      <c r="K247" s="64"/>
    </row>
    <row r="248" spans="1:11" x14ac:dyDescent="0.2">
      <c r="A248">
        <v>2022</v>
      </c>
      <c r="B248" s="34">
        <v>329</v>
      </c>
      <c r="C248" s="34" t="s">
        <v>247</v>
      </c>
      <c r="D248" s="36">
        <v>24585</v>
      </c>
      <c r="E248" s="36">
        <v>128455</v>
      </c>
      <c r="F248" s="57"/>
      <c r="G248" s="57"/>
      <c r="H248" s="65"/>
      <c r="I248" s="64"/>
      <c r="J248" s="65"/>
      <c r="K248" s="64"/>
    </row>
    <row r="249" spans="1:11" x14ac:dyDescent="0.2">
      <c r="A249">
        <v>2022</v>
      </c>
      <c r="B249" s="34">
        <v>330</v>
      </c>
      <c r="C249" s="34" t="s">
        <v>248</v>
      </c>
      <c r="D249" s="36">
        <v>38459</v>
      </c>
      <c r="E249" s="36">
        <v>401740</v>
      </c>
      <c r="F249" s="57"/>
      <c r="G249" s="57"/>
      <c r="H249" s="65"/>
      <c r="I249" s="64"/>
      <c r="J249" s="65"/>
      <c r="K249" s="64"/>
    </row>
    <row r="250" spans="1:11" x14ac:dyDescent="0.2">
      <c r="A250">
        <v>2022</v>
      </c>
      <c r="B250" s="34">
        <v>331</v>
      </c>
      <c r="C250" s="34" t="s">
        <v>249</v>
      </c>
      <c r="D250" s="36">
        <v>453225</v>
      </c>
      <c r="E250" s="36">
        <v>2756090</v>
      </c>
      <c r="F250" s="57"/>
      <c r="G250" s="57"/>
      <c r="H250" s="65"/>
      <c r="I250" s="64"/>
      <c r="J250" s="65"/>
      <c r="K250" s="64"/>
    </row>
    <row r="251" spans="1:11" x14ac:dyDescent="0.2">
      <c r="A251">
        <v>2022</v>
      </c>
      <c r="B251" s="34">
        <v>332</v>
      </c>
      <c r="C251" s="34" t="s">
        <v>250</v>
      </c>
      <c r="D251" s="36">
        <v>236264</v>
      </c>
      <c r="E251" s="36">
        <v>1389853</v>
      </c>
      <c r="F251" s="57"/>
      <c r="G251" s="57"/>
      <c r="H251" s="65"/>
      <c r="I251" s="64"/>
      <c r="J251" s="65"/>
      <c r="K251" s="64"/>
    </row>
    <row r="252" spans="1:11" x14ac:dyDescent="0.2">
      <c r="A252">
        <v>2022</v>
      </c>
      <c r="B252" s="34">
        <v>333</v>
      </c>
      <c r="C252" s="34" t="s">
        <v>251</v>
      </c>
      <c r="D252" s="36">
        <v>61051</v>
      </c>
      <c r="E252" s="36">
        <v>206130</v>
      </c>
      <c r="F252" s="57"/>
      <c r="G252" s="57"/>
      <c r="H252" s="65"/>
      <c r="I252" s="64"/>
      <c r="J252" s="65"/>
      <c r="K252" s="64"/>
    </row>
    <row r="253" spans="1:11" x14ac:dyDescent="0.2">
      <c r="A253">
        <v>2022</v>
      </c>
      <c r="B253" s="34">
        <v>335</v>
      </c>
      <c r="C253" s="34" t="s">
        <v>558</v>
      </c>
      <c r="D253" s="36">
        <v>85979</v>
      </c>
      <c r="E253" s="36">
        <v>429347</v>
      </c>
      <c r="F253" s="57"/>
      <c r="G253" s="57"/>
      <c r="H253" s="65"/>
      <c r="I253" s="64"/>
      <c r="J253" s="65"/>
      <c r="K253" s="64"/>
    </row>
    <row r="254" spans="1:11" x14ac:dyDescent="0.2">
      <c r="A254">
        <v>2022</v>
      </c>
      <c r="B254" s="34">
        <v>336</v>
      </c>
      <c r="C254" s="34" t="s">
        <v>559</v>
      </c>
      <c r="D254" s="36">
        <v>86278</v>
      </c>
      <c r="E254" s="36">
        <v>503851</v>
      </c>
      <c r="F254" s="57"/>
      <c r="G254" s="57"/>
      <c r="H254" s="65"/>
      <c r="I254" s="64"/>
      <c r="J254" s="65"/>
      <c r="K254" s="64"/>
    </row>
    <row r="255" spans="1:11" x14ac:dyDescent="0.2">
      <c r="A255">
        <v>2022</v>
      </c>
      <c r="B255" s="34">
        <v>337</v>
      </c>
      <c r="C255" s="34" t="s">
        <v>254</v>
      </c>
      <c r="D255" s="36">
        <v>708723</v>
      </c>
      <c r="E255" s="36">
        <v>3195097</v>
      </c>
      <c r="F255" s="57"/>
      <c r="G255" s="57"/>
      <c r="H255" s="65"/>
      <c r="I255" s="64"/>
      <c r="J255" s="65"/>
      <c r="K255" s="64"/>
    </row>
    <row r="256" spans="1:11" x14ac:dyDescent="0.2">
      <c r="A256">
        <v>2022</v>
      </c>
      <c r="B256" s="34">
        <v>339</v>
      </c>
      <c r="C256" s="34" t="s">
        <v>255</v>
      </c>
      <c r="D256" s="36">
        <v>12702</v>
      </c>
      <c r="E256" s="36">
        <v>60840</v>
      </c>
      <c r="F256" s="57"/>
      <c r="G256" s="57"/>
      <c r="H256" s="65"/>
      <c r="I256" s="64"/>
      <c r="J256" s="65"/>
      <c r="K256" s="64"/>
    </row>
    <row r="257" spans="1:11" x14ac:dyDescent="0.2">
      <c r="A257">
        <v>2022</v>
      </c>
      <c r="B257" s="34">
        <v>340</v>
      </c>
      <c r="C257" s="34" t="s">
        <v>256</v>
      </c>
      <c r="D257" s="36">
        <v>59090</v>
      </c>
      <c r="E257" s="36">
        <v>268119</v>
      </c>
      <c r="F257" s="57"/>
      <c r="G257" s="57"/>
      <c r="H257" s="65"/>
      <c r="I257" s="64"/>
      <c r="J257" s="65"/>
      <c r="K257" s="64"/>
    </row>
    <row r="258" spans="1:11" x14ac:dyDescent="0.2">
      <c r="A258">
        <v>2022</v>
      </c>
      <c r="B258" s="34">
        <v>351</v>
      </c>
      <c r="C258" s="34" t="s">
        <v>560</v>
      </c>
      <c r="D258" s="36">
        <v>65895</v>
      </c>
      <c r="E258" s="36">
        <v>385072</v>
      </c>
      <c r="F258" s="57"/>
      <c r="G258" s="57"/>
      <c r="H258" s="65"/>
      <c r="I258" s="64"/>
      <c r="J258" s="65"/>
      <c r="K258" s="64"/>
    </row>
    <row r="259" spans="1:11" x14ac:dyDescent="0.2">
      <c r="A259">
        <v>2022</v>
      </c>
      <c r="B259" s="34">
        <v>352</v>
      </c>
      <c r="C259" s="34" t="s">
        <v>258</v>
      </c>
      <c r="D259" s="36">
        <v>141426</v>
      </c>
      <c r="E259" s="36">
        <v>859874</v>
      </c>
      <c r="F259" s="57"/>
      <c r="G259" s="57"/>
      <c r="H259" s="65"/>
      <c r="I259" s="64"/>
      <c r="J259" s="65"/>
      <c r="K259" s="64"/>
    </row>
    <row r="260" spans="1:11" x14ac:dyDescent="0.2">
      <c r="A260">
        <v>2022</v>
      </c>
      <c r="B260" s="34">
        <v>353</v>
      </c>
      <c r="C260" s="34" t="s">
        <v>259</v>
      </c>
      <c r="D260" s="36">
        <v>174619</v>
      </c>
      <c r="E260" s="36">
        <v>1501942</v>
      </c>
      <c r="F260" s="57"/>
      <c r="G260" s="57"/>
      <c r="H260" s="65"/>
      <c r="I260" s="64"/>
      <c r="J260" s="65"/>
      <c r="K260" s="64"/>
    </row>
    <row r="261" spans="1:11" x14ac:dyDescent="0.2">
      <c r="A261">
        <v>2022</v>
      </c>
      <c r="B261" s="59">
        <v>354</v>
      </c>
      <c r="C261" s="34" t="s">
        <v>686</v>
      </c>
      <c r="D261" s="36">
        <v>47078</v>
      </c>
      <c r="E261" s="36">
        <v>332444</v>
      </c>
      <c r="F261" s="57"/>
      <c r="G261" s="65"/>
      <c r="H261" s="64"/>
      <c r="I261" s="65"/>
      <c r="J261" s="64"/>
    </row>
    <row r="262" spans="1:11" x14ac:dyDescent="0.2">
      <c r="A262">
        <v>2022</v>
      </c>
      <c r="B262" s="59">
        <v>355</v>
      </c>
      <c r="C262" s="34" t="s">
        <v>687</v>
      </c>
      <c r="D262" s="36">
        <v>63910</v>
      </c>
      <c r="E262" s="36">
        <v>311337</v>
      </c>
      <c r="F262" s="57"/>
      <c r="G262" s="65"/>
      <c r="H262" s="64"/>
      <c r="I262" s="65"/>
      <c r="J262" s="64"/>
    </row>
    <row r="263" spans="1:11" x14ac:dyDescent="0.2">
      <c r="A263">
        <v>2022</v>
      </c>
      <c r="B263" s="59">
        <v>356</v>
      </c>
      <c r="C263" s="34" t="s">
        <v>688</v>
      </c>
      <c r="D263" s="36">
        <v>115966</v>
      </c>
      <c r="E263" s="36">
        <v>819583</v>
      </c>
      <c r="F263" s="57"/>
      <c r="G263" s="65"/>
      <c r="H263" s="64"/>
      <c r="I263" s="65"/>
      <c r="J263" s="64"/>
    </row>
    <row r="264" spans="1:11" x14ac:dyDescent="0.2">
      <c r="A264">
        <v>2022</v>
      </c>
      <c r="B264" s="59">
        <v>357</v>
      </c>
      <c r="C264" s="34" t="s">
        <v>689</v>
      </c>
      <c r="D264" s="36">
        <v>74738</v>
      </c>
      <c r="E264" s="36">
        <v>332753</v>
      </c>
      <c r="F264" s="57"/>
      <c r="G264" s="65"/>
      <c r="H264" s="64"/>
      <c r="I264" s="65"/>
      <c r="J264" s="64"/>
    </row>
    <row r="265" spans="1:11" x14ac:dyDescent="0.2">
      <c r="A265">
        <v>2022</v>
      </c>
      <c r="B265" s="59">
        <v>358</v>
      </c>
      <c r="C265" s="34" t="s">
        <v>690</v>
      </c>
      <c r="D265" s="36">
        <v>128360</v>
      </c>
      <c r="E265" s="36">
        <v>1016177</v>
      </c>
      <c r="F265" s="57"/>
      <c r="G265" s="65"/>
      <c r="H265" s="64"/>
      <c r="I265" s="65"/>
      <c r="J265" s="64"/>
    </row>
    <row r="266" spans="1:11" x14ac:dyDescent="0.2">
      <c r="A266">
        <v>2022</v>
      </c>
      <c r="B266" s="59">
        <v>359</v>
      </c>
      <c r="C266" s="34" t="s">
        <v>691</v>
      </c>
      <c r="D266" s="36">
        <v>57071</v>
      </c>
      <c r="E266" s="36">
        <v>451840</v>
      </c>
      <c r="F266" s="57"/>
      <c r="G266" s="65"/>
      <c r="H266" s="64"/>
      <c r="I266" s="65"/>
      <c r="J266" s="64"/>
    </row>
    <row r="267" spans="1:11" x14ac:dyDescent="0.2">
      <c r="A267">
        <v>2022</v>
      </c>
      <c r="B267" s="59">
        <v>360</v>
      </c>
      <c r="C267" s="34" t="s">
        <v>692</v>
      </c>
      <c r="D267" s="36">
        <v>43680</v>
      </c>
      <c r="E267" s="36">
        <v>312681</v>
      </c>
      <c r="F267" s="57"/>
      <c r="G267" s="65"/>
      <c r="H267" s="64"/>
      <c r="I267" s="65"/>
      <c r="J267" s="64"/>
    </row>
    <row r="268" spans="1:11" x14ac:dyDescent="0.2">
      <c r="A268">
        <v>2022</v>
      </c>
      <c r="B268" s="59">
        <v>361</v>
      </c>
      <c r="C268" s="34" t="s">
        <v>693</v>
      </c>
      <c r="D268" s="36">
        <v>141319</v>
      </c>
      <c r="E268" s="36">
        <v>1347366</v>
      </c>
      <c r="F268" s="57"/>
      <c r="G268" s="65"/>
      <c r="H268" s="64"/>
      <c r="I268" s="65"/>
      <c r="J268" s="64"/>
    </row>
    <row r="269" spans="1:11" x14ac:dyDescent="0.2">
      <c r="A269">
        <v>2022</v>
      </c>
      <c r="B269" s="59">
        <v>362</v>
      </c>
      <c r="C269" s="34" t="s">
        <v>694</v>
      </c>
      <c r="D269" s="36">
        <v>77712</v>
      </c>
      <c r="E269" s="36">
        <v>524604</v>
      </c>
      <c r="F269" s="57"/>
      <c r="G269" s="65"/>
      <c r="H269" s="64"/>
      <c r="I269" s="65"/>
      <c r="J269" s="64"/>
    </row>
    <row r="270" spans="1:11" x14ac:dyDescent="0.2">
      <c r="A270">
        <v>2022</v>
      </c>
      <c r="B270" s="59">
        <v>363</v>
      </c>
      <c r="C270" s="34" t="s">
        <v>695</v>
      </c>
      <c r="D270" s="36">
        <v>78792</v>
      </c>
      <c r="E270" s="36">
        <v>382126</v>
      </c>
      <c r="F270" s="57"/>
      <c r="G270" s="65"/>
      <c r="H270" s="64"/>
      <c r="I270" s="65"/>
      <c r="J270" s="64"/>
    </row>
    <row r="271" spans="1:11" x14ac:dyDescent="0.2">
      <c r="A271">
        <v>2022</v>
      </c>
      <c r="B271" s="59">
        <v>364</v>
      </c>
      <c r="C271" s="34" t="s">
        <v>696</v>
      </c>
      <c r="D271" s="36">
        <v>110328</v>
      </c>
      <c r="E271" s="36">
        <v>664711</v>
      </c>
      <c r="F271" s="57"/>
      <c r="G271" s="65"/>
      <c r="H271" s="64"/>
      <c r="I271" s="65"/>
      <c r="J271" s="64"/>
    </row>
    <row r="272" spans="1:11" x14ac:dyDescent="0.2">
      <c r="A272">
        <v>2022</v>
      </c>
      <c r="B272" s="59">
        <v>365</v>
      </c>
      <c r="C272" s="34" t="s">
        <v>697</v>
      </c>
      <c r="D272" s="36">
        <v>45250</v>
      </c>
      <c r="E272" s="36">
        <v>282737</v>
      </c>
      <c r="F272" s="57"/>
      <c r="G272" s="65"/>
      <c r="H272" s="64"/>
      <c r="I272" s="65"/>
      <c r="J272" s="64"/>
    </row>
    <row r="273" spans="1:10" x14ac:dyDescent="0.2">
      <c r="A273">
        <v>2022</v>
      </c>
      <c r="B273" s="59">
        <v>366</v>
      </c>
      <c r="C273" s="34" t="s">
        <v>698</v>
      </c>
      <c r="D273" s="36">
        <v>107135</v>
      </c>
      <c r="E273" s="36">
        <v>572181</v>
      </c>
      <c r="F273" s="57"/>
      <c r="G273" s="65"/>
      <c r="H273" s="64"/>
      <c r="I273" s="65"/>
      <c r="J273" s="64"/>
    </row>
    <row r="274" spans="1:10" x14ac:dyDescent="0.2">
      <c r="A274">
        <v>2022</v>
      </c>
      <c r="B274" s="59">
        <v>367</v>
      </c>
      <c r="C274" s="34" t="s">
        <v>699</v>
      </c>
      <c r="D274" s="36">
        <v>857327</v>
      </c>
      <c r="E274" s="36">
        <v>4911641</v>
      </c>
      <c r="F274" s="57"/>
      <c r="G274" s="65"/>
      <c r="H274" s="64"/>
      <c r="I274" s="65"/>
      <c r="J274" s="64"/>
    </row>
    <row r="275" spans="1:10" x14ac:dyDescent="0.2">
      <c r="A275">
        <v>2022</v>
      </c>
      <c r="B275" s="59">
        <v>368</v>
      </c>
      <c r="C275" s="34" t="s">
        <v>700</v>
      </c>
      <c r="D275" s="36">
        <v>188869</v>
      </c>
      <c r="E275" s="36">
        <v>1044568</v>
      </c>
      <c r="F275" s="57"/>
      <c r="G275" s="65"/>
      <c r="H275" s="64"/>
      <c r="I275" s="65"/>
      <c r="J275" s="64"/>
    </row>
    <row r="276" spans="1:10" x14ac:dyDescent="0.2">
      <c r="A276">
        <v>2022</v>
      </c>
      <c r="B276" s="59">
        <v>369</v>
      </c>
      <c r="C276" s="34" t="s">
        <v>701</v>
      </c>
      <c r="D276" s="36">
        <v>24840</v>
      </c>
      <c r="E276" s="36">
        <v>201386</v>
      </c>
      <c r="F276" s="57"/>
      <c r="G276" s="65"/>
      <c r="H276" s="64"/>
      <c r="I276" s="65"/>
      <c r="J276" s="64"/>
    </row>
    <row r="277" spans="1:10" x14ac:dyDescent="0.2">
      <c r="A277">
        <v>2022</v>
      </c>
      <c r="B277" s="59">
        <v>370</v>
      </c>
      <c r="C277" s="34" t="s">
        <v>702</v>
      </c>
      <c r="D277" s="36">
        <v>22621</v>
      </c>
      <c r="E277" s="36">
        <v>130365</v>
      </c>
      <c r="F277" s="57"/>
      <c r="G277" s="65"/>
      <c r="H277" s="64"/>
      <c r="I277" s="65"/>
      <c r="J277" s="64"/>
    </row>
    <row r="278" spans="1:10" x14ac:dyDescent="0.2">
      <c r="A278">
        <v>2022</v>
      </c>
      <c r="B278" s="59">
        <v>371</v>
      </c>
      <c r="C278" s="34" t="s">
        <v>703</v>
      </c>
      <c r="D278" s="36">
        <v>99817</v>
      </c>
      <c r="E278" s="36">
        <v>763478</v>
      </c>
      <c r="F278" s="57"/>
      <c r="G278" s="65"/>
      <c r="H278" s="64"/>
      <c r="I278" s="65"/>
      <c r="J278" s="64"/>
    </row>
    <row r="279" spans="1:10" x14ac:dyDescent="0.2">
      <c r="A279">
        <v>2022</v>
      </c>
      <c r="B279" s="59">
        <v>372</v>
      </c>
      <c r="C279" s="34" t="s">
        <v>704</v>
      </c>
      <c r="D279" s="36">
        <v>36891</v>
      </c>
      <c r="E279" s="36">
        <v>138186</v>
      </c>
      <c r="F279" s="57"/>
      <c r="G279" s="65"/>
      <c r="H279" s="64"/>
      <c r="I279" s="65"/>
      <c r="J279" s="64"/>
    </row>
    <row r="280" spans="1:10" x14ac:dyDescent="0.2">
      <c r="A280">
        <v>2022</v>
      </c>
      <c r="B280" s="59">
        <v>373</v>
      </c>
      <c r="C280" s="34" t="s">
        <v>705</v>
      </c>
      <c r="D280" s="36">
        <v>68187</v>
      </c>
      <c r="E280" s="36">
        <v>507322</v>
      </c>
      <c r="F280" s="57"/>
      <c r="G280" s="65"/>
      <c r="H280" s="64"/>
      <c r="I280" s="65"/>
      <c r="J280" s="64"/>
    </row>
    <row r="281" spans="1:10" x14ac:dyDescent="0.2">
      <c r="A281">
        <v>2022</v>
      </c>
      <c r="B281" s="59">
        <v>374</v>
      </c>
      <c r="C281" s="34" t="s">
        <v>706</v>
      </c>
      <c r="D281" s="36">
        <v>24743</v>
      </c>
      <c r="E281" s="36">
        <v>112509</v>
      </c>
      <c r="F281" s="57"/>
      <c r="G281" s="65"/>
      <c r="H281" s="64"/>
      <c r="I281" s="65"/>
      <c r="J281" s="64"/>
    </row>
    <row r="282" spans="1:10" x14ac:dyDescent="0.2">
      <c r="A282">
        <v>2022</v>
      </c>
      <c r="B282" s="59">
        <v>375</v>
      </c>
      <c r="C282" s="34" t="s">
        <v>707</v>
      </c>
      <c r="D282" s="36">
        <v>181324</v>
      </c>
      <c r="E282" s="36">
        <v>1459750</v>
      </c>
      <c r="F282" s="57"/>
      <c r="G282" s="65"/>
      <c r="H282" s="64"/>
      <c r="I282" s="65"/>
      <c r="J282" s="64"/>
    </row>
    <row r="283" spans="1:10" x14ac:dyDescent="0.2">
      <c r="A283">
        <v>2022</v>
      </c>
      <c r="B283" s="59">
        <v>376</v>
      </c>
      <c r="C283" s="34" t="s">
        <v>708</v>
      </c>
      <c r="D283" s="36">
        <v>13145</v>
      </c>
      <c r="E283" s="36">
        <v>47661</v>
      </c>
      <c r="F283" s="57"/>
      <c r="G283" s="65"/>
      <c r="H283" s="64"/>
      <c r="I283" s="65"/>
      <c r="J283" s="64"/>
    </row>
    <row r="284" spans="1:10" x14ac:dyDescent="0.2">
      <c r="A284">
        <v>2022</v>
      </c>
      <c r="B284" s="59">
        <v>378</v>
      </c>
      <c r="C284" s="34" t="s">
        <v>709</v>
      </c>
      <c r="D284" s="36">
        <v>447058</v>
      </c>
      <c r="E284" s="36">
        <v>2436407</v>
      </c>
      <c r="F284" s="57"/>
      <c r="G284" s="65"/>
      <c r="H284" s="64"/>
      <c r="I284" s="65"/>
      <c r="J284" s="64"/>
    </row>
    <row r="285" spans="1:10" x14ac:dyDescent="0.2">
      <c r="A285">
        <v>2022</v>
      </c>
      <c r="B285" s="59">
        <v>379</v>
      </c>
      <c r="C285" s="34" t="s">
        <v>710</v>
      </c>
      <c r="D285" s="36">
        <v>139262</v>
      </c>
      <c r="E285" s="36">
        <v>982028</v>
      </c>
      <c r="F285" s="57"/>
      <c r="G285" s="65"/>
      <c r="H285" s="64"/>
      <c r="I285" s="65"/>
      <c r="J285" s="64"/>
    </row>
    <row r="286" spans="1:10" x14ac:dyDescent="0.2">
      <c r="A286">
        <v>2022</v>
      </c>
      <c r="B286" s="59">
        <v>380</v>
      </c>
      <c r="C286" s="34" t="s">
        <v>711</v>
      </c>
      <c r="D286" s="36">
        <v>37992</v>
      </c>
      <c r="E286" s="36">
        <v>282798</v>
      </c>
      <c r="F286" s="57"/>
      <c r="G286" s="65"/>
      <c r="H286" s="64"/>
      <c r="I286" s="65"/>
      <c r="J286" s="64"/>
    </row>
    <row r="287" spans="1:10" x14ac:dyDescent="0.2">
      <c r="A287">
        <v>2022</v>
      </c>
      <c r="B287" s="59">
        <v>381</v>
      </c>
      <c r="C287" s="34" t="s">
        <v>712</v>
      </c>
      <c r="D287" s="36">
        <v>22137</v>
      </c>
      <c r="E287" s="36">
        <v>128215</v>
      </c>
      <c r="F287" s="57"/>
      <c r="G287" s="65"/>
      <c r="H287" s="64"/>
      <c r="I287" s="65"/>
      <c r="J287" s="64"/>
    </row>
    <row r="288" spans="1:10" x14ac:dyDescent="0.2">
      <c r="A288">
        <v>2022</v>
      </c>
      <c r="B288" s="59">
        <v>383</v>
      </c>
      <c r="C288" s="34" t="s">
        <v>713</v>
      </c>
      <c r="D288" s="36">
        <v>30367</v>
      </c>
      <c r="E288" s="36">
        <v>167679</v>
      </c>
      <c r="F288" s="57"/>
      <c r="G288" s="65"/>
      <c r="H288" s="64"/>
      <c r="I288" s="65"/>
      <c r="J288" s="64"/>
    </row>
    <row r="289" spans="1:10" x14ac:dyDescent="0.2">
      <c r="A289">
        <v>2022</v>
      </c>
      <c r="B289" s="59">
        <v>384</v>
      </c>
      <c r="C289" s="34" t="s">
        <v>714</v>
      </c>
      <c r="D289" s="36">
        <v>24677</v>
      </c>
      <c r="E289" s="36">
        <v>175625</v>
      </c>
      <c r="F289" s="57"/>
      <c r="G289" s="65"/>
      <c r="H289" s="64"/>
      <c r="I289" s="65"/>
      <c r="J289" s="64"/>
    </row>
    <row r="290" spans="1:10" x14ac:dyDescent="0.2">
      <c r="A290">
        <v>2022</v>
      </c>
      <c r="B290" s="59">
        <v>386</v>
      </c>
      <c r="C290" s="34" t="s">
        <v>715</v>
      </c>
      <c r="D290" s="36">
        <v>8257</v>
      </c>
      <c r="E290" s="36">
        <v>47117</v>
      </c>
      <c r="F290" s="57"/>
      <c r="G290" s="65"/>
      <c r="H290" s="64"/>
      <c r="I290" s="65"/>
      <c r="J290" s="64"/>
    </row>
    <row r="291" spans="1:10" x14ac:dyDescent="0.2">
      <c r="A291">
        <v>2022</v>
      </c>
      <c r="B291" s="59">
        <v>388</v>
      </c>
      <c r="C291" s="34" t="s">
        <v>716</v>
      </c>
      <c r="D291" s="36">
        <v>256999</v>
      </c>
      <c r="E291" s="36">
        <v>1370619</v>
      </c>
      <c r="F291" s="57"/>
      <c r="G291" s="65"/>
      <c r="H291" s="64"/>
      <c r="I291" s="65"/>
      <c r="J291" s="64"/>
    </row>
    <row r="292" spans="1:10" x14ac:dyDescent="0.2">
      <c r="A292">
        <v>2022</v>
      </c>
      <c r="B292" s="59">
        <v>389</v>
      </c>
      <c r="C292" s="34" t="s">
        <v>717</v>
      </c>
      <c r="D292" s="36">
        <v>21786</v>
      </c>
      <c r="E292" s="36">
        <v>142320</v>
      </c>
      <c r="F292" s="57"/>
      <c r="G292" s="65"/>
      <c r="H292" s="64"/>
      <c r="I292" s="65"/>
      <c r="J292" s="64"/>
    </row>
    <row r="293" spans="1:10" x14ac:dyDescent="0.2">
      <c r="A293">
        <v>2022</v>
      </c>
      <c r="B293" s="59">
        <v>390</v>
      </c>
      <c r="C293" s="34" t="s">
        <v>718</v>
      </c>
      <c r="D293" s="36">
        <v>52393</v>
      </c>
      <c r="E293" s="36">
        <v>316773</v>
      </c>
      <c r="F293" s="57"/>
      <c r="G293" s="65"/>
      <c r="H293" s="64"/>
      <c r="I293" s="65"/>
      <c r="J293" s="64"/>
    </row>
    <row r="294" spans="1:10" x14ac:dyDescent="0.2">
      <c r="A294">
        <v>2022</v>
      </c>
      <c r="B294" s="59">
        <v>391</v>
      </c>
      <c r="C294" s="34" t="s">
        <v>719</v>
      </c>
      <c r="D294" s="36">
        <v>62548</v>
      </c>
      <c r="E294" s="36">
        <v>472866</v>
      </c>
      <c r="F294" s="57"/>
      <c r="G294" s="65"/>
      <c r="H294" s="64"/>
      <c r="I294" s="65"/>
      <c r="J294" s="64"/>
    </row>
    <row r="295" spans="1:10" x14ac:dyDescent="0.2">
      <c r="A295">
        <v>2022</v>
      </c>
      <c r="B295" s="59">
        <v>392</v>
      </c>
      <c r="C295" s="34" t="s">
        <v>720</v>
      </c>
      <c r="D295" s="36">
        <v>105962</v>
      </c>
      <c r="E295" s="36">
        <v>849140</v>
      </c>
      <c r="F295" s="57"/>
      <c r="G295" s="65"/>
      <c r="H295" s="64"/>
      <c r="I295" s="65"/>
      <c r="J295" s="64"/>
    </row>
    <row r="296" spans="1:10" x14ac:dyDescent="0.2">
      <c r="A296">
        <v>2022</v>
      </c>
      <c r="B296" s="59">
        <v>393</v>
      </c>
      <c r="C296" s="34" t="s">
        <v>721</v>
      </c>
      <c r="D296" s="36">
        <v>24290</v>
      </c>
      <c r="E296" s="36">
        <v>181797</v>
      </c>
      <c r="F296" s="57"/>
      <c r="G296" s="65"/>
      <c r="H296" s="64"/>
      <c r="I296" s="65"/>
      <c r="J296" s="64"/>
    </row>
    <row r="297" spans="1:10" x14ac:dyDescent="0.2">
      <c r="A297">
        <v>2022</v>
      </c>
      <c r="B297" s="59">
        <v>394</v>
      </c>
      <c r="C297" s="34" t="s">
        <v>722</v>
      </c>
      <c r="D297" s="36">
        <v>550887</v>
      </c>
      <c r="E297" s="36">
        <v>2969326</v>
      </c>
      <c r="F297" s="57"/>
      <c r="G297" s="65"/>
      <c r="H297" s="64"/>
      <c r="I297" s="65"/>
      <c r="J297" s="64"/>
    </row>
    <row r="298" spans="1:10" x14ac:dyDescent="0.2">
      <c r="A298">
        <v>2022</v>
      </c>
      <c r="B298" s="59">
        <v>395</v>
      </c>
      <c r="C298" s="34" t="s">
        <v>723</v>
      </c>
      <c r="D298" s="36">
        <v>29454</v>
      </c>
      <c r="E298" s="36">
        <v>163820</v>
      </c>
      <c r="F298" s="57"/>
      <c r="G298" s="65"/>
      <c r="H298" s="64"/>
      <c r="I298" s="65"/>
      <c r="J298" s="64"/>
    </row>
    <row r="299" spans="1:10" x14ac:dyDescent="0.2">
      <c r="A299">
        <v>2022</v>
      </c>
      <c r="B299" s="59">
        <v>397</v>
      </c>
      <c r="C299" s="34" t="s">
        <v>724</v>
      </c>
      <c r="D299" s="36">
        <v>72849</v>
      </c>
      <c r="E299" s="36">
        <v>280083</v>
      </c>
      <c r="F299" s="57"/>
      <c r="G299" s="65"/>
      <c r="H299" s="64"/>
      <c r="I299" s="65"/>
      <c r="J299" s="64"/>
    </row>
    <row r="300" spans="1:10" x14ac:dyDescent="0.2">
      <c r="A300">
        <v>2022</v>
      </c>
      <c r="B300" s="59">
        <v>398</v>
      </c>
      <c r="C300" s="34" t="s">
        <v>725</v>
      </c>
      <c r="D300" s="36">
        <v>261010</v>
      </c>
      <c r="E300" s="36">
        <v>1284089</v>
      </c>
      <c r="F300" s="57"/>
      <c r="G300" s="65"/>
      <c r="H300" s="64"/>
      <c r="I300" s="65"/>
      <c r="J300" s="64"/>
    </row>
    <row r="301" spans="1:10" x14ac:dyDescent="0.2">
      <c r="A301">
        <v>2022</v>
      </c>
      <c r="B301" s="59">
        <v>399</v>
      </c>
      <c r="C301" s="34" t="s">
        <v>726</v>
      </c>
      <c r="D301" s="36">
        <v>274843</v>
      </c>
      <c r="E301" s="36">
        <v>1664408</v>
      </c>
      <c r="F301" s="57"/>
      <c r="G301" s="65"/>
      <c r="H301" s="64"/>
      <c r="I301" s="65"/>
      <c r="J301" s="64"/>
    </row>
    <row r="302" spans="1:10" x14ac:dyDescent="0.2">
      <c r="A302">
        <v>2022</v>
      </c>
      <c r="B302" s="59">
        <v>400</v>
      </c>
      <c r="C302" s="34" t="s">
        <v>727</v>
      </c>
      <c r="D302" s="36">
        <v>25495</v>
      </c>
      <c r="E302" s="36">
        <v>170060</v>
      </c>
      <c r="F302" s="57"/>
      <c r="G302" s="65"/>
      <c r="H302" s="64"/>
      <c r="I302" s="65"/>
      <c r="J302" s="64"/>
    </row>
    <row r="303" spans="1:10" x14ac:dyDescent="0.2">
      <c r="A303">
        <v>2022</v>
      </c>
      <c r="B303" s="59">
        <v>401</v>
      </c>
      <c r="C303" s="34" t="s">
        <v>728</v>
      </c>
      <c r="D303" s="36">
        <v>29506</v>
      </c>
      <c r="E303" s="36">
        <v>190003</v>
      </c>
      <c r="F303" s="57"/>
      <c r="G303" s="65"/>
      <c r="H303" s="64"/>
      <c r="I303" s="65"/>
      <c r="J303" s="64"/>
    </row>
    <row r="304" spans="1:10" x14ac:dyDescent="0.2">
      <c r="A304">
        <v>2022</v>
      </c>
      <c r="B304" s="34">
        <v>402</v>
      </c>
      <c r="C304" s="34" t="s">
        <v>574</v>
      </c>
      <c r="D304" s="36">
        <v>90260</v>
      </c>
      <c r="E304" s="36">
        <v>509925</v>
      </c>
      <c r="G304" s="64"/>
      <c r="H304" s="65"/>
      <c r="I304" s="64"/>
    </row>
    <row r="305" spans="1:9" x14ac:dyDescent="0.2">
      <c r="A305">
        <v>2022</v>
      </c>
      <c r="B305" s="34">
        <v>403</v>
      </c>
      <c r="C305" s="34" t="s">
        <v>575</v>
      </c>
      <c r="D305" s="36">
        <v>106697</v>
      </c>
      <c r="E305" s="36">
        <v>603652</v>
      </c>
      <c r="G305" s="64"/>
      <c r="H305" s="65"/>
      <c r="I305" s="64"/>
    </row>
    <row r="306" spans="1:9" x14ac:dyDescent="0.2">
      <c r="A306">
        <v>2022</v>
      </c>
      <c r="B306" s="34">
        <v>404</v>
      </c>
      <c r="C306" s="34" t="s">
        <v>576</v>
      </c>
      <c r="D306" s="36">
        <v>121902</v>
      </c>
      <c r="E306" s="36">
        <v>772239</v>
      </c>
      <c r="G306" s="64"/>
      <c r="H306" s="65"/>
      <c r="I306" s="64"/>
    </row>
    <row r="307" spans="1:9" x14ac:dyDescent="0.2">
      <c r="A307">
        <v>2022</v>
      </c>
      <c r="B307" s="34">
        <v>405</v>
      </c>
      <c r="C307" s="34" t="s">
        <v>577</v>
      </c>
      <c r="D307" s="36">
        <v>118454</v>
      </c>
      <c r="E307" s="36">
        <v>1081862</v>
      </c>
      <c r="G307" s="64"/>
      <c r="H307" s="65"/>
      <c r="I307" s="64"/>
    </row>
    <row r="308" spans="1:9" x14ac:dyDescent="0.2">
      <c r="A308">
        <v>2022</v>
      </c>
      <c r="B308" s="34">
        <v>406</v>
      </c>
      <c r="C308" s="34" t="s">
        <v>578</v>
      </c>
      <c r="D308" s="36">
        <v>11147</v>
      </c>
      <c r="E308" s="36">
        <v>82679</v>
      </c>
      <c r="G308" s="64"/>
      <c r="H308" s="65"/>
      <c r="I308" s="64"/>
    </row>
    <row r="309" spans="1:9" x14ac:dyDescent="0.2">
      <c r="A309">
        <v>2022</v>
      </c>
      <c r="B309" s="34">
        <v>407</v>
      </c>
      <c r="C309" s="34" t="s">
        <v>579</v>
      </c>
      <c r="D309" s="36">
        <v>7153</v>
      </c>
      <c r="E309" s="36">
        <v>48636</v>
      </c>
      <c r="G309" s="64"/>
      <c r="H309" s="65"/>
      <c r="I309" s="64"/>
    </row>
    <row r="310" spans="1:9" x14ac:dyDescent="0.2">
      <c r="A310">
        <v>2022</v>
      </c>
      <c r="B310" s="34">
        <v>408</v>
      </c>
      <c r="C310" s="34" t="s">
        <v>580</v>
      </c>
      <c r="D310" s="36">
        <v>69039</v>
      </c>
      <c r="E310" s="36">
        <v>366276</v>
      </c>
      <c r="G310" s="64"/>
      <c r="H310" s="65"/>
      <c r="I310" s="64"/>
    </row>
    <row r="311" spans="1:9" x14ac:dyDescent="0.2">
      <c r="A311">
        <v>2022</v>
      </c>
      <c r="B311" s="34">
        <v>409</v>
      </c>
      <c r="C311" s="34" t="s">
        <v>581</v>
      </c>
      <c r="D311" s="36">
        <v>31624</v>
      </c>
      <c r="E311" s="36">
        <v>169022</v>
      </c>
      <c r="G311" s="64"/>
      <c r="H311" s="65"/>
      <c r="I311" s="64"/>
    </row>
    <row r="312" spans="1:9" x14ac:dyDescent="0.2">
      <c r="A312">
        <v>2022</v>
      </c>
      <c r="B312" s="34">
        <v>410</v>
      </c>
      <c r="C312" s="34" t="s">
        <v>582</v>
      </c>
      <c r="D312" s="36">
        <v>6256</v>
      </c>
      <c r="E312" s="36">
        <v>85779</v>
      </c>
      <c r="G312" s="64"/>
      <c r="H312" s="65"/>
      <c r="I312" s="64"/>
    </row>
    <row r="313" spans="1:9" x14ac:dyDescent="0.2">
      <c r="A313">
        <v>2022</v>
      </c>
      <c r="B313" s="34">
        <v>412</v>
      </c>
      <c r="C313" s="34" t="s">
        <v>583</v>
      </c>
      <c r="D313" s="36">
        <v>108825</v>
      </c>
      <c r="E313" s="36">
        <v>539427</v>
      </c>
      <c r="G313" s="64"/>
      <c r="H313" s="65"/>
      <c r="I313" s="64"/>
    </row>
    <row r="314" spans="1:9" x14ac:dyDescent="0.2">
      <c r="A314">
        <v>2022</v>
      </c>
      <c r="B314" s="34">
        <v>413</v>
      </c>
      <c r="C314" s="34" t="s">
        <v>584</v>
      </c>
      <c r="D314" s="36">
        <v>62467</v>
      </c>
      <c r="E314" s="36">
        <v>348301</v>
      </c>
      <c r="G314" s="64"/>
      <c r="H314" s="65"/>
      <c r="I314" s="64"/>
    </row>
    <row r="315" spans="1:9" x14ac:dyDescent="0.2">
      <c r="A315">
        <v>2022</v>
      </c>
      <c r="B315" s="34">
        <v>414</v>
      </c>
      <c r="C315" s="34" t="s">
        <v>585</v>
      </c>
      <c r="D315" s="36">
        <v>7319</v>
      </c>
      <c r="E315" s="36">
        <v>29336</v>
      </c>
      <c r="G315" s="64"/>
      <c r="H315" s="65"/>
      <c r="I315" s="64"/>
    </row>
    <row r="316" spans="1:9" x14ac:dyDescent="0.2">
      <c r="A316">
        <v>2022</v>
      </c>
      <c r="B316" s="34">
        <v>415</v>
      </c>
      <c r="C316" s="34" t="s">
        <v>586</v>
      </c>
      <c r="D316" s="36">
        <v>10329</v>
      </c>
      <c r="E316" s="36">
        <v>46471</v>
      </c>
      <c r="G316" s="64"/>
      <c r="H316" s="65"/>
      <c r="I316" s="64"/>
    </row>
    <row r="317" spans="1:9" x14ac:dyDescent="0.2">
      <c r="A317">
        <v>2022</v>
      </c>
      <c r="B317" s="34">
        <v>416</v>
      </c>
      <c r="C317" s="34" t="s">
        <v>587</v>
      </c>
      <c r="D317" s="36">
        <v>18689</v>
      </c>
      <c r="E317" s="36">
        <v>188729</v>
      </c>
      <c r="G317" s="64"/>
      <c r="H317" s="65"/>
      <c r="I317" s="64"/>
    </row>
    <row r="318" spans="1:9" x14ac:dyDescent="0.2">
      <c r="A318">
        <v>2022</v>
      </c>
      <c r="B318" s="34">
        <v>417</v>
      </c>
      <c r="C318" s="34" t="s">
        <v>588</v>
      </c>
      <c r="D318" s="36">
        <v>50364</v>
      </c>
      <c r="E318" s="36">
        <v>278053</v>
      </c>
      <c r="G318" s="64"/>
      <c r="H318" s="65"/>
      <c r="I318" s="64"/>
    </row>
    <row r="319" spans="1:9" x14ac:dyDescent="0.2">
      <c r="A319">
        <v>2022</v>
      </c>
      <c r="B319" s="34">
        <v>418</v>
      </c>
      <c r="C319" s="34" t="s">
        <v>589</v>
      </c>
      <c r="D319" s="36">
        <v>136591</v>
      </c>
      <c r="E319" s="36">
        <v>869702</v>
      </c>
      <c r="G319" s="64"/>
      <c r="H319" s="65"/>
      <c r="I319" s="64"/>
    </row>
    <row r="320" spans="1:9" x14ac:dyDescent="0.2">
      <c r="A320">
        <v>2022</v>
      </c>
      <c r="B320" s="34">
        <v>419</v>
      </c>
      <c r="C320" s="34" t="s">
        <v>590</v>
      </c>
      <c r="D320" s="36">
        <v>123081</v>
      </c>
      <c r="E320" s="36">
        <v>530622</v>
      </c>
      <c r="G320" s="64"/>
      <c r="H320" s="65"/>
      <c r="I320" s="64"/>
    </row>
    <row r="321" spans="1:9" x14ac:dyDescent="0.2">
      <c r="A321">
        <v>2022</v>
      </c>
      <c r="B321" s="34">
        <v>420</v>
      </c>
      <c r="C321" s="34" t="s">
        <v>591</v>
      </c>
      <c r="D321" s="36">
        <v>199420</v>
      </c>
      <c r="E321" s="36">
        <v>1026124</v>
      </c>
      <c r="G321" s="64"/>
      <c r="H321" s="65"/>
      <c r="I321" s="64"/>
    </row>
    <row r="322" spans="1:9" x14ac:dyDescent="0.2">
      <c r="A322">
        <v>2022</v>
      </c>
      <c r="B322" s="34">
        <v>421</v>
      </c>
      <c r="C322" s="34" t="s">
        <v>592</v>
      </c>
      <c r="D322" s="36">
        <v>209078</v>
      </c>
      <c r="E322" s="36">
        <v>1273425</v>
      </c>
      <c r="G322" s="64"/>
      <c r="H322" s="65"/>
      <c r="I322" s="64"/>
    </row>
    <row r="323" spans="1:9" x14ac:dyDescent="0.2">
      <c r="A323">
        <v>2022</v>
      </c>
      <c r="B323" s="34">
        <v>422</v>
      </c>
      <c r="C323" s="34" t="s">
        <v>593</v>
      </c>
      <c r="D323" s="36">
        <v>22038</v>
      </c>
      <c r="E323" s="36">
        <v>174662</v>
      </c>
      <c r="G323" s="64"/>
      <c r="H323" s="65"/>
      <c r="I323" s="64"/>
    </row>
    <row r="324" spans="1:9" x14ac:dyDescent="0.2">
      <c r="A324">
        <v>2022</v>
      </c>
      <c r="B324" s="34">
        <v>423</v>
      </c>
      <c r="C324" s="34" t="s">
        <v>594</v>
      </c>
      <c r="D324" s="36">
        <v>41770</v>
      </c>
      <c r="E324" s="36">
        <v>211071</v>
      </c>
      <c r="G324" s="64"/>
      <c r="H324" s="65"/>
      <c r="I324" s="64"/>
    </row>
    <row r="325" spans="1:9" x14ac:dyDescent="0.2">
      <c r="A325">
        <v>2022</v>
      </c>
      <c r="B325" s="34">
        <v>424</v>
      </c>
      <c r="C325" s="34" t="s">
        <v>595</v>
      </c>
      <c r="D325" s="36">
        <v>85263</v>
      </c>
      <c r="E325" s="36">
        <v>535317</v>
      </c>
      <c r="G325" s="64"/>
      <c r="H325" s="65"/>
      <c r="I325" s="64"/>
    </row>
    <row r="326" spans="1:9" x14ac:dyDescent="0.2">
      <c r="A326">
        <v>2022</v>
      </c>
      <c r="B326" s="34">
        <v>425</v>
      </c>
      <c r="C326" s="34" t="s">
        <v>596</v>
      </c>
      <c r="D326" s="36">
        <v>565342</v>
      </c>
      <c r="E326" s="36">
        <v>3118472</v>
      </c>
      <c r="G326" s="64"/>
      <c r="H326" s="65"/>
      <c r="I326" s="64"/>
    </row>
    <row r="327" spans="1:9" x14ac:dyDescent="0.2">
      <c r="A327">
        <v>2022</v>
      </c>
      <c r="B327" s="34">
        <v>426</v>
      </c>
      <c r="C327" s="34" t="s">
        <v>597</v>
      </c>
      <c r="D327" s="36">
        <v>139778</v>
      </c>
      <c r="E327" s="36">
        <v>931754</v>
      </c>
      <c r="G327" s="64"/>
      <c r="H327" s="65"/>
      <c r="I327" s="64"/>
    </row>
    <row r="328" spans="1:9" x14ac:dyDescent="0.2">
      <c r="A328">
        <v>2022</v>
      </c>
      <c r="B328" s="34">
        <v>427</v>
      </c>
      <c r="C328" s="34" t="s">
        <v>598</v>
      </c>
      <c r="D328" s="36">
        <v>168319</v>
      </c>
      <c r="E328" s="36">
        <v>980099</v>
      </c>
      <c r="G328" s="64"/>
      <c r="H328" s="65"/>
      <c r="I328" s="64"/>
    </row>
    <row r="329" spans="1:9" x14ac:dyDescent="0.2">
      <c r="A329">
        <v>2022</v>
      </c>
      <c r="B329" s="34">
        <v>428</v>
      </c>
      <c r="C329" s="34" t="s">
        <v>599</v>
      </c>
      <c r="D329" s="36">
        <v>17053</v>
      </c>
      <c r="E329" s="36">
        <v>124206</v>
      </c>
      <c r="G329" s="64"/>
      <c r="H329" s="65"/>
      <c r="I329" s="64"/>
    </row>
    <row r="330" spans="1:9" x14ac:dyDescent="0.2">
      <c r="A330">
        <v>2022</v>
      </c>
      <c r="B330" s="34">
        <v>429</v>
      </c>
      <c r="C330" s="34" t="s">
        <v>600</v>
      </c>
      <c r="D330" s="36">
        <v>25653</v>
      </c>
      <c r="E330" s="36">
        <v>198441</v>
      </c>
      <c r="G330" s="64"/>
      <c r="H330" s="65"/>
      <c r="I330" s="64"/>
    </row>
    <row r="331" spans="1:9" x14ac:dyDescent="0.2">
      <c r="A331">
        <v>2022</v>
      </c>
      <c r="B331" s="34">
        <v>430</v>
      </c>
      <c r="C331" s="34" t="s">
        <v>601</v>
      </c>
      <c r="D331" s="36">
        <v>169807</v>
      </c>
      <c r="E331" s="36">
        <v>1302692</v>
      </c>
      <c r="G331" s="64"/>
      <c r="H331" s="65"/>
      <c r="I331" s="64"/>
    </row>
    <row r="332" spans="1:9" x14ac:dyDescent="0.2">
      <c r="A332">
        <v>2022</v>
      </c>
      <c r="B332" s="34">
        <v>431</v>
      </c>
      <c r="C332" s="34" t="s">
        <v>602</v>
      </c>
      <c r="D332" s="36">
        <v>22952</v>
      </c>
      <c r="E332" s="36">
        <v>165666</v>
      </c>
      <c r="G332" s="64"/>
      <c r="H332" s="65"/>
      <c r="I332" s="64"/>
    </row>
    <row r="333" spans="1:9" x14ac:dyDescent="0.2">
      <c r="A333">
        <v>2022</v>
      </c>
      <c r="B333" s="34">
        <v>432</v>
      </c>
      <c r="C333" s="34" t="s">
        <v>603</v>
      </c>
      <c r="D333" s="36">
        <v>28819</v>
      </c>
      <c r="E333" s="36">
        <v>195325</v>
      </c>
      <c r="G333" s="64"/>
      <c r="H333" s="65"/>
      <c r="I333" s="64"/>
    </row>
    <row r="334" spans="1:9" x14ac:dyDescent="0.2">
      <c r="A334">
        <v>2022</v>
      </c>
      <c r="B334" s="34">
        <v>433</v>
      </c>
      <c r="C334" s="34" t="s">
        <v>604</v>
      </c>
      <c r="D334" s="36">
        <v>35705</v>
      </c>
      <c r="E334" s="36">
        <v>204471</v>
      </c>
      <c r="G334" s="64"/>
      <c r="H334" s="65"/>
      <c r="I334" s="64"/>
    </row>
    <row r="335" spans="1:9" x14ac:dyDescent="0.2">
      <c r="A335">
        <v>2022</v>
      </c>
      <c r="B335" s="34">
        <v>434</v>
      </c>
      <c r="C335" s="34" t="s">
        <v>605</v>
      </c>
      <c r="D335" s="36">
        <v>27824</v>
      </c>
      <c r="E335" s="36">
        <v>194231</v>
      </c>
      <c r="G335" s="64"/>
      <c r="H335" s="65"/>
      <c r="I335" s="64"/>
    </row>
    <row r="336" spans="1:9" x14ac:dyDescent="0.2">
      <c r="A336">
        <v>2022</v>
      </c>
      <c r="B336" s="34">
        <v>435</v>
      </c>
      <c r="C336" s="34" t="s">
        <v>606</v>
      </c>
      <c r="D336" s="36">
        <v>15652</v>
      </c>
      <c r="E336" s="36">
        <v>156950</v>
      </c>
      <c r="G336" s="64"/>
      <c r="H336" s="65"/>
      <c r="I336" s="64"/>
    </row>
    <row r="337" spans="1:11" x14ac:dyDescent="0.2">
      <c r="A337">
        <v>2022</v>
      </c>
      <c r="B337" s="34">
        <v>436</v>
      </c>
      <c r="C337" s="34" t="s">
        <v>607</v>
      </c>
      <c r="D337" s="36">
        <v>33921</v>
      </c>
      <c r="E337" s="36">
        <v>139700</v>
      </c>
      <c r="G337" s="64"/>
      <c r="H337" s="65"/>
      <c r="I337" s="64"/>
    </row>
    <row r="338" spans="1:11" x14ac:dyDescent="0.2">
      <c r="A338">
        <v>2022</v>
      </c>
      <c r="B338" s="34">
        <v>437</v>
      </c>
      <c r="C338" s="34" t="s">
        <v>608</v>
      </c>
      <c r="D338" s="36">
        <v>86785</v>
      </c>
      <c r="E338" s="36">
        <v>469306</v>
      </c>
      <c r="G338" s="64"/>
      <c r="H338" s="65"/>
      <c r="I338" s="64"/>
    </row>
    <row r="339" spans="1:11" x14ac:dyDescent="0.2">
      <c r="A339">
        <v>2022</v>
      </c>
      <c r="B339" s="34">
        <v>438</v>
      </c>
      <c r="C339" s="34" t="s">
        <v>609</v>
      </c>
      <c r="D339" s="36">
        <v>31823</v>
      </c>
      <c r="E339" s="36">
        <v>181450</v>
      </c>
      <c r="G339" s="64"/>
      <c r="H339" s="65"/>
      <c r="I339" s="64"/>
    </row>
    <row r="340" spans="1:11" x14ac:dyDescent="0.2">
      <c r="A340">
        <v>2022</v>
      </c>
      <c r="B340" s="34">
        <v>439</v>
      </c>
      <c r="C340" s="34" t="s">
        <v>610</v>
      </c>
      <c r="D340" s="36">
        <v>73230</v>
      </c>
      <c r="E340" s="36">
        <v>484498</v>
      </c>
      <c r="G340" s="64"/>
      <c r="H340" s="65"/>
      <c r="I340" s="64"/>
    </row>
    <row r="341" spans="1:11" x14ac:dyDescent="0.2">
      <c r="A341">
        <v>2022</v>
      </c>
      <c r="B341" s="34">
        <v>440</v>
      </c>
      <c r="C341" s="34" t="s">
        <v>611</v>
      </c>
      <c r="D341" s="36">
        <v>24369</v>
      </c>
      <c r="E341" s="36">
        <v>168145</v>
      </c>
      <c r="G341" s="64"/>
      <c r="H341" s="65"/>
      <c r="I341" s="64"/>
    </row>
    <row r="342" spans="1:11" x14ac:dyDescent="0.2">
      <c r="A342">
        <v>2022</v>
      </c>
      <c r="B342" s="34">
        <v>441</v>
      </c>
      <c r="C342" s="34" t="s">
        <v>612</v>
      </c>
      <c r="D342" s="36">
        <v>53839</v>
      </c>
      <c r="E342" s="36">
        <v>418562</v>
      </c>
      <c r="G342" s="64"/>
      <c r="H342" s="65"/>
      <c r="I342" s="64"/>
    </row>
    <row r="343" spans="1:11" x14ac:dyDescent="0.2">
      <c r="A343">
        <v>2022</v>
      </c>
      <c r="B343" s="34">
        <v>442</v>
      </c>
      <c r="C343" s="34" t="s">
        <v>613</v>
      </c>
      <c r="D343" s="36">
        <v>82839</v>
      </c>
      <c r="E343" s="36">
        <v>575806</v>
      </c>
      <c r="G343" s="64"/>
      <c r="H343" s="65"/>
      <c r="I343" s="64"/>
    </row>
    <row r="344" spans="1:11" x14ac:dyDescent="0.2">
      <c r="A344">
        <v>2022</v>
      </c>
      <c r="B344" s="34">
        <v>443</v>
      </c>
      <c r="C344" s="34" t="s">
        <v>614</v>
      </c>
      <c r="D344" s="36">
        <v>6689</v>
      </c>
      <c r="E344" s="36">
        <v>48056</v>
      </c>
      <c r="G344" s="64"/>
      <c r="H344" s="65"/>
      <c r="I344" s="64"/>
    </row>
    <row r="345" spans="1:11" x14ac:dyDescent="0.2">
      <c r="A345">
        <v>2022</v>
      </c>
      <c r="B345" s="34">
        <v>444</v>
      </c>
      <c r="C345" s="34" t="s">
        <v>615</v>
      </c>
      <c r="D345" s="36">
        <v>56980</v>
      </c>
      <c r="E345" s="36">
        <v>210035</v>
      </c>
      <c r="G345" s="64"/>
      <c r="H345" s="65"/>
      <c r="I345" s="64"/>
    </row>
    <row r="346" spans="1:11" x14ac:dyDescent="0.2">
      <c r="A346">
        <v>2022</v>
      </c>
      <c r="B346" s="34">
        <v>445</v>
      </c>
      <c r="C346" s="34" t="s">
        <v>616</v>
      </c>
      <c r="D346" s="36">
        <v>51992</v>
      </c>
      <c r="E346" s="36">
        <v>283926</v>
      </c>
      <c r="G346" s="64"/>
      <c r="H346" s="65"/>
      <c r="I346" s="64"/>
    </row>
    <row r="347" spans="1:11" x14ac:dyDescent="0.2">
      <c r="A347">
        <v>2022</v>
      </c>
      <c r="B347" s="34">
        <v>446</v>
      </c>
      <c r="C347" s="34" t="s">
        <v>617</v>
      </c>
      <c r="D347" s="36">
        <v>74229</v>
      </c>
      <c r="E347" s="36">
        <v>404221</v>
      </c>
      <c r="F347" s="57"/>
      <c r="G347" s="57"/>
      <c r="I347" s="64"/>
      <c r="J347" s="65"/>
      <c r="K347" s="64"/>
    </row>
    <row r="348" spans="1:11" x14ac:dyDescent="0.2">
      <c r="A348">
        <v>2022</v>
      </c>
      <c r="B348" s="34">
        <v>447</v>
      </c>
      <c r="C348" s="34" t="s">
        <v>618</v>
      </c>
      <c r="D348" s="36">
        <v>26514</v>
      </c>
      <c r="E348" s="36">
        <v>125960</v>
      </c>
      <c r="F348" s="57"/>
      <c r="G348" s="57"/>
      <c r="I348" s="64"/>
      <c r="J348" s="65"/>
      <c r="K348" s="64"/>
    </row>
    <row r="349" spans="1:11" x14ac:dyDescent="0.2">
      <c r="A349">
        <v>2022</v>
      </c>
      <c r="B349" s="34">
        <v>448</v>
      </c>
      <c r="C349" s="34" t="s">
        <v>619</v>
      </c>
      <c r="D349" s="36">
        <v>27434</v>
      </c>
      <c r="E349" s="36">
        <v>210751</v>
      </c>
      <c r="F349" s="57"/>
      <c r="G349" s="57"/>
      <c r="I349" s="64"/>
      <c r="J349" s="65"/>
      <c r="K349" s="64"/>
    </row>
    <row r="350" spans="1:11" x14ac:dyDescent="0.2">
      <c r="A350">
        <v>2022</v>
      </c>
      <c r="B350" s="34">
        <v>449</v>
      </c>
      <c r="C350" s="34" t="s">
        <v>620</v>
      </c>
      <c r="D350" s="36">
        <v>73748</v>
      </c>
      <c r="E350" s="36">
        <v>468146</v>
      </c>
      <c r="F350" s="57"/>
      <c r="G350" s="57"/>
      <c r="I350" s="64"/>
      <c r="J350" s="65"/>
      <c r="K350" s="64"/>
    </row>
    <row r="351" spans="1:11" x14ac:dyDescent="0.2">
      <c r="A351">
        <v>2022</v>
      </c>
      <c r="B351" s="34">
        <v>450</v>
      </c>
      <c r="C351" s="34" t="s">
        <v>621</v>
      </c>
      <c r="D351" s="36">
        <v>19200</v>
      </c>
      <c r="E351" s="36">
        <v>143615</v>
      </c>
      <c r="F351" s="57"/>
      <c r="G351" s="57"/>
      <c r="I351" s="64"/>
      <c r="J351" s="65"/>
      <c r="K351" s="64"/>
    </row>
    <row r="352" spans="1:11" x14ac:dyDescent="0.2">
      <c r="A352">
        <v>2022</v>
      </c>
      <c r="B352" s="34">
        <v>451</v>
      </c>
      <c r="C352" s="34" t="s">
        <v>622</v>
      </c>
      <c r="D352" s="36">
        <v>18036</v>
      </c>
      <c r="E352" s="36">
        <v>151646</v>
      </c>
      <c r="F352" s="57"/>
      <c r="G352" s="57"/>
      <c r="I352" s="64"/>
      <c r="J352" s="65"/>
      <c r="K352" s="64"/>
    </row>
    <row r="353" spans="1:11" x14ac:dyDescent="0.2">
      <c r="A353">
        <v>2022</v>
      </c>
      <c r="B353" s="34">
        <v>452</v>
      </c>
      <c r="C353" s="34" t="s">
        <v>623</v>
      </c>
      <c r="D353" s="36">
        <v>41226</v>
      </c>
      <c r="E353" s="36">
        <v>405772</v>
      </c>
      <c r="F353" s="57"/>
      <c r="G353" s="57"/>
      <c r="I353" s="64"/>
      <c r="J353" s="65"/>
      <c r="K353" s="64"/>
    </row>
    <row r="354" spans="1:11" x14ac:dyDescent="0.2">
      <c r="A354">
        <v>2022</v>
      </c>
      <c r="B354" s="34">
        <v>453</v>
      </c>
      <c r="C354" s="34" t="s">
        <v>624</v>
      </c>
      <c r="D354" s="36">
        <v>18801</v>
      </c>
      <c r="E354" s="36">
        <v>150911</v>
      </c>
      <c r="F354" s="57"/>
      <c r="G354" s="57"/>
      <c r="I354" s="64"/>
      <c r="J354" s="65"/>
      <c r="K354" s="64"/>
    </row>
    <row r="355" spans="1:11" x14ac:dyDescent="0.2">
      <c r="A355">
        <v>2022</v>
      </c>
      <c r="B355" s="34">
        <v>454</v>
      </c>
      <c r="C355" s="34" t="s">
        <v>625</v>
      </c>
      <c r="D355" s="36">
        <v>130799</v>
      </c>
      <c r="E355" s="36">
        <v>609804</v>
      </c>
      <c r="F355" s="57"/>
      <c r="G355" s="57"/>
      <c r="I355" s="64"/>
      <c r="J355" s="65"/>
      <c r="K355" s="64"/>
    </row>
    <row r="356" spans="1:11" x14ac:dyDescent="0.2">
      <c r="A356">
        <v>2022</v>
      </c>
      <c r="B356" s="34">
        <v>455</v>
      </c>
      <c r="C356" s="34" t="s">
        <v>626</v>
      </c>
      <c r="D356" s="36">
        <v>299467</v>
      </c>
      <c r="E356" s="36">
        <v>1599729</v>
      </c>
      <c r="F356" s="57"/>
      <c r="G356" s="57"/>
      <c r="I356" s="64"/>
      <c r="J356" s="65"/>
      <c r="K356" s="64"/>
    </row>
    <row r="357" spans="1:11" x14ac:dyDescent="0.2">
      <c r="A357">
        <v>2022</v>
      </c>
      <c r="B357" s="34">
        <v>462</v>
      </c>
      <c r="C357" s="34" t="s">
        <v>627</v>
      </c>
      <c r="D357" s="36">
        <v>12842</v>
      </c>
      <c r="E357" s="36">
        <v>79916</v>
      </c>
      <c r="F357" s="57"/>
      <c r="G357" s="57"/>
      <c r="I357" s="64"/>
      <c r="J357" s="65"/>
      <c r="K357" s="64"/>
    </row>
    <row r="358" spans="1:11" x14ac:dyDescent="0.2">
      <c r="A358">
        <v>2022</v>
      </c>
      <c r="B358" s="34">
        <v>467</v>
      </c>
      <c r="C358" s="34" t="s">
        <v>628</v>
      </c>
      <c r="D358" s="36">
        <v>44277</v>
      </c>
      <c r="E358" s="36">
        <v>229542</v>
      </c>
      <c r="F358" s="57"/>
      <c r="G358" s="57"/>
      <c r="I358" s="64"/>
      <c r="J358" s="65"/>
      <c r="K358" s="64"/>
    </row>
    <row r="359" spans="1:11" x14ac:dyDescent="0.2">
      <c r="A359">
        <v>2022</v>
      </c>
      <c r="B359" s="34">
        <v>468</v>
      </c>
      <c r="C359" s="34" t="s">
        <v>629</v>
      </c>
      <c r="D359" s="36">
        <v>40678</v>
      </c>
      <c r="E359" s="36">
        <v>252842</v>
      </c>
      <c r="F359" s="57"/>
      <c r="G359" s="57"/>
      <c r="I359" s="64"/>
      <c r="J359" s="65"/>
      <c r="K359" s="64"/>
    </row>
    <row r="360" spans="1:11" x14ac:dyDescent="0.2">
      <c r="A360">
        <v>2022</v>
      </c>
      <c r="B360" s="34">
        <v>469</v>
      </c>
      <c r="C360" s="34" t="s">
        <v>630</v>
      </c>
      <c r="D360" s="36">
        <v>49670</v>
      </c>
      <c r="E360" s="36">
        <v>406236</v>
      </c>
      <c r="F360" s="57"/>
      <c r="G360" s="57"/>
      <c r="I360" s="64"/>
      <c r="J360" s="65"/>
      <c r="K360" s="64"/>
    </row>
    <row r="361" spans="1:11" x14ac:dyDescent="0.2">
      <c r="A361">
        <v>2022</v>
      </c>
      <c r="B361" s="34">
        <v>470</v>
      </c>
      <c r="C361" s="34" t="s">
        <v>631</v>
      </c>
      <c r="D361" s="36">
        <v>56913</v>
      </c>
      <c r="E361" s="36">
        <v>268499</v>
      </c>
      <c r="F361" s="57"/>
      <c r="G361" s="57"/>
      <c r="I361" s="64"/>
      <c r="J361" s="65"/>
      <c r="K361" s="64"/>
    </row>
    <row r="362" spans="1:11" x14ac:dyDescent="0.2">
      <c r="A362">
        <v>2022</v>
      </c>
      <c r="B362" s="34">
        <v>471</v>
      </c>
      <c r="C362" s="34" t="s">
        <v>632</v>
      </c>
      <c r="D362" s="36">
        <v>29173</v>
      </c>
      <c r="E362" s="36">
        <v>174177</v>
      </c>
      <c r="F362" s="57"/>
      <c r="G362" s="57"/>
      <c r="I362" s="64"/>
      <c r="J362" s="65"/>
      <c r="K362" s="64"/>
    </row>
    <row r="363" spans="1:11" x14ac:dyDescent="0.2">
      <c r="A363">
        <v>2022</v>
      </c>
      <c r="B363" s="34">
        <v>472</v>
      </c>
      <c r="C363" s="34" t="s">
        <v>633</v>
      </c>
      <c r="D363" s="36">
        <v>657915</v>
      </c>
      <c r="E363" s="36">
        <v>3606179</v>
      </c>
      <c r="F363" s="57"/>
      <c r="G363" s="57"/>
      <c r="I363" s="64"/>
      <c r="J363" s="65"/>
      <c r="K363" s="64"/>
    </row>
    <row r="364" spans="1:11" x14ac:dyDescent="0.2">
      <c r="A364">
        <v>2022</v>
      </c>
      <c r="B364" s="34">
        <v>476</v>
      </c>
      <c r="C364" s="34" t="s">
        <v>634</v>
      </c>
      <c r="D364" s="36">
        <v>180037</v>
      </c>
      <c r="E364" s="36">
        <v>1341880</v>
      </c>
      <c r="F364" s="57"/>
      <c r="G364" s="57"/>
      <c r="I364" s="64"/>
      <c r="J364" s="65"/>
      <c r="K364" s="64"/>
    </row>
    <row r="365" spans="1:11" x14ac:dyDescent="0.2">
      <c r="A365">
        <v>2022</v>
      </c>
      <c r="B365" s="34">
        <v>477</v>
      </c>
      <c r="C365" s="34" t="s">
        <v>635</v>
      </c>
      <c r="D365" s="36">
        <v>64660</v>
      </c>
      <c r="E365" s="36">
        <v>270423</v>
      </c>
      <c r="F365" s="57"/>
      <c r="G365" s="57"/>
      <c r="I365" s="64"/>
      <c r="J365" s="65"/>
      <c r="K365" s="64"/>
    </row>
    <row r="366" spans="1:11" x14ac:dyDescent="0.2">
      <c r="A366">
        <v>2022</v>
      </c>
      <c r="B366" s="34">
        <v>478</v>
      </c>
      <c r="C366" s="34" t="s">
        <v>636</v>
      </c>
      <c r="D366" s="36">
        <v>30199</v>
      </c>
      <c r="E366" s="36">
        <v>138209</v>
      </c>
      <c r="F366" s="57"/>
      <c r="G366" s="57"/>
      <c r="I366" s="64"/>
      <c r="J366" s="65"/>
      <c r="K366" s="64"/>
    </row>
    <row r="367" spans="1:11" x14ac:dyDescent="0.2">
      <c r="A367">
        <v>2022</v>
      </c>
      <c r="B367" s="34">
        <v>479</v>
      </c>
      <c r="C367" s="34" t="s">
        <v>637</v>
      </c>
      <c r="D367" s="36">
        <v>501181</v>
      </c>
      <c r="E367" s="36">
        <v>3489766</v>
      </c>
      <c r="F367" s="57"/>
      <c r="G367" s="57"/>
      <c r="I367" s="64"/>
      <c r="J367" s="65"/>
      <c r="K367" s="64"/>
    </row>
    <row r="368" spans="1:11" x14ac:dyDescent="0.2">
      <c r="A368">
        <v>2022</v>
      </c>
      <c r="B368" s="34">
        <v>485</v>
      </c>
      <c r="C368" s="34" t="s">
        <v>638</v>
      </c>
      <c r="D368" s="36">
        <v>150362</v>
      </c>
      <c r="E368" s="36">
        <v>1010329</v>
      </c>
      <c r="F368" s="57"/>
      <c r="G368" s="57"/>
      <c r="I368" s="64"/>
      <c r="J368" s="65"/>
      <c r="K368" s="64"/>
    </row>
    <row r="369" spans="1:11" x14ac:dyDescent="0.2">
      <c r="A369">
        <v>2022</v>
      </c>
      <c r="B369" s="34">
        <v>486</v>
      </c>
      <c r="C369" s="34" t="s">
        <v>639</v>
      </c>
      <c r="D369" s="36">
        <v>107718</v>
      </c>
      <c r="E369" s="36">
        <v>532972</v>
      </c>
      <c r="F369" s="57"/>
      <c r="G369" s="57"/>
      <c r="I369" s="64"/>
      <c r="J369" s="65"/>
      <c r="K369" s="64"/>
    </row>
    <row r="370" spans="1:11" x14ac:dyDescent="0.2">
      <c r="A370">
        <v>2022</v>
      </c>
      <c r="B370" s="34">
        <v>487</v>
      </c>
      <c r="C370" s="34" t="s">
        <v>640</v>
      </c>
      <c r="D370" s="36">
        <v>74273</v>
      </c>
      <c r="E370" s="36">
        <v>411753</v>
      </c>
      <c r="F370" s="57"/>
      <c r="G370" s="57"/>
      <c r="I370" s="64"/>
      <c r="J370" s="65"/>
      <c r="K370" s="64"/>
    </row>
    <row r="371" spans="1:11" x14ac:dyDescent="0.2">
      <c r="A371">
        <v>2022</v>
      </c>
      <c r="B371" s="34">
        <v>489</v>
      </c>
      <c r="C371" s="34" t="s">
        <v>641</v>
      </c>
      <c r="D371" s="36">
        <v>10276</v>
      </c>
      <c r="E371" s="36">
        <v>54625</v>
      </c>
      <c r="F371" s="57"/>
      <c r="G371" s="57"/>
      <c r="I371" s="64"/>
      <c r="J371" s="65"/>
      <c r="K371" s="64"/>
    </row>
    <row r="372" spans="1:11" x14ac:dyDescent="0.2">
      <c r="A372">
        <v>2022</v>
      </c>
      <c r="B372" s="34">
        <v>490</v>
      </c>
      <c r="C372" s="34" t="s">
        <v>642</v>
      </c>
      <c r="D372" s="36">
        <v>60021</v>
      </c>
      <c r="E372" s="36">
        <v>471749</v>
      </c>
      <c r="F372" s="57"/>
      <c r="G372" s="57"/>
      <c r="I372" s="64"/>
      <c r="J372" s="65"/>
      <c r="K372" s="64"/>
    </row>
    <row r="373" spans="1:11" x14ac:dyDescent="0.2">
      <c r="A373">
        <v>2022</v>
      </c>
      <c r="B373" s="34">
        <v>491</v>
      </c>
      <c r="C373" s="34" t="s">
        <v>643</v>
      </c>
      <c r="D373" s="36">
        <v>89775</v>
      </c>
      <c r="E373" s="36">
        <v>805703</v>
      </c>
      <c r="F373" s="57"/>
      <c r="G373" s="57"/>
      <c r="I373" s="64"/>
      <c r="J373" s="65"/>
      <c r="K373" s="64"/>
    </row>
    <row r="374" spans="1:11" x14ac:dyDescent="0.2">
      <c r="A374">
        <v>2022</v>
      </c>
      <c r="B374" s="34">
        <v>492</v>
      </c>
      <c r="C374" s="34" t="s">
        <v>644</v>
      </c>
      <c r="D374" s="36">
        <v>587477</v>
      </c>
      <c r="E374" s="36">
        <v>3700147</v>
      </c>
      <c r="F374" s="57"/>
      <c r="G374" s="57"/>
      <c r="I374" s="64"/>
      <c r="J374" s="65"/>
      <c r="K374" s="64"/>
    </row>
    <row r="375" spans="1:11" x14ac:dyDescent="0.2">
      <c r="A375">
        <v>2022</v>
      </c>
      <c r="B375" s="34">
        <v>493</v>
      </c>
      <c r="C375" s="34" t="s">
        <v>645</v>
      </c>
      <c r="D375" s="36">
        <v>2298696</v>
      </c>
      <c r="E375" s="36">
        <v>11155466</v>
      </c>
      <c r="F375" s="57"/>
      <c r="G375" s="57"/>
      <c r="I375" s="64"/>
      <c r="J375" s="65"/>
      <c r="K375" s="64"/>
    </row>
    <row r="376" spans="1:11" x14ac:dyDescent="0.2">
      <c r="A376">
        <v>2022</v>
      </c>
      <c r="B376" s="34">
        <v>494</v>
      </c>
      <c r="C376" s="34" t="s">
        <v>646</v>
      </c>
      <c r="D376" s="36">
        <v>311678</v>
      </c>
      <c r="E376" s="36">
        <v>2133081</v>
      </c>
      <c r="F376" s="57"/>
      <c r="G376" s="57"/>
      <c r="I376" s="64"/>
      <c r="J376" s="65"/>
      <c r="K376" s="64"/>
    </row>
    <row r="377" spans="1:11" x14ac:dyDescent="0.2">
      <c r="A377">
        <v>2022</v>
      </c>
      <c r="B377" s="34">
        <v>495</v>
      </c>
      <c r="C377" s="34" t="s">
        <v>647</v>
      </c>
      <c r="D377" s="36">
        <v>49451</v>
      </c>
      <c r="E377" s="36">
        <v>274085</v>
      </c>
      <c r="F377" s="57"/>
      <c r="G377" s="57"/>
      <c r="I377" s="64"/>
      <c r="J377" s="65"/>
      <c r="K377" s="64"/>
    </row>
    <row r="378" spans="1:11" x14ac:dyDescent="0.2">
      <c r="A378">
        <v>2022</v>
      </c>
      <c r="B378" s="34">
        <v>496</v>
      </c>
      <c r="C378" s="34" t="s">
        <v>648</v>
      </c>
      <c r="D378" s="36">
        <v>38322</v>
      </c>
      <c r="E378" s="36">
        <v>194103</v>
      </c>
      <c r="F378" s="57"/>
      <c r="G378" s="57"/>
      <c r="I378" s="64"/>
      <c r="J378" s="65"/>
      <c r="K378" s="64"/>
    </row>
    <row r="379" spans="1:11" x14ac:dyDescent="0.2">
      <c r="A379">
        <v>2022</v>
      </c>
      <c r="B379" s="34">
        <v>497</v>
      </c>
      <c r="C379" s="34" t="s">
        <v>649</v>
      </c>
      <c r="D379" s="36">
        <v>38894</v>
      </c>
      <c r="E379" s="36">
        <v>266063</v>
      </c>
      <c r="F379" s="57"/>
      <c r="G379" s="57"/>
      <c r="I379" s="64"/>
      <c r="J379" s="65"/>
      <c r="K379" s="64"/>
    </row>
    <row r="380" spans="1:11" x14ac:dyDescent="0.2">
      <c r="A380">
        <v>2022</v>
      </c>
      <c r="B380" s="34">
        <v>498</v>
      </c>
      <c r="C380" s="34" t="s">
        <v>650</v>
      </c>
      <c r="D380" s="36">
        <v>66754</v>
      </c>
      <c r="E380" s="36">
        <v>350430</v>
      </c>
      <c r="F380" s="57"/>
      <c r="G380" s="57"/>
      <c r="I380" s="64"/>
      <c r="J380" s="65"/>
      <c r="K380" s="64"/>
    </row>
    <row r="381" spans="1:11" x14ac:dyDescent="0.2">
      <c r="A381">
        <v>2022</v>
      </c>
      <c r="B381" s="34">
        <v>499</v>
      </c>
      <c r="C381" s="34" t="s">
        <v>651</v>
      </c>
      <c r="D381" s="36">
        <v>71636</v>
      </c>
      <c r="E381" s="36">
        <v>559735</v>
      </c>
      <c r="F381" s="57"/>
      <c r="G381" s="57"/>
      <c r="I381" s="64"/>
      <c r="J381" s="65"/>
      <c r="K381" s="64"/>
    </row>
    <row r="382" spans="1:11" x14ac:dyDescent="0.2">
      <c r="A382">
        <v>2022</v>
      </c>
      <c r="B382" s="34">
        <v>500</v>
      </c>
      <c r="C382" s="34" t="s">
        <v>652</v>
      </c>
      <c r="D382" s="36">
        <v>119138</v>
      </c>
      <c r="E382" s="36">
        <v>591981</v>
      </c>
      <c r="F382" s="57"/>
      <c r="G382" s="57"/>
      <c r="I382" s="64"/>
      <c r="J382" s="65"/>
      <c r="K382" s="64"/>
    </row>
    <row r="383" spans="1:11" x14ac:dyDescent="0.2">
      <c r="A383">
        <v>2022</v>
      </c>
      <c r="B383" s="34">
        <v>501</v>
      </c>
      <c r="C383" s="34" t="s">
        <v>653</v>
      </c>
      <c r="D383" s="36">
        <v>63247</v>
      </c>
      <c r="E383" s="36">
        <v>373646</v>
      </c>
      <c r="F383" s="57"/>
      <c r="G383" s="57"/>
      <c r="I383" s="64"/>
      <c r="J383" s="65"/>
      <c r="K383" s="64"/>
    </row>
    <row r="384" spans="1:11" x14ac:dyDescent="0.2">
      <c r="A384">
        <v>2022</v>
      </c>
      <c r="B384" s="34">
        <v>502</v>
      </c>
      <c r="C384" s="34" t="s">
        <v>654</v>
      </c>
      <c r="D384" s="36">
        <v>11509</v>
      </c>
      <c r="E384" s="36">
        <v>49136</v>
      </c>
      <c r="F384" s="57"/>
      <c r="G384" s="57"/>
      <c r="I384" s="64"/>
      <c r="J384" s="65"/>
      <c r="K384" s="64"/>
    </row>
    <row r="385" spans="1:11" x14ac:dyDescent="0.2">
      <c r="A385">
        <v>2022</v>
      </c>
      <c r="B385" s="34">
        <v>503</v>
      </c>
      <c r="C385" s="34" t="s">
        <v>655</v>
      </c>
      <c r="D385" s="36">
        <v>68575</v>
      </c>
      <c r="E385" s="36">
        <v>361891</v>
      </c>
      <c r="F385" s="57"/>
      <c r="G385" s="57"/>
      <c r="I385" s="64"/>
      <c r="J385" s="65"/>
      <c r="K385" s="64"/>
    </row>
    <row r="386" spans="1:11" x14ac:dyDescent="0.2">
      <c r="A386">
        <v>2022</v>
      </c>
      <c r="B386" s="34">
        <v>504</v>
      </c>
      <c r="C386" s="34" t="s">
        <v>656</v>
      </c>
      <c r="D386" s="36">
        <v>90706</v>
      </c>
      <c r="E386" s="36">
        <v>410239</v>
      </c>
      <c r="F386" s="57"/>
      <c r="G386" s="57"/>
      <c r="I386" s="64"/>
      <c r="J386" s="65"/>
      <c r="K386" s="64"/>
    </row>
    <row r="387" spans="1:11" x14ac:dyDescent="0.2">
      <c r="A387">
        <v>2022</v>
      </c>
      <c r="B387" s="34">
        <v>505</v>
      </c>
      <c r="C387" s="34" t="s">
        <v>657</v>
      </c>
      <c r="D387" s="36">
        <v>882933</v>
      </c>
      <c r="E387" s="36">
        <v>4982918</v>
      </c>
      <c r="F387" s="57"/>
      <c r="G387" s="57"/>
      <c r="I387" s="64"/>
      <c r="J387" s="65"/>
      <c r="K387" s="64"/>
    </row>
    <row r="388" spans="1:11" x14ac:dyDescent="0.2">
      <c r="A388">
        <v>2022</v>
      </c>
      <c r="B388" s="34">
        <v>507</v>
      </c>
      <c r="C388" s="34" t="s">
        <v>658</v>
      </c>
      <c r="D388" s="36">
        <v>91464</v>
      </c>
      <c r="E388" s="36">
        <v>483121</v>
      </c>
      <c r="F388" s="57"/>
      <c r="G388" s="57"/>
      <c r="I388" s="64"/>
      <c r="J388" s="65"/>
      <c r="K388" s="64"/>
    </row>
    <row r="389" spans="1:11" x14ac:dyDescent="0.2">
      <c r="A389">
        <v>2022</v>
      </c>
      <c r="B389" s="34">
        <v>509</v>
      </c>
      <c r="C389" s="34" t="s">
        <v>659</v>
      </c>
      <c r="D389" s="36">
        <v>76958</v>
      </c>
      <c r="E389" s="36">
        <v>572821</v>
      </c>
      <c r="F389" s="57"/>
      <c r="G389" s="57"/>
      <c r="I389" s="64"/>
      <c r="J389" s="65"/>
      <c r="K389" s="64"/>
    </row>
    <row r="390" spans="1:11" x14ac:dyDescent="0.2">
      <c r="A390">
        <v>2022</v>
      </c>
      <c r="B390" s="34">
        <v>510</v>
      </c>
      <c r="C390" s="34" t="s">
        <v>660</v>
      </c>
      <c r="D390" s="36">
        <v>101152</v>
      </c>
      <c r="E390" s="36">
        <v>656947</v>
      </c>
      <c r="F390" s="57"/>
      <c r="G390" s="57"/>
      <c r="I390" s="64"/>
      <c r="J390" s="65"/>
      <c r="K390" s="64"/>
    </row>
    <row r="391" spans="1:11" x14ac:dyDescent="0.2">
      <c r="A391">
        <v>2022</v>
      </c>
      <c r="B391" s="34">
        <v>511</v>
      </c>
      <c r="C391" s="34" t="s">
        <v>479</v>
      </c>
      <c r="D391" s="36">
        <v>41947</v>
      </c>
      <c r="E391" s="36">
        <v>305480</v>
      </c>
      <c r="F391" s="57"/>
      <c r="G391" s="57"/>
      <c r="I391" s="64"/>
      <c r="J391" s="65"/>
      <c r="K391" s="64"/>
    </row>
    <row r="392" spans="1:11" x14ac:dyDescent="0.2">
      <c r="A392">
        <v>2022</v>
      </c>
      <c r="B392" s="34">
        <v>512</v>
      </c>
      <c r="C392" s="34" t="s">
        <v>480</v>
      </c>
      <c r="D392" s="36">
        <v>22684</v>
      </c>
      <c r="E392" s="36">
        <v>125704</v>
      </c>
      <c r="F392" s="57"/>
      <c r="G392" s="57"/>
      <c r="I392" s="64"/>
      <c r="J392" s="65"/>
      <c r="K392" s="64"/>
    </row>
    <row r="393" spans="1:11" x14ac:dyDescent="0.2">
      <c r="A393">
        <v>2022</v>
      </c>
      <c r="B393" s="34">
        <v>514</v>
      </c>
      <c r="C393" s="34" t="s">
        <v>481</v>
      </c>
      <c r="D393" s="36">
        <v>27510</v>
      </c>
      <c r="E393" s="36">
        <v>175784</v>
      </c>
      <c r="F393" s="57"/>
      <c r="G393" s="57"/>
      <c r="I393" s="64"/>
      <c r="J393" s="65"/>
      <c r="K393" s="64"/>
    </row>
    <row r="394" spans="1:11" x14ac:dyDescent="0.2">
      <c r="A394">
        <v>2022</v>
      </c>
      <c r="B394" s="34">
        <v>516</v>
      </c>
      <c r="C394" s="34" t="s">
        <v>482</v>
      </c>
      <c r="D394" s="36">
        <v>301700</v>
      </c>
      <c r="E394" s="36">
        <v>1759625</v>
      </c>
      <c r="F394" s="57"/>
      <c r="G394" s="57"/>
      <c r="I394" s="64"/>
      <c r="J394" s="65"/>
      <c r="K394" s="64"/>
    </row>
    <row r="395" spans="1:11" x14ac:dyDescent="0.2">
      <c r="A395">
        <v>2022</v>
      </c>
      <c r="B395" s="34">
        <v>522</v>
      </c>
      <c r="C395" s="34" t="s">
        <v>483</v>
      </c>
      <c r="D395" s="36">
        <v>35821</v>
      </c>
      <c r="E395" s="36">
        <v>279577</v>
      </c>
      <c r="F395" s="57"/>
      <c r="G395" s="57"/>
      <c r="I395" s="64"/>
      <c r="J395" s="65"/>
      <c r="K395" s="64"/>
    </row>
    <row r="396" spans="1:11" x14ac:dyDescent="0.2">
      <c r="A396">
        <v>2022</v>
      </c>
      <c r="B396" s="34">
        <v>523</v>
      </c>
      <c r="C396" s="34" t="s">
        <v>484</v>
      </c>
      <c r="D396" s="36">
        <v>88049</v>
      </c>
      <c r="E396" s="36">
        <v>794870</v>
      </c>
      <c r="F396" s="57"/>
      <c r="G396" s="57"/>
      <c r="I396" s="64"/>
      <c r="J396" s="65"/>
      <c r="K396" s="64"/>
    </row>
    <row r="397" spans="1:11" x14ac:dyDescent="0.2">
      <c r="A397">
        <v>2022</v>
      </c>
      <c r="B397" s="34">
        <v>524</v>
      </c>
      <c r="C397" s="34" t="s">
        <v>485</v>
      </c>
      <c r="D397" s="36">
        <v>177616</v>
      </c>
      <c r="E397" s="36">
        <v>1093877</v>
      </c>
      <c r="F397" s="57"/>
      <c r="G397" s="57"/>
      <c r="I397" s="64"/>
      <c r="J397" s="65"/>
      <c r="K397" s="64"/>
    </row>
    <row r="398" spans="1:11" x14ac:dyDescent="0.2">
      <c r="A398">
        <v>2022</v>
      </c>
      <c r="B398" s="34">
        <v>525</v>
      </c>
      <c r="C398" s="34" t="s">
        <v>486</v>
      </c>
      <c r="D398" s="36">
        <v>29271</v>
      </c>
      <c r="E398" s="36">
        <v>192418</v>
      </c>
      <c r="F398" s="57"/>
      <c r="G398" s="57"/>
      <c r="I398" s="64"/>
      <c r="J398" s="65"/>
      <c r="K398" s="64"/>
    </row>
    <row r="399" spans="1:11" x14ac:dyDescent="0.2">
      <c r="A399">
        <v>2022</v>
      </c>
      <c r="B399" s="34">
        <v>526</v>
      </c>
      <c r="C399" s="34" t="s">
        <v>661</v>
      </c>
      <c r="D399" s="36">
        <v>12272</v>
      </c>
      <c r="E399" s="36">
        <v>60715</v>
      </c>
      <c r="F399" s="57"/>
      <c r="G399" s="57"/>
      <c r="I399" s="64"/>
      <c r="J399" s="65"/>
      <c r="K399" s="64"/>
    </row>
    <row r="400" spans="1:11" x14ac:dyDescent="0.2">
      <c r="A400">
        <v>2022</v>
      </c>
      <c r="B400" s="34">
        <v>527</v>
      </c>
      <c r="C400" s="34" t="s">
        <v>662</v>
      </c>
      <c r="D400" s="36">
        <v>51654</v>
      </c>
      <c r="E400" s="36">
        <v>305790</v>
      </c>
      <c r="F400" s="57"/>
      <c r="G400" s="57"/>
      <c r="I400" s="64"/>
      <c r="J400" s="65"/>
      <c r="K400" s="64"/>
    </row>
    <row r="401" spans="1:11" x14ac:dyDescent="0.2">
      <c r="A401">
        <v>2022</v>
      </c>
      <c r="B401" s="34">
        <v>528</v>
      </c>
      <c r="C401" s="34" t="s">
        <v>489</v>
      </c>
      <c r="D401" s="36">
        <v>37100</v>
      </c>
      <c r="E401" s="36">
        <v>165142</v>
      </c>
      <c r="F401" s="57"/>
      <c r="G401" s="57"/>
      <c r="I401" s="64"/>
      <c r="J401" s="65"/>
      <c r="K401" s="64"/>
    </row>
    <row r="402" spans="1:11" x14ac:dyDescent="0.2">
      <c r="A402">
        <v>2022</v>
      </c>
      <c r="B402" s="34">
        <v>529</v>
      </c>
      <c r="C402" s="34" t="s">
        <v>490</v>
      </c>
      <c r="D402" s="36">
        <v>53856</v>
      </c>
      <c r="E402" s="36">
        <v>297862</v>
      </c>
      <c r="F402" s="57"/>
      <c r="G402" s="57"/>
      <c r="I402" s="64"/>
      <c r="J402" s="65"/>
      <c r="K402" s="64"/>
    </row>
    <row r="403" spans="1:11" x14ac:dyDescent="0.2">
      <c r="A403">
        <v>2022</v>
      </c>
      <c r="B403" s="34">
        <v>532</v>
      </c>
      <c r="C403" s="34" t="s">
        <v>663</v>
      </c>
      <c r="D403" s="36">
        <v>219420</v>
      </c>
      <c r="E403" s="36">
        <v>1031049</v>
      </c>
      <c r="F403" s="57"/>
      <c r="G403" s="57"/>
      <c r="I403" s="64"/>
      <c r="J403" s="65"/>
      <c r="K403" s="64"/>
    </row>
    <row r="404" spans="1:11" x14ac:dyDescent="0.2">
      <c r="A404">
        <v>2022</v>
      </c>
      <c r="B404" s="34">
        <v>533</v>
      </c>
      <c r="C404" s="34" t="s">
        <v>664</v>
      </c>
      <c r="D404" s="36">
        <v>34002</v>
      </c>
      <c r="E404" s="36">
        <v>273815</v>
      </c>
      <c r="F404" s="57"/>
      <c r="G404" s="57"/>
      <c r="I404" s="64"/>
      <c r="J404" s="65"/>
      <c r="K404" s="64"/>
    </row>
    <row r="405" spans="1:11" x14ac:dyDescent="0.2">
      <c r="A405">
        <v>2022</v>
      </c>
      <c r="B405" s="34">
        <v>534</v>
      </c>
      <c r="C405" s="34" t="s">
        <v>493</v>
      </c>
      <c r="D405" s="36">
        <v>11021</v>
      </c>
      <c r="E405" s="36">
        <v>66206</v>
      </c>
      <c r="F405" s="57"/>
      <c r="G405" s="57"/>
      <c r="I405" s="64"/>
      <c r="J405" s="65"/>
      <c r="K405" s="64"/>
    </row>
    <row r="406" spans="1:11" x14ac:dyDescent="0.2">
      <c r="A406">
        <v>2022</v>
      </c>
      <c r="B406" s="34">
        <v>535</v>
      </c>
      <c r="C406" s="34" t="s">
        <v>494</v>
      </c>
      <c r="D406" s="36">
        <v>24287</v>
      </c>
      <c r="E406" s="36">
        <v>104690</v>
      </c>
      <c r="F406" s="57"/>
      <c r="G406" s="57"/>
      <c r="I406" s="64"/>
      <c r="J406" s="65"/>
      <c r="K406" s="64"/>
    </row>
    <row r="407" spans="1:11" x14ac:dyDescent="0.2">
      <c r="A407">
        <v>2022</v>
      </c>
      <c r="B407" s="34">
        <v>536</v>
      </c>
      <c r="C407" s="34" t="s">
        <v>495</v>
      </c>
      <c r="D407" s="36">
        <v>2977098</v>
      </c>
      <c r="E407" s="36">
        <v>17237176</v>
      </c>
      <c r="F407" s="57"/>
      <c r="G407" s="57"/>
      <c r="I407" s="64"/>
      <c r="J407" s="65"/>
      <c r="K407" s="64"/>
    </row>
    <row r="408" spans="1:11" x14ac:dyDescent="0.2">
      <c r="A408">
        <v>2022</v>
      </c>
      <c r="B408" s="34">
        <v>537</v>
      </c>
      <c r="C408" s="34" t="s">
        <v>496</v>
      </c>
      <c r="D408" s="36">
        <v>2608199</v>
      </c>
      <c r="E408" s="36">
        <v>15419631</v>
      </c>
      <c r="F408" s="57"/>
      <c r="G408" s="57"/>
      <c r="I408" s="64"/>
      <c r="J408" s="65"/>
      <c r="K408" s="64"/>
    </row>
    <row r="409" spans="1:11" x14ac:dyDescent="0.2">
      <c r="A409">
        <v>2022</v>
      </c>
      <c r="B409" s="34">
        <v>538</v>
      </c>
      <c r="C409" s="34" t="s">
        <v>497</v>
      </c>
      <c r="D409" s="36">
        <v>2848695</v>
      </c>
      <c r="E409" s="36">
        <v>16182235</v>
      </c>
      <c r="F409" s="57"/>
      <c r="G409" s="57"/>
      <c r="I409" s="64"/>
      <c r="J409" s="65"/>
      <c r="K409" s="64"/>
    </row>
    <row r="410" spans="1:11" x14ac:dyDescent="0.2">
      <c r="A410">
        <v>2022</v>
      </c>
      <c r="B410" s="34">
        <v>539</v>
      </c>
      <c r="C410" s="34" t="s">
        <v>498</v>
      </c>
      <c r="D410" s="36">
        <v>471282</v>
      </c>
      <c r="E410" s="36">
        <v>2150614</v>
      </c>
      <c r="F410" s="57"/>
      <c r="G410" s="57"/>
      <c r="I410" s="64"/>
      <c r="J410" s="65"/>
      <c r="K410" s="64"/>
    </row>
    <row r="411" spans="1:11" x14ac:dyDescent="0.2">
      <c r="A411">
        <v>2022</v>
      </c>
      <c r="B411" s="34">
        <v>540</v>
      </c>
      <c r="C411" s="34" t="s">
        <v>499</v>
      </c>
      <c r="D411" s="36">
        <v>953442</v>
      </c>
      <c r="E411" s="36">
        <v>6134523</v>
      </c>
      <c r="F411" s="57"/>
      <c r="G411" s="57"/>
      <c r="I411" s="64"/>
      <c r="J411" s="65"/>
      <c r="K411" s="64"/>
    </row>
    <row r="412" spans="1:11" x14ac:dyDescent="0.2">
      <c r="A412">
        <v>2022</v>
      </c>
      <c r="B412" s="34">
        <v>541</v>
      </c>
      <c r="C412" s="34" t="s">
        <v>500</v>
      </c>
      <c r="D412" s="36">
        <v>45708</v>
      </c>
      <c r="E412" s="36">
        <v>228583</v>
      </c>
      <c r="F412" s="57"/>
      <c r="G412" s="57"/>
      <c r="I412" s="64"/>
      <c r="J412" s="65"/>
      <c r="K412" s="64"/>
    </row>
    <row r="413" spans="1:11" x14ac:dyDescent="0.2">
      <c r="A413">
        <v>2022</v>
      </c>
      <c r="B413" s="34">
        <v>542</v>
      </c>
      <c r="C413" s="34" t="s">
        <v>501</v>
      </c>
      <c r="D413" s="36">
        <v>12686</v>
      </c>
      <c r="E413" s="36">
        <v>49594</v>
      </c>
      <c r="F413" s="57"/>
      <c r="G413" s="57"/>
      <c r="I413" s="64"/>
      <c r="J413" s="65"/>
      <c r="K413" s="64"/>
    </row>
    <row r="414" spans="1:11" x14ac:dyDescent="0.2">
      <c r="A414">
        <v>2022</v>
      </c>
      <c r="B414" s="34">
        <v>544</v>
      </c>
      <c r="C414" s="34" t="s">
        <v>502</v>
      </c>
      <c r="D414" s="36">
        <v>30910</v>
      </c>
      <c r="E414" s="36">
        <v>285089</v>
      </c>
      <c r="F414" s="57"/>
      <c r="G414" s="57"/>
      <c r="I414" s="64"/>
      <c r="J414" s="65"/>
      <c r="K414" s="64"/>
    </row>
    <row r="415" spans="1:11" x14ac:dyDescent="0.2">
      <c r="A415">
        <v>2022</v>
      </c>
      <c r="B415" s="34">
        <v>545</v>
      </c>
      <c r="C415" s="34" t="s">
        <v>503</v>
      </c>
      <c r="D415" s="36">
        <v>48333</v>
      </c>
      <c r="E415" s="36">
        <v>345949</v>
      </c>
      <c r="F415" s="57"/>
      <c r="G415" s="57"/>
      <c r="I415" s="64"/>
      <c r="J415" s="65"/>
      <c r="K415" s="64"/>
    </row>
    <row r="416" spans="1:11" x14ac:dyDescent="0.2">
      <c r="A416">
        <v>2022</v>
      </c>
      <c r="B416" s="34">
        <v>546</v>
      </c>
      <c r="C416" s="34" t="s">
        <v>665</v>
      </c>
      <c r="D416" s="36">
        <v>336095</v>
      </c>
      <c r="E416" s="36">
        <v>2113617</v>
      </c>
      <c r="F416" s="57"/>
      <c r="G416" s="57"/>
      <c r="I416" s="64"/>
      <c r="J416" s="65"/>
      <c r="K416" s="64"/>
    </row>
    <row r="417" spans="1:11" x14ac:dyDescent="0.2">
      <c r="A417">
        <v>2022</v>
      </c>
      <c r="B417" s="34">
        <v>547</v>
      </c>
      <c r="C417" s="34" t="s">
        <v>505</v>
      </c>
      <c r="D417" s="36">
        <v>269016</v>
      </c>
      <c r="E417" s="36">
        <v>1692384</v>
      </c>
      <c r="F417" s="57"/>
      <c r="G417" s="57"/>
      <c r="I417" s="64"/>
      <c r="J417" s="65"/>
      <c r="K417" s="64"/>
    </row>
    <row r="418" spans="1:11" x14ac:dyDescent="0.2">
      <c r="A418">
        <v>2022</v>
      </c>
      <c r="B418" s="34">
        <v>548</v>
      </c>
      <c r="C418" s="34" t="s">
        <v>506</v>
      </c>
      <c r="D418" s="36">
        <v>135481</v>
      </c>
      <c r="E418" s="36">
        <v>750970</v>
      </c>
      <c r="F418" s="57"/>
      <c r="G418" s="57"/>
      <c r="I418" s="64"/>
      <c r="J418" s="65"/>
      <c r="K418" s="64"/>
    </row>
    <row r="419" spans="1:11" x14ac:dyDescent="0.2">
      <c r="A419">
        <v>2022</v>
      </c>
      <c r="B419" s="34">
        <v>549</v>
      </c>
      <c r="C419" s="34" t="s">
        <v>507</v>
      </c>
      <c r="D419" s="36">
        <v>59027</v>
      </c>
      <c r="E419" s="36">
        <v>369960</v>
      </c>
      <c r="F419" s="57"/>
      <c r="G419" s="57"/>
      <c r="I419" s="64"/>
      <c r="J419" s="65"/>
      <c r="K419" s="64"/>
    </row>
    <row r="420" spans="1:11" x14ac:dyDescent="0.2">
      <c r="A420">
        <v>2022</v>
      </c>
      <c r="B420" s="34">
        <v>550</v>
      </c>
      <c r="C420" s="34" t="s">
        <v>508</v>
      </c>
      <c r="D420" s="36">
        <v>514156</v>
      </c>
      <c r="E420" s="36">
        <v>2829995</v>
      </c>
      <c r="F420" s="57"/>
      <c r="G420" s="57"/>
      <c r="I420" s="64"/>
      <c r="J420" s="65"/>
      <c r="K420" s="64"/>
    </row>
    <row r="421" spans="1:11" x14ac:dyDescent="0.2">
      <c r="A421">
        <v>2022</v>
      </c>
      <c r="B421" s="34">
        <v>557</v>
      </c>
      <c r="C421" s="34" t="s">
        <v>509</v>
      </c>
      <c r="D421" s="36">
        <v>250539</v>
      </c>
      <c r="E421" s="36">
        <v>1873702</v>
      </c>
      <c r="F421" s="57"/>
      <c r="G421" s="57"/>
      <c r="I421" s="64"/>
      <c r="J421" s="65"/>
      <c r="K421" s="64"/>
    </row>
    <row r="422" spans="1:11" x14ac:dyDescent="0.2">
      <c r="A422">
        <v>2022</v>
      </c>
      <c r="B422" s="34">
        <v>559</v>
      </c>
      <c r="C422" s="34" t="s">
        <v>666</v>
      </c>
      <c r="D422" s="36">
        <v>2847048</v>
      </c>
      <c r="E422" s="36">
        <v>15969704</v>
      </c>
      <c r="F422" s="57"/>
      <c r="G422" s="57"/>
      <c r="I422" s="64"/>
      <c r="J422" s="65"/>
      <c r="K422" s="64"/>
    </row>
    <row r="423" spans="1:11" x14ac:dyDescent="0.2">
      <c r="A423">
        <v>2022</v>
      </c>
      <c r="B423" s="34">
        <v>560</v>
      </c>
      <c r="C423" s="34" t="s">
        <v>667</v>
      </c>
      <c r="D423" s="36">
        <v>1890498</v>
      </c>
      <c r="E423" s="36">
        <v>9921023</v>
      </c>
      <c r="F423" s="57"/>
      <c r="G423" s="57"/>
      <c r="I423" s="64"/>
      <c r="J423" s="65"/>
      <c r="K423" s="64"/>
    </row>
    <row r="424" spans="1:11" x14ac:dyDescent="0.2">
      <c r="A424">
        <v>2022</v>
      </c>
      <c r="B424" s="34">
        <v>561</v>
      </c>
      <c r="C424" s="34" t="s">
        <v>512</v>
      </c>
      <c r="D424" s="36">
        <v>1428134</v>
      </c>
      <c r="E424" s="36">
        <v>7029240</v>
      </c>
      <c r="F424" s="57"/>
      <c r="G424" s="57"/>
      <c r="I424" s="64"/>
      <c r="J424" s="65"/>
      <c r="K424" s="64"/>
    </row>
    <row r="425" spans="1:11" x14ac:dyDescent="0.2">
      <c r="A425">
        <v>2022</v>
      </c>
      <c r="B425" s="34">
        <v>562</v>
      </c>
      <c r="C425" s="34" t="s">
        <v>513</v>
      </c>
      <c r="D425" s="36">
        <v>3074207</v>
      </c>
      <c r="E425" s="36">
        <v>19403322</v>
      </c>
      <c r="F425" s="57"/>
      <c r="G425" s="57"/>
      <c r="I425" s="64"/>
      <c r="J425" s="65"/>
      <c r="K425" s="64"/>
    </row>
    <row r="426" spans="1:11" x14ac:dyDescent="0.2">
      <c r="A426">
        <v>2022</v>
      </c>
      <c r="B426" s="34">
        <v>563</v>
      </c>
      <c r="C426" s="34" t="s">
        <v>514</v>
      </c>
      <c r="D426" s="36">
        <v>921623</v>
      </c>
      <c r="E426" s="36">
        <v>5903330</v>
      </c>
      <c r="F426" s="57"/>
      <c r="G426" s="57"/>
      <c r="I426" s="64"/>
      <c r="J426" s="65"/>
      <c r="K426" s="64"/>
    </row>
    <row r="427" spans="1:11" x14ac:dyDescent="0.2">
      <c r="A427">
        <v>2022</v>
      </c>
      <c r="B427" s="34">
        <v>564</v>
      </c>
      <c r="C427" s="34" t="s">
        <v>515</v>
      </c>
      <c r="D427" s="36">
        <v>799304</v>
      </c>
      <c r="E427" s="36">
        <v>6026196</v>
      </c>
      <c r="F427" s="57"/>
      <c r="G427" s="57"/>
      <c r="I427" s="64"/>
      <c r="J427" s="65"/>
      <c r="K427" s="64"/>
    </row>
    <row r="428" spans="1:11" x14ac:dyDescent="0.2">
      <c r="A428">
        <v>2022</v>
      </c>
      <c r="B428" s="34">
        <v>565</v>
      </c>
      <c r="C428" s="34" t="s">
        <v>516</v>
      </c>
      <c r="D428" s="36">
        <v>1254461</v>
      </c>
      <c r="E428" s="36">
        <v>9052900</v>
      </c>
      <c r="F428" s="57"/>
      <c r="G428" s="57"/>
      <c r="I428" s="64"/>
      <c r="J428" s="65"/>
      <c r="K428" s="64"/>
    </row>
    <row r="429" spans="1:11" x14ac:dyDescent="0.2">
      <c r="A429">
        <v>2022</v>
      </c>
      <c r="B429" s="34">
        <v>566</v>
      </c>
      <c r="C429" s="34" t="s">
        <v>517</v>
      </c>
      <c r="D429" s="36">
        <v>351618</v>
      </c>
      <c r="E429" s="36">
        <v>2273672</v>
      </c>
      <c r="F429" s="57"/>
      <c r="G429" s="57"/>
      <c r="I429" s="64"/>
      <c r="J429" s="65"/>
      <c r="K429" s="64"/>
    </row>
    <row r="430" spans="1:11" x14ac:dyDescent="0.2">
      <c r="A430">
        <v>2022</v>
      </c>
      <c r="B430" s="34">
        <v>567</v>
      </c>
      <c r="C430" s="34" t="s">
        <v>518</v>
      </c>
      <c r="D430" s="36">
        <v>158782</v>
      </c>
      <c r="E430" s="36">
        <v>1459704</v>
      </c>
      <c r="F430" s="57"/>
      <c r="G430" s="57"/>
      <c r="I430" s="64"/>
      <c r="J430" s="65"/>
      <c r="K430" s="64"/>
    </row>
    <row r="431" spans="1:11" x14ac:dyDescent="0.2">
      <c r="A431">
        <v>2022</v>
      </c>
      <c r="B431" s="34">
        <v>569</v>
      </c>
      <c r="C431" s="34" t="s">
        <v>519</v>
      </c>
      <c r="D431" s="36">
        <v>196212</v>
      </c>
      <c r="E431" s="36">
        <v>1201738</v>
      </c>
      <c r="F431" s="57"/>
      <c r="G431" s="57"/>
      <c r="I431" s="64"/>
      <c r="J431" s="65"/>
      <c r="K431" s="64"/>
    </row>
    <row r="432" spans="1:11" x14ac:dyDescent="0.2">
      <c r="A432">
        <v>2022</v>
      </c>
      <c r="B432" s="34">
        <v>570</v>
      </c>
      <c r="C432" s="34" t="s">
        <v>520</v>
      </c>
      <c r="D432" s="36">
        <v>614532</v>
      </c>
      <c r="E432" s="36">
        <v>4187826</v>
      </c>
      <c r="F432" s="57"/>
      <c r="G432" s="57"/>
      <c r="I432" s="64"/>
      <c r="J432" s="65"/>
      <c r="K432" s="64"/>
    </row>
    <row r="433" spans="1:11" x14ac:dyDescent="0.2">
      <c r="A433">
        <v>2022</v>
      </c>
      <c r="B433" s="34">
        <v>571</v>
      </c>
      <c r="C433" s="34" t="s">
        <v>389</v>
      </c>
      <c r="D433" s="36">
        <v>171451</v>
      </c>
      <c r="E433" s="36">
        <v>1496939</v>
      </c>
      <c r="F433" s="57"/>
      <c r="G433" s="57"/>
      <c r="H433" s="65"/>
      <c r="I433" s="64"/>
      <c r="J433" s="65"/>
      <c r="K433" s="64"/>
    </row>
    <row r="434" spans="1:11" x14ac:dyDescent="0.2">
      <c r="A434">
        <v>2022</v>
      </c>
      <c r="B434" s="34">
        <v>572</v>
      </c>
      <c r="C434" s="34" t="s">
        <v>390</v>
      </c>
      <c r="D434" s="36">
        <v>343187</v>
      </c>
      <c r="E434" s="36">
        <v>2006794</v>
      </c>
      <c r="F434" s="57"/>
      <c r="G434" s="57"/>
      <c r="H434" s="65"/>
      <c r="I434" s="64"/>
      <c r="J434" s="65"/>
      <c r="K434" s="64"/>
    </row>
    <row r="435" spans="1:11" x14ac:dyDescent="0.2">
      <c r="A435">
        <v>2022</v>
      </c>
      <c r="B435" s="34">
        <v>574</v>
      </c>
      <c r="C435" s="34" t="s">
        <v>391</v>
      </c>
      <c r="D435" s="36">
        <v>277341</v>
      </c>
      <c r="E435" s="36">
        <v>1708986</v>
      </c>
      <c r="F435" s="57"/>
      <c r="G435" s="57"/>
      <c r="H435" s="65"/>
      <c r="I435" s="64"/>
      <c r="J435" s="65"/>
      <c r="K435" s="64"/>
    </row>
    <row r="436" spans="1:11" x14ac:dyDescent="0.2">
      <c r="A436">
        <v>2022</v>
      </c>
      <c r="B436" s="34">
        <v>575</v>
      </c>
      <c r="C436" s="34" t="s">
        <v>668</v>
      </c>
      <c r="D436" s="36">
        <v>792573</v>
      </c>
      <c r="E436" s="36">
        <v>2316313</v>
      </c>
      <c r="F436" s="57"/>
      <c r="G436" s="57"/>
      <c r="H436" s="65"/>
      <c r="I436" s="64"/>
      <c r="J436" s="65"/>
      <c r="K436" s="64"/>
    </row>
    <row r="437" spans="1:11" x14ac:dyDescent="0.2">
      <c r="A437">
        <v>2022</v>
      </c>
      <c r="B437" s="34">
        <v>576</v>
      </c>
      <c r="C437" s="34" t="s">
        <v>393</v>
      </c>
      <c r="D437" s="36">
        <v>703983</v>
      </c>
      <c r="E437" s="36">
        <v>5693441</v>
      </c>
      <c r="F437" s="57"/>
      <c r="G437" s="57"/>
      <c r="H437" s="65"/>
      <c r="I437" s="64"/>
      <c r="J437" s="65"/>
      <c r="K437" s="64"/>
    </row>
    <row r="438" spans="1:11" x14ac:dyDescent="0.2">
      <c r="A438">
        <v>2022</v>
      </c>
      <c r="B438" s="34">
        <v>577</v>
      </c>
      <c r="C438" s="34" t="s">
        <v>394</v>
      </c>
      <c r="D438" s="36">
        <v>751626</v>
      </c>
      <c r="E438" s="36">
        <v>3310320</v>
      </c>
      <c r="F438" s="57"/>
      <c r="G438" s="57"/>
      <c r="H438" s="65"/>
      <c r="I438" s="64"/>
      <c r="J438" s="65"/>
      <c r="K438" s="64"/>
    </row>
    <row r="439" spans="1:11" x14ac:dyDescent="0.2">
      <c r="A439">
        <v>2022</v>
      </c>
      <c r="B439" s="34">
        <v>578</v>
      </c>
      <c r="C439" s="34" t="s">
        <v>395</v>
      </c>
      <c r="D439" s="36">
        <v>79476</v>
      </c>
      <c r="E439" s="36">
        <v>978998</v>
      </c>
      <c r="F439" s="57"/>
      <c r="G439" s="57"/>
      <c r="H439" s="65"/>
      <c r="I439" s="64"/>
      <c r="J439" s="65"/>
      <c r="K439" s="64"/>
    </row>
    <row r="440" spans="1:11" x14ac:dyDescent="0.2">
      <c r="A440">
        <v>2022</v>
      </c>
      <c r="B440" s="34">
        <v>580</v>
      </c>
      <c r="C440" s="34" t="s">
        <v>396</v>
      </c>
      <c r="D440" s="36">
        <v>420955</v>
      </c>
      <c r="E440" s="36">
        <v>2965243</v>
      </c>
      <c r="F440" s="57"/>
      <c r="G440" s="57"/>
      <c r="H440" s="65"/>
      <c r="I440" s="64"/>
      <c r="J440" s="65"/>
      <c r="K440" s="64"/>
    </row>
    <row r="441" spans="1:11" x14ac:dyDescent="0.2">
      <c r="A441">
        <v>2022</v>
      </c>
      <c r="B441" s="34">
        <v>581</v>
      </c>
      <c r="C441" s="34" t="s">
        <v>397</v>
      </c>
      <c r="D441" s="36">
        <v>603127</v>
      </c>
      <c r="E441" s="36">
        <v>4760906</v>
      </c>
      <c r="F441" s="57"/>
      <c r="G441" s="57"/>
      <c r="H441" s="65"/>
      <c r="I441" s="64"/>
      <c r="J441" s="65"/>
      <c r="K441" s="64"/>
    </row>
    <row r="442" spans="1:11" x14ac:dyDescent="0.2">
      <c r="A442">
        <v>2022</v>
      </c>
      <c r="B442" s="34">
        <v>582</v>
      </c>
      <c r="C442" s="34" t="s">
        <v>398</v>
      </c>
      <c r="D442" s="36">
        <v>427440</v>
      </c>
      <c r="E442" s="36">
        <v>5142181</v>
      </c>
      <c r="F442" s="57"/>
      <c r="G442" s="57"/>
      <c r="H442" s="65"/>
      <c r="I442" s="64"/>
      <c r="J442" s="65"/>
      <c r="K442" s="64"/>
    </row>
    <row r="443" spans="1:11" x14ac:dyDescent="0.2">
      <c r="A443">
        <v>2022</v>
      </c>
      <c r="B443" s="34">
        <v>583</v>
      </c>
      <c r="C443" s="34" t="s">
        <v>399</v>
      </c>
      <c r="D443" s="36">
        <v>2649126</v>
      </c>
      <c r="E443" s="36">
        <v>19452316</v>
      </c>
      <c r="F443" s="57"/>
      <c r="G443" s="57"/>
      <c r="H443" s="65"/>
      <c r="I443" s="64"/>
      <c r="J443" s="65"/>
      <c r="K443" s="64"/>
    </row>
    <row r="444" spans="1:11" x14ac:dyDescent="0.2">
      <c r="A444">
        <v>2022</v>
      </c>
      <c r="B444" s="34">
        <v>584</v>
      </c>
      <c r="C444" s="34" t="s">
        <v>400</v>
      </c>
      <c r="D444" s="36">
        <v>8922674</v>
      </c>
      <c r="E444" s="36">
        <v>32047559</v>
      </c>
      <c r="F444" s="57"/>
      <c r="G444" s="57"/>
      <c r="H444" s="65"/>
      <c r="I444" s="64"/>
      <c r="J444" s="65"/>
      <c r="K444" s="64"/>
    </row>
    <row r="445" spans="1:11" x14ac:dyDescent="0.2">
      <c r="A445">
        <v>2022</v>
      </c>
      <c r="B445" s="34">
        <v>586</v>
      </c>
      <c r="C445" s="34" t="s">
        <v>401</v>
      </c>
      <c r="D445" s="36">
        <v>15422</v>
      </c>
      <c r="E445" s="36">
        <v>76917</v>
      </c>
      <c r="F445" s="57"/>
      <c r="G445" s="57"/>
      <c r="H445" s="65"/>
      <c r="I445" s="64"/>
      <c r="J445" s="65"/>
      <c r="K445" s="64"/>
    </row>
    <row r="446" spans="1:11" x14ac:dyDescent="0.2">
      <c r="A446">
        <v>2022</v>
      </c>
      <c r="B446" s="34">
        <v>588</v>
      </c>
      <c r="C446" s="34" t="s">
        <v>402</v>
      </c>
      <c r="D446" s="36">
        <v>6138</v>
      </c>
      <c r="E446" s="36">
        <v>47371</v>
      </c>
      <c r="F446" s="57"/>
      <c r="G446" s="57"/>
      <c r="H446" s="65"/>
      <c r="I446" s="64"/>
      <c r="J446" s="65"/>
      <c r="K446" s="64"/>
    </row>
    <row r="447" spans="1:11" x14ac:dyDescent="0.2">
      <c r="A447">
        <v>2022</v>
      </c>
      <c r="B447" s="34">
        <v>589</v>
      </c>
      <c r="C447" s="34" t="s">
        <v>403</v>
      </c>
      <c r="D447" s="36">
        <v>10800</v>
      </c>
      <c r="E447" s="36">
        <v>107948</v>
      </c>
      <c r="F447" s="57"/>
      <c r="G447" s="57"/>
      <c r="H447" s="65"/>
      <c r="I447" s="64"/>
      <c r="J447" s="65"/>
      <c r="K447" s="64"/>
    </row>
    <row r="448" spans="1:11" x14ac:dyDescent="0.2">
      <c r="A448">
        <v>2022</v>
      </c>
      <c r="B448" s="34">
        <v>590</v>
      </c>
      <c r="C448" s="34" t="s">
        <v>669</v>
      </c>
      <c r="D448" s="36">
        <v>52077</v>
      </c>
      <c r="E448" s="36">
        <v>332412</v>
      </c>
      <c r="F448" s="57"/>
      <c r="G448" s="57"/>
      <c r="H448" s="65"/>
      <c r="I448" s="64"/>
      <c r="J448" s="65"/>
      <c r="K448" s="64"/>
    </row>
    <row r="449" spans="1:11" x14ac:dyDescent="0.2">
      <c r="A449">
        <v>2022</v>
      </c>
      <c r="B449" s="34">
        <v>592</v>
      </c>
      <c r="C449" s="34" t="s">
        <v>404</v>
      </c>
      <c r="D449" s="36">
        <v>11221</v>
      </c>
      <c r="E449" s="36">
        <v>47497</v>
      </c>
      <c r="F449" s="57"/>
      <c r="G449" s="57"/>
      <c r="H449" s="65"/>
      <c r="I449" s="64"/>
      <c r="J449" s="65"/>
      <c r="K449" s="64"/>
    </row>
    <row r="450" spans="1:11" x14ac:dyDescent="0.2">
      <c r="A450">
        <v>2022</v>
      </c>
      <c r="B450" s="34">
        <v>596</v>
      </c>
      <c r="C450" s="34" t="s">
        <v>405</v>
      </c>
      <c r="D450" s="36">
        <v>5691</v>
      </c>
      <c r="E450" s="36">
        <v>35661</v>
      </c>
      <c r="F450" s="57"/>
      <c r="G450" s="57"/>
      <c r="H450" s="65"/>
      <c r="I450" s="64"/>
      <c r="J450" s="65"/>
      <c r="K450" s="64"/>
    </row>
    <row r="451" spans="1:11" x14ac:dyDescent="0.2">
      <c r="A451">
        <v>2022</v>
      </c>
      <c r="B451" s="34">
        <v>597</v>
      </c>
      <c r="C451" s="34" t="s">
        <v>406</v>
      </c>
      <c r="D451" s="36">
        <v>324692</v>
      </c>
      <c r="E451" s="36">
        <v>1804415</v>
      </c>
      <c r="F451" s="57"/>
      <c r="G451" s="57"/>
      <c r="H451" s="65"/>
      <c r="I451" s="64"/>
      <c r="J451" s="65"/>
      <c r="K451" s="64"/>
    </row>
    <row r="452" spans="1:11" x14ac:dyDescent="0.2">
      <c r="A452">
        <v>2022</v>
      </c>
      <c r="B452" s="34">
        <v>598</v>
      </c>
      <c r="C452" s="34" t="s">
        <v>407</v>
      </c>
      <c r="D452" s="36">
        <v>71286</v>
      </c>
      <c r="E452" s="36">
        <v>231285</v>
      </c>
      <c r="F452" s="57"/>
      <c r="G452" s="57"/>
      <c r="H452" s="65"/>
      <c r="I452" s="64"/>
      <c r="J452" s="65"/>
      <c r="K452" s="64"/>
    </row>
    <row r="453" spans="1:11" x14ac:dyDescent="0.2">
      <c r="A453">
        <v>2022</v>
      </c>
      <c r="B453" s="34">
        <v>601</v>
      </c>
      <c r="C453" s="34" t="s">
        <v>408</v>
      </c>
      <c r="D453" s="36">
        <v>71610</v>
      </c>
      <c r="E453" s="36">
        <v>493008</v>
      </c>
      <c r="F453" s="57"/>
      <c r="G453" s="57"/>
      <c r="H453" s="65"/>
      <c r="I453" s="64"/>
      <c r="J453" s="65"/>
      <c r="K453" s="64"/>
    </row>
    <row r="454" spans="1:11" x14ac:dyDescent="0.2">
      <c r="A454">
        <v>2022</v>
      </c>
      <c r="B454" s="34">
        <v>602</v>
      </c>
      <c r="C454" s="34" t="s">
        <v>409</v>
      </c>
      <c r="D454" s="36">
        <v>91306</v>
      </c>
      <c r="E454" s="36">
        <v>489359</v>
      </c>
      <c r="F454" s="57"/>
      <c r="G454" s="57"/>
      <c r="H454" s="65"/>
      <c r="I454" s="64"/>
      <c r="J454" s="65"/>
      <c r="K454" s="64"/>
    </row>
    <row r="455" spans="1:11" x14ac:dyDescent="0.2">
      <c r="A455">
        <v>2022</v>
      </c>
      <c r="B455" s="34">
        <v>603</v>
      </c>
      <c r="C455" s="34" t="s">
        <v>410</v>
      </c>
      <c r="F455" s="57"/>
      <c r="G455" s="57"/>
      <c r="H455" s="57"/>
      <c r="I455" s="64"/>
      <c r="J455" s="57"/>
      <c r="K455" s="64"/>
    </row>
    <row r="456" spans="1:11" x14ac:dyDescent="0.2">
      <c r="A456">
        <v>2022</v>
      </c>
      <c r="B456" s="34">
        <v>607</v>
      </c>
      <c r="C456" s="34" t="s">
        <v>411</v>
      </c>
      <c r="D456" s="36">
        <v>94598</v>
      </c>
      <c r="E456" s="36">
        <v>658404</v>
      </c>
      <c r="F456" s="57"/>
      <c r="G456" s="57"/>
      <c r="H456" s="65"/>
      <c r="I456" s="64"/>
      <c r="J456" s="65"/>
      <c r="K456" s="64"/>
    </row>
    <row r="457" spans="1:11" x14ac:dyDescent="0.2">
      <c r="A457">
        <v>2022</v>
      </c>
      <c r="B457" s="34">
        <v>608</v>
      </c>
      <c r="C457" s="34" t="s">
        <v>412</v>
      </c>
      <c r="D457" s="36">
        <v>53503</v>
      </c>
      <c r="E457" s="36">
        <v>432880</v>
      </c>
      <c r="F457" s="57"/>
      <c r="G457" s="57"/>
      <c r="H457" s="65"/>
      <c r="I457" s="64"/>
      <c r="J457" s="65"/>
      <c r="K457" s="64"/>
    </row>
    <row r="458" spans="1:11" x14ac:dyDescent="0.2">
      <c r="A458">
        <v>2022</v>
      </c>
      <c r="B458" s="34">
        <v>609</v>
      </c>
      <c r="C458" s="34" t="s">
        <v>413</v>
      </c>
      <c r="D458" s="36">
        <v>16965</v>
      </c>
      <c r="E458" s="36">
        <v>239805</v>
      </c>
      <c r="F458" s="57"/>
      <c r="G458" s="57"/>
      <c r="H458" s="65"/>
      <c r="I458" s="64"/>
      <c r="J458" s="65"/>
      <c r="K458" s="64"/>
    </row>
    <row r="459" spans="1:11" x14ac:dyDescent="0.2">
      <c r="A459">
        <v>2022</v>
      </c>
      <c r="B459" s="34">
        <v>610</v>
      </c>
      <c r="C459" s="34" t="s">
        <v>414</v>
      </c>
      <c r="D459" s="36">
        <v>70903</v>
      </c>
      <c r="E459" s="36">
        <v>673444</v>
      </c>
      <c r="F459" s="57"/>
      <c r="G459" s="57"/>
      <c r="H459" s="65"/>
      <c r="I459" s="64"/>
      <c r="J459" s="65"/>
      <c r="K459" s="64"/>
    </row>
    <row r="460" spans="1:11" x14ac:dyDescent="0.2">
      <c r="A460">
        <v>2022</v>
      </c>
      <c r="B460" s="34">
        <v>611</v>
      </c>
      <c r="C460" s="34" t="s">
        <v>415</v>
      </c>
      <c r="D460" s="36">
        <v>32451</v>
      </c>
      <c r="E460" s="36">
        <v>262528</v>
      </c>
      <c r="F460" s="57"/>
      <c r="G460" s="57"/>
      <c r="H460" s="65"/>
      <c r="I460" s="64"/>
      <c r="J460" s="65"/>
      <c r="K460" s="64"/>
    </row>
    <row r="461" spans="1:11" x14ac:dyDescent="0.2">
      <c r="A461">
        <v>2022</v>
      </c>
      <c r="B461" s="34">
        <v>612</v>
      </c>
      <c r="C461" s="34" t="s">
        <v>416</v>
      </c>
      <c r="D461" s="36">
        <v>393533</v>
      </c>
      <c r="E461" s="36">
        <v>2572920</v>
      </c>
      <c r="F461" s="57"/>
      <c r="G461" s="57"/>
      <c r="H461" s="65"/>
      <c r="I461" s="64"/>
      <c r="J461" s="65"/>
      <c r="K461" s="64"/>
    </row>
    <row r="462" spans="1:11" x14ac:dyDescent="0.2">
      <c r="A462">
        <v>2022</v>
      </c>
      <c r="B462" s="34">
        <v>613</v>
      </c>
      <c r="C462" s="34" t="s">
        <v>417</v>
      </c>
      <c r="D462" s="36">
        <v>19336</v>
      </c>
      <c r="E462" s="36">
        <v>112535</v>
      </c>
      <c r="F462" s="57"/>
      <c r="G462" s="57"/>
      <c r="H462" s="65"/>
      <c r="I462" s="64"/>
      <c r="J462" s="65"/>
      <c r="K462" s="64"/>
    </row>
    <row r="463" spans="1:11" x14ac:dyDescent="0.2">
      <c r="A463">
        <v>2022</v>
      </c>
      <c r="B463" s="34">
        <v>614</v>
      </c>
      <c r="C463" s="34" t="s">
        <v>418</v>
      </c>
      <c r="D463" s="36">
        <v>48963</v>
      </c>
      <c r="E463" s="36">
        <v>191867</v>
      </c>
      <c r="F463" s="57"/>
      <c r="G463" s="57"/>
      <c r="H463" s="65"/>
      <c r="I463" s="64"/>
      <c r="J463" s="65"/>
      <c r="K463" s="64"/>
    </row>
    <row r="464" spans="1:11" x14ac:dyDescent="0.2">
      <c r="A464">
        <v>2022</v>
      </c>
      <c r="B464" s="34">
        <v>615</v>
      </c>
      <c r="C464" s="34" t="s">
        <v>419</v>
      </c>
      <c r="D464" s="36">
        <v>58635</v>
      </c>
      <c r="E464" s="36">
        <v>366362</v>
      </c>
      <c r="F464" s="57"/>
      <c r="G464" s="57"/>
      <c r="H464" s="65"/>
      <c r="I464" s="64"/>
      <c r="J464" s="65"/>
      <c r="K464" s="64"/>
    </row>
    <row r="465" spans="1:12" x14ac:dyDescent="0.2">
      <c r="A465">
        <v>2022</v>
      </c>
      <c r="B465" s="34">
        <v>617</v>
      </c>
      <c r="C465" s="34" t="s">
        <v>420</v>
      </c>
      <c r="D465" s="36">
        <v>114996</v>
      </c>
      <c r="E465" s="36">
        <v>529870</v>
      </c>
      <c r="F465" s="57"/>
      <c r="G465" s="57"/>
      <c r="H465" s="65"/>
      <c r="I465" s="64"/>
      <c r="J465" s="65"/>
      <c r="K465" s="64"/>
    </row>
    <row r="466" spans="1:12" x14ac:dyDescent="0.2">
      <c r="A466">
        <v>2022</v>
      </c>
      <c r="B466" s="34">
        <v>618</v>
      </c>
      <c r="C466" s="34" t="s">
        <v>421</v>
      </c>
      <c r="D466" s="36">
        <v>47057</v>
      </c>
      <c r="E466" s="36">
        <v>278081</v>
      </c>
      <c r="F466" s="57"/>
      <c r="G466" s="57"/>
      <c r="H466" s="65"/>
      <c r="I466" s="64"/>
      <c r="J466" s="65"/>
      <c r="K466" s="64"/>
    </row>
    <row r="467" spans="1:12" x14ac:dyDescent="0.2">
      <c r="A467">
        <v>2022</v>
      </c>
      <c r="B467" s="34">
        <v>619</v>
      </c>
      <c r="C467" s="34" t="s">
        <v>422</v>
      </c>
      <c r="D467" s="36">
        <v>42760</v>
      </c>
      <c r="E467" s="36">
        <v>232610</v>
      </c>
      <c r="F467" s="57"/>
      <c r="G467" s="57"/>
      <c r="H467" s="65"/>
      <c r="I467" s="64"/>
      <c r="J467" s="65"/>
      <c r="K467" s="64"/>
    </row>
    <row r="468" spans="1:12" x14ac:dyDescent="0.2">
      <c r="A468">
        <v>2022</v>
      </c>
      <c r="B468" s="34">
        <v>620</v>
      </c>
      <c r="C468" s="34" t="s">
        <v>423</v>
      </c>
      <c r="D468" s="36">
        <v>39751</v>
      </c>
      <c r="E468" s="36">
        <v>211173</v>
      </c>
      <c r="F468" s="57"/>
      <c r="G468" s="57"/>
      <c r="H468" s="65"/>
      <c r="I468" s="64"/>
      <c r="J468" s="65"/>
      <c r="K468" s="64"/>
    </row>
    <row r="469" spans="1:12" x14ac:dyDescent="0.2">
      <c r="A469">
        <v>2022</v>
      </c>
      <c r="B469" s="34">
        <v>621</v>
      </c>
      <c r="C469" s="34" t="s">
        <v>424</v>
      </c>
      <c r="D469" s="36">
        <v>36572</v>
      </c>
      <c r="E469" s="36">
        <v>295684</v>
      </c>
      <c r="F469" s="57"/>
      <c r="G469" s="57"/>
      <c r="H469" s="65"/>
      <c r="I469" s="64"/>
      <c r="J469" s="65"/>
      <c r="K469" s="64"/>
    </row>
    <row r="470" spans="1:12" x14ac:dyDescent="0.2">
      <c r="A470">
        <v>2022</v>
      </c>
      <c r="B470" s="34">
        <v>622</v>
      </c>
      <c r="C470" s="34" t="s">
        <v>425</v>
      </c>
      <c r="D470" s="36">
        <v>81027</v>
      </c>
      <c r="E470" s="36">
        <v>496717</v>
      </c>
      <c r="F470" s="57"/>
      <c r="G470" s="57"/>
      <c r="H470" s="65"/>
      <c r="I470" s="64"/>
      <c r="J470" s="65"/>
      <c r="K470" s="64"/>
    </row>
    <row r="471" spans="1:12" x14ac:dyDescent="0.2">
      <c r="A471">
        <v>2022</v>
      </c>
      <c r="B471" s="34">
        <v>623</v>
      </c>
      <c r="C471" s="34" t="s">
        <v>426</v>
      </c>
      <c r="D471" s="36">
        <v>176121</v>
      </c>
      <c r="E471" s="36">
        <v>1471139</v>
      </c>
      <c r="F471" s="57"/>
      <c r="G471" s="57"/>
      <c r="H471" s="65"/>
      <c r="I471" s="64"/>
      <c r="J471" s="65"/>
      <c r="K471" s="64"/>
    </row>
    <row r="472" spans="1:12" x14ac:dyDescent="0.2">
      <c r="A472">
        <v>2022</v>
      </c>
      <c r="B472" s="34">
        <v>624</v>
      </c>
      <c r="C472" s="34" t="s">
        <v>427</v>
      </c>
      <c r="D472" s="36">
        <v>45503</v>
      </c>
      <c r="E472" s="36">
        <v>390928</v>
      </c>
      <c r="F472" s="57"/>
      <c r="G472" s="57"/>
      <c r="H472" s="65"/>
      <c r="I472" s="64"/>
      <c r="J472" s="65"/>
      <c r="K472" s="64"/>
    </row>
    <row r="473" spans="1:12" x14ac:dyDescent="0.2">
      <c r="A473">
        <v>2022</v>
      </c>
      <c r="B473" s="34">
        <v>625</v>
      </c>
      <c r="C473" s="34" t="s">
        <v>428</v>
      </c>
      <c r="D473" s="36">
        <v>75058</v>
      </c>
      <c r="E473" s="36">
        <v>403232</v>
      </c>
      <c r="F473" s="57"/>
      <c r="G473" s="57"/>
      <c r="H473" s="65"/>
      <c r="I473" s="64"/>
      <c r="J473" s="65"/>
      <c r="K473" s="64"/>
    </row>
    <row r="474" spans="1:12" x14ac:dyDescent="0.2">
      <c r="A474">
        <v>2022</v>
      </c>
      <c r="B474" s="34">
        <v>626</v>
      </c>
      <c r="C474" s="34" t="s">
        <v>429</v>
      </c>
      <c r="D474" s="36">
        <v>27983</v>
      </c>
      <c r="E474" s="36">
        <v>184610</v>
      </c>
      <c r="F474" s="57"/>
      <c r="G474" s="57"/>
      <c r="H474" s="65"/>
      <c r="I474" s="64"/>
      <c r="J474" s="65"/>
      <c r="K474" s="64"/>
    </row>
    <row r="475" spans="1:12" x14ac:dyDescent="0.2">
      <c r="A475">
        <v>2022</v>
      </c>
      <c r="B475" s="34">
        <v>627</v>
      </c>
      <c r="C475" s="34" t="s">
        <v>430</v>
      </c>
      <c r="D475" s="36">
        <v>45544</v>
      </c>
      <c r="E475" s="36">
        <v>324896</v>
      </c>
      <c r="F475" s="57"/>
      <c r="G475" s="57"/>
      <c r="H475" s="65"/>
      <c r="I475" s="64"/>
      <c r="J475" s="65"/>
      <c r="K475" s="64"/>
    </row>
    <row r="476" spans="1:12" x14ac:dyDescent="0.2">
      <c r="A476">
        <v>2022</v>
      </c>
      <c r="B476" s="34">
        <v>628</v>
      </c>
      <c r="C476" s="34" t="s">
        <v>431</v>
      </c>
      <c r="D476" s="36">
        <v>55354</v>
      </c>
      <c r="E476" s="36">
        <v>388957</v>
      </c>
      <c r="F476"/>
      <c r="G476" s="57"/>
      <c r="H476" s="57"/>
      <c r="I476" s="65"/>
      <c r="J476" s="64"/>
      <c r="K476" s="65"/>
      <c r="L476" s="64"/>
    </row>
    <row r="477" spans="1:12" x14ac:dyDescent="0.2">
      <c r="A477">
        <v>2022</v>
      </c>
      <c r="B477" s="34">
        <v>629</v>
      </c>
      <c r="C477" s="34" t="s">
        <v>432</v>
      </c>
      <c r="D477" s="36">
        <v>307073</v>
      </c>
      <c r="E477" s="36">
        <v>1700129</v>
      </c>
      <c r="F477"/>
      <c r="G477" s="57"/>
      <c r="H477" s="57"/>
      <c r="I477" s="65"/>
      <c r="J477" s="64"/>
      <c r="K477" s="65"/>
      <c r="L477" s="64"/>
    </row>
    <row r="478" spans="1:12" x14ac:dyDescent="0.2">
      <c r="A478">
        <v>2022</v>
      </c>
      <c r="B478" s="34">
        <v>630</v>
      </c>
      <c r="C478" s="34" t="s">
        <v>433</v>
      </c>
      <c r="D478" s="36">
        <v>99836</v>
      </c>
      <c r="E478" s="36">
        <v>487711</v>
      </c>
      <c r="F478"/>
      <c r="G478" s="57"/>
      <c r="H478" s="57"/>
      <c r="I478" s="65"/>
      <c r="J478" s="64"/>
      <c r="K478" s="65"/>
      <c r="L478" s="64"/>
    </row>
    <row r="479" spans="1:12" x14ac:dyDescent="0.2">
      <c r="A479">
        <v>2022</v>
      </c>
      <c r="B479" s="34">
        <v>631</v>
      </c>
      <c r="C479" s="34" t="s">
        <v>434</v>
      </c>
      <c r="D479" s="36">
        <v>55487</v>
      </c>
      <c r="E479" s="36">
        <v>253760</v>
      </c>
      <c r="F479"/>
      <c r="G479" s="57"/>
      <c r="H479" s="57"/>
      <c r="I479" s="65"/>
      <c r="J479" s="64"/>
      <c r="K479" s="65"/>
      <c r="L479" s="64"/>
    </row>
    <row r="480" spans="1:12" x14ac:dyDescent="0.2">
      <c r="A480">
        <v>2022</v>
      </c>
      <c r="B480" s="34">
        <v>632</v>
      </c>
      <c r="C480" s="34" t="s">
        <v>435</v>
      </c>
      <c r="D480" s="36">
        <v>31603</v>
      </c>
      <c r="E480" s="36">
        <v>98100</v>
      </c>
      <c r="F480"/>
      <c r="G480" s="57"/>
      <c r="H480" s="57"/>
      <c r="I480" s="65"/>
      <c r="J480" s="64"/>
      <c r="K480" s="65"/>
      <c r="L480" s="64"/>
    </row>
    <row r="481" spans="1:12" x14ac:dyDescent="0.2">
      <c r="A481">
        <v>2022</v>
      </c>
      <c r="B481" s="34">
        <v>633</v>
      </c>
      <c r="C481" s="34" t="s">
        <v>436</v>
      </c>
      <c r="D481" s="36">
        <v>97742</v>
      </c>
      <c r="E481" s="36">
        <v>474024</v>
      </c>
      <c r="F481"/>
      <c r="G481" s="57"/>
      <c r="H481" s="57"/>
      <c r="I481" s="65"/>
      <c r="J481" s="64"/>
      <c r="K481" s="65"/>
      <c r="L481" s="64"/>
    </row>
    <row r="482" spans="1:12" x14ac:dyDescent="0.2">
      <c r="A482">
        <v>2022</v>
      </c>
      <c r="B482" s="34">
        <v>634</v>
      </c>
      <c r="C482" s="34" t="s">
        <v>437</v>
      </c>
      <c r="D482" s="36">
        <v>32155</v>
      </c>
      <c r="E482" s="36">
        <v>175643</v>
      </c>
      <c r="F482"/>
      <c r="G482" s="57"/>
      <c r="H482" s="57"/>
      <c r="I482" s="65"/>
      <c r="J482" s="64"/>
      <c r="K482" s="65"/>
      <c r="L482" s="64"/>
    </row>
    <row r="483" spans="1:12" x14ac:dyDescent="0.2">
      <c r="A483">
        <v>2022</v>
      </c>
      <c r="B483" s="34">
        <v>635</v>
      </c>
      <c r="C483" s="34" t="s">
        <v>438</v>
      </c>
      <c r="D483" s="36">
        <v>36891</v>
      </c>
      <c r="E483" s="36">
        <v>129356</v>
      </c>
      <c r="F483"/>
      <c r="G483" s="57"/>
      <c r="H483" s="57"/>
      <c r="I483" s="65"/>
      <c r="J483" s="64"/>
      <c r="K483" s="65"/>
      <c r="L483" s="64"/>
    </row>
    <row r="484" spans="1:12" x14ac:dyDescent="0.2">
      <c r="A484">
        <v>2022</v>
      </c>
      <c r="B484" s="34">
        <v>636</v>
      </c>
      <c r="C484" s="34" t="s">
        <v>439</v>
      </c>
      <c r="D484" s="36">
        <v>190361</v>
      </c>
      <c r="E484" s="36">
        <v>1049856</v>
      </c>
      <c r="F484"/>
      <c r="G484" s="57"/>
      <c r="H484" s="57"/>
      <c r="I484" s="65"/>
      <c r="J484" s="64"/>
      <c r="K484" s="65"/>
      <c r="L484" s="64"/>
    </row>
    <row r="485" spans="1:12" x14ac:dyDescent="0.2">
      <c r="A485">
        <v>2022</v>
      </c>
      <c r="B485" s="34">
        <v>637</v>
      </c>
      <c r="C485" s="34" t="s">
        <v>440</v>
      </c>
      <c r="D485" s="36">
        <v>668166</v>
      </c>
      <c r="E485" s="36">
        <v>3356063</v>
      </c>
      <c r="F485"/>
      <c r="G485" s="57"/>
      <c r="H485" s="57"/>
      <c r="I485" s="65"/>
      <c r="J485" s="64"/>
      <c r="K485" s="65"/>
      <c r="L485" s="64"/>
    </row>
    <row r="486" spans="1:12" x14ac:dyDescent="0.2">
      <c r="A486">
        <v>2022</v>
      </c>
      <c r="B486" s="34">
        <v>638</v>
      </c>
      <c r="C486" s="34" t="s">
        <v>441</v>
      </c>
      <c r="D486" s="36">
        <v>235791</v>
      </c>
      <c r="E486" s="36">
        <v>1136792</v>
      </c>
      <c r="F486"/>
      <c r="G486" s="57"/>
      <c r="H486" s="57"/>
      <c r="I486" s="65"/>
      <c r="J486" s="64"/>
      <c r="K486" s="65"/>
      <c r="L486" s="64"/>
    </row>
    <row r="487" spans="1:12" x14ac:dyDescent="0.2">
      <c r="A487">
        <v>2022</v>
      </c>
      <c r="B487" s="34">
        <v>639</v>
      </c>
      <c r="C487" s="34" t="s">
        <v>442</v>
      </c>
      <c r="D487" s="36">
        <v>47490</v>
      </c>
      <c r="E487" s="36">
        <v>219326</v>
      </c>
      <c r="F487"/>
      <c r="G487" s="57"/>
      <c r="H487" s="57"/>
      <c r="I487" s="65"/>
      <c r="J487" s="64"/>
      <c r="K487" s="65"/>
      <c r="L487" s="64"/>
    </row>
    <row r="488" spans="1:12" x14ac:dyDescent="0.2">
      <c r="A488">
        <v>2022</v>
      </c>
      <c r="B488" s="34">
        <v>641</v>
      </c>
      <c r="C488" s="34" t="s">
        <v>443</v>
      </c>
      <c r="D488" s="36">
        <v>9286</v>
      </c>
      <c r="E488" s="36">
        <v>50713</v>
      </c>
      <c r="F488"/>
      <c r="G488" s="57"/>
      <c r="H488" s="57"/>
      <c r="I488" s="65"/>
      <c r="J488" s="64"/>
      <c r="K488" s="65"/>
      <c r="L488" s="64"/>
    </row>
    <row r="489" spans="1:12" x14ac:dyDescent="0.2">
      <c r="A489">
        <v>2022</v>
      </c>
      <c r="B489" s="34">
        <v>643</v>
      </c>
      <c r="C489" s="34" t="s">
        <v>444</v>
      </c>
      <c r="D489" s="36">
        <v>190539</v>
      </c>
      <c r="E489" s="36">
        <v>768822</v>
      </c>
      <c r="F489"/>
      <c r="G489" s="57"/>
      <c r="H489" s="57"/>
      <c r="I489" s="65"/>
      <c r="J489" s="64"/>
      <c r="K489" s="65"/>
      <c r="L489" s="64"/>
    </row>
    <row r="490" spans="1:12" x14ac:dyDescent="0.2">
      <c r="A490">
        <v>2022</v>
      </c>
      <c r="B490" s="34">
        <v>644</v>
      </c>
      <c r="C490" s="34" t="s">
        <v>445</v>
      </c>
      <c r="D490" s="36">
        <v>50912</v>
      </c>
      <c r="E490" s="36">
        <v>293835</v>
      </c>
      <c r="F490"/>
      <c r="G490" s="57"/>
      <c r="H490" s="57"/>
      <c r="I490" s="65"/>
      <c r="J490" s="64"/>
      <c r="K490" s="65"/>
      <c r="L490" s="64"/>
    </row>
    <row r="491" spans="1:12" x14ac:dyDescent="0.2">
      <c r="A491">
        <v>2022</v>
      </c>
      <c r="B491" s="34">
        <v>645</v>
      </c>
      <c r="C491" s="34" t="s">
        <v>446</v>
      </c>
      <c r="D491" s="36">
        <v>102273</v>
      </c>
      <c r="E491" s="36">
        <v>640966</v>
      </c>
      <c r="F491"/>
      <c r="G491" s="57"/>
      <c r="H491" s="57"/>
      <c r="I491" s="65"/>
      <c r="J491" s="64"/>
      <c r="K491" s="65"/>
      <c r="L491" s="64"/>
    </row>
    <row r="492" spans="1:12" x14ac:dyDescent="0.2">
      <c r="A492">
        <v>2022</v>
      </c>
      <c r="B492" s="34">
        <v>646</v>
      </c>
      <c r="C492" s="34" t="s">
        <v>447</v>
      </c>
      <c r="D492" s="36">
        <v>87118</v>
      </c>
      <c r="E492" s="36">
        <v>324151</v>
      </c>
      <c r="F492"/>
      <c r="G492" s="57"/>
      <c r="H492" s="57"/>
      <c r="I492" s="65"/>
      <c r="J492" s="64"/>
      <c r="K492" s="65"/>
      <c r="L492" s="64"/>
    </row>
    <row r="493" spans="1:12" x14ac:dyDescent="0.2">
      <c r="A493">
        <v>2022</v>
      </c>
      <c r="B493" s="34">
        <v>647</v>
      </c>
      <c r="C493" s="34" t="s">
        <v>448</v>
      </c>
      <c r="D493" s="36">
        <v>28385</v>
      </c>
      <c r="E493" s="36">
        <v>77877</v>
      </c>
      <c r="F493"/>
      <c r="G493" s="57"/>
      <c r="H493" s="57"/>
      <c r="I493" s="65"/>
      <c r="J493" s="64"/>
      <c r="K493" s="65"/>
      <c r="L493" s="64"/>
    </row>
    <row r="494" spans="1:12" x14ac:dyDescent="0.2">
      <c r="A494">
        <v>2022</v>
      </c>
      <c r="B494" s="34">
        <v>648</v>
      </c>
      <c r="C494" s="34" t="s">
        <v>449</v>
      </c>
      <c r="D494" s="36">
        <v>27426</v>
      </c>
      <c r="E494" s="36">
        <v>117565</v>
      </c>
      <c r="F494"/>
      <c r="G494" s="57"/>
      <c r="H494" s="57"/>
      <c r="I494" s="65"/>
      <c r="J494" s="64"/>
      <c r="K494" s="65"/>
      <c r="L494" s="64"/>
    </row>
    <row r="495" spans="1:12" x14ac:dyDescent="0.2">
      <c r="A495">
        <v>2022</v>
      </c>
      <c r="B495" s="34">
        <v>649</v>
      </c>
      <c r="C495" s="34" t="s">
        <v>450</v>
      </c>
      <c r="D495" s="36">
        <v>101211</v>
      </c>
      <c r="E495" s="36">
        <v>526609</v>
      </c>
      <c r="F495"/>
      <c r="G495" s="57"/>
      <c r="H495" s="57"/>
      <c r="I495" s="65"/>
      <c r="J495" s="64"/>
      <c r="K495" s="65"/>
      <c r="L495" s="64"/>
    </row>
    <row r="496" spans="1:12" x14ac:dyDescent="0.2">
      <c r="A496">
        <v>2022</v>
      </c>
      <c r="B496" s="34">
        <v>653</v>
      </c>
      <c r="C496" s="34" t="s">
        <v>451</v>
      </c>
      <c r="D496" s="36">
        <v>29551</v>
      </c>
      <c r="E496" s="36">
        <v>165520</v>
      </c>
      <c r="F496"/>
      <c r="G496" s="57"/>
      <c r="H496" s="57"/>
      <c r="I496" s="65"/>
      <c r="J496" s="64"/>
      <c r="K496" s="65"/>
      <c r="L496" s="64"/>
    </row>
    <row r="497" spans="1:12" x14ac:dyDescent="0.2">
      <c r="A497">
        <v>2022</v>
      </c>
      <c r="B497" s="34">
        <v>656</v>
      </c>
      <c r="C497" s="34" t="s">
        <v>452</v>
      </c>
      <c r="D497" s="36">
        <v>246453</v>
      </c>
      <c r="E497" s="36">
        <v>1839373</v>
      </c>
      <c r="F497"/>
      <c r="G497" s="57"/>
      <c r="H497" s="57"/>
      <c r="I497" s="65"/>
      <c r="J497" s="64"/>
      <c r="K497" s="65"/>
      <c r="L497" s="64"/>
    </row>
    <row r="498" spans="1:12" x14ac:dyDescent="0.2">
      <c r="A498">
        <v>2022</v>
      </c>
      <c r="B498" s="34">
        <v>657</v>
      </c>
      <c r="C498" s="34" t="s">
        <v>453</v>
      </c>
      <c r="D498" s="36">
        <v>20898</v>
      </c>
      <c r="E498" s="36">
        <v>111220</v>
      </c>
      <c r="F498"/>
      <c r="G498" s="57"/>
      <c r="H498" s="57"/>
      <c r="I498" s="65"/>
      <c r="J498" s="64"/>
      <c r="K498" s="65"/>
      <c r="L498" s="64"/>
    </row>
    <row r="499" spans="1:12" x14ac:dyDescent="0.2">
      <c r="A499">
        <v>2022</v>
      </c>
      <c r="B499" s="34">
        <v>658</v>
      </c>
      <c r="C499" s="34" t="s">
        <v>454</v>
      </c>
      <c r="D499" s="36">
        <v>13689</v>
      </c>
      <c r="E499" s="36">
        <v>165223</v>
      </c>
      <c r="F499"/>
      <c r="G499" s="57"/>
      <c r="H499" s="57"/>
      <c r="I499" s="65"/>
      <c r="J499" s="64"/>
      <c r="K499" s="65"/>
      <c r="L499" s="64"/>
    </row>
    <row r="500" spans="1:12" x14ac:dyDescent="0.2">
      <c r="A500">
        <v>2022</v>
      </c>
      <c r="B500" s="34">
        <v>659</v>
      </c>
      <c r="C500" s="34" t="s">
        <v>455</v>
      </c>
      <c r="D500" s="36">
        <v>215657</v>
      </c>
      <c r="E500" s="36">
        <v>1401250</v>
      </c>
      <c r="F500"/>
      <c r="G500" s="57"/>
      <c r="H500" s="57"/>
      <c r="I500" s="65"/>
      <c r="J500" s="64"/>
      <c r="K500" s="65"/>
      <c r="L500" s="64"/>
    </row>
    <row r="501" spans="1:12" x14ac:dyDescent="0.2">
      <c r="A501">
        <v>2022</v>
      </c>
      <c r="B501" s="34">
        <v>660</v>
      </c>
      <c r="C501" s="34" t="s">
        <v>456</v>
      </c>
      <c r="D501" s="36">
        <v>445938</v>
      </c>
      <c r="E501" s="36">
        <v>2323975</v>
      </c>
      <c r="F501"/>
      <c r="G501" s="57"/>
      <c r="H501" s="57"/>
      <c r="I501" s="65"/>
      <c r="J501" s="64"/>
      <c r="K501" s="65"/>
      <c r="L501" s="64"/>
    </row>
    <row r="502" spans="1:12" x14ac:dyDescent="0.2">
      <c r="A502">
        <v>2022</v>
      </c>
      <c r="B502" s="34">
        <v>661</v>
      </c>
      <c r="C502" s="34" t="s">
        <v>457</v>
      </c>
      <c r="D502" s="36">
        <v>249777</v>
      </c>
      <c r="E502" s="36">
        <v>1566346</v>
      </c>
      <c r="F502"/>
      <c r="G502" s="57"/>
      <c r="H502" s="57"/>
      <c r="I502" s="65"/>
      <c r="J502" s="64"/>
      <c r="K502" s="65"/>
      <c r="L502" s="64"/>
    </row>
    <row r="503" spans="1:12" x14ac:dyDescent="0.2">
      <c r="A503">
        <v>2022</v>
      </c>
      <c r="B503" s="34">
        <v>662</v>
      </c>
      <c r="C503" s="34" t="s">
        <v>458</v>
      </c>
      <c r="D503" s="36">
        <v>48490</v>
      </c>
      <c r="E503" s="36">
        <v>326982</v>
      </c>
      <c r="F503"/>
      <c r="G503" s="57"/>
      <c r="H503" s="57"/>
      <c r="I503" s="65"/>
      <c r="J503" s="64"/>
      <c r="K503" s="65"/>
      <c r="L503" s="64"/>
    </row>
    <row r="504" spans="1:12" x14ac:dyDescent="0.2">
      <c r="A504">
        <v>2022</v>
      </c>
      <c r="B504" s="34">
        <v>663</v>
      </c>
      <c r="C504" s="34" t="s">
        <v>459</v>
      </c>
      <c r="D504" s="36">
        <v>46944</v>
      </c>
      <c r="E504" s="36">
        <v>134503</v>
      </c>
      <c r="F504"/>
      <c r="G504" s="57"/>
      <c r="H504" s="57"/>
      <c r="I504" s="65"/>
      <c r="J504" s="64"/>
      <c r="K504" s="65"/>
      <c r="L504" s="64"/>
    </row>
    <row r="505" spans="1:12" x14ac:dyDescent="0.2">
      <c r="A505">
        <v>2022</v>
      </c>
      <c r="B505" s="34">
        <v>666</v>
      </c>
      <c r="C505" s="34" t="s">
        <v>460</v>
      </c>
      <c r="D505" s="36">
        <v>124833</v>
      </c>
      <c r="E505" s="36">
        <v>664840</v>
      </c>
      <c r="F505"/>
      <c r="G505" s="57"/>
      <c r="H505" s="57"/>
      <c r="I505" s="65"/>
      <c r="J505" s="64"/>
      <c r="K505" s="65"/>
      <c r="L505" s="64"/>
    </row>
    <row r="506" spans="1:12" x14ac:dyDescent="0.2">
      <c r="A506">
        <v>2022</v>
      </c>
      <c r="B506" s="34">
        <v>667</v>
      </c>
      <c r="C506" s="34" t="s">
        <v>461</v>
      </c>
      <c r="D506" s="36">
        <v>117983</v>
      </c>
      <c r="E506" s="36">
        <v>640803</v>
      </c>
      <c r="F506"/>
      <c r="G506" s="57"/>
      <c r="H506" s="57"/>
      <c r="I506" s="65"/>
      <c r="J506" s="64"/>
      <c r="K506" s="65"/>
      <c r="L506" s="64"/>
    </row>
    <row r="507" spans="1:12" x14ac:dyDescent="0.2">
      <c r="A507">
        <v>2022</v>
      </c>
      <c r="B507" s="34">
        <v>668</v>
      </c>
      <c r="C507" s="34" t="s">
        <v>462</v>
      </c>
      <c r="D507" s="36">
        <v>87822</v>
      </c>
      <c r="E507" s="36">
        <v>484673</v>
      </c>
      <c r="F507"/>
      <c r="G507" s="57"/>
      <c r="H507" s="57"/>
      <c r="I507" s="65"/>
      <c r="J507" s="64"/>
      <c r="K507" s="65"/>
      <c r="L507" s="64"/>
    </row>
    <row r="508" spans="1:12" x14ac:dyDescent="0.2">
      <c r="A508">
        <v>2022</v>
      </c>
      <c r="B508" s="34">
        <v>673</v>
      </c>
      <c r="C508" s="34" t="s">
        <v>463</v>
      </c>
      <c r="D508" s="36">
        <v>307595</v>
      </c>
      <c r="E508" s="36">
        <v>2276480</v>
      </c>
      <c r="F508"/>
      <c r="G508" s="57"/>
      <c r="H508" s="57"/>
      <c r="I508" s="65"/>
      <c r="J508" s="64"/>
      <c r="K508" s="65"/>
      <c r="L508" s="64"/>
    </row>
    <row r="509" spans="1:12" x14ac:dyDescent="0.2">
      <c r="A509">
        <v>2022</v>
      </c>
      <c r="B509" s="34">
        <v>674</v>
      </c>
      <c r="C509" s="34" t="s">
        <v>464</v>
      </c>
      <c r="D509" s="36">
        <v>90575</v>
      </c>
      <c r="E509" s="36">
        <v>586678</v>
      </c>
      <c r="F509"/>
      <c r="G509" s="57"/>
      <c r="H509" s="57"/>
      <c r="I509" s="65"/>
      <c r="J509" s="64"/>
      <c r="K509" s="65"/>
      <c r="L509" s="64"/>
    </row>
    <row r="510" spans="1:12" x14ac:dyDescent="0.2">
      <c r="A510">
        <v>2022</v>
      </c>
      <c r="B510" s="34">
        <v>675</v>
      </c>
      <c r="C510" s="34" t="s">
        <v>465</v>
      </c>
      <c r="D510" s="36">
        <v>89547</v>
      </c>
      <c r="E510" s="36">
        <v>525817</v>
      </c>
      <c r="F510"/>
      <c r="G510" s="57"/>
      <c r="H510" s="57"/>
      <c r="I510" s="65"/>
      <c r="J510" s="64"/>
      <c r="K510" s="65"/>
      <c r="L510" s="64"/>
    </row>
    <row r="511" spans="1:12" x14ac:dyDescent="0.2">
      <c r="A511">
        <v>2022</v>
      </c>
      <c r="B511" s="34">
        <v>676</v>
      </c>
      <c r="C511" s="34" t="s">
        <v>466</v>
      </c>
      <c r="D511" s="36">
        <v>30160</v>
      </c>
      <c r="E511" s="36">
        <v>233468</v>
      </c>
      <c r="F511"/>
      <c r="G511" s="57"/>
      <c r="H511" s="57"/>
      <c r="I511" s="65"/>
      <c r="J511" s="64"/>
      <c r="K511" s="65"/>
      <c r="L511" s="64"/>
    </row>
    <row r="512" spans="1:12" x14ac:dyDescent="0.2">
      <c r="A512">
        <v>2022</v>
      </c>
      <c r="B512" s="34">
        <v>677</v>
      </c>
      <c r="C512" s="34" t="s">
        <v>467</v>
      </c>
      <c r="D512" s="36">
        <v>41660</v>
      </c>
      <c r="E512" s="36">
        <v>224043</v>
      </c>
      <c r="F512"/>
      <c r="G512" s="57"/>
      <c r="H512" s="57"/>
      <c r="I512" s="65"/>
      <c r="J512" s="64"/>
      <c r="K512" s="65"/>
      <c r="L512" s="64"/>
    </row>
    <row r="513" spans="1:12" x14ac:dyDescent="0.2">
      <c r="A513">
        <v>2022</v>
      </c>
      <c r="B513" s="34">
        <v>680</v>
      </c>
      <c r="C513" s="34" t="s">
        <v>468</v>
      </c>
      <c r="D513" s="36">
        <v>41141</v>
      </c>
      <c r="E513" s="36">
        <v>305166</v>
      </c>
      <c r="F513"/>
      <c r="G513" s="57"/>
      <c r="H513" s="57"/>
      <c r="I513" s="65"/>
      <c r="J513" s="64"/>
      <c r="K513" s="65"/>
      <c r="L513" s="64"/>
    </row>
    <row r="514" spans="1:12" x14ac:dyDescent="0.2">
      <c r="A514">
        <v>2022</v>
      </c>
      <c r="B514" s="34">
        <v>681</v>
      </c>
      <c r="C514" s="34" t="s">
        <v>469</v>
      </c>
      <c r="D514" s="36">
        <v>80599</v>
      </c>
      <c r="E514" s="36">
        <v>542088</v>
      </c>
      <c r="F514"/>
      <c r="G514" s="57"/>
      <c r="H514" s="57"/>
      <c r="I514" s="65"/>
      <c r="J514" s="64"/>
      <c r="K514" s="65"/>
      <c r="L514" s="64"/>
    </row>
    <row r="515" spans="1:12" x14ac:dyDescent="0.2">
      <c r="A515">
        <v>2022</v>
      </c>
      <c r="B515" s="34">
        <v>682</v>
      </c>
      <c r="C515" s="34" t="s">
        <v>470</v>
      </c>
      <c r="D515" s="36">
        <v>173759</v>
      </c>
      <c r="E515" s="36">
        <v>1003338</v>
      </c>
      <c r="F515"/>
      <c r="G515" s="57"/>
      <c r="H515" s="57"/>
      <c r="I515" s="65"/>
      <c r="J515" s="64"/>
      <c r="K515" s="65"/>
      <c r="L515" s="64"/>
    </row>
    <row r="516" spans="1:12" x14ac:dyDescent="0.2">
      <c r="A516">
        <v>2022</v>
      </c>
      <c r="B516" s="34">
        <v>683</v>
      </c>
      <c r="C516" s="34" t="s">
        <v>471</v>
      </c>
      <c r="D516" s="36">
        <v>74996</v>
      </c>
      <c r="E516" s="36">
        <v>525636</v>
      </c>
      <c r="F516"/>
      <c r="G516" s="57"/>
      <c r="H516" s="57"/>
      <c r="I516" s="65"/>
      <c r="J516" s="64"/>
      <c r="K516" s="65"/>
      <c r="L516" s="64"/>
    </row>
    <row r="517" spans="1:12" x14ac:dyDescent="0.2">
      <c r="A517">
        <v>2022</v>
      </c>
      <c r="B517" s="34">
        <v>684</v>
      </c>
      <c r="C517" s="34" t="s">
        <v>472</v>
      </c>
      <c r="D517" s="36">
        <v>13915</v>
      </c>
      <c r="E517" s="36">
        <v>58905</v>
      </c>
      <c r="F517"/>
      <c r="G517" s="57"/>
      <c r="H517" s="57"/>
      <c r="I517" s="65"/>
      <c r="J517" s="64"/>
      <c r="K517" s="65"/>
      <c r="L517" s="64"/>
    </row>
    <row r="518" spans="1:12" x14ac:dyDescent="0.2">
      <c r="A518">
        <v>2022</v>
      </c>
      <c r="B518" s="34">
        <v>699</v>
      </c>
      <c r="C518" s="34" t="s">
        <v>473</v>
      </c>
      <c r="D518" s="36">
        <v>52113</v>
      </c>
      <c r="E518" s="36">
        <v>562164</v>
      </c>
      <c r="F518"/>
      <c r="G518" s="57"/>
      <c r="H518" s="57"/>
      <c r="I518" s="65"/>
      <c r="J518" s="64"/>
      <c r="K518" s="65"/>
      <c r="L518" s="64"/>
    </row>
    <row r="519" spans="1:12" x14ac:dyDescent="0.2">
      <c r="A519">
        <v>2022</v>
      </c>
      <c r="B519" s="34">
        <v>701</v>
      </c>
      <c r="C519" s="34" t="s">
        <v>670</v>
      </c>
      <c r="E519" s="36">
        <v>185633</v>
      </c>
      <c r="F519"/>
      <c r="G519" s="57"/>
      <c r="H519" s="57"/>
      <c r="I519" s="65"/>
      <c r="J519" s="64"/>
      <c r="K519" s="57"/>
      <c r="L519" s="64"/>
    </row>
    <row r="520" spans="1:12" x14ac:dyDescent="0.2">
      <c r="A520">
        <v>2022</v>
      </c>
      <c r="B520" s="34">
        <v>702</v>
      </c>
      <c r="C520" s="34" t="s">
        <v>671</v>
      </c>
      <c r="E520" s="36">
        <v>151259</v>
      </c>
      <c r="F520"/>
      <c r="G520" s="57"/>
      <c r="H520" s="57"/>
      <c r="I520" s="65"/>
      <c r="J520" s="64"/>
      <c r="K520" s="57"/>
      <c r="L520" s="64"/>
    </row>
    <row r="521" spans="1:12" x14ac:dyDescent="0.2">
      <c r="A521">
        <v>2022</v>
      </c>
      <c r="B521" s="34">
        <v>704</v>
      </c>
      <c r="C521" s="34" t="s">
        <v>672</v>
      </c>
      <c r="E521" s="36">
        <v>55240</v>
      </c>
      <c r="F521"/>
      <c r="G521" s="57"/>
      <c r="H521" s="57"/>
      <c r="I521" s="65"/>
      <c r="J521" s="64"/>
      <c r="K521" s="57"/>
      <c r="L521" s="64"/>
    </row>
    <row r="522" spans="1:12" x14ac:dyDescent="0.2">
      <c r="A522">
        <v>2022</v>
      </c>
      <c r="B522" s="34">
        <v>711</v>
      </c>
      <c r="C522" s="34" t="s">
        <v>674</v>
      </c>
      <c r="D522" s="36">
        <v>100594</v>
      </c>
      <c r="E522" s="36">
        <v>195911</v>
      </c>
      <c r="F522"/>
      <c r="G522" s="57"/>
      <c r="H522" s="57"/>
      <c r="I522" s="65"/>
      <c r="J522" s="64"/>
      <c r="K522" s="65"/>
      <c r="L522" s="64"/>
    </row>
    <row r="523" spans="1:12" x14ac:dyDescent="0.2">
      <c r="A523">
        <v>2022</v>
      </c>
      <c r="B523" s="34">
        <v>714</v>
      </c>
      <c r="C523" s="34" t="s">
        <v>675</v>
      </c>
      <c r="D523" s="36">
        <v>32052</v>
      </c>
      <c r="F523"/>
      <c r="G523" s="57"/>
      <c r="H523" s="57"/>
      <c r="I523" s="57"/>
      <c r="J523" s="64"/>
      <c r="K523" s="65"/>
      <c r="L523" s="64"/>
    </row>
    <row r="524" spans="1:12" x14ac:dyDescent="0.2">
      <c r="A524">
        <v>2022</v>
      </c>
      <c r="B524" s="34">
        <v>750</v>
      </c>
      <c r="C524" s="34" t="s">
        <v>676</v>
      </c>
      <c r="D524" s="36">
        <v>64019</v>
      </c>
      <c r="E524" s="36">
        <v>309522</v>
      </c>
      <c r="F524"/>
      <c r="G524" s="57"/>
      <c r="H524" s="57"/>
      <c r="I524" s="65"/>
      <c r="J524" s="64"/>
      <c r="K524" s="65"/>
      <c r="L524" s="64"/>
    </row>
    <row r="525" spans="1:12" x14ac:dyDescent="0.2">
      <c r="A525">
        <v>2022</v>
      </c>
      <c r="B525" s="34">
        <v>801</v>
      </c>
      <c r="C525" s="34" t="s">
        <v>474</v>
      </c>
      <c r="D525" s="36">
        <v>124978</v>
      </c>
      <c r="E525" s="36">
        <v>1099290</v>
      </c>
      <c r="F525"/>
      <c r="G525" s="57"/>
      <c r="H525" s="57"/>
      <c r="I525" s="65"/>
      <c r="J525" s="64"/>
      <c r="K525" s="65"/>
      <c r="L525" s="64"/>
    </row>
    <row r="526" spans="1:12" x14ac:dyDescent="0.2">
      <c r="A526">
        <v>2022</v>
      </c>
      <c r="B526" s="34">
        <v>802</v>
      </c>
      <c r="C526" s="34" t="s">
        <v>677</v>
      </c>
      <c r="D526" s="36">
        <v>241639</v>
      </c>
      <c r="E526" s="36">
        <v>1398542</v>
      </c>
      <c r="F526"/>
      <c r="G526" s="57"/>
      <c r="H526" s="57"/>
      <c r="I526" s="65"/>
      <c r="J526" s="64"/>
      <c r="K526" s="65"/>
      <c r="L526" s="64"/>
    </row>
    <row r="527" spans="1:12" x14ac:dyDescent="0.2">
      <c r="A527">
        <v>2022</v>
      </c>
      <c r="B527" s="34">
        <v>803</v>
      </c>
      <c r="C527" s="34" t="s">
        <v>475</v>
      </c>
      <c r="D527" s="36">
        <v>1937802</v>
      </c>
      <c r="E527" s="36">
        <v>4568751</v>
      </c>
      <c r="F527"/>
      <c r="G527" s="57"/>
      <c r="H527" s="57"/>
      <c r="I527" s="65"/>
      <c r="J527" s="64"/>
      <c r="K527" s="65"/>
      <c r="L527" s="64"/>
    </row>
    <row r="528" spans="1:12" x14ac:dyDescent="0.2">
      <c r="A528">
        <v>2022</v>
      </c>
      <c r="B528" s="34">
        <v>805</v>
      </c>
      <c r="C528" s="34" t="s">
        <v>678</v>
      </c>
      <c r="D528" s="36">
        <v>500395</v>
      </c>
      <c r="E528" s="36">
        <v>1769446</v>
      </c>
      <c r="F528"/>
      <c r="G528" s="57"/>
      <c r="H528" s="57"/>
      <c r="I528" s="65"/>
      <c r="J528" s="64"/>
      <c r="K528" s="65"/>
      <c r="L528" s="64"/>
    </row>
    <row r="529" spans="1:12" x14ac:dyDescent="0.2">
      <c r="A529">
        <v>2022</v>
      </c>
      <c r="B529" s="34">
        <v>806</v>
      </c>
      <c r="C529" s="34" t="s">
        <v>476</v>
      </c>
      <c r="D529" s="36">
        <v>208398</v>
      </c>
      <c r="E529" s="36">
        <v>2269739</v>
      </c>
      <c r="F529"/>
      <c r="G529" s="57"/>
      <c r="H529" s="57"/>
      <c r="I529" s="65"/>
      <c r="J529" s="64"/>
      <c r="K529" s="65"/>
      <c r="L529" s="64"/>
    </row>
    <row r="530" spans="1:12" x14ac:dyDescent="0.2">
      <c r="A530">
        <v>2022</v>
      </c>
      <c r="B530" s="34">
        <v>807</v>
      </c>
      <c r="C530" s="34" t="s">
        <v>679</v>
      </c>
      <c r="D530" s="36">
        <v>180104</v>
      </c>
      <c r="E530" s="36">
        <v>1930037</v>
      </c>
      <c r="F530"/>
      <c r="G530" s="57"/>
      <c r="H530" s="57"/>
      <c r="I530" s="65"/>
      <c r="J530" s="64"/>
      <c r="K530" s="65"/>
      <c r="L530" s="64"/>
    </row>
    <row r="531" spans="1:12" x14ac:dyDescent="0.2">
      <c r="A531">
        <v>2022</v>
      </c>
      <c r="B531" s="34">
        <v>808</v>
      </c>
      <c r="C531" s="34" t="s">
        <v>680</v>
      </c>
      <c r="D531" s="36">
        <v>281741</v>
      </c>
      <c r="E531" s="36">
        <v>1483009</v>
      </c>
      <c r="F531"/>
      <c r="G531" s="57"/>
      <c r="H531" s="57"/>
      <c r="I531" s="65"/>
      <c r="J531" s="64"/>
      <c r="K531" s="65"/>
      <c r="L531" s="64"/>
    </row>
    <row r="532" spans="1:12" x14ac:dyDescent="0.2">
      <c r="A532">
        <v>2022</v>
      </c>
      <c r="B532" s="34">
        <v>809</v>
      </c>
      <c r="C532" s="34" t="s">
        <v>681</v>
      </c>
      <c r="D532" s="36">
        <v>172785</v>
      </c>
      <c r="E532" s="36">
        <v>814736</v>
      </c>
      <c r="F532"/>
      <c r="G532" s="57"/>
      <c r="H532" s="57"/>
      <c r="I532" s="65"/>
      <c r="J532" s="64"/>
      <c r="K532" s="65"/>
      <c r="L532" s="64"/>
    </row>
    <row r="533" spans="1:12" x14ac:dyDescent="0.2">
      <c r="A533">
        <v>2022</v>
      </c>
      <c r="B533" s="34">
        <v>810</v>
      </c>
      <c r="C533" s="34" t="s">
        <v>682</v>
      </c>
      <c r="E533" s="36">
        <v>9006549</v>
      </c>
      <c r="F533"/>
      <c r="G533" s="57"/>
      <c r="H533" s="57"/>
      <c r="I533" s="65"/>
      <c r="J533" s="64"/>
      <c r="K533" s="57"/>
      <c r="L533" s="64"/>
    </row>
    <row r="534" spans="1:12" x14ac:dyDescent="0.2">
      <c r="A534">
        <v>2022</v>
      </c>
      <c r="B534" s="34">
        <v>811</v>
      </c>
      <c r="C534" s="34" t="s">
        <v>477</v>
      </c>
      <c r="D534" s="36">
        <v>349921</v>
      </c>
      <c r="E534" s="36">
        <v>555193</v>
      </c>
      <c r="F534"/>
      <c r="G534" s="57"/>
      <c r="H534" s="57"/>
      <c r="I534" s="65"/>
      <c r="J534" s="64"/>
      <c r="K534" s="65"/>
      <c r="L534" s="64"/>
    </row>
    <row r="535" spans="1:12" x14ac:dyDescent="0.2">
      <c r="A535">
        <v>2022</v>
      </c>
      <c r="B535" s="34">
        <v>812</v>
      </c>
      <c r="C535" s="34" t="s">
        <v>683</v>
      </c>
      <c r="D535" s="36">
        <v>534978</v>
      </c>
      <c r="E535" s="36">
        <v>2126879</v>
      </c>
      <c r="F535"/>
      <c r="G535" s="57"/>
      <c r="H535" s="57"/>
      <c r="I535" s="65"/>
      <c r="J535" s="64"/>
      <c r="K535" s="65"/>
      <c r="L535" s="64"/>
    </row>
    <row r="536" spans="1:12" x14ac:dyDescent="0.2">
      <c r="A536">
        <v>2022</v>
      </c>
      <c r="B536" s="34">
        <v>813</v>
      </c>
      <c r="C536" s="34" t="s">
        <v>684</v>
      </c>
      <c r="D536" s="36">
        <v>1008800</v>
      </c>
      <c r="E536" s="36">
        <v>3727941</v>
      </c>
      <c r="F536"/>
      <c r="G536" s="57"/>
      <c r="H536" s="57"/>
      <c r="I536" s="65"/>
      <c r="J536" s="64"/>
      <c r="K536" s="65"/>
      <c r="L536" s="64"/>
    </row>
    <row r="537" spans="1:12" x14ac:dyDescent="0.2">
      <c r="F537"/>
      <c r="G537"/>
    </row>
    <row r="538" spans="1:12" x14ac:dyDescent="0.2">
      <c r="D538" s="36">
        <f>SUM(D2:D536)</f>
        <v>133912932</v>
      </c>
      <c r="E538" s="36">
        <f>SUM(E2:E536)</f>
        <v>763765603</v>
      </c>
      <c r="F538"/>
      <c r="G538"/>
    </row>
    <row r="539" spans="1:12" x14ac:dyDescent="0.2">
      <c r="F539"/>
      <c r="G539"/>
    </row>
    <row r="540" spans="1:12" x14ac:dyDescent="0.2">
      <c r="D540" s="36">
        <v>133912932</v>
      </c>
      <c r="E540" s="34">
        <v>763765603</v>
      </c>
      <c r="F540"/>
      <c r="G540"/>
    </row>
    <row r="541" spans="1:12" x14ac:dyDescent="0.2">
      <c r="F541"/>
      <c r="G541"/>
    </row>
    <row r="542" spans="1:12" x14ac:dyDescent="0.2">
      <c r="C542" s="61" t="s">
        <v>685</v>
      </c>
      <c r="D542" s="67">
        <f>D538-D540</f>
        <v>0</v>
      </c>
      <c r="E542" s="67">
        <f>E538-E540</f>
        <v>0</v>
      </c>
      <c r="F542"/>
      <c r="G54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4763-DB81-C743-875B-83D148E0FD45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6C46-5C3D-EB4B-A45F-39635427BCAD}">
  <sheetPr>
    <tabColor rgb="FFFFFF00"/>
  </sheetPr>
  <dimension ref="A1:C527"/>
  <sheetViews>
    <sheetView topLeftCell="A409" workbookViewId="0">
      <selection activeCell="C430" sqref="C430"/>
    </sheetView>
  </sheetViews>
  <sheetFormatPr baseColWidth="10" defaultRowHeight="16" x14ac:dyDescent="0.2"/>
  <cols>
    <col min="1" max="2" width="35.1640625" bestFit="1" customWidth="1"/>
  </cols>
  <sheetData>
    <row r="1" spans="1:3" x14ac:dyDescent="0.2">
      <c r="A1" t="s">
        <v>522</v>
      </c>
      <c r="B1" t="s">
        <v>731</v>
      </c>
    </row>
    <row r="2" spans="1:3" x14ac:dyDescent="0.2">
      <c r="A2" s="34" t="s">
        <v>719</v>
      </c>
      <c r="B2" s="34">
        <v>2900001</v>
      </c>
    </row>
    <row r="3" spans="1:3" x14ac:dyDescent="0.2">
      <c r="A3" s="39" t="s">
        <v>181</v>
      </c>
      <c r="B3" s="34">
        <v>2900002</v>
      </c>
      <c r="C3" s="68"/>
    </row>
    <row r="4" spans="1:3" x14ac:dyDescent="0.2">
      <c r="A4" s="39" t="s">
        <v>473</v>
      </c>
      <c r="B4" s="34">
        <v>2900003</v>
      </c>
      <c r="C4" s="68"/>
    </row>
    <row r="5" spans="1:3" x14ac:dyDescent="0.2">
      <c r="A5" s="34" t="s">
        <v>592</v>
      </c>
      <c r="B5" s="34">
        <v>2900004</v>
      </c>
      <c r="C5" s="68"/>
    </row>
    <row r="6" spans="1:3" x14ac:dyDescent="0.2">
      <c r="A6" s="42" t="s">
        <v>534</v>
      </c>
      <c r="B6" s="34">
        <v>2900005</v>
      </c>
      <c r="C6" s="68"/>
    </row>
    <row r="7" spans="1:3" x14ac:dyDescent="0.2">
      <c r="A7" s="42" t="s">
        <v>533</v>
      </c>
      <c r="B7" s="34">
        <v>2900006</v>
      </c>
      <c r="C7" s="68"/>
    </row>
    <row r="8" spans="1:3" x14ac:dyDescent="0.2">
      <c r="A8" s="43" t="s">
        <v>476</v>
      </c>
      <c r="B8" s="34">
        <v>2900007</v>
      </c>
      <c r="C8" s="68"/>
    </row>
    <row r="9" spans="1:3" x14ac:dyDescent="0.2">
      <c r="A9" s="43" t="s">
        <v>539</v>
      </c>
      <c r="B9" s="34">
        <v>2900008</v>
      </c>
      <c r="C9" s="68"/>
    </row>
    <row r="10" spans="1:3" x14ac:dyDescent="0.2">
      <c r="A10" s="34" t="s">
        <v>673</v>
      </c>
      <c r="B10" s="34">
        <v>2900009</v>
      </c>
      <c r="C10" s="68"/>
    </row>
    <row r="11" spans="1:3" x14ac:dyDescent="0.2">
      <c r="A11" s="39" t="s">
        <v>41</v>
      </c>
      <c r="B11" s="34">
        <v>2901000</v>
      </c>
      <c r="C11" s="68"/>
    </row>
    <row r="12" spans="1:3" x14ac:dyDescent="0.2">
      <c r="A12" s="39" t="s">
        <v>24</v>
      </c>
      <c r="B12" s="34">
        <v>2902850</v>
      </c>
      <c r="C12" s="68"/>
    </row>
    <row r="13" spans="1:3" x14ac:dyDescent="0.2">
      <c r="A13" s="39" t="s">
        <v>424</v>
      </c>
      <c r="B13" s="34">
        <v>2902880</v>
      </c>
      <c r="C13" s="68"/>
    </row>
    <row r="14" spans="1:3" x14ac:dyDescent="0.2">
      <c r="A14" s="50" t="s">
        <v>517</v>
      </c>
      <c r="B14" s="34">
        <v>2902910</v>
      </c>
      <c r="C14" s="68"/>
    </row>
    <row r="15" spans="1:3" x14ac:dyDescent="0.2">
      <c r="A15" s="39" t="s">
        <v>167</v>
      </c>
      <c r="B15" s="34">
        <v>2902970</v>
      </c>
      <c r="C15" s="68"/>
    </row>
    <row r="16" spans="1:3" x14ac:dyDescent="0.2">
      <c r="A16" s="34" t="s">
        <v>687</v>
      </c>
      <c r="B16" s="34">
        <v>2903000</v>
      </c>
      <c r="C16" s="68"/>
    </row>
    <row r="17" spans="1:3" x14ac:dyDescent="0.2">
      <c r="A17" s="39" t="s">
        <v>627</v>
      </c>
      <c r="B17" s="34">
        <v>2903040</v>
      </c>
      <c r="C17" s="68"/>
    </row>
    <row r="18" spans="1:3" x14ac:dyDescent="0.2">
      <c r="A18" s="39" t="s">
        <v>610</v>
      </c>
      <c r="B18" s="34">
        <v>2903060</v>
      </c>
      <c r="C18" s="68"/>
    </row>
    <row r="19" spans="1:3" x14ac:dyDescent="0.2">
      <c r="A19" s="50" t="s">
        <v>500</v>
      </c>
      <c r="B19" s="34">
        <v>2903120</v>
      </c>
      <c r="C19" s="68"/>
    </row>
    <row r="20" spans="1:3" x14ac:dyDescent="0.2">
      <c r="A20" s="39" t="s">
        <v>211</v>
      </c>
      <c r="B20" s="34">
        <v>2903150</v>
      </c>
      <c r="C20" s="68"/>
    </row>
    <row r="21" spans="1:3" x14ac:dyDescent="0.2">
      <c r="A21" s="39" t="s">
        <v>170</v>
      </c>
      <c r="B21" s="34">
        <v>2903270</v>
      </c>
      <c r="C21" s="68"/>
    </row>
    <row r="22" spans="1:3" x14ac:dyDescent="0.2">
      <c r="A22" s="39" t="s">
        <v>713</v>
      </c>
      <c r="B22" s="34">
        <v>2903480</v>
      </c>
      <c r="C22" s="68"/>
    </row>
    <row r="23" spans="1:3" x14ac:dyDescent="0.2">
      <c r="A23" s="39" t="s">
        <v>693</v>
      </c>
      <c r="B23" s="34">
        <v>2904020</v>
      </c>
      <c r="C23" s="68"/>
    </row>
    <row r="24" spans="1:3" x14ac:dyDescent="0.2">
      <c r="A24" s="34" t="s">
        <v>553</v>
      </c>
      <c r="B24" s="34">
        <v>2904050</v>
      </c>
      <c r="C24" s="68"/>
    </row>
    <row r="25" spans="1:3" x14ac:dyDescent="0.2">
      <c r="A25" s="39" t="s">
        <v>5</v>
      </c>
      <c r="B25" s="34">
        <v>2904080</v>
      </c>
      <c r="C25" s="68"/>
    </row>
    <row r="26" spans="1:3" x14ac:dyDescent="0.2">
      <c r="A26" s="39" t="s">
        <v>233</v>
      </c>
      <c r="B26" s="34">
        <v>2904110</v>
      </c>
      <c r="C26" s="68"/>
    </row>
    <row r="27" spans="1:3" x14ac:dyDescent="0.2">
      <c r="A27" s="39" t="s">
        <v>616</v>
      </c>
      <c r="B27" s="34">
        <v>2904140</v>
      </c>
      <c r="C27" s="68"/>
    </row>
    <row r="28" spans="1:3" x14ac:dyDescent="0.2">
      <c r="A28" s="39" t="s">
        <v>23</v>
      </c>
      <c r="B28" s="34">
        <v>2904170</v>
      </c>
      <c r="C28" s="68"/>
    </row>
    <row r="29" spans="1:3" x14ac:dyDescent="0.2">
      <c r="A29" s="50" t="s">
        <v>518</v>
      </c>
      <c r="B29" s="34">
        <v>2904500</v>
      </c>
      <c r="C29" s="68"/>
    </row>
    <row r="30" spans="1:3" x14ac:dyDescent="0.2">
      <c r="A30" s="39" t="s">
        <v>423</v>
      </c>
      <c r="B30" s="34">
        <v>2904530</v>
      </c>
      <c r="C30" s="68"/>
    </row>
    <row r="31" spans="1:3" x14ac:dyDescent="0.2">
      <c r="A31" s="39" t="s">
        <v>212</v>
      </c>
      <c r="B31" s="34">
        <v>2904590</v>
      </c>
      <c r="C31" s="68"/>
    </row>
    <row r="32" spans="1:3" x14ac:dyDescent="0.2">
      <c r="A32" s="39" t="s">
        <v>83</v>
      </c>
      <c r="B32" s="34">
        <v>2904620</v>
      </c>
      <c r="C32" s="68"/>
    </row>
    <row r="33" spans="1:3" x14ac:dyDescent="0.2">
      <c r="A33" s="39" t="s">
        <v>427</v>
      </c>
      <c r="B33" s="34">
        <v>2904950</v>
      </c>
      <c r="C33" s="68"/>
    </row>
    <row r="34" spans="1:3" x14ac:dyDescent="0.2">
      <c r="A34" s="39" t="s">
        <v>714</v>
      </c>
      <c r="B34" s="34">
        <v>2904980</v>
      </c>
      <c r="C34" s="68"/>
    </row>
    <row r="35" spans="1:3" x14ac:dyDescent="0.2">
      <c r="A35" s="39" t="s">
        <v>96</v>
      </c>
      <c r="B35" s="34">
        <v>2905070</v>
      </c>
      <c r="C35" s="68"/>
    </row>
    <row r="36" spans="1:3" x14ac:dyDescent="0.2">
      <c r="A36" s="50" t="s">
        <v>507</v>
      </c>
      <c r="B36" s="34">
        <v>2905130</v>
      </c>
      <c r="C36" s="68"/>
    </row>
    <row r="37" spans="1:3" x14ac:dyDescent="0.2">
      <c r="A37" s="39" t="s">
        <v>115</v>
      </c>
      <c r="B37" s="34">
        <v>2905190</v>
      </c>
      <c r="C37" s="68"/>
    </row>
    <row r="38" spans="1:3" x14ac:dyDescent="0.2">
      <c r="A38" s="39" t="s">
        <v>428</v>
      </c>
      <c r="B38" s="34">
        <v>2905250</v>
      </c>
      <c r="C38" s="68"/>
    </row>
    <row r="39" spans="1:3" x14ac:dyDescent="0.2">
      <c r="A39" s="39" t="s">
        <v>433</v>
      </c>
      <c r="B39" s="34">
        <v>2905280</v>
      </c>
      <c r="C39" s="68"/>
    </row>
    <row r="40" spans="1:3" x14ac:dyDescent="0.2">
      <c r="A40" s="39" t="s">
        <v>217</v>
      </c>
      <c r="B40" s="34">
        <v>2905310</v>
      </c>
      <c r="C40" s="68"/>
    </row>
    <row r="41" spans="1:3" x14ac:dyDescent="0.2">
      <c r="A41" s="39" t="s">
        <v>646</v>
      </c>
      <c r="B41" s="34">
        <v>2905370</v>
      </c>
      <c r="C41" s="68"/>
    </row>
    <row r="42" spans="1:3" x14ac:dyDescent="0.2">
      <c r="A42" s="39" t="s">
        <v>641</v>
      </c>
      <c r="B42" s="34">
        <v>2905400</v>
      </c>
      <c r="C42" s="68"/>
    </row>
    <row r="43" spans="1:3" x14ac:dyDescent="0.2">
      <c r="A43" s="34" t="s">
        <v>665</v>
      </c>
      <c r="B43" s="34">
        <v>2905430</v>
      </c>
      <c r="C43" s="68"/>
    </row>
    <row r="44" spans="1:3" x14ac:dyDescent="0.2">
      <c r="A44" s="39" t="s">
        <v>114</v>
      </c>
      <c r="B44" s="34">
        <v>2905580</v>
      </c>
      <c r="C44" s="68"/>
    </row>
    <row r="45" spans="1:3" x14ac:dyDescent="0.2">
      <c r="A45" s="39" t="s">
        <v>71</v>
      </c>
      <c r="B45" s="34">
        <v>2905610</v>
      </c>
      <c r="C45" s="68"/>
    </row>
    <row r="46" spans="1:3" x14ac:dyDescent="0.2">
      <c r="A46" s="39" t="s">
        <v>120</v>
      </c>
      <c r="B46" s="34">
        <v>2905640</v>
      </c>
      <c r="C46" s="68"/>
    </row>
    <row r="47" spans="1:3" x14ac:dyDescent="0.2">
      <c r="A47" s="34" t="s">
        <v>638</v>
      </c>
      <c r="B47" s="34">
        <v>2905660</v>
      </c>
      <c r="C47" s="68"/>
    </row>
    <row r="48" spans="1:3" x14ac:dyDescent="0.2">
      <c r="A48" s="39" t="s">
        <v>437</v>
      </c>
      <c r="B48" s="34">
        <v>2905700</v>
      </c>
      <c r="C48" s="68"/>
    </row>
    <row r="49" spans="1:3" x14ac:dyDescent="0.2">
      <c r="A49" s="39" t="s">
        <v>624</v>
      </c>
      <c r="B49" s="34">
        <v>2905730</v>
      </c>
      <c r="C49" s="68"/>
    </row>
    <row r="50" spans="1:3" x14ac:dyDescent="0.2">
      <c r="A50" s="39" t="s">
        <v>440</v>
      </c>
      <c r="B50" s="34">
        <v>2905760</v>
      </c>
      <c r="C50" s="68"/>
    </row>
    <row r="51" spans="1:3" x14ac:dyDescent="0.2">
      <c r="A51" s="39" t="s">
        <v>1</v>
      </c>
      <c r="B51" s="34">
        <v>2905790</v>
      </c>
      <c r="C51" s="68"/>
    </row>
    <row r="52" spans="1:3" x14ac:dyDescent="0.2">
      <c r="A52" s="39" t="s">
        <v>55</v>
      </c>
      <c r="B52" s="34">
        <v>2905820</v>
      </c>
      <c r="C52" s="68"/>
    </row>
    <row r="53" spans="1:3" x14ac:dyDescent="0.2">
      <c r="A53" s="39" t="s">
        <v>49</v>
      </c>
      <c r="B53" s="34">
        <v>2905850</v>
      </c>
      <c r="C53" s="68"/>
    </row>
    <row r="54" spans="1:3" x14ac:dyDescent="0.2">
      <c r="A54" s="50" t="s">
        <v>519</v>
      </c>
      <c r="B54" s="34">
        <v>2905880</v>
      </c>
      <c r="C54" s="68"/>
    </row>
    <row r="55" spans="1:3" x14ac:dyDescent="0.2">
      <c r="A55" s="39" t="s">
        <v>453</v>
      </c>
      <c r="B55" s="34">
        <v>2905910</v>
      </c>
      <c r="C55" s="68"/>
    </row>
    <row r="56" spans="1:3" x14ac:dyDescent="0.2">
      <c r="A56" s="39" t="s">
        <v>703</v>
      </c>
      <c r="B56" s="34">
        <v>2905940</v>
      </c>
      <c r="C56" s="68"/>
    </row>
    <row r="57" spans="1:3" x14ac:dyDescent="0.2">
      <c r="A57" s="34" t="s">
        <v>701</v>
      </c>
      <c r="B57" s="34">
        <v>2906000</v>
      </c>
      <c r="C57" s="68"/>
    </row>
    <row r="58" spans="1:3" x14ac:dyDescent="0.2">
      <c r="A58" s="39" t="s">
        <v>90</v>
      </c>
      <c r="B58" s="34">
        <v>2906030</v>
      </c>
      <c r="C58" s="68"/>
    </row>
    <row r="59" spans="1:3" x14ac:dyDescent="0.2">
      <c r="A59" s="34" t="s">
        <v>702</v>
      </c>
      <c r="B59" s="34">
        <v>2906090</v>
      </c>
      <c r="C59" s="68"/>
    </row>
    <row r="60" spans="1:3" x14ac:dyDescent="0.2">
      <c r="A60" s="39" t="s">
        <v>127</v>
      </c>
      <c r="B60" s="34">
        <v>2906120</v>
      </c>
      <c r="C60" s="68"/>
    </row>
    <row r="61" spans="1:3" x14ac:dyDescent="0.2">
      <c r="A61" s="39" t="s">
        <v>116</v>
      </c>
      <c r="B61" s="34">
        <v>2906150</v>
      </c>
      <c r="C61" s="68"/>
    </row>
    <row r="62" spans="1:3" x14ac:dyDescent="0.2">
      <c r="A62" s="50" t="s">
        <v>489</v>
      </c>
      <c r="B62" s="34">
        <v>2906170</v>
      </c>
      <c r="C62" s="68"/>
    </row>
    <row r="63" spans="1:3" x14ac:dyDescent="0.2">
      <c r="A63" s="39" t="s">
        <v>26</v>
      </c>
      <c r="B63" s="34">
        <v>2906360</v>
      </c>
      <c r="C63" s="68"/>
    </row>
    <row r="64" spans="1:3" x14ac:dyDescent="0.2">
      <c r="A64" s="39" t="s">
        <v>446</v>
      </c>
      <c r="B64" s="34">
        <v>2906430</v>
      </c>
      <c r="C64" s="68"/>
    </row>
    <row r="65" spans="1:3" x14ac:dyDescent="0.2">
      <c r="A65" s="39" t="s">
        <v>180</v>
      </c>
      <c r="B65" s="34">
        <v>2906450</v>
      </c>
      <c r="C65" s="68"/>
    </row>
    <row r="66" spans="1:3" x14ac:dyDescent="0.2">
      <c r="A66" s="39" t="s">
        <v>187</v>
      </c>
      <c r="B66" s="34">
        <v>2906480</v>
      </c>
      <c r="C66" s="68"/>
    </row>
    <row r="67" spans="1:3" x14ac:dyDescent="0.2">
      <c r="A67" s="34" t="s">
        <v>577</v>
      </c>
      <c r="B67" s="34">
        <v>2906510</v>
      </c>
      <c r="C67" s="68"/>
    </row>
    <row r="68" spans="1:3" x14ac:dyDescent="0.2">
      <c r="A68" s="39" t="s">
        <v>715</v>
      </c>
      <c r="B68" s="34">
        <v>2906540</v>
      </c>
      <c r="C68" s="68"/>
    </row>
    <row r="69" spans="1:3" x14ac:dyDescent="0.2">
      <c r="A69" s="39" t="s">
        <v>61</v>
      </c>
      <c r="B69" s="34">
        <v>2906990</v>
      </c>
      <c r="C69" s="68"/>
    </row>
    <row r="70" spans="1:3" x14ac:dyDescent="0.2">
      <c r="A70" s="39" t="s">
        <v>108</v>
      </c>
      <c r="B70" s="34">
        <v>2907020</v>
      </c>
      <c r="C70" s="68"/>
    </row>
    <row r="71" spans="1:3" x14ac:dyDescent="0.2">
      <c r="A71" s="39" t="s">
        <v>147</v>
      </c>
      <c r="B71" s="34">
        <v>2907050</v>
      </c>
      <c r="C71" s="68"/>
    </row>
    <row r="72" spans="1:3" x14ac:dyDescent="0.2">
      <c r="A72" s="39" t="s">
        <v>695</v>
      </c>
      <c r="B72" s="34">
        <v>2907080</v>
      </c>
      <c r="C72" s="68"/>
    </row>
    <row r="73" spans="1:3" x14ac:dyDescent="0.2">
      <c r="A73" s="39" t="s">
        <v>68</v>
      </c>
      <c r="B73" s="34">
        <v>2907120</v>
      </c>
      <c r="C73" s="68"/>
    </row>
    <row r="74" spans="1:3" x14ac:dyDescent="0.2">
      <c r="A74" s="39" t="s">
        <v>65</v>
      </c>
      <c r="B74" s="34">
        <v>2907320</v>
      </c>
      <c r="C74" s="68"/>
    </row>
    <row r="75" spans="1:3" x14ac:dyDescent="0.2">
      <c r="A75" s="39" t="s">
        <v>227</v>
      </c>
      <c r="B75" s="34">
        <v>2907350</v>
      </c>
      <c r="C75" s="68"/>
    </row>
    <row r="76" spans="1:3" x14ac:dyDescent="0.2">
      <c r="A76" s="39" t="s">
        <v>72</v>
      </c>
      <c r="B76" s="34">
        <v>2907380</v>
      </c>
      <c r="C76" s="68"/>
    </row>
    <row r="77" spans="1:3" x14ac:dyDescent="0.2">
      <c r="A77" s="39" t="s">
        <v>232</v>
      </c>
      <c r="B77" s="34">
        <v>2907460</v>
      </c>
      <c r="C77" s="68"/>
    </row>
    <row r="78" spans="1:3" x14ac:dyDescent="0.2">
      <c r="A78" s="39" t="s">
        <v>625</v>
      </c>
      <c r="B78" s="34">
        <v>2907470</v>
      </c>
      <c r="C78" s="68"/>
    </row>
    <row r="79" spans="1:3" x14ac:dyDescent="0.2">
      <c r="A79" s="39" t="s">
        <v>15</v>
      </c>
      <c r="B79" s="34">
        <v>2908170</v>
      </c>
      <c r="C79" s="68"/>
    </row>
    <row r="80" spans="1:3" x14ac:dyDescent="0.2">
      <c r="A80" s="39" t="s">
        <v>226</v>
      </c>
      <c r="B80" s="34">
        <v>2908250</v>
      </c>
      <c r="C80" s="68"/>
    </row>
    <row r="81" spans="1:3" x14ac:dyDescent="0.2">
      <c r="A81" s="39" t="s">
        <v>248</v>
      </c>
      <c r="B81" s="34">
        <v>2908320</v>
      </c>
      <c r="C81" s="68"/>
    </row>
    <row r="82" spans="1:3" x14ac:dyDescent="0.2">
      <c r="A82" s="34" t="s">
        <v>661</v>
      </c>
      <c r="B82" s="34">
        <v>2908340</v>
      </c>
      <c r="C82" s="68"/>
    </row>
    <row r="83" spans="1:3" x14ac:dyDescent="0.2">
      <c r="A83" s="50" t="s">
        <v>495</v>
      </c>
      <c r="B83" s="34">
        <v>2908370</v>
      </c>
      <c r="C83" s="68"/>
    </row>
    <row r="84" spans="1:3" x14ac:dyDescent="0.2">
      <c r="A84" s="39" t="s">
        <v>39</v>
      </c>
      <c r="B84" s="34">
        <v>2908400</v>
      </c>
      <c r="C84" s="68"/>
    </row>
    <row r="85" spans="1:3" x14ac:dyDescent="0.2">
      <c r="A85" s="39" t="s">
        <v>93</v>
      </c>
      <c r="B85" s="34">
        <v>2908430</v>
      </c>
      <c r="C85" s="68"/>
    </row>
    <row r="86" spans="1:3" x14ac:dyDescent="0.2">
      <c r="A86" s="39" t="s">
        <v>412</v>
      </c>
      <c r="B86" s="34">
        <v>2908460</v>
      </c>
      <c r="C86" s="68"/>
    </row>
    <row r="87" spans="1:3" x14ac:dyDescent="0.2">
      <c r="A87" s="34" t="s">
        <v>611</v>
      </c>
      <c r="B87" s="34">
        <v>2908490</v>
      </c>
      <c r="C87" s="68"/>
    </row>
    <row r="88" spans="1:3" x14ac:dyDescent="0.2">
      <c r="A88" s="34" t="s">
        <v>575</v>
      </c>
      <c r="B88" s="34">
        <v>2908670</v>
      </c>
      <c r="C88" s="68"/>
    </row>
    <row r="89" spans="1:3" x14ac:dyDescent="0.2">
      <c r="A89" s="39" t="s">
        <v>247</v>
      </c>
      <c r="B89" s="34">
        <v>2908730</v>
      </c>
      <c r="C89" s="68"/>
    </row>
    <row r="90" spans="1:3" x14ac:dyDescent="0.2">
      <c r="A90" s="34" t="s">
        <v>707</v>
      </c>
      <c r="B90" s="34">
        <v>2908760</v>
      </c>
      <c r="C90" s="68"/>
    </row>
    <row r="91" spans="1:3" x14ac:dyDescent="0.2">
      <c r="A91" s="39" t="s">
        <v>708</v>
      </c>
      <c r="B91" s="34">
        <v>2908790</v>
      </c>
      <c r="C91" s="68"/>
    </row>
    <row r="92" spans="1:3" x14ac:dyDescent="0.2">
      <c r="A92" s="39" t="s">
        <v>582</v>
      </c>
      <c r="B92" s="34">
        <v>2909090</v>
      </c>
      <c r="C92" s="68"/>
    </row>
    <row r="93" spans="1:3" x14ac:dyDescent="0.2">
      <c r="A93" s="39" t="s">
        <v>149</v>
      </c>
      <c r="B93" s="34">
        <v>2909120</v>
      </c>
      <c r="C93" s="68"/>
    </row>
    <row r="94" spans="1:3" x14ac:dyDescent="0.2">
      <c r="A94" s="50" t="s">
        <v>520</v>
      </c>
      <c r="B94" s="34">
        <v>2909720</v>
      </c>
      <c r="C94" s="68"/>
    </row>
    <row r="95" spans="1:3" x14ac:dyDescent="0.2">
      <c r="A95" s="39" t="s">
        <v>461</v>
      </c>
      <c r="B95" s="34">
        <v>2909750</v>
      </c>
      <c r="C95" s="68"/>
    </row>
    <row r="96" spans="1:3" x14ac:dyDescent="0.2">
      <c r="A96" s="39" t="s">
        <v>97</v>
      </c>
      <c r="B96" s="34">
        <v>2909780</v>
      </c>
      <c r="C96" s="68"/>
    </row>
    <row r="97" spans="1:3" x14ac:dyDescent="0.2">
      <c r="A97" s="39" t="s">
        <v>62</v>
      </c>
      <c r="B97" s="34">
        <v>2909810</v>
      </c>
      <c r="C97" s="68"/>
    </row>
    <row r="98" spans="1:3" x14ac:dyDescent="0.2">
      <c r="A98" s="39" t="s">
        <v>191</v>
      </c>
      <c r="B98" s="34">
        <v>2909860</v>
      </c>
      <c r="C98" s="68"/>
    </row>
    <row r="99" spans="1:3" x14ac:dyDescent="0.2">
      <c r="A99" s="39" t="s">
        <v>29</v>
      </c>
      <c r="B99" s="34">
        <v>2909900</v>
      </c>
      <c r="C99" s="68"/>
    </row>
    <row r="100" spans="1:3" x14ac:dyDescent="0.2">
      <c r="A100" s="39" t="s">
        <v>10</v>
      </c>
      <c r="B100" s="34">
        <v>2910020</v>
      </c>
      <c r="C100" s="68"/>
    </row>
    <row r="101" spans="1:3" x14ac:dyDescent="0.2">
      <c r="A101" s="34" t="s">
        <v>560</v>
      </c>
      <c r="B101" s="34">
        <v>2910080</v>
      </c>
      <c r="C101" s="68"/>
    </row>
    <row r="102" spans="1:3" x14ac:dyDescent="0.2">
      <c r="A102" s="34" t="s">
        <v>559</v>
      </c>
      <c r="B102" s="34">
        <v>2910110</v>
      </c>
      <c r="C102" s="68"/>
    </row>
    <row r="103" spans="1:3" x14ac:dyDescent="0.2">
      <c r="A103" s="39" t="s">
        <v>622</v>
      </c>
      <c r="B103" s="34">
        <v>2910140</v>
      </c>
      <c r="C103" s="68"/>
    </row>
    <row r="104" spans="1:3" x14ac:dyDescent="0.2">
      <c r="A104" s="34" t="s">
        <v>607</v>
      </c>
      <c r="B104" s="34">
        <v>2910200</v>
      </c>
      <c r="C104" s="68"/>
    </row>
    <row r="105" spans="1:3" x14ac:dyDescent="0.2">
      <c r="A105" s="39" t="s">
        <v>52</v>
      </c>
      <c r="B105" s="34">
        <v>2910230</v>
      </c>
      <c r="C105" s="68"/>
    </row>
    <row r="106" spans="1:3" x14ac:dyDescent="0.2">
      <c r="A106" s="39" t="s">
        <v>198</v>
      </c>
      <c r="B106" s="34">
        <v>2910260</v>
      </c>
      <c r="C106" s="68"/>
    </row>
    <row r="107" spans="1:3" x14ac:dyDescent="0.2">
      <c r="A107" s="39" t="s">
        <v>431</v>
      </c>
      <c r="B107" s="34">
        <v>2910290</v>
      </c>
      <c r="C107" s="68"/>
    </row>
    <row r="108" spans="1:3" x14ac:dyDescent="0.2">
      <c r="A108" s="39" t="s">
        <v>80</v>
      </c>
      <c r="B108" s="34">
        <v>2910320</v>
      </c>
      <c r="C108" s="68"/>
    </row>
    <row r="109" spans="1:3" x14ac:dyDescent="0.2">
      <c r="A109" s="39" t="s">
        <v>653</v>
      </c>
      <c r="B109" s="34">
        <v>2910350</v>
      </c>
      <c r="C109" s="68"/>
    </row>
    <row r="110" spans="1:3" x14ac:dyDescent="0.2">
      <c r="A110" s="39" t="s">
        <v>243</v>
      </c>
      <c r="B110" s="34">
        <v>2910380</v>
      </c>
      <c r="C110" s="68"/>
    </row>
    <row r="111" spans="1:3" x14ac:dyDescent="0.2">
      <c r="A111" s="39" t="s">
        <v>121</v>
      </c>
      <c r="B111" s="34">
        <v>2910410</v>
      </c>
      <c r="C111" s="68"/>
    </row>
    <row r="112" spans="1:3" x14ac:dyDescent="0.2">
      <c r="A112" s="39" t="s">
        <v>124</v>
      </c>
      <c r="B112" s="34">
        <v>2910440</v>
      </c>
      <c r="C112" s="68"/>
    </row>
    <row r="113" spans="1:3" x14ac:dyDescent="0.2">
      <c r="A113" s="39" t="s">
        <v>189</v>
      </c>
      <c r="B113" s="34">
        <v>2910470</v>
      </c>
      <c r="C113" s="68"/>
    </row>
    <row r="114" spans="1:3" x14ac:dyDescent="0.2">
      <c r="A114" s="39" t="s">
        <v>244</v>
      </c>
      <c r="B114" s="34">
        <v>2910500</v>
      </c>
      <c r="C114" s="68"/>
    </row>
    <row r="115" spans="1:3" x14ac:dyDescent="0.2">
      <c r="A115" s="50" t="s">
        <v>502</v>
      </c>
      <c r="B115" s="34">
        <v>2910520</v>
      </c>
      <c r="C115" s="68"/>
    </row>
    <row r="116" spans="1:3" x14ac:dyDescent="0.2">
      <c r="A116" s="39" t="s">
        <v>42</v>
      </c>
      <c r="B116" s="34">
        <v>2910590</v>
      </c>
      <c r="C116" s="68"/>
    </row>
    <row r="117" spans="1:3" x14ac:dyDescent="0.2">
      <c r="A117" s="39" t="s">
        <v>66</v>
      </c>
      <c r="B117" s="34">
        <v>2910620</v>
      </c>
      <c r="C117" s="68"/>
    </row>
    <row r="118" spans="1:3" x14ac:dyDescent="0.2">
      <c r="A118" s="39" t="s">
        <v>141</v>
      </c>
      <c r="B118" s="34">
        <v>2910650</v>
      </c>
      <c r="C118" s="68"/>
    </row>
    <row r="119" spans="1:3" x14ac:dyDescent="0.2">
      <c r="A119" s="39" t="s">
        <v>140</v>
      </c>
      <c r="B119" s="34">
        <v>2910710</v>
      </c>
      <c r="C119" s="68"/>
    </row>
    <row r="120" spans="1:3" x14ac:dyDescent="0.2">
      <c r="A120" s="39" t="s">
        <v>426</v>
      </c>
      <c r="B120" s="34">
        <v>2910770</v>
      </c>
      <c r="C120" s="68"/>
    </row>
    <row r="121" spans="1:3" x14ac:dyDescent="0.2">
      <c r="A121" s="39" t="s">
        <v>595</v>
      </c>
      <c r="B121" s="34">
        <v>2910800</v>
      </c>
      <c r="C121" s="68"/>
    </row>
    <row r="122" spans="1:3" x14ac:dyDescent="0.2">
      <c r="A122" s="39" t="s">
        <v>652</v>
      </c>
      <c r="B122" s="34">
        <v>2910830</v>
      </c>
      <c r="C122" s="68"/>
    </row>
    <row r="123" spans="1:3" x14ac:dyDescent="0.2">
      <c r="A123" s="34" t="s">
        <v>663</v>
      </c>
      <c r="B123" s="34">
        <v>2910920</v>
      </c>
      <c r="C123" s="68"/>
    </row>
    <row r="124" spans="1:3" x14ac:dyDescent="0.2">
      <c r="A124" s="39" t="s">
        <v>615</v>
      </c>
      <c r="B124" s="34">
        <v>2910950</v>
      </c>
      <c r="C124" s="68"/>
    </row>
    <row r="125" spans="1:3" x14ac:dyDescent="0.2">
      <c r="A125" s="39" t="s">
        <v>144</v>
      </c>
      <c r="B125" s="34">
        <v>2911010</v>
      </c>
      <c r="C125" s="68"/>
    </row>
    <row r="126" spans="1:3" x14ac:dyDescent="0.2">
      <c r="A126" s="39" t="s">
        <v>145</v>
      </c>
      <c r="B126" s="34">
        <v>2911040</v>
      </c>
      <c r="C126" s="68"/>
    </row>
    <row r="127" spans="1:3" x14ac:dyDescent="0.2">
      <c r="A127" s="39" t="s">
        <v>87</v>
      </c>
      <c r="B127" s="34">
        <v>2911070</v>
      </c>
      <c r="C127" s="68"/>
    </row>
    <row r="128" spans="1:3" x14ac:dyDescent="0.2">
      <c r="A128" s="34" t="s">
        <v>86</v>
      </c>
      <c r="B128" s="34">
        <v>2911100</v>
      </c>
      <c r="C128" s="68"/>
    </row>
    <row r="129" spans="1:3" x14ac:dyDescent="0.2">
      <c r="A129" s="39" t="s">
        <v>84</v>
      </c>
      <c r="B129" s="34">
        <v>2911160</v>
      </c>
      <c r="C129" s="68"/>
    </row>
    <row r="130" spans="1:3" x14ac:dyDescent="0.2">
      <c r="A130" s="39" t="s">
        <v>576</v>
      </c>
      <c r="B130" s="34">
        <v>2911220</v>
      </c>
      <c r="C130" s="68"/>
    </row>
    <row r="131" spans="1:3" x14ac:dyDescent="0.2">
      <c r="A131" s="39" t="s">
        <v>44</v>
      </c>
      <c r="B131" s="34">
        <v>2911250</v>
      </c>
      <c r="C131" s="68"/>
    </row>
    <row r="132" spans="1:3" x14ac:dyDescent="0.2">
      <c r="A132" s="34" t="s">
        <v>558</v>
      </c>
      <c r="B132" s="34">
        <v>2911280</v>
      </c>
      <c r="C132" s="68"/>
    </row>
    <row r="133" spans="1:3" x14ac:dyDescent="0.2">
      <c r="A133" s="39" t="s">
        <v>88</v>
      </c>
      <c r="B133" s="34">
        <v>2911310</v>
      </c>
      <c r="C133" s="68"/>
    </row>
    <row r="134" spans="1:3" x14ac:dyDescent="0.2">
      <c r="A134" s="34" t="s">
        <v>725</v>
      </c>
      <c r="B134" s="34">
        <v>2911340</v>
      </c>
      <c r="C134" s="68"/>
    </row>
    <row r="135" spans="1:3" x14ac:dyDescent="0.2">
      <c r="A135" s="34" t="s">
        <v>698</v>
      </c>
      <c r="B135" s="34">
        <v>2911400</v>
      </c>
      <c r="C135" s="68"/>
    </row>
    <row r="136" spans="1:3" x14ac:dyDescent="0.2">
      <c r="A136" s="39" t="s">
        <v>418</v>
      </c>
      <c r="B136" s="34">
        <v>2911450</v>
      </c>
      <c r="C136" s="68"/>
    </row>
    <row r="137" spans="1:3" x14ac:dyDescent="0.2">
      <c r="A137" s="39" t="s">
        <v>524</v>
      </c>
      <c r="B137" s="34">
        <v>2911550</v>
      </c>
      <c r="C137" s="68"/>
    </row>
    <row r="138" spans="1:3" x14ac:dyDescent="0.2">
      <c r="A138" s="39" t="s">
        <v>125</v>
      </c>
      <c r="B138" s="34">
        <v>2911580</v>
      </c>
      <c r="C138" s="68"/>
    </row>
    <row r="139" spans="1:3" x14ac:dyDescent="0.2">
      <c r="A139" s="39" t="s">
        <v>104</v>
      </c>
      <c r="B139" s="34">
        <v>2911650</v>
      </c>
      <c r="C139" s="68"/>
    </row>
    <row r="140" spans="1:3" x14ac:dyDescent="0.2">
      <c r="A140" s="39" t="s">
        <v>17</v>
      </c>
      <c r="B140" s="34">
        <v>2911670</v>
      </c>
      <c r="C140" s="68"/>
    </row>
    <row r="141" spans="1:3" x14ac:dyDescent="0.2">
      <c r="A141" s="39" t="s">
        <v>173</v>
      </c>
      <c r="B141" s="34">
        <v>2911700</v>
      </c>
      <c r="C141" s="68"/>
    </row>
    <row r="142" spans="1:3" x14ac:dyDescent="0.2">
      <c r="A142" s="39" t="s">
        <v>647</v>
      </c>
      <c r="B142" s="34">
        <v>2911730</v>
      </c>
      <c r="C142" s="68"/>
    </row>
    <row r="143" spans="1:3" x14ac:dyDescent="0.2">
      <c r="A143" s="39" t="s">
        <v>8</v>
      </c>
      <c r="B143" s="34">
        <v>2911760</v>
      </c>
      <c r="C143" s="68"/>
    </row>
    <row r="144" spans="1:3" x14ac:dyDescent="0.2">
      <c r="A144" s="39" t="s">
        <v>208</v>
      </c>
      <c r="B144" s="34">
        <v>2911850</v>
      </c>
      <c r="C144" s="68"/>
    </row>
    <row r="145" spans="1:3" x14ac:dyDescent="0.2">
      <c r="A145" s="50" t="s">
        <v>508</v>
      </c>
      <c r="B145" s="34">
        <v>2911910</v>
      </c>
      <c r="C145" s="68"/>
    </row>
    <row r="146" spans="1:3" x14ac:dyDescent="0.2">
      <c r="A146" s="39" t="s">
        <v>43</v>
      </c>
      <c r="B146" s="34">
        <v>2911940</v>
      </c>
      <c r="C146" s="68"/>
    </row>
    <row r="147" spans="1:3" x14ac:dyDescent="0.2">
      <c r="A147" s="39" t="s">
        <v>201</v>
      </c>
      <c r="B147" s="34">
        <v>2911990</v>
      </c>
      <c r="C147" s="68"/>
    </row>
    <row r="148" spans="1:3" x14ac:dyDescent="0.2">
      <c r="A148" s="34" t="s">
        <v>667</v>
      </c>
      <c r="B148" s="34">
        <v>2912010</v>
      </c>
      <c r="C148" s="68"/>
    </row>
    <row r="149" spans="1:3" x14ac:dyDescent="0.2">
      <c r="A149" s="39" t="s">
        <v>238</v>
      </c>
      <c r="B149" s="34">
        <v>2912030</v>
      </c>
      <c r="C149" s="68"/>
    </row>
    <row r="150" spans="1:3" x14ac:dyDescent="0.2">
      <c r="A150" s="39" t="s">
        <v>465</v>
      </c>
      <c r="B150" s="34">
        <v>2912180</v>
      </c>
      <c r="C150" s="68"/>
    </row>
    <row r="151" spans="1:3" x14ac:dyDescent="0.2">
      <c r="A151" s="39" t="s">
        <v>439</v>
      </c>
      <c r="B151" s="34">
        <v>2912240</v>
      </c>
      <c r="C151" s="68"/>
    </row>
    <row r="152" spans="1:3" x14ac:dyDescent="0.2">
      <c r="A152" s="34" t="s">
        <v>214</v>
      </c>
      <c r="B152" s="34">
        <v>2912290</v>
      </c>
      <c r="C152" s="68"/>
    </row>
    <row r="153" spans="1:3" x14ac:dyDescent="0.2">
      <c r="A153" s="39" t="s">
        <v>242</v>
      </c>
      <c r="B153" s="34">
        <v>2912300</v>
      </c>
      <c r="C153" s="68"/>
    </row>
    <row r="154" spans="1:3" x14ac:dyDescent="0.2">
      <c r="A154" s="34" t="s">
        <v>554</v>
      </c>
      <c r="B154" s="34">
        <v>2912450</v>
      </c>
      <c r="C154" s="68"/>
    </row>
    <row r="155" spans="1:3" x14ac:dyDescent="0.2">
      <c r="A155" s="39" t="s">
        <v>159</v>
      </c>
      <c r="B155" s="34">
        <v>2912480</v>
      </c>
      <c r="C155" s="68"/>
    </row>
    <row r="156" spans="1:3" x14ac:dyDescent="0.2">
      <c r="A156" s="39" t="s">
        <v>153</v>
      </c>
      <c r="B156" s="34">
        <v>2912510</v>
      </c>
      <c r="C156" s="68"/>
    </row>
    <row r="157" spans="1:3" x14ac:dyDescent="0.2">
      <c r="A157" s="39" t="s">
        <v>716</v>
      </c>
      <c r="B157" s="34">
        <v>2912540</v>
      </c>
      <c r="C157" s="68"/>
    </row>
    <row r="158" spans="1:3" x14ac:dyDescent="0.2">
      <c r="A158" s="39" t="s">
        <v>59</v>
      </c>
      <c r="B158" s="34">
        <v>2912550</v>
      </c>
      <c r="C158" s="68"/>
    </row>
    <row r="159" spans="1:3" x14ac:dyDescent="0.2">
      <c r="A159" s="39" t="s">
        <v>617</v>
      </c>
      <c r="B159" s="34">
        <v>2912600</v>
      </c>
      <c r="C159" s="68"/>
    </row>
    <row r="160" spans="1:3" x14ac:dyDescent="0.2">
      <c r="A160" s="39" t="s">
        <v>430</v>
      </c>
      <c r="B160" s="34">
        <v>2912630</v>
      </c>
      <c r="C160" s="68"/>
    </row>
    <row r="161" spans="1:3" x14ac:dyDescent="0.2">
      <c r="A161" s="39" t="s">
        <v>131</v>
      </c>
      <c r="B161" s="34">
        <v>2912660</v>
      </c>
      <c r="C161" s="68"/>
    </row>
    <row r="162" spans="1:3" x14ac:dyDescent="0.2">
      <c r="A162" s="39" t="s">
        <v>176</v>
      </c>
      <c r="B162" s="34">
        <v>2912690</v>
      </c>
      <c r="C162" s="68"/>
    </row>
    <row r="163" spans="1:3" x14ac:dyDescent="0.2">
      <c r="A163" s="39" t="s">
        <v>255</v>
      </c>
      <c r="B163" s="34">
        <v>2912720</v>
      </c>
      <c r="C163" s="68"/>
    </row>
    <row r="164" spans="1:3" x14ac:dyDescent="0.2">
      <c r="A164" s="39" t="s">
        <v>594</v>
      </c>
      <c r="B164" s="34">
        <v>2912780</v>
      </c>
      <c r="C164" s="68"/>
    </row>
    <row r="165" spans="1:3" x14ac:dyDescent="0.2">
      <c r="A165" s="39" t="s">
        <v>405</v>
      </c>
      <c r="B165" s="34">
        <v>2912840</v>
      </c>
      <c r="C165" s="68"/>
    </row>
    <row r="166" spans="1:3" x14ac:dyDescent="0.2">
      <c r="A166" s="39" t="s">
        <v>183</v>
      </c>
      <c r="B166" s="34">
        <v>2912870</v>
      </c>
      <c r="C166" s="68"/>
    </row>
    <row r="167" spans="1:3" x14ac:dyDescent="0.2">
      <c r="A167" s="39" t="s">
        <v>21</v>
      </c>
      <c r="B167" s="34">
        <v>2912930</v>
      </c>
      <c r="C167" s="68"/>
    </row>
    <row r="168" spans="1:3" x14ac:dyDescent="0.2">
      <c r="A168" s="39" t="s">
        <v>410</v>
      </c>
      <c r="B168" s="34">
        <v>2913020</v>
      </c>
      <c r="C168" s="68"/>
    </row>
    <row r="169" spans="1:3" x14ac:dyDescent="0.2">
      <c r="A169" s="39" t="s">
        <v>218</v>
      </c>
      <c r="B169" s="34">
        <v>2913080</v>
      </c>
      <c r="C169" s="68"/>
    </row>
    <row r="170" spans="1:3" x14ac:dyDescent="0.2">
      <c r="A170" s="39" t="s">
        <v>223</v>
      </c>
      <c r="B170" s="34">
        <v>2913140</v>
      </c>
      <c r="C170" s="68"/>
    </row>
    <row r="171" spans="1:3" x14ac:dyDescent="0.2">
      <c r="A171" s="34" t="s">
        <v>557</v>
      </c>
      <c r="B171" s="34">
        <v>2913170</v>
      </c>
      <c r="C171" s="68"/>
    </row>
    <row r="172" spans="1:3" x14ac:dyDescent="0.2">
      <c r="A172" s="39" t="s">
        <v>434</v>
      </c>
      <c r="B172" s="34">
        <v>2913230</v>
      </c>
      <c r="C172" s="68"/>
    </row>
    <row r="173" spans="1:3" x14ac:dyDescent="0.2">
      <c r="A173" s="39" t="s">
        <v>139</v>
      </c>
      <c r="B173" s="34">
        <v>2913260</v>
      </c>
      <c r="C173" s="68"/>
    </row>
    <row r="174" spans="1:3" x14ac:dyDescent="0.2">
      <c r="A174" s="39" t="s">
        <v>631</v>
      </c>
      <c r="B174" s="34">
        <v>2913290</v>
      </c>
      <c r="C174" s="68"/>
    </row>
    <row r="175" spans="1:3" x14ac:dyDescent="0.2">
      <c r="A175" s="39" t="s">
        <v>126</v>
      </c>
      <c r="B175" s="34">
        <v>2913320</v>
      </c>
      <c r="C175" s="68"/>
    </row>
    <row r="176" spans="1:3" x14ac:dyDescent="0.2">
      <c r="A176" s="39" t="s">
        <v>462</v>
      </c>
      <c r="B176" s="34">
        <v>2913380</v>
      </c>
      <c r="C176" s="68"/>
    </row>
    <row r="177" spans="1:3" x14ac:dyDescent="0.2">
      <c r="A177" s="39" t="s">
        <v>177</v>
      </c>
      <c r="B177" s="34">
        <v>2913440</v>
      </c>
      <c r="C177" s="68"/>
    </row>
    <row r="178" spans="1:3" x14ac:dyDescent="0.2">
      <c r="A178" s="39" t="s">
        <v>69</v>
      </c>
      <c r="B178" s="34">
        <v>2913500</v>
      </c>
      <c r="C178" s="68"/>
    </row>
    <row r="179" spans="1:3" x14ac:dyDescent="0.2">
      <c r="A179" s="39" t="s">
        <v>648</v>
      </c>
      <c r="B179" s="34">
        <v>2913530</v>
      </c>
      <c r="C179" s="68"/>
    </row>
    <row r="180" spans="1:3" x14ac:dyDescent="0.2">
      <c r="A180" s="39" t="s">
        <v>50</v>
      </c>
      <c r="B180" s="34">
        <v>2913590</v>
      </c>
      <c r="C180" s="68"/>
    </row>
    <row r="181" spans="1:3" x14ac:dyDescent="0.2">
      <c r="A181" s="39" t="s">
        <v>389</v>
      </c>
      <c r="B181" s="34">
        <v>2913620</v>
      </c>
      <c r="C181" s="68"/>
    </row>
    <row r="182" spans="1:3" x14ac:dyDescent="0.2">
      <c r="A182" s="39" t="s">
        <v>722</v>
      </c>
      <c r="B182" s="34">
        <v>2913650</v>
      </c>
      <c r="C182" s="68"/>
    </row>
    <row r="183" spans="1:3" x14ac:dyDescent="0.2">
      <c r="A183" s="50" t="s">
        <v>486</v>
      </c>
      <c r="B183" s="34">
        <v>2913680</v>
      </c>
      <c r="C183" s="68"/>
    </row>
    <row r="184" spans="1:3" x14ac:dyDescent="0.2">
      <c r="A184" s="39" t="s">
        <v>40</v>
      </c>
      <c r="B184" s="34">
        <v>2913710</v>
      </c>
      <c r="C184" s="68"/>
    </row>
    <row r="185" spans="1:3" x14ac:dyDescent="0.2">
      <c r="A185" s="39" t="s">
        <v>81</v>
      </c>
      <c r="B185" s="34">
        <v>2913760</v>
      </c>
      <c r="C185" s="68"/>
    </row>
    <row r="186" spans="1:3" x14ac:dyDescent="0.2">
      <c r="A186" s="39" t="s">
        <v>469</v>
      </c>
      <c r="B186" s="34">
        <v>2913770</v>
      </c>
      <c r="C186" s="68"/>
    </row>
    <row r="187" spans="1:3" x14ac:dyDescent="0.2">
      <c r="A187" s="39" t="s">
        <v>620</v>
      </c>
      <c r="B187" s="34">
        <v>2913800</v>
      </c>
      <c r="C187" s="68"/>
    </row>
    <row r="188" spans="1:3" x14ac:dyDescent="0.2">
      <c r="A188" s="34" t="s">
        <v>666</v>
      </c>
      <c r="B188" s="34">
        <v>2913830</v>
      </c>
      <c r="C188" s="68"/>
    </row>
    <row r="189" spans="1:3" x14ac:dyDescent="0.2">
      <c r="A189" s="39" t="s">
        <v>237</v>
      </c>
      <c r="B189" s="34">
        <v>2914250</v>
      </c>
      <c r="C189" s="68"/>
    </row>
    <row r="190" spans="1:3" x14ac:dyDescent="0.2">
      <c r="A190" s="39" t="s">
        <v>163</v>
      </c>
      <c r="B190" s="34">
        <v>2914280</v>
      </c>
      <c r="C190" s="68"/>
    </row>
    <row r="191" spans="1:3" x14ac:dyDescent="0.2">
      <c r="A191" s="34" t="s">
        <v>555</v>
      </c>
      <c r="B191" s="34">
        <v>2914310</v>
      </c>
      <c r="C191" s="68"/>
    </row>
    <row r="192" spans="1:3" x14ac:dyDescent="0.2">
      <c r="A192" s="39" t="s">
        <v>192</v>
      </c>
      <c r="B192" s="34">
        <v>2914320</v>
      </c>
      <c r="C192" s="68"/>
    </row>
    <row r="193" spans="1:3" x14ac:dyDescent="0.2">
      <c r="A193" s="39" t="s">
        <v>221</v>
      </c>
      <c r="B193" s="34">
        <v>2914340</v>
      </c>
      <c r="C193" s="68"/>
    </row>
    <row r="194" spans="1:3" x14ac:dyDescent="0.2">
      <c r="A194" s="50" t="s">
        <v>481</v>
      </c>
      <c r="B194" s="34">
        <v>2914370</v>
      </c>
      <c r="C194" s="68"/>
    </row>
    <row r="195" spans="1:3" x14ac:dyDescent="0.2">
      <c r="A195" s="39" t="s">
        <v>688</v>
      </c>
      <c r="B195" s="34">
        <v>2914400</v>
      </c>
      <c r="C195" s="68"/>
    </row>
    <row r="196" spans="1:3" x14ac:dyDescent="0.2">
      <c r="A196" s="39" t="s">
        <v>236</v>
      </c>
      <c r="B196" s="34">
        <v>2914430</v>
      </c>
      <c r="C196" s="68"/>
    </row>
    <row r="197" spans="1:3" x14ac:dyDescent="0.2">
      <c r="A197" s="39" t="s">
        <v>148</v>
      </c>
      <c r="B197" s="34">
        <v>2914460</v>
      </c>
      <c r="C197" s="68"/>
    </row>
    <row r="198" spans="1:3" x14ac:dyDescent="0.2">
      <c r="A198" s="39" t="s">
        <v>246</v>
      </c>
      <c r="B198" s="34">
        <v>2914490</v>
      </c>
      <c r="C198" s="68"/>
    </row>
    <row r="199" spans="1:3" x14ac:dyDescent="0.2">
      <c r="A199" s="39" t="s">
        <v>586</v>
      </c>
      <c r="B199" s="34">
        <v>2914520</v>
      </c>
      <c r="C199" s="68"/>
    </row>
    <row r="200" spans="1:3" x14ac:dyDescent="0.2">
      <c r="A200" s="39" t="s">
        <v>441</v>
      </c>
      <c r="B200" s="34">
        <v>2914550</v>
      </c>
      <c r="C200" s="68"/>
    </row>
    <row r="201" spans="1:3" x14ac:dyDescent="0.2">
      <c r="A201" s="39" t="s">
        <v>444</v>
      </c>
      <c r="B201" s="34">
        <v>2914840</v>
      </c>
      <c r="C201" s="68"/>
    </row>
    <row r="202" spans="1:3" x14ac:dyDescent="0.2">
      <c r="A202" s="39" t="s">
        <v>209</v>
      </c>
      <c r="B202" s="34">
        <v>2915060</v>
      </c>
      <c r="C202" s="68"/>
    </row>
    <row r="203" spans="1:3" x14ac:dyDescent="0.2">
      <c r="A203" s="39" t="s">
        <v>207</v>
      </c>
      <c r="B203" s="34">
        <v>2915180</v>
      </c>
      <c r="C203" s="68"/>
    </row>
    <row r="204" spans="1:3" x14ac:dyDescent="0.2">
      <c r="A204" s="39" t="s">
        <v>202</v>
      </c>
      <c r="B204" s="34">
        <v>2915210</v>
      </c>
      <c r="C204" s="68"/>
    </row>
    <row r="205" spans="1:3" x14ac:dyDescent="0.2">
      <c r="A205" s="39" t="s">
        <v>28</v>
      </c>
      <c r="B205" s="34">
        <v>2915240</v>
      </c>
      <c r="C205" s="68"/>
    </row>
    <row r="206" spans="1:3" x14ac:dyDescent="0.2">
      <c r="A206" s="39" t="s">
        <v>629</v>
      </c>
      <c r="B206" s="34">
        <v>2915270</v>
      </c>
      <c r="C206" s="68"/>
    </row>
    <row r="207" spans="1:3" x14ac:dyDescent="0.2">
      <c r="A207" s="39" t="s">
        <v>649</v>
      </c>
      <c r="B207" s="34">
        <v>2915300</v>
      </c>
      <c r="C207" s="68"/>
    </row>
    <row r="208" spans="1:3" x14ac:dyDescent="0.2">
      <c r="A208" s="39" t="s">
        <v>27</v>
      </c>
      <c r="B208" s="34">
        <v>2915330</v>
      </c>
      <c r="C208" s="68"/>
    </row>
    <row r="209" spans="1:3" x14ac:dyDescent="0.2">
      <c r="A209" s="39" t="s">
        <v>429</v>
      </c>
      <c r="B209" s="34">
        <v>2915390</v>
      </c>
      <c r="C209" s="68"/>
    </row>
    <row r="210" spans="1:3" x14ac:dyDescent="0.2">
      <c r="A210" s="39" t="s">
        <v>574</v>
      </c>
      <c r="B210" s="34">
        <v>2915420</v>
      </c>
      <c r="C210" s="68"/>
    </row>
    <row r="211" spans="1:3" x14ac:dyDescent="0.2">
      <c r="A211" s="39" t="s">
        <v>411</v>
      </c>
      <c r="B211" s="34">
        <v>2915450</v>
      </c>
      <c r="C211" s="68"/>
    </row>
    <row r="212" spans="1:3" x14ac:dyDescent="0.2">
      <c r="A212" s="39" t="s">
        <v>225</v>
      </c>
      <c r="B212" s="34">
        <v>2915480</v>
      </c>
      <c r="C212" s="68"/>
    </row>
    <row r="213" spans="1:3" x14ac:dyDescent="0.2">
      <c r="A213" s="39" t="s">
        <v>213</v>
      </c>
      <c r="B213" s="34">
        <v>2915510</v>
      </c>
      <c r="C213" s="68"/>
    </row>
    <row r="214" spans="1:3" x14ac:dyDescent="0.2">
      <c r="A214" s="34" t="s">
        <v>548</v>
      </c>
      <c r="B214" s="34">
        <v>2915600</v>
      </c>
      <c r="C214" s="68"/>
    </row>
    <row r="215" spans="1:3" x14ac:dyDescent="0.2">
      <c r="A215" s="39" t="s">
        <v>130</v>
      </c>
      <c r="B215" s="34">
        <v>2915630</v>
      </c>
      <c r="C215" s="68"/>
    </row>
    <row r="216" spans="1:3" x14ac:dyDescent="0.2">
      <c r="A216" s="39" t="s">
        <v>229</v>
      </c>
      <c r="B216" s="34">
        <v>2916140</v>
      </c>
      <c r="C216" s="68"/>
    </row>
    <row r="217" spans="1:3" x14ac:dyDescent="0.2">
      <c r="A217" s="39" t="s">
        <v>113</v>
      </c>
      <c r="B217" s="34">
        <v>2916190</v>
      </c>
      <c r="C217" s="68"/>
    </row>
    <row r="218" spans="1:3" x14ac:dyDescent="0.2">
      <c r="A218" s="39" t="s">
        <v>606</v>
      </c>
      <c r="B218" s="34">
        <v>2916200</v>
      </c>
      <c r="C218" s="68"/>
    </row>
    <row r="219" spans="1:3" x14ac:dyDescent="0.2">
      <c r="A219" s="39" t="s">
        <v>239</v>
      </c>
      <c r="B219" s="34">
        <v>2916230</v>
      </c>
      <c r="C219" s="68"/>
    </row>
    <row r="220" spans="1:3" x14ac:dyDescent="0.2">
      <c r="A220" s="39" t="s">
        <v>390</v>
      </c>
      <c r="B220" s="34">
        <v>2916290</v>
      </c>
      <c r="C220" s="68"/>
    </row>
    <row r="221" spans="1:3" x14ac:dyDescent="0.2">
      <c r="A221" s="39" t="s">
        <v>231</v>
      </c>
      <c r="B221" s="34">
        <v>2916350</v>
      </c>
    </row>
    <row r="222" spans="1:3" x14ac:dyDescent="0.2">
      <c r="A222" s="39" t="s">
        <v>100</v>
      </c>
      <c r="B222" s="34">
        <v>2916380</v>
      </c>
      <c r="C222" s="68"/>
    </row>
    <row r="223" spans="1:3" x14ac:dyDescent="0.2">
      <c r="A223" s="39" t="s">
        <v>102</v>
      </c>
      <c r="B223" s="34">
        <v>2916450</v>
      </c>
      <c r="C223" s="68"/>
    </row>
    <row r="224" spans="1:3" x14ac:dyDescent="0.2">
      <c r="A224" s="39" t="s">
        <v>417</v>
      </c>
      <c r="B224" s="34">
        <v>2916470</v>
      </c>
      <c r="C224" s="68"/>
    </row>
    <row r="225" spans="1:3" x14ac:dyDescent="0.2">
      <c r="A225" s="39" t="s">
        <v>152</v>
      </c>
      <c r="B225" s="34">
        <v>2916500</v>
      </c>
      <c r="C225" s="68"/>
    </row>
    <row r="226" spans="1:3" x14ac:dyDescent="0.2">
      <c r="A226" s="39" t="s">
        <v>91</v>
      </c>
      <c r="B226" s="34">
        <v>2916530</v>
      </c>
      <c r="C226" s="68"/>
    </row>
    <row r="227" spans="1:3" x14ac:dyDescent="0.2">
      <c r="A227" s="39" t="s">
        <v>165</v>
      </c>
      <c r="B227" s="34">
        <v>2916590</v>
      </c>
      <c r="C227" s="68"/>
    </row>
    <row r="228" spans="1:3" x14ac:dyDescent="0.2">
      <c r="A228" s="39" t="s">
        <v>56</v>
      </c>
      <c r="B228" s="34">
        <v>2916620</v>
      </c>
      <c r="C228" s="68"/>
    </row>
    <row r="229" spans="1:3" x14ac:dyDescent="0.2">
      <c r="A229" s="39" t="s">
        <v>245</v>
      </c>
      <c r="B229" s="34">
        <v>2916660</v>
      </c>
      <c r="C229" s="68"/>
    </row>
    <row r="230" spans="1:3" x14ac:dyDescent="0.2">
      <c r="A230" s="39" t="s">
        <v>442</v>
      </c>
      <c r="B230" s="34">
        <v>2916710</v>
      </c>
      <c r="C230" s="68"/>
    </row>
    <row r="231" spans="1:3" x14ac:dyDescent="0.2">
      <c r="A231" s="39" t="s">
        <v>2</v>
      </c>
      <c r="B231" s="34">
        <v>2916740</v>
      </c>
      <c r="C231" s="68"/>
    </row>
    <row r="232" spans="1:3" x14ac:dyDescent="0.2">
      <c r="A232" s="50" t="s">
        <v>514</v>
      </c>
      <c r="B232" s="34">
        <v>2916770</v>
      </c>
      <c r="C232" s="68"/>
    </row>
    <row r="233" spans="1:3" x14ac:dyDescent="0.2">
      <c r="A233" s="39" t="s">
        <v>250</v>
      </c>
      <c r="B233" s="34">
        <v>2916830</v>
      </c>
      <c r="C233" s="68"/>
    </row>
    <row r="234" spans="1:3" x14ac:dyDescent="0.2">
      <c r="A234" s="39" t="s">
        <v>609</v>
      </c>
      <c r="B234" s="34">
        <v>2916860</v>
      </c>
      <c r="C234" s="68"/>
    </row>
    <row r="235" spans="1:3" x14ac:dyDescent="0.2">
      <c r="A235" s="39" t="s">
        <v>628</v>
      </c>
      <c r="B235" s="34">
        <v>2916920</v>
      </c>
      <c r="C235" s="68"/>
    </row>
    <row r="236" spans="1:3" x14ac:dyDescent="0.2">
      <c r="A236" s="34" t="s">
        <v>711</v>
      </c>
      <c r="B236" s="34">
        <v>2916950</v>
      </c>
      <c r="C236" s="68"/>
    </row>
    <row r="237" spans="1:3" x14ac:dyDescent="0.2">
      <c r="A237" s="39" t="s">
        <v>256</v>
      </c>
      <c r="B237" s="34">
        <v>2917000</v>
      </c>
      <c r="C237" s="68"/>
    </row>
    <row r="238" spans="1:3" x14ac:dyDescent="0.2">
      <c r="A238" s="39" t="s">
        <v>398</v>
      </c>
      <c r="B238" s="34">
        <v>2917820</v>
      </c>
      <c r="C238" s="68"/>
    </row>
    <row r="239" spans="1:3" x14ac:dyDescent="0.2">
      <c r="A239" s="39" t="s">
        <v>19</v>
      </c>
      <c r="B239" s="34">
        <v>2917850</v>
      </c>
      <c r="C239" s="68"/>
    </row>
    <row r="240" spans="1:3" x14ac:dyDescent="0.2">
      <c r="A240" s="39" t="s">
        <v>656</v>
      </c>
      <c r="B240" s="34">
        <v>2917880</v>
      </c>
      <c r="C240" s="68"/>
    </row>
    <row r="241" spans="1:3" x14ac:dyDescent="0.2">
      <c r="A241" s="39" t="s">
        <v>178</v>
      </c>
      <c r="B241" s="34">
        <v>2917910</v>
      </c>
      <c r="C241" s="68"/>
    </row>
    <row r="242" spans="1:3" x14ac:dyDescent="0.2">
      <c r="A242" s="39" t="s">
        <v>109</v>
      </c>
      <c r="B242" s="34">
        <v>2917970</v>
      </c>
      <c r="C242" s="68"/>
    </row>
    <row r="243" spans="1:3" x14ac:dyDescent="0.2">
      <c r="A243" s="50" t="s">
        <v>484</v>
      </c>
      <c r="B243" s="34">
        <v>2918220</v>
      </c>
      <c r="C243" s="68"/>
    </row>
    <row r="244" spans="1:3" x14ac:dyDescent="0.2">
      <c r="A244" s="50" t="s">
        <v>506</v>
      </c>
      <c r="B244" s="34">
        <v>2918240</v>
      </c>
      <c r="C244" s="68"/>
    </row>
    <row r="245" spans="1:3" x14ac:dyDescent="0.2">
      <c r="A245" s="39" t="s">
        <v>254</v>
      </c>
      <c r="B245" s="34">
        <v>2918270</v>
      </c>
      <c r="C245" s="68"/>
    </row>
    <row r="246" spans="1:3" x14ac:dyDescent="0.2">
      <c r="A246" s="39" t="s">
        <v>220</v>
      </c>
      <c r="B246" s="34">
        <v>2918300</v>
      </c>
      <c r="C246" s="68"/>
    </row>
    <row r="247" spans="1:3" x14ac:dyDescent="0.2">
      <c r="A247" s="39" t="s">
        <v>188</v>
      </c>
      <c r="B247" s="34">
        <v>2918330</v>
      </c>
      <c r="C247" s="68"/>
    </row>
    <row r="248" spans="1:3" x14ac:dyDescent="0.2">
      <c r="A248" s="39" t="s">
        <v>251</v>
      </c>
      <c r="B248" s="34">
        <v>2918360</v>
      </c>
      <c r="C248" s="68"/>
    </row>
    <row r="249" spans="1:3" x14ac:dyDescent="0.2">
      <c r="A249" s="39" t="s">
        <v>33</v>
      </c>
      <c r="B249" s="34">
        <v>2918420</v>
      </c>
      <c r="C249" s="68"/>
    </row>
    <row r="250" spans="1:3" x14ac:dyDescent="0.2">
      <c r="A250" s="50" t="s">
        <v>490</v>
      </c>
      <c r="B250" s="34">
        <v>2918450</v>
      </c>
      <c r="C250" s="68"/>
    </row>
    <row r="251" spans="1:3" x14ac:dyDescent="0.2">
      <c r="A251" s="39" t="s">
        <v>696</v>
      </c>
      <c r="B251" s="34">
        <v>2918460</v>
      </c>
      <c r="C251" s="68"/>
    </row>
    <row r="252" spans="1:3" x14ac:dyDescent="0.2">
      <c r="A252" s="39" t="s">
        <v>258</v>
      </c>
      <c r="B252" s="34">
        <v>2918480</v>
      </c>
      <c r="C252" s="68"/>
    </row>
    <row r="253" spans="1:3" x14ac:dyDescent="0.2">
      <c r="A253" s="39" t="s">
        <v>20</v>
      </c>
      <c r="B253" s="34">
        <v>2918510</v>
      </c>
      <c r="C253" s="68"/>
    </row>
    <row r="254" spans="1:3" x14ac:dyDescent="0.2">
      <c r="A254" s="39" t="s">
        <v>105</v>
      </c>
      <c r="B254" s="34">
        <v>2918540</v>
      </c>
      <c r="C254" s="68"/>
    </row>
    <row r="255" spans="1:3" x14ac:dyDescent="0.2">
      <c r="A255" s="39" t="s">
        <v>450</v>
      </c>
      <c r="B255" s="34">
        <v>2918600</v>
      </c>
      <c r="C255" s="68"/>
    </row>
    <row r="256" spans="1:3" x14ac:dyDescent="0.2">
      <c r="A256" s="39" t="s">
        <v>30</v>
      </c>
      <c r="B256" s="34">
        <v>2918670</v>
      </c>
      <c r="C256" s="68"/>
    </row>
    <row r="257" spans="1:3" x14ac:dyDescent="0.2">
      <c r="A257" s="50" t="s">
        <v>515</v>
      </c>
      <c r="B257" s="34">
        <v>2918690</v>
      </c>
      <c r="C257" s="68"/>
    </row>
    <row r="258" spans="1:3" x14ac:dyDescent="0.2">
      <c r="A258" s="34" t="s">
        <v>612</v>
      </c>
      <c r="B258" s="34">
        <v>2919080</v>
      </c>
      <c r="C258" s="68"/>
    </row>
    <row r="259" spans="1:3" x14ac:dyDescent="0.2">
      <c r="A259" s="39" t="s">
        <v>123</v>
      </c>
      <c r="B259" s="34">
        <v>2919140</v>
      </c>
      <c r="C259" s="68"/>
    </row>
    <row r="260" spans="1:3" x14ac:dyDescent="0.2">
      <c r="A260" s="39" t="s">
        <v>157</v>
      </c>
      <c r="B260" s="34">
        <v>2919200</v>
      </c>
      <c r="C260" s="68"/>
    </row>
    <row r="261" spans="1:3" x14ac:dyDescent="0.2">
      <c r="A261" s="39" t="s">
        <v>224</v>
      </c>
      <c r="B261" s="34">
        <v>2919230</v>
      </c>
      <c r="C261" s="68"/>
    </row>
    <row r="262" spans="1:3" x14ac:dyDescent="0.2">
      <c r="A262" s="39" t="s">
        <v>639</v>
      </c>
      <c r="B262" s="34">
        <v>2919260</v>
      </c>
      <c r="C262" s="68"/>
    </row>
    <row r="263" spans="1:3" x14ac:dyDescent="0.2">
      <c r="A263" s="39" t="s">
        <v>101</v>
      </c>
      <c r="B263" s="34">
        <v>2919320</v>
      </c>
      <c r="C263" s="68"/>
    </row>
    <row r="264" spans="1:3" x14ac:dyDescent="0.2">
      <c r="A264" s="39" t="s">
        <v>34</v>
      </c>
      <c r="B264" s="34">
        <v>2919350</v>
      </c>
      <c r="C264" s="68"/>
    </row>
    <row r="265" spans="1:3" x14ac:dyDescent="0.2">
      <c r="A265" s="39" t="s">
        <v>63</v>
      </c>
      <c r="B265" s="34">
        <v>2919380</v>
      </c>
      <c r="C265" s="68"/>
    </row>
    <row r="266" spans="1:3" x14ac:dyDescent="0.2">
      <c r="A266" s="39" t="s">
        <v>710</v>
      </c>
      <c r="B266" s="34">
        <v>2919410</v>
      </c>
      <c r="C266" s="68"/>
    </row>
    <row r="267" spans="1:3" x14ac:dyDescent="0.2">
      <c r="A267" s="39" t="s">
        <v>587</v>
      </c>
      <c r="B267" s="34">
        <v>2919840</v>
      </c>
      <c r="C267" s="68"/>
    </row>
    <row r="268" spans="1:3" x14ac:dyDescent="0.2">
      <c r="A268" s="39" t="s">
        <v>146</v>
      </c>
      <c r="B268" s="34">
        <v>2919890</v>
      </c>
      <c r="C268" s="68"/>
    </row>
    <row r="269" spans="1:3" x14ac:dyDescent="0.2">
      <c r="A269" s="39" t="s">
        <v>403</v>
      </c>
      <c r="B269" s="34">
        <v>2919920</v>
      </c>
      <c r="C269" s="68"/>
    </row>
    <row r="270" spans="1:3" x14ac:dyDescent="0.2">
      <c r="A270" s="39" t="s">
        <v>472</v>
      </c>
      <c r="B270" s="34">
        <v>2919950</v>
      </c>
      <c r="C270" s="68"/>
    </row>
    <row r="271" spans="1:3" x14ac:dyDescent="0.2">
      <c r="A271" s="39" t="s">
        <v>471</v>
      </c>
      <c r="B271" s="34">
        <v>2919980</v>
      </c>
      <c r="C271" s="68"/>
    </row>
    <row r="272" spans="1:3" x14ac:dyDescent="0.2">
      <c r="A272" s="39" t="s">
        <v>391</v>
      </c>
      <c r="B272" s="34">
        <v>2920010</v>
      </c>
      <c r="C272" s="68"/>
    </row>
    <row r="273" spans="1:3" x14ac:dyDescent="0.2">
      <c r="A273" s="39" t="s">
        <v>705</v>
      </c>
      <c r="B273" s="34">
        <v>2920050</v>
      </c>
      <c r="C273" s="68"/>
    </row>
    <row r="274" spans="1:3" x14ac:dyDescent="0.2">
      <c r="A274" s="39" t="s">
        <v>650</v>
      </c>
      <c r="B274" s="34">
        <v>2920160</v>
      </c>
      <c r="C274" s="68"/>
    </row>
    <row r="275" spans="1:3" x14ac:dyDescent="0.2">
      <c r="A275" s="34" t="s">
        <v>721</v>
      </c>
      <c r="B275" s="34">
        <v>2920280</v>
      </c>
      <c r="C275" s="68"/>
    </row>
    <row r="276" spans="1:3" x14ac:dyDescent="0.2">
      <c r="A276" s="39" t="s">
        <v>694</v>
      </c>
      <c r="B276" s="34">
        <v>2920310</v>
      </c>
      <c r="C276" s="68"/>
    </row>
    <row r="277" spans="1:3" x14ac:dyDescent="0.2">
      <c r="A277" s="39" t="s">
        <v>443</v>
      </c>
      <c r="B277" s="34">
        <v>2920340</v>
      </c>
      <c r="C277" s="68"/>
    </row>
    <row r="278" spans="1:3" x14ac:dyDescent="0.2">
      <c r="A278" s="39" t="s">
        <v>717</v>
      </c>
      <c r="B278" s="34">
        <v>2920370</v>
      </c>
      <c r="C278" s="68"/>
    </row>
    <row r="279" spans="1:3" x14ac:dyDescent="0.2">
      <c r="A279" s="39" t="s">
        <v>406</v>
      </c>
      <c r="B279" s="34">
        <v>2920410</v>
      </c>
      <c r="C279" s="68"/>
    </row>
    <row r="280" spans="1:3" x14ac:dyDescent="0.2">
      <c r="A280" s="39" t="s">
        <v>463</v>
      </c>
      <c r="B280" s="34">
        <v>2920430</v>
      </c>
      <c r="C280" s="68"/>
    </row>
    <row r="281" spans="1:3" x14ac:dyDescent="0.2">
      <c r="A281" s="34" t="s">
        <v>601</v>
      </c>
      <c r="B281" s="34">
        <v>2920490</v>
      </c>
      <c r="C281" s="68"/>
    </row>
    <row r="282" spans="1:3" x14ac:dyDescent="0.2">
      <c r="A282" s="39" t="s">
        <v>135</v>
      </c>
      <c r="B282" s="34">
        <v>2920550</v>
      </c>
      <c r="C282" s="68"/>
    </row>
    <row r="283" spans="1:3" x14ac:dyDescent="0.2">
      <c r="A283" s="39" t="s">
        <v>709</v>
      </c>
      <c r="B283" s="34">
        <v>2920610</v>
      </c>
      <c r="C283" s="68"/>
    </row>
    <row r="284" spans="1:3" x14ac:dyDescent="0.2">
      <c r="A284" s="39" t="s">
        <v>704</v>
      </c>
      <c r="B284" s="34">
        <v>2920640</v>
      </c>
      <c r="C284" s="68"/>
    </row>
    <row r="285" spans="1:3" x14ac:dyDescent="0.2">
      <c r="A285" s="50" t="s">
        <v>516</v>
      </c>
      <c r="B285" s="34">
        <v>2920670</v>
      </c>
      <c r="C285" s="68"/>
    </row>
    <row r="286" spans="1:3" x14ac:dyDescent="0.2">
      <c r="A286" s="39" t="s">
        <v>409</v>
      </c>
      <c r="B286" s="34">
        <v>2920700</v>
      </c>
      <c r="C286" s="68"/>
    </row>
    <row r="287" spans="1:3" x14ac:dyDescent="0.2">
      <c r="A287" s="39" t="s">
        <v>723</v>
      </c>
      <c r="B287" s="34">
        <v>2920750</v>
      </c>
      <c r="C287" s="68"/>
    </row>
    <row r="288" spans="1:3" x14ac:dyDescent="0.2">
      <c r="A288" s="39" t="s">
        <v>11</v>
      </c>
      <c r="B288" s="34">
        <v>2920810</v>
      </c>
      <c r="C288" s="68"/>
    </row>
    <row r="289" spans="1:3" x14ac:dyDescent="0.2">
      <c r="A289" s="39" t="s">
        <v>22</v>
      </c>
      <c r="B289" s="34">
        <v>2920820</v>
      </c>
      <c r="C289" s="68"/>
    </row>
    <row r="290" spans="1:3" x14ac:dyDescent="0.2">
      <c r="A290" s="39" t="s">
        <v>401</v>
      </c>
      <c r="B290">
        <v>2920840</v>
      </c>
      <c r="C290" s="68"/>
    </row>
    <row r="291" spans="1:3" x14ac:dyDescent="0.2">
      <c r="A291" s="39" t="s">
        <v>585</v>
      </c>
      <c r="B291" s="34">
        <v>2920880</v>
      </c>
      <c r="C291" s="68"/>
    </row>
    <row r="292" spans="1:3" x14ac:dyDescent="0.2">
      <c r="A292" s="39" t="s">
        <v>436</v>
      </c>
      <c r="B292" s="34">
        <v>2920940</v>
      </c>
      <c r="C292" s="68"/>
    </row>
    <row r="293" spans="1:3" x14ac:dyDescent="0.2">
      <c r="A293" s="34" t="s">
        <v>689</v>
      </c>
      <c r="B293" s="34">
        <v>2921000</v>
      </c>
      <c r="C293" s="68"/>
    </row>
    <row r="294" spans="1:3" x14ac:dyDescent="0.2">
      <c r="A294" s="39" t="s">
        <v>54</v>
      </c>
      <c r="B294" s="34">
        <v>2921030</v>
      </c>
      <c r="C294" s="68"/>
    </row>
    <row r="295" spans="1:3" x14ac:dyDescent="0.2">
      <c r="A295" s="39" t="s">
        <v>107</v>
      </c>
      <c r="B295" s="34">
        <v>2921060</v>
      </c>
      <c r="C295" s="68"/>
    </row>
    <row r="296" spans="1:3" x14ac:dyDescent="0.2">
      <c r="A296" s="50" t="s">
        <v>482</v>
      </c>
      <c r="B296" s="34">
        <v>2921100</v>
      </c>
      <c r="C296" s="68"/>
    </row>
    <row r="297" spans="1:3" x14ac:dyDescent="0.2">
      <c r="A297" s="39" t="s">
        <v>12</v>
      </c>
      <c r="B297" s="34">
        <v>2921120</v>
      </c>
      <c r="C297" s="68"/>
    </row>
    <row r="298" spans="1:3" x14ac:dyDescent="0.2">
      <c r="A298" s="39" t="s">
        <v>578</v>
      </c>
      <c r="B298" s="34">
        <v>2921150</v>
      </c>
      <c r="C298" s="68"/>
    </row>
    <row r="299" spans="1:3" x14ac:dyDescent="0.2">
      <c r="A299" s="39" t="s">
        <v>579</v>
      </c>
      <c r="B299" s="34">
        <v>2921180</v>
      </c>
      <c r="C299" s="68"/>
    </row>
    <row r="300" spans="1:3" x14ac:dyDescent="0.2">
      <c r="A300" s="34" t="s">
        <v>583</v>
      </c>
      <c r="B300" s="34">
        <v>2921210</v>
      </c>
      <c r="C300" s="68"/>
    </row>
    <row r="301" spans="1:3" x14ac:dyDescent="0.2">
      <c r="A301" s="39" t="s">
        <v>589</v>
      </c>
      <c r="B301" s="34">
        <v>2921330</v>
      </c>
      <c r="C301" s="68"/>
    </row>
    <row r="302" spans="1:3" x14ac:dyDescent="0.2">
      <c r="A302" s="39" t="s">
        <v>190</v>
      </c>
      <c r="B302" s="34">
        <v>2921360</v>
      </c>
      <c r="C302" s="68"/>
    </row>
    <row r="303" spans="1:3" x14ac:dyDescent="0.2">
      <c r="A303" s="39" t="s">
        <v>415</v>
      </c>
      <c r="B303" s="34">
        <v>2921420</v>
      </c>
      <c r="C303" s="68"/>
    </row>
    <row r="304" spans="1:3" x14ac:dyDescent="0.2">
      <c r="A304" s="39" t="s">
        <v>470</v>
      </c>
      <c r="B304" s="34">
        <v>2921510</v>
      </c>
      <c r="C304" s="68"/>
    </row>
    <row r="305" spans="1:3" x14ac:dyDescent="0.2">
      <c r="A305" s="39" t="s">
        <v>203</v>
      </c>
      <c r="B305" s="34">
        <v>2921540</v>
      </c>
      <c r="C305" s="68"/>
    </row>
    <row r="306" spans="1:3" x14ac:dyDescent="0.2">
      <c r="A306" s="39" t="s">
        <v>690</v>
      </c>
      <c r="B306" s="34">
        <v>2921600</v>
      </c>
      <c r="C306" s="68"/>
    </row>
    <row r="307" spans="1:3" x14ac:dyDescent="0.2">
      <c r="A307" s="39" t="s">
        <v>603</v>
      </c>
      <c r="B307" s="34">
        <v>2921660</v>
      </c>
      <c r="C307" s="68"/>
    </row>
    <row r="308" spans="1:3" x14ac:dyDescent="0.2">
      <c r="A308" s="39" t="s">
        <v>604</v>
      </c>
      <c r="B308" s="34">
        <v>2921690</v>
      </c>
      <c r="C308" s="68"/>
    </row>
    <row r="309" spans="1:3" x14ac:dyDescent="0.2">
      <c r="A309" s="34" t="s">
        <v>664</v>
      </c>
      <c r="B309" s="34">
        <v>2921720</v>
      </c>
      <c r="C309" s="68"/>
    </row>
    <row r="310" spans="1:3" x14ac:dyDescent="0.2">
      <c r="A310" s="39" t="s">
        <v>47</v>
      </c>
      <c r="B310" s="34">
        <v>2921750</v>
      </c>
      <c r="C310" s="68"/>
    </row>
    <row r="311" spans="1:3" x14ac:dyDescent="0.2">
      <c r="A311" s="39" t="s">
        <v>596</v>
      </c>
      <c r="B311" s="34">
        <v>2921810</v>
      </c>
      <c r="C311" s="68"/>
    </row>
    <row r="312" spans="1:3" x14ac:dyDescent="0.2">
      <c r="A312" s="39" t="s">
        <v>452</v>
      </c>
      <c r="B312" s="34">
        <v>2921840</v>
      </c>
      <c r="C312" s="68"/>
    </row>
    <row r="313" spans="1:3" x14ac:dyDescent="0.2">
      <c r="A313" s="39" t="s">
        <v>712</v>
      </c>
      <c r="B313" s="34">
        <v>2921880</v>
      </c>
      <c r="C313" s="68"/>
    </row>
    <row r="314" spans="1:3" x14ac:dyDescent="0.2">
      <c r="A314" s="39" t="s">
        <v>199</v>
      </c>
      <c r="B314" s="34">
        <v>2921940</v>
      </c>
      <c r="C314" s="68"/>
    </row>
    <row r="315" spans="1:3" x14ac:dyDescent="0.2">
      <c r="A315" s="39" t="s">
        <v>162</v>
      </c>
      <c r="B315" s="34">
        <v>2921960</v>
      </c>
      <c r="C315" s="68"/>
    </row>
    <row r="316" spans="1:3" x14ac:dyDescent="0.2">
      <c r="A316" s="39" t="s">
        <v>51</v>
      </c>
      <c r="B316" s="34">
        <v>2922110</v>
      </c>
      <c r="C316" s="68"/>
    </row>
    <row r="317" spans="1:3" x14ac:dyDescent="0.2">
      <c r="A317" s="39" t="s">
        <v>635</v>
      </c>
      <c r="B317" s="34">
        <v>2922140</v>
      </c>
      <c r="C317" s="68"/>
    </row>
    <row r="318" spans="1:3" x14ac:dyDescent="0.2">
      <c r="A318" s="39" t="s">
        <v>435</v>
      </c>
      <c r="B318" s="34">
        <v>2922470</v>
      </c>
      <c r="C318" s="68"/>
    </row>
    <row r="319" spans="1:3" x14ac:dyDescent="0.2">
      <c r="A319" s="39" t="s">
        <v>466</v>
      </c>
      <c r="B319" s="34">
        <v>2922500</v>
      </c>
      <c r="C319" s="68"/>
    </row>
    <row r="320" spans="1:3" x14ac:dyDescent="0.2">
      <c r="A320" s="39" t="s">
        <v>94</v>
      </c>
      <c r="B320" s="34">
        <v>2922530</v>
      </c>
      <c r="C320" s="68"/>
    </row>
    <row r="321" spans="1:3" x14ac:dyDescent="0.2">
      <c r="A321" s="39" t="s">
        <v>605</v>
      </c>
      <c r="B321" s="34">
        <v>2922560</v>
      </c>
      <c r="C321" s="68"/>
    </row>
    <row r="322" spans="1:3" x14ac:dyDescent="0.2">
      <c r="A322" s="39" t="s">
        <v>73</v>
      </c>
      <c r="B322" s="34">
        <v>2922620</v>
      </c>
      <c r="C322" s="68"/>
    </row>
    <row r="323" spans="1:3" x14ac:dyDescent="0.2">
      <c r="A323" s="34" t="s">
        <v>668</v>
      </c>
      <c r="B323" s="34">
        <v>2922650</v>
      </c>
      <c r="C323" s="68"/>
    </row>
    <row r="324" spans="1:3" x14ac:dyDescent="0.2">
      <c r="A324" s="39" t="s">
        <v>4</v>
      </c>
      <c r="B324" s="34">
        <v>2922710</v>
      </c>
      <c r="C324" s="68"/>
    </row>
    <row r="325" spans="1:3" x14ac:dyDescent="0.2">
      <c r="A325" s="34" t="s">
        <v>547</v>
      </c>
      <c r="B325" s="34">
        <v>2922740</v>
      </c>
      <c r="C325" s="68"/>
    </row>
    <row r="326" spans="1:3" x14ac:dyDescent="0.2">
      <c r="A326" s="39" t="s">
        <v>182</v>
      </c>
      <c r="B326" s="34">
        <v>2922770</v>
      </c>
      <c r="C326" s="68"/>
    </row>
    <row r="327" spans="1:3" x14ac:dyDescent="0.2">
      <c r="A327" s="39" t="s">
        <v>106</v>
      </c>
      <c r="B327" s="34">
        <v>2922800</v>
      </c>
      <c r="C327" s="68"/>
    </row>
    <row r="328" spans="1:3" x14ac:dyDescent="0.2">
      <c r="A328" s="39" t="s">
        <v>642</v>
      </c>
      <c r="B328" s="34">
        <v>2922830</v>
      </c>
      <c r="C328" s="68"/>
    </row>
    <row r="329" spans="1:3" x14ac:dyDescent="0.2">
      <c r="A329" s="50" t="s">
        <v>479</v>
      </c>
      <c r="B329" s="34">
        <v>2922860</v>
      </c>
      <c r="C329" s="68"/>
    </row>
    <row r="330" spans="1:3" x14ac:dyDescent="0.2">
      <c r="A330" s="39" t="s">
        <v>234</v>
      </c>
      <c r="B330" s="34">
        <v>2922890</v>
      </c>
      <c r="C330" s="68"/>
    </row>
    <row r="331" spans="1:3" x14ac:dyDescent="0.2">
      <c r="A331" s="39" t="s">
        <v>89</v>
      </c>
      <c r="B331" s="34">
        <v>2922920</v>
      </c>
      <c r="C331" s="68"/>
    </row>
    <row r="332" spans="1:3" x14ac:dyDescent="0.2">
      <c r="A332" s="39" t="s">
        <v>468</v>
      </c>
      <c r="B332" s="34">
        <v>2922950</v>
      </c>
      <c r="C332" s="68"/>
    </row>
    <row r="333" spans="1:3" x14ac:dyDescent="0.2">
      <c r="A333" s="39" t="s">
        <v>0</v>
      </c>
      <c r="B333" s="34">
        <v>2922980</v>
      </c>
      <c r="C333" s="68"/>
    </row>
    <row r="334" spans="1:3" x14ac:dyDescent="0.2">
      <c r="A334" s="39" t="s">
        <v>219</v>
      </c>
      <c r="B334" s="34">
        <v>2923010</v>
      </c>
      <c r="C334" s="68"/>
    </row>
    <row r="335" spans="1:3" x14ac:dyDescent="0.2">
      <c r="A335" s="39" t="s">
        <v>138</v>
      </c>
      <c r="B335" s="34">
        <v>2923040</v>
      </c>
      <c r="C335" s="68"/>
    </row>
    <row r="336" spans="1:3" x14ac:dyDescent="0.2">
      <c r="A336" s="39" t="s">
        <v>67</v>
      </c>
      <c r="B336" s="34">
        <v>2923070</v>
      </c>
      <c r="C336" s="68"/>
    </row>
    <row r="337" spans="1:3" x14ac:dyDescent="0.2">
      <c r="A337" s="39" t="s">
        <v>259</v>
      </c>
      <c r="B337" s="34">
        <v>2923100</v>
      </c>
      <c r="C337" s="68"/>
    </row>
    <row r="338" spans="1:3" x14ac:dyDescent="0.2">
      <c r="A338" s="39" t="s">
        <v>413</v>
      </c>
      <c r="B338" s="34">
        <v>2923130</v>
      </c>
      <c r="C338" s="68"/>
    </row>
    <row r="339" spans="1:3" x14ac:dyDescent="0.2">
      <c r="A339" s="50" t="s">
        <v>498</v>
      </c>
      <c r="B339" s="34">
        <v>2923160</v>
      </c>
      <c r="C339" s="68"/>
    </row>
    <row r="340" spans="1:3" x14ac:dyDescent="0.2">
      <c r="A340" s="39" t="s">
        <v>196</v>
      </c>
      <c r="B340" s="34">
        <v>2923190</v>
      </c>
      <c r="C340" s="68"/>
    </row>
    <row r="341" spans="1:3" x14ac:dyDescent="0.2">
      <c r="A341" s="50" t="s">
        <v>483</v>
      </c>
      <c r="B341" s="34">
        <v>2923220</v>
      </c>
      <c r="C341" s="68"/>
    </row>
    <row r="342" spans="1:3" x14ac:dyDescent="0.2">
      <c r="A342" s="39" t="s">
        <v>134</v>
      </c>
      <c r="B342" s="34">
        <v>2923250</v>
      </c>
      <c r="C342" s="68"/>
    </row>
    <row r="343" spans="1:3" x14ac:dyDescent="0.2">
      <c r="A343" s="50" t="s">
        <v>503</v>
      </c>
      <c r="B343" s="34">
        <v>2923270</v>
      </c>
      <c r="C343" s="68"/>
    </row>
    <row r="344" spans="1:3" x14ac:dyDescent="0.2">
      <c r="A344" s="39" t="s">
        <v>118</v>
      </c>
      <c r="B344" s="34">
        <v>2923310</v>
      </c>
      <c r="C344" s="68"/>
    </row>
    <row r="345" spans="1:3" x14ac:dyDescent="0.2">
      <c r="A345" s="39" t="s">
        <v>164</v>
      </c>
      <c r="B345" s="34">
        <v>2923340</v>
      </c>
      <c r="C345" s="68"/>
    </row>
    <row r="346" spans="1:3" x14ac:dyDescent="0.2">
      <c r="A346" s="34" t="s">
        <v>614</v>
      </c>
      <c r="B346" s="34">
        <v>2923370</v>
      </c>
      <c r="C346" s="68"/>
    </row>
    <row r="347" spans="1:3" x14ac:dyDescent="0.2">
      <c r="A347" s="39" t="s">
        <v>618</v>
      </c>
      <c r="B347" s="34">
        <v>2923400</v>
      </c>
      <c r="C347" s="68"/>
    </row>
    <row r="348" spans="1:3" x14ac:dyDescent="0.2">
      <c r="A348" s="39" t="s">
        <v>98</v>
      </c>
      <c r="B348" s="34">
        <v>2923430</v>
      </c>
      <c r="C348" s="68"/>
    </row>
    <row r="349" spans="1:3" x14ac:dyDescent="0.2">
      <c r="A349" s="39" t="s">
        <v>154</v>
      </c>
      <c r="B349" s="34">
        <v>2923460</v>
      </c>
      <c r="C349" s="68"/>
    </row>
    <row r="350" spans="1:3" x14ac:dyDescent="0.2">
      <c r="A350" s="34" t="s">
        <v>720</v>
      </c>
      <c r="B350" s="34">
        <v>2923490</v>
      </c>
      <c r="C350" s="68"/>
    </row>
    <row r="351" spans="1:3" x14ac:dyDescent="0.2">
      <c r="A351" s="34" t="s">
        <v>584</v>
      </c>
      <c r="B351" s="34">
        <v>2923530</v>
      </c>
      <c r="C351" s="68"/>
    </row>
    <row r="352" spans="1:3" x14ac:dyDescent="0.2">
      <c r="A352" s="39" t="s">
        <v>645</v>
      </c>
      <c r="B352" s="34">
        <v>2923550</v>
      </c>
      <c r="C352" s="68"/>
    </row>
    <row r="353" spans="1:3" x14ac:dyDescent="0.2">
      <c r="A353" s="39" t="s">
        <v>399</v>
      </c>
      <c r="B353" s="34">
        <v>2923580</v>
      </c>
      <c r="C353" s="68"/>
    </row>
    <row r="354" spans="1:3" x14ac:dyDescent="0.2">
      <c r="A354" s="39" t="s">
        <v>32</v>
      </c>
      <c r="B354" s="34">
        <v>2923640</v>
      </c>
      <c r="C354" s="68"/>
    </row>
    <row r="355" spans="1:3" x14ac:dyDescent="0.2">
      <c r="A355" s="39" t="s">
        <v>128</v>
      </c>
      <c r="B355" s="34">
        <v>2923670</v>
      </c>
      <c r="C355" s="68"/>
    </row>
    <row r="356" spans="1:3" x14ac:dyDescent="0.2">
      <c r="A356" s="50" t="s">
        <v>512</v>
      </c>
      <c r="B356" s="34">
        <v>2923700</v>
      </c>
      <c r="C356" s="68"/>
    </row>
    <row r="357" spans="1:3" x14ac:dyDescent="0.2">
      <c r="A357" s="39" t="s">
        <v>77</v>
      </c>
      <c r="B357" s="34">
        <v>2923730</v>
      </c>
      <c r="C357" s="68"/>
    </row>
    <row r="358" spans="1:3" x14ac:dyDescent="0.2">
      <c r="A358" s="39" t="s">
        <v>619</v>
      </c>
      <c r="B358" s="34">
        <v>2923760</v>
      </c>
      <c r="C358" s="68"/>
    </row>
    <row r="359" spans="1:3" x14ac:dyDescent="0.2">
      <c r="A359" s="43" t="s">
        <v>531</v>
      </c>
      <c r="B359" s="34">
        <v>2923780</v>
      </c>
      <c r="C359" s="68"/>
    </row>
    <row r="360" spans="1:3" x14ac:dyDescent="0.2">
      <c r="A360" s="39" t="s">
        <v>621</v>
      </c>
      <c r="B360" s="34">
        <v>2923790</v>
      </c>
      <c r="C360" s="68"/>
    </row>
    <row r="361" spans="1:3" x14ac:dyDescent="0.2">
      <c r="A361" s="39" t="s">
        <v>626</v>
      </c>
      <c r="B361" s="34">
        <v>2924530</v>
      </c>
      <c r="C361" s="68"/>
    </row>
    <row r="362" spans="1:3" x14ac:dyDescent="0.2">
      <c r="A362" s="39" t="s">
        <v>632</v>
      </c>
      <c r="B362" s="34">
        <v>2924690</v>
      </c>
      <c r="C362" s="68"/>
    </row>
    <row r="363" spans="1:3" x14ac:dyDescent="0.2">
      <c r="A363" s="39" t="s">
        <v>636</v>
      </c>
      <c r="B363" s="34">
        <v>2925080</v>
      </c>
      <c r="C363" s="68"/>
    </row>
    <row r="364" spans="1:3" x14ac:dyDescent="0.2">
      <c r="A364" s="39" t="s">
        <v>691</v>
      </c>
      <c r="B364" s="34">
        <v>2925110</v>
      </c>
      <c r="C364" s="68"/>
    </row>
    <row r="365" spans="1:3" x14ac:dyDescent="0.2">
      <c r="A365" s="39" t="s">
        <v>640</v>
      </c>
      <c r="B365" s="34">
        <v>2925140</v>
      </c>
      <c r="C365" s="68"/>
    </row>
    <row r="366" spans="1:3" x14ac:dyDescent="0.2">
      <c r="A366" s="39" t="s">
        <v>119</v>
      </c>
      <c r="B366" s="34">
        <v>2925170</v>
      </c>
      <c r="C366" s="68"/>
    </row>
    <row r="367" spans="1:3" x14ac:dyDescent="0.2">
      <c r="A367" s="39" t="s">
        <v>447</v>
      </c>
      <c r="B367" s="34">
        <v>2925210</v>
      </c>
      <c r="C367" s="68"/>
    </row>
    <row r="368" spans="1:3" x14ac:dyDescent="0.2">
      <c r="A368" s="39" t="s">
        <v>644</v>
      </c>
      <c r="B368" s="34">
        <v>2925230</v>
      </c>
      <c r="C368" s="68"/>
    </row>
    <row r="369" spans="1:3" x14ac:dyDescent="0.2">
      <c r="A369" s="39" t="s">
        <v>110</v>
      </c>
      <c r="B369">
        <v>2925290</v>
      </c>
      <c r="C369" s="68"/>
    </row>
    <row r="370" spans="1:3" x14ac:dyDescent="0.2">
      <c r="A370" s="39" t="s">
        <v>78</v>
      </c>
      <c r="B370" s="34">
        <v>2925330</v>
      </c>
      <c r="C370" s="68"/>
    </row>
    <row r="371" spans="1:3" x14ac:dyDescent="0.2">
      <c r="A371" s="34" t="s">
        <v>651</v>
      </c>
      <c r="B371" s="34">
        <v>2925350</v>
      </c>
      <c r="C371" s="68"/>
    </row>
    <row r="372" spans="1:3" x14ac:dyDescent="0.2">
      <c r="A372" s="39" t="s">
        <v>53</v>
      </c>
      <c r="B372" s="34">
        <v>2925410</v>
      </c>
      <c r="C372" s="68"/>
    </row>
    <row r="373" spans="1:3" x14ac:dyDescent="0.2">
      <c r="A373" s="34" t="s">
        <v>546</v>
      </c>
      <c r="B373" s="34">
        <v>2925450</v>
      </c>
      <c r="C373" s="68"/>
    </row>
    <row r="374" spans="1:3" x14ac:dyDescent="0.2">
      <c r="A374" s="39" t="s">
        <v>457</v>
      </c>
      <c r="B374" s="34">
        <v>2925500</v>
      </c>
      <c r="C374" s="68"/>
    </row>
    <row r="375" spans="1:3" x14ac:dyDescent="0.2">
      <c r="A375" s="39" t="s">
        <v>117</v>
      </c>
      <c r="B375" s="34">
        <v>2925530</v>
      </c>
      <c r="C375" s="68"/>
    </row>
    <row r="376" spans="1:3" x14ac:dyDescent="0.2">
      <c r="A376" s="39" t="s">
        <v>724</v>
      </c>
      <c r="B376" s="34">
        <v>2925590</v>
      </c>
      <c r="C376" s="68"/>
    </row>
    <row r="377" spans="1:3" x14ac:dyDescent="0.2">
      <c r="A377" s="39" t="s">
        <v>13</v>
      </c>
      <c r="B377" s="34">
        <v>2925620</v>
      </c>
      <c r="C377" s="68"/>
    </row>
    <row r="378" spans="1:3" x14ac:dyDescent="0.2">
      <c r="A378" s="34" t="s">
        <v>658</v>
      </c>
      <c r="B378" s="34">
        <v>2925640</v>
      </c>
      <c r="C378" s="68"/>
    </row>
    <row r="379" spans="1:3" x14ac:dyDescent="0.2">
      <c r="A379" s="39" t="s">
        <v>425</v>
      </c>
      <c r="B379" s="34">
        <v>2925650</v>
      </c>
      <c r="C379" s="68"/>
    </row>
    <row r="380" spans="1:3" x14ac:dyDescent="0.2">
      <c r="A380" s="39" t="s">
        <v>659</v>
      </c>
      <c r="B380" s="34">
        <v>2925710</v>
      </c>
      <c r="C380" s="68"/>
    </row>
    <row r="381" spans="1:3" x14ac:dyDescent="0.2">
      <c r="A381" s="39" t="s">
        <v>449</v>
      </c>
      <c r="B381" s="34">
        <v>2926040</v>
      </c>
      <c r="C381" s="68"/>
    </row>
    <row r="382" spans="1:3" x14ac:dyDescent="0.2">
      <c r="A382" s="39" t="s">
        <v>222</v>
      </c>
      <c r="B382" s="34">
        <v>2926070</v>
      </c>
      <c r="C382" s="68"/>
    </row>
    <row r="383" spans="1:3" x14ac:dyDescent="0.2">
      <c r="A383" s="39" t="s">
        <v>432</v>
      </c>
      <c r="B383" s="34">
        <v>2926160</v>
      </c>
      <c r="C383" s="68"/>
    </row>
    <row r="384" spans="1:3" x14ac:dyDescent="0.2">
      <c r="A384" s="50" t="s">
        <v>480</v>
      </c>
      <c r="B384" s="34">
        <v>2926190</v>
      </c>
      <c r="C384" s="68"/>
    </row>
    <row r="385" spans="1:3" x14ac:dyDescent="0.2">
      <c r="A385" s="39" t="s">
        <v>169</v>
      </c>
      <c r="B385" s="34">
        <v>2926220</v>
      </c>
      <c r="C385" s="68"/>
    </row>
    <row r="386" spans="1:3" x14ac:dyDescent="0.2">
      <c r="A386" s="39" t="s">
        <v>25</v>
      </c>
      <c r="B386" s="34">
        <v>2926310</v>
      </c>
      <c r="C386" s="68"/>
    </row>
    <row r="387" spans="1:3" x14ac:dyDescent="0.2">
      <c r="A387" s="39" t="s">
        <v>205</v>
      </c>
      <c r="B387" s="34">
        <v>2926370</v>
      </c>
      <c r="C387" s="68"/>
    </row>
    <row r="388" spans="1:3" x14ac:dyDescent="0.2">
      <c r="A388" s="39" t="s">
        <v>422</v>
      </c>
      <c r="B388" s="34">
        <v>2926400</v>
      </c>
      <c r="C388" s="68"/>
    </row>
    <row r="389" spans="1:3" x14ac:dyDescent="0.2">
      <c r="A389" s="50" t="s">
        <v>485</v>
      </c>
      <c r="B389" s="34">
        <v>2926480</v>
      </c>
      <c r="C389" s="68"/>
    </row>
    <row r="390" spans="1:3" x14ac:dyDescent="0.2">
      <c r="A390" s="39" t="s">
        <v>184</v>
      </c>
      <c r="B390" s="34">
        <v>2926490</v>
      </c>
      <c r="C390" s="68"/>
    </row>
    <row r="391" spans="1:3" x14ac:dyDescent="0.2">
      <c r="A391" s="34" t="s">
        <v>493</v>
      </c>
      <c r="B391" s="34">
        <v>2926550</v>
      </c>
      <c r="C391" s="68"/>
    </row>
    <row r="392" spans="1:3" x14ac:dyDescent="0.2">
      <c r="A392" s="50" t="s">
        <v>494</v>
      </c>
      <c r="B392" s="34">
        <v>2926580</v>
      </c>
      <c r="C392" s="68"/>
    </row>
    <row r="393" spans="1:3" x14ac:dyDescent="0.2">
      <c r="A393" s="39" t="s">
        <v>593</v>
      </c>
      <c r="B393" s="34">
        <v>2926610</v>
      </c>
      <c r="C393" s="68"/>
    </row>
    <row r="394" spans="1:3" x14ac:dyDescent="0.2">
      <c r="A394" s="39" t="s">
        <v>393</v>
      </c>
      <c r="B394" s="34">
        <v>2926640</v>
      </c>
      <c r="C394" s="68"/>
    </row>
    <row r="395" spans="1:3" x14ac:dyDescent="0.2">
      <c r="A395" s="39" t="s">
        <v>394</v>
      </c>
      <c r="B395" s="34">
        <v>2926670</v>
      </c>
      <c r="C395" s="68"/>
    </row>
    <row r="396" spans="1:3" x14ac:dyDescent="0.2">
      <c r="A396" s="39" t="s">
        <v>400</v>
      </c>
      <c r="B396" s="34">
        <v>2926760</v>
      </c>
      <c r="C396" s="68"/>
    </row>
    <row r="397" spans="1:3" x14ac:dyDescent="0.2">
      <c r="A397" s="39" t="s">
        <v>7</v>
      </c>
      <c r="B397" s="34">
        <v>2926790</v>
      </c>
      <c r="C397" s="68"/>
    </row>
    <row r="398" spans="1:3" x14ac:dyDescent="0.2">
      <c r="A398" s="50" t="s">
        <v>513</v>
      </c>
      <c r="B398" s="34">
        <v>2926850</v>
      </c>
      <c r="C398" s="68"/>
    </row>
    <row r="399" spans="1:3" x14ac:dyDescent="0.2">
      <c r="A399" s="39" t="s">
        <v>637</v>
      </c>
      <c r="B399" s="34">
        <v>2926890</v>
      </c>
      <c r="C399" s="68"/>
    </row>
    <row r="400" spans="1:3" x14ac:dyDescent="0.2">
      <c r="A400" s="50" t="s">
        <v>501</v>
      </c>
      <c r="B400" s="34">
        <v>2926940</v>
      </c>
      <c r="C400" s="68"/>
    </row>
    <row r="401" spans="1:3" x14ac:dyDescent="0.2">
      <c r="A401" s="39" t="s">
        <v>111</v>
      </c>
      <c r="B401" s="34">
        <v>2926970</v>
      </c>
      <c r="C401" s="68"/>
    </row>
    <row r="402" spans="1:3" x14ac:dyDescent="0.2">
      <c r="A402" s="39" t="s">
        <v>45</v>
      </c>
      <c r="B402" s="34">
        <v>2927060</v>
      </c>
      <c r="C402" s="68"/>
    </row>
    <row r="403" spans="1:3" x14ac:dyDescent="0.2">
      <c r="A403" s="39" t="s">
        <v>142</v>
      </c>
      <c r="B403" s="34">
        <v>2927090</v>
      </c>
      <c r="C403" s="68"/>
    </row>
    <row r="404" spans="1:3" x14ac:dyDescent="0.2">
      <c r="A404" s="39" t="s">
        <v>404</v>
      </c>
      <c r="B404" s="34">
        <v>2927330</v>
      </c>
      <c r="C404" s="68"/>
    </row>
    <row r="405" spans="1:3" x14ac:dyDescent="0.2">
      <c r="A405" s="39" t="s">
        <v>402</v>
      </c>
      <c r="B405" s="34">
        <v>2927450</v>
      </c>
      <c r="C405" s="68"/>
    </row>
    <row r="406" spans="1:3" x14ac:dyDescent="0.2">
      <c r="A406" s="39" t="s">
        <v>92</v>
      </c>
      <c r="B406" s="34">
        <v>2927520</v>
      </c>
      <c r="C406" s="68"/>
    </row>
    <row r="407" spans="1:3" x14ac:dyDescent="0.2">
      <c r="A407" s="34" t="s">
        <v>556</v>
      </c>
      <c r="B407" s="34">
        <v>2927540</v>
      </c>
      <c r="C407" s="68"/>
    </row>
    <row r="408" spans="1:3" x14ac:dyDescent="0.2">
      <c r="A408" s="39" t="s">
        <v>3</v>
      </c>
      <c r="B408" s="34">
        <v>2927570</v>
      </c>
      <c r="C408" s="68"/>
    </row>
    <row r="409" spans="1:3" x14ac:dyDescent="0.2">
      <c r="A409" s="39" t="s">
        <v>451</v>
      </c>
      <c r="B409" s="34">
        <v>2927600</v>
      </c>
      <c r="C409" s="68"/>
    </row>
    <row r="410" spans="1:3" x14ac:dyDescent="0.2">
      <c r="A410" s="34" t="s">
        <v>726</v>
      </c>
      <c r="B410" s="34">
        <v>2927630</v>
      </c>
      <c r="C410" s="68"/>
    </row>
    <row r="411" spans="1:3" x14ac:dyDescent="0.2">
      <c r="A411" s="39" t="s">
        <v>408</v>
      </c>
      <c r="B411" s="34">
        <v>2927660</v>
      </c>
      <c r="C411" s="68"/>
    </row>
    <row r="412" spans="1:3" x14ac:dyDescent="0.2">
      <c r="A412" s="34" t="s">
        <v>633</v>
      </c>
      <c r="B412" s="34">
        <v>2927830</v>
      </c>
      <c r="C412" s="68"/>
    </row>
    <row r="413" spans="1:3" x14ac:dyDescent="0.2">
      <c r="A413" s="39" t="s">
        <v>150</v>
      </c>
      <c r="B413" s="34">
        <v>2927870</v>
      </c>
      <c r="C413" s="68"/>
    </row>
    <row r="414" spans="1:3" x14ac:dyDescent="0.2">
      <c r="A414" s="39" t="s">
        <v>598</v>
      </c>
      <c r="B414" s="34">
        <v>2927900</v>
      </c>
      <c r="C414" s="68"/>
    </row>
    <row r="415" spans="1:3" x14ac:dyDescent="0.2">
      <c r="A415" s="39" t="s">
        <v>464</v>
      </c>
      <c r="B415" s="34">
        <v>2927930</v>
      </c>
      <c r="C415" s="68"/>
    </row>
    <row r="416" spans="1:3" x14ac:dyDescent="0.2">
      <c r="A416" s="39" t="s">
        <v>186</v>
      </c>
      <c r="B416" s="34">
        <v>2928080</v>
      </c>
      <c r="C416" s="68"/>
    </row>
    <row r="417" spans="1:3" x14ac:dyDescent="0.2">
      <c r="A417" s="39" t="s">
        <v>420</v>
      </c>
      <c r="B417" s="34">
        <v>2928110</v>
      </c>
      <c r="C417" s="68"/>
    </row>
    <row r="418" spans="1:3" x14ac:dyDescent="0.2">
      <c r="A418" s="39" t="s">
        <v>454</v>
      </c>
      <c r="B418" s="34">
        <v>2928170</v>
      </c>
      <c r="C418" s="68"/>
    </row>
    <row r="419" spans="1:3" x14ac:dyDescent="0.2">
      <c r="A419" s="39" t="s">
        <v>18</v>
      </c>
      <c r="B419" s="34">
        <v>2928200</v>
      </c>
      <c r="C419" s="68"/>
    </row>
    <row r="420" spans="1:3" x14ac:dyDescent="0.2">
      <c r="A420" s="39" t="s">
        <v>416</v>
      </c>
      <c r="B420" s="34">
        <v>2928260</v>
      </c>
      <c r="C420" s="68"/>
    </row>
    <row r="421" spans="1:3" x14ac:dyDescent="0.2">
      <c r="A421" s="34" t="s">
        <v>697</v>
      </c>
      <c r="B421" s="34">
        <v>2928290</v>
      </c>
      <c r="C421" s="68"/>
    </row>
    <row r="422" spans="1:3" x14ac:dyDescent="0.2">
      <c r="A422" s="39" t="s">
        <v>407</v>
      </c>
      <c r="B422" s="34">
        <v>2928360</v>
      </c>
      <c r="C422" s="68"/>
    </row>
    <row r="423" spans="1:3" x14ac:dyDescent="0.2">
      <c r="A423" s="39" t="s">
        <v>630</v>
      </c>
      <c r="B423" s="34">
        <v>2928380</v>
      </c>
      <c r="C423" s="68"/>
    </row>
    <row r="424" spans="1:3" x14ac:dyDescent="0.2">
      <c r="A424" s="39" t="s">
        <v>103</v>
      </c>
      <c r="B424" s="34">
        <v>2928410</v>
      </c>
      <c r="C424" s="68"/>
    </row>
    <row r="425" spans="1:3" x14ac:dyDescent="0.2">
      <c r="A425" s="39" t="s">
        <v>85</v>
      </c>
      <c r="B425" s="34">
        <v>2928430</v>
      </c>
      <c r="C425" s="68"/>
    </row>
    <row r="426" spans="1:3" x14ac:dyDescent="0.2">
      <c r="A426" s="39" t="s">
        <v>210</v>
      </c>
      <c r="B426" s="34">
        <v>2928470</v>
      </c>
      <c r="C426" s="68"/>
    </row>
    <row r="427" spans="1:3" x14ac:dyDescent="0.2">
      <c r="A427" s="39" t="s">
        <v>602</v>
      </c>
      <c r="B427" s="34">
        <v>2928500</v>
      </c>
      <c r="C427" s="68"/>
    </row>
    <row r="428" spans="1:3" x14ac:dyDescent="0.2">
      <c r="A428" s="39" t="s">
        <v>623</v>
      </c>
      <c r="B428" s="34">
        <v>2928530</v>
      </c>
      <c r="C428" s="68"/>
    </row>
    <row r="429" spans="1:3" x14ac:dyDescent="0.2">
      <c r="A429" s="39" t="s">
        <v>36</v>
      </c>
      <c r="B429" s="34">
        <v>2928560</v>
      </c>
      <c r="C429" s="68"/>
    </row>
    <row r="430" spans="1:3" x14ac:dyDescent="0.2">
      <c r="A430" s="34" t="s">
        <v>662</v>
      </c>
      <c r="B430" s="34">
        <v>2928590</v>
      </c>
      <c r="C430" s="68"/>
    </row>
    <row r="431" spans="1:3" x14ac:dyDescent="0.2">
      <c r="A431" s="39" t="s">
        <v>151</v>
      </c>
      <c r="B431" s="34">
        <v>2928620</v>
      </c>
      <c r="C431" s="68"/>
    </row>
    <row r="432" spans="1:3" x14ac:dyDescent="0.2">
      <c r="A432" s="39" t="s">
        <v>16</v>
      </c>
      <c r="B432" s="34">
        <v>2928710</v>
      </c>
      <c r="C432" s="68"/>
    </row>
    <row r="433" spans="1:3" x14ac:dyDescent="0.2">
      <c r="A433" s="39" t="s">
        <v>706</v>
      </c>
      <c r="B433" s="34"/>
      <c r="C433" s="68"/>
    </row>
    <row r="434" spans="1:3" x14ac:dyDescent="0.2">
      <c r="A434" s="39" t="s">
        <v>95</v>
      </c>
      <c r="B434" s="34">
        <v>2928740</v>
      </c>
      <c r="C434" s="68"/>
    </row>
    <row r="435" spans="1:3" x14ac:dyDescent="0.2">
      <c r="A435" s="39" t="s">
        <v>175</v>
      </c>
      <c r="B435" s="34">
        <v>2928770</v>
      </c>
      <c r="C435" s="68"/>
    </row>
    <row r="436" spans="1:3" x14ac:dyDescent="0.2">
      <c r="A436" s="39" t="s">
        <v>99</v>
      </c>
      <c r="B436" s="34">
        <v>2928800</v>
      </c>
      <c r="C436" s="68"/>
    </row>
    <row r="437" spans="1:3" x14ac:dyDescent="0.2">
      <c r="A437" s="39" t="s">
        <v>174</v>
      </c>
      <c r="B437" s="34">
        <v>2928860</v>
      </c>
      <c r="C437" s="68"/>
    </row>
    <row r="438" spans="1:3" x14ac:dyDescent="0.2">
      <c r="A438" s="50" t="s">
        <v>499</v>
      </c>
      <c r="B438" s="34">
        <v>2928920</v>
      </c>
      <c r="C438" s="68"/>
    </row>
    <row r="439" spans="1:3" x14ac:dyDescent="0.2">
      <c r="A439" s="50" t="s">
        <v>496</v>
      </c>
      <c r="B439" s="34">
        <v>2928950</v>
      </c>
      <c r="C439" s="68"/>
    </row>
    <row r="440" spans="1:3" x14ac:dyDescent="0.2">
      <c r="A440" s="39" t="s">
        <v>156</v>
      </c>
      <c r="B440" s="34">
        <v>2929100</v>
      </c>
      <c r="C440" s="68"/>
    </row>
    <row r="441" spans="1:3" x14ac:dyDescent="0.2">
      <c r="A441" s="39" t="s">
        <v>728</v>
      </c>
      <c r="B441" s="34">
        <v>2929130</v>
      </c>
      <c r="C441" s="68"/>
    </row>
    <row r="442" spans="1:3" x14ac:dyDescent="0.2">
      <c r="A442" s="50" t="s">
        <v>505</v>
      </c>
      <c r="B442" s="34">
        <v>2929170</v>
      </c>
      <c r="C442" s="68"/>
    </row>
    <row r="443" spans="1:3" x14ac:dyDescent="0.2">
      <c r="A443" s="39" t="s">
        <v>634</v>
      </c>
      <c r="B443" s="34">
        <v>2929250</v>
      </c>
      <c r="C443" s="68"/>
    </row>
    <row r="444" spans="1:3" x14ac:dyDescent="0.2">
      <c r="A444" s="42" t="s">
        <v>529</v>
      </c>
      <c r="B444" s="34"/>
      <c r="C444" s="68"/>
    </row>
    <row r="445" spans="1:3" x14ac:dyDescent="0.2">
      <c r="A445" s="34" t="s">
        <v>737</v>
      </c>
      <c r="B445">
        <v>2929280</v>
      </c>
      <c r="C445" s="68"/>
    </row>
    <row r="446" spans="1:3" x14ac:dyDescent="0.2">
      <c r="A446" s="50" t="s">
        <v>509</v>
      </c>
      <c r="B446" s="34">
        <v>2929370</v>
      </c>
      <c r="C446" s="68"/>
    </row>
    <row r="447" spans="1:3" x14ac:dyDescent="0.2">
      <c r="A447" s="39" t="s">
        <v>122</v>
      </c>
      <c r="B447" s="34">
        <v>2929430</v>
      </c>
      <c r="C447" s="68"/>
    </row>
    <row r="448" spans="1:3" x14ac:dyDescent="0.2">
      <c r="A448" s="39" t="s">
        <v>137</v>
      </c>
      <c r="B448" s="34">
        <v>2929490</v>
      </c>
      <c r="C448" s="68"/>
    </row>
    <row r="449" spans="1:3" x14ac:dyDescent="0.2">
      <c r="A449" s="39" t="s">
        <v>129</v>
      </c>
      <c r="B449" s="34">
        <v>2929520</v>
      </c>
      <c r="C449" s="68"/>
    </row>
    <row r="450" spans="1:3" x14ac:dyDescent="0.2">
      <c r="A450" s="34" t="s">
        <v>590</v>
      </c>
      <c r="B450" s="34">
        <v>2929610</v>
      </c>
      <c r="C450" s="68"/>
    </row>
    <row r="451" spans="1:3" x14ac:dyDescent="0.2">
      <c r="A451" s="39" t="s">
        <v>172</v>
      </c>
      <c r="B451" s="34">
        <v>2929640</v>
      </c>
      <c r="C451" s="68"/>
    </row>
    <row r="452" spans="1:3" x14ac:dyDescent="0.2">
      <c r="A452" s="39" t="s">
        <v>82</v>
      </c>
      <c r="B452" s="34">
        <v>2929670</v>
      </c>
      <c r="C452" s="68"/>
    </row>
    <row r="453" spans="1:3" x14ac:dyDescent="0.2">
      <c r="A453" s="39" t="s">
        <v>38</v>
      </c>
      <c r="B453" s="34">
        <v>2929700</v>
      </c>
      <c r="C453" s="68"/>
    </row>
    <row r="454" spans="1:3" x14ac:dyDescent="0.2">
      <c r="A454" s="39" t="s">
        <v>448</v>
      </c>
      <c r="B454" s="34">
        <v>2929730</v>
      </c>
      <c r="C454" s="68"/>
    </row>
    <row r="455" spans="1:3" x14ac:dyDescent="0.2">
      <c r="A455" s="39" t="s">
        <v>160</v>
      </c>
      <c r="B455" s="34">
        <v>2929760</v>
      </c>
      <c r="C455" s="68"/>
    </row>
    <row r="456" spans="1:3" x14ac:dyDescent="0.2">
      <c r="A456" s="39" t="s">
        <v>445</v>
      </c>
      <c r="B456" s="34">
        <v>2929810</v>
      </c>
      <c r="C456" s="68"/>
    </row>
    <row r="457" spans="1:3" x14ac:dyDescent="0.2">
      <c r="A457" s="39" t="s">
        <v>240</v>
      </c>
      <c r="B457" s="34">
        <v>2929820</v>
      </c>
      <c r="C457" s="68"/>
    </row>
    <row r="458" spans="1:3" x14ac:dyDescent="0.2">
      <c r="A458" s="39" t="s">
        <v>654</v>
      </c>
      <c r="B458" s="34">
        <v>2929850</v>
      </c>
      <c r="C458" s="68"/>
    </row>
    <row r="459" spans="1:3" x14ac:dyDescent="0.2">
      <c r="A459" s="34" t="s">
        <v>669</v>
      </c>
      <c r="B459" s="34">
        <v>2929880</v>
      </c>
      <c r="C459" s="68"/>
    </row>
    <row r="460" spans="1:3" x14ac:dyDescent="0.2">
      <c r="A460" s="39" t="s">
        <v>438</v>
      </c>
      <c r="B460" s="34">
        <v>2929910</v>
      </c>
      <c r="C460" s="68"/>
    </row>
    <row r="461" spans="1:3" x14ac:dyDescent="0.2">
      <c r="A461" s="39" t="s">
        <v>6</v>
      </c>
      <c r="B461" s="34">
        <v>2929940</v>
      </c>
      <c r="C461" s="68"/>
    </row>
    <row r="462" spans="1:3" x14ac:dyDescent="0.2">
      <c r="A462" s="39" t="s">
        <v>608</v>
      </c>
      <c r="B462" s="34">
        <v>2930270</v>
      </c>
      <c r="C462" s="68"/>
    </row>
    <row r="463" spans="1:3" x14ac:dyDescent="0.2">
      <c r="A463" s="34" t="s">
        <v>549</v>
      </c>
      <c r="B463" s="34">
        <v>2930300</v>
      </c>
      <c r="C463" s="68"/>
    </row>
    <row r="464" spans="1:3" x14ac:dyDescent="0.2">
      <c r="A464" s="39" t="s">
        <v>179</v>
      </c>
      <c r="B464" s="34">
        <v>2930360</v>
      </c>
      <c r="C464" s="68"/>
    </row>
    <row r="465" spans="1:3" x14ac:dyDescent="0.2">
      <c r="A465" s="39" t="s">
        <v>133</v>
      </c>
      <c r="B465" s="34">
        <v>2930390</v>
      </c>
      <c r="C465" s="68"/>
    </row>
    <row r="466" spans="1:3" x14ac:dyDescent="0.2">
      <c r="A466" s="39" t="s">
        <v>597</v>
      </c>
      <c r="B466" s="34">
        <v>2930420</v>
      </c>
      <c r="C466" s="68"/>
    </row>
    <row r="467" spans="1:3" x14ac:dyDescent="0.2">
      <c r="A467" s="39" t="s">
        <v>699</v>
      </c>
      <c r="B467" s="34">
        <v>2930450</v>
      </c>
      <c r="C467" s="68"/>
    </row>
    <row r="468" spans="1:3" x14ac:dyDescent="0.2">
      <c r="A468" s="39" t="s">
        <v>727</v>
      </c>
      <c r="B468" s="34">
        <v>2930510</v>
      </c>
      <c r="C468" s="68"/>
    </row>
    <row r="469" spans="1:3" x14ac:dyDescent="0.2">
      <c r="A469" s="39" t="s">
        <v>48</v>
      </c>
      <c r="B469" s="34">
        <v>2930520</v>
      </c>
      <c r="C469" s="68"/>
    </row>
    <row r="470" spans="1:3" x14ac:dyDescent="0.2">
      <c r="A470" s="39" t="s">
        <v>155</v>
      </c>
      <c r="B470" s="34">
        <v>2930570</v>
      </c>
      <c r="C470" s="68"/>
    </row>
    <row r="471" spans="1:3" x14ac:dyDescent="0.2">
      <c r="A471" s="39" t="s">
        <v>136</v>
      </c>
      <c r="B471" s="34">
        <v>2930600</v>
      </c>
      <c r="C471" s="68"/>
    </row>
    <row r="472" spans="1:3" x14ac:dyDescent="0.2">
      <c r="A472" s="39" t="s">
        <v>396</v>
      </c>
      <c r="B472" s="34">
        <v>2930660</v>
      </c>
      <c r="C472" s="68"/>
    </row>
    <row r="473" spans="1:3" x14ac:dyDescent="0.2">
      <c r="A473" s="39" t="s">
        <v>395</v>
      </c>
      <c r="B473" s="34">
        <v>2930690</v>
      </c>
      <c r="C473" s="68"/>
    </row>
    <row r="474" spans="1:3" x14ac:dyDescent="0.2">
      <c r="A474" s="39" t="s">
        <v>458</v>
      </c>
      <c r="B474" s="34">
        <v>2930720</v>
      </c>
      <c r="C474" s="68"/>
    </row>
    <row r="475" spans="1:3" x14ac:dyDescent="0.2">
      <c r="A475" s="39" t="s">
        <v>74</v>
      </c>
      <c r="B475" s="34">
        <v>2930750</v>
      </c>
      <c r="C475" s="68"/>
    </row>
    <row r="476" spans="1:3" x14ac:dyDescent="0.2">
      <c r="A476" s="39" t="s">
        <v>9</v>
      </c>
      <c r="B476" s="34">
        <v>2930780</v>
      </c>
      <c r="C476" s="68"/>
    </row>
    <row r="477" spans="1:3" x14ac:dyDescent="0.2">
      <c r="A477" s="39" t="s">
        <v>692</v>
      </c>
      <c r="B477" s="34">
        <v>2930810</v>
      </c>
      <c r="C477" s="68"/>
    </row>
    <row r="478" spans="1:3" x14ac:dyDescent="0.2">
      <c r="A478" s="39" t="s">
        <v>591</v>
      </c>
      <c r="B478" s="34">
        <v>2930840</v>
      </c>
      <c r="C478" s="68"/>
    </row>
    <row r="479" spans="1:3" x14ac:dyDescent="0.2">
      <c r="A479" s="34" t="s">
        <v>718</v>
      </c>
      <c r="B479" s="34">
        <v>2930870</v>
      </c>
      <c r="C479" s="68"/>
    </row>
    <row r="480" spans="1:3" x14ac:dyDescent="0.2">
      <c r="A480" s="34" t="s">
        <v>600</v>
      </c>
      <c r="B480" s="34">
        <v>2930900</v>
      </c>
      <c r="C480" s="68"/>
    </row>
    <row r="481" spans="1:3" x14ac:dyDescent="0.2">
      <c r="A481" s="39" t="s">
        <v>171</v>
      </c>
      <c r="B481" s="34">
        <v>2930990</v>
      </c>
      <c r="C481" s="68"/>
    </row>
    <row r="482" spans="1:3" x14ac:dyDescent="0.2">
      <c r="A482" s="39" t="s">
        <v>249</v>
      </c>
      <c r="B482" s="34">
        <v>2931020</v>
      </c>
      <c r="C482" s="68"/>
    </row>
    <row r="483" spans="1:3" x14ac:dyDescent="0.2">
      <c r="A483" s="39" t="s">
        <v>456</v>
      </c>
      <c r="B483" s="34">
        <v>2931050</v>
      </c>
      <c r="C483" s="68"/>
    </row>
    <row r="484" spans="1:3" x14ac:dyDescent="0.2">
      <c r="A484" s="39" t="s">
        <v>31</v>
      </c>
      <c r="B484" s="34">
        <v>2931070</v>
      </c>
      <c r="C484" s="68"/>
    </row>
    <row r="485" spans="1:3" x14ac:dyDescent="0.2">
      <c r="A485" s="39" t="s">
        <v>161</v>
      </c>
      <c r="B485" s="34">
        <v>2931110</v>
      </c>
      <c r="C485" s="68"/>
    </row>
    <row r="486" spans="1:3" x14ac:dyDescent="0.2">
      <c r="A486" s="39" t="s">
        <v>460</v>
      </c>
      <c r="B486" s="68">
        <v>2931140</v>
      </c>
      <c r="C486" s="68"/>
    </row>
    <row r="487" spans="1:3" x14ac:dyDescent="0.2">
      <c r="A487" s="39" t="s">
        <v>459</v>
      </c>
      <c r="B487" s="34">
        <v>2931230</v>
      </c>
      <c r="C487" s="68"/>
    </row>
    <row r="488" spans="1:3" x14ac:dyDescent="0.2">
      <c r="A488" s="39" t="s">
        <v>657</v>
      </c>
      <c r="B488" s="34">
        <v>2931440</v>
      </c>
      <c r="C488" s="68"/>
    </row>
    <row r="489" spans="1:3" x14ac:dyDescent="0.2">
      <c r="A489" s="39" t="s">
        <v>194</v>
      </c>
      <c r="B489" s="34">
        <v>2931460</v>
      </c>
      <c r="C489" s="68"/>
    </row>
    <row r="490" spans="1:3" x14ac:dyDescent="0.2">
      <c r="A490" s="39" t="s">
        <v>230</v>
      </c>
      <c r="B490" s="34">
        <v>2931500</v>
      </c>
      <c r="C490" s="68"/>
    </row>
    <row r="491" spans="1:3" x14ac:dyDescent="0.2">
      <c r="A491" s="39" t="s">
        <v>397</v>
      </c>
      <c r="B491" s="34">
        <v>2931530</v>
      </c>
      <c r="C491" s="68"/>
    </row>
    <row r="492" spans="1:3" x14ac:dyDescent="0.2">
      <c r="A492" s="34" t="s">
        <v>686</v>
      </c>
      <c r="B492" s="34">
        <v>2931560</v>
      </c>
      <c r="C492" s="68"/>
    </row>
    <row r="493" spans="1:3" x14ac:dyDescent="0.2">
      <c r="A493" s="39" t="s">
        <v>588</v>
      </c>
      <c r="B493" s="34">
        <v>2931620</v>
      </c>
      <c r="C493" s="68"/>
    </row>
    <row r="494" spans="1:3" x14ac:dyDescent="0.2">
      <c r="A494" s="50" t="s">
        <v>497</v>
      </c>
      <c r="B494" s="34">
        <v>2931650</v>
      </c>
      <c r="C494" s="68"/>
    </row>
    <row r="495" spans="1:3" x14ac:dyDescent="0.2">
      <c r="A495" s="39" t="s">
        <v>206</v>
      </c>
      <c r="B495" s="34">
        <v>2931680</v>
      </c>
      <c r="C495" s="68"/>
    </row>
    <row r="496" spans="1:3" x14ac:dyDescent="0.2">
      <c r="A496" s="39" t="s">
        <v>643</v>
      </c>
      <c r="B496" s="34">
        <v>2931710</v>
      </c>
      <c r="C496" s="68"/>
    </row>
    <row r="497" spans="1:3" x14ac:dyDescent="0.2">
      <c r="A497" s="34" t="s">
        <v>550</v>
      </c>
      <c r="B497" s="34">
        <v>2931800</v>
      </c>
      <c r="C497" s="68"/>
    </row>
    <row r="498" spans="1:3" x14ac:dyDescent="0.2">
      <c r="A498" s="39" t="s">
        <v>613</v>
      </c>
      <c r="B498" s="34">
        <v>2931830</v>
      </c>
      <c r="C498" s="68"/>
    </row>
    <row r="499" spans="1:3" x14ac:dyDescent="0.2">
      <c r="A499" s="34" t="s">
        <v>660</v>
      </c>
      <c r="B499" s="34">
        <v>2931860</v>
      </c>
      <c r="C499" s="68"/>
    </row>
    <row r="500" spans="1:3" x14ac:dyDescent="0.2">
      <c r="A500" s="39" t="s">
        <v>599</v>
      </c>
      <c r="B500" s="34">
        <v>2931890</v>
      </c>
      <c r="C500" s="68"/>
    </row>
    <row r="501" spans="1:3" x14ac:dyDescent="0.2">
      <c r="A501" s="39" t="s">
        <v>193</v>
      </c>
      <c r="B501" s="34">
        <v>2931920</v>
      </c>
      <c r="C501" s="68"/>
    </row>
    <row r="502" spans="1:3" x14ac:dyDescent="0.2">
      <c r="A502" s="39" t="s">
        <v>14</v>
      </c>
      <c r="B502" s="34">
        <v>2931950</v>
      </c>
      <c r="C502" s="68"/>
    </row>
    <row r="503" spans="1:3" x14ac:dyDescent="0.2">
      <c r="A503" s="39" t="s">
        <v>168</v>
      </c>
      <c r="B503" s="34">
        <v>2932010</v>
      </c>
      <c r="C503" s="68"/>
    </row>
    <row r="504" spans="1:3" x14ac:dyDescent="0.2">
      <c r="A504" s="39" t="s">
        <v>204</v>
      </c>
      <c r="B504" s="34">
        <v>2932070</v>
      </c>
      <c r="C504" s="68"/>
    </row>
    <row r="505" spans="1:3" x14ac:dyDescent="0.2">
      <c r="A505" s="39" t="s">
        <v>241</v>
      </c>
      <c r="B505" s="34">
        <v>2932100</v>
      </c>
      <c r="C505" s="68"/>
    </row>
    <row r="506" spans="1:3" x14ac:dyDescent="0.2">
      <c r="A506" s="39" t="s">
        <v>700</v>
      </c>
      <c r="B506" s="34">
        <v>2932190</v>
      </c>
      <c r="C506" s="68"/>
    </row>
    <row r="507" spans="1:3" x14ac:dyDescent="0.2">
      <c r="A507" s="39" t="s">
        <v>419</v>
      </c>
      <c r="B507" s="34">
        <v>2932220</v>
      </c>
      <c r="C507" s="68"/>
    </row>
    <row r="508" spans="1:3" x14ac:dyDescent="0.2">
      <c r="A508" s="39" t="s">
        <v>132</v>
      </c>
      <c r="B508" s="34">
        <v>2932250</v>
      </c>
      <c r="C508" s="68"/>
    </row>
    <row r="509" spans="1:3" x14ac:dyDescent="0.2">
      <c r="A509" s="39" t="s">
        <v>467</v>
      </c>
      <c r="B509" s="34">
        <v>2932300</v>
      </c>
      <c r="C509" s="68"/>
    </row>
    <row r="510" spans="1:3" x14ac:dyDescent="0.2">
      <c r="A510" s="39" t="s">
        <v>455</v>
      </c>
      <c r="B510" s="34">
        <v>2932310</v>
      </c>
      <c r="C510" s="68"/>
    </row>
    <row r="511" spans="1:3" x14ac:dyDescent="0.2">
      <c r="A511" s="39" t="s">
        <v>35</v>
      </c>
      <c r="B511" s="34">
        <v>2932490</v>
      </c>
      <c r="C511" s="68"/>
    </row>
    <row r="512" spans="1:3" x14ac:dyDescent="0.2">
      <c r="A512" s="39" t="s">
        <v>37</v>
      </c>
      <c r="B512" s="34" t="s">
        <v>732</v>
      </c>
      <c r="C512" s="68"/>
    </row>
    <row r="513" spans="1:3" x14ac:dyDescent="0.2">
      <c r="A513" s="39" t="s">
        <v>58</v>
      </c>
      <c r="B513" s="34" t="s">
        <v>732</v>
      </c>
      <c r="C513" s="68"/>
    </row>
    <row r="514" spans="1:3" x14ac:dyDescent="0.2">
      <c r="A514" s="39" t="s">
        <v>60</v>
      </c>
      <c r="B514" s="34" t="s">
        <v>732</v>
      </c>
      <c r="C514" s="68"/>
    </row>
    <row r="515" spans="1:3" x14ac:dyDescent="0.2">
      <c r="A515" s="39" t="s">
        <v>79</v>
      </c>
      <c r="B515" s="34" t="s">
        <v>732</v>
      </c>
      <c r="C515" s="68"/>
    </row>
    <row r="516" spans="1:3" x14ac:dyDescent="0.2">
      <c r="A516" s="39" t="s">
        <v>112</v>
      </c>
      <c r="B516" s="34" t="s">
        <v>732</v>
      </c>
      <c r="C516" s="68"/>
    </row>
    <row r="517" spans="1:3" x14ac:dyDescent="0.2">
      <c r="A517" s="39" t="s">
        <v>166</v>
      </c>
      <c r="B517" s="34" t="s">
        <v>732</v>
      </c>
      <c r="C517" s="68"/>
    </row>
    <row r="518" spans="1:3" x14ac:dyDescent="0.2">
      <c r="A518" s="39" t="s">
        <v>216</v>
      </c>
      <c r="B518" s="34" t="s">
        <v>732</v>
      </c>
      <c r="C518" s="68"/>
    </row>
    <row r="519" spans="1:3" x14ac:dyDescent="0.2">
      <c r="A519" s="39" t="s">
        <v>197</v>
      </c>
      <c r="B519" s="34" t="s">
        <v>732</v>
      </c>
      <c r="C519" s="68"/>
    </row>
    <row r="520" spans="1:3" x14ac:dyDescent="0.2">
      <c r="A520" s="39" t="s">
        <v>200</v>
      </c>
      <c r="B520" s="34" t="s">
        <v>732</v>
      </c>
      <c r="C520" s="68"/>
    </row>
    <row r="521" spans="1:3" x14ac:dyDescent="0.2">
      <c r="A521" s="39" t="s">
        <v>581</v>
      </c>
      <c r="B521" s="34" t="s">
        <v>732</v>
      </c>
      <c r="C521" s="68"/>
    </row>
    <row r="522" spans="1:3" x14ac:dyDescent="0.2">
      <c r="A522" s="39" t="s">
        <v>580</v>
      </c>
      <c r="B522" s="34" t="s">
        <v>732</v>
      </c>
      <c r="C522" s="68"/>
    </row>
    <row r="523" spans="1:3" x14ac:dyDescent="0.2">
      <c r="A523" s="39" t="s">
        <v>655</v>
      </c>
      <c r="B523" s="34" t="s">
        <v>732</v>
      </c>
      <c r="C523" s="68"/>
    </row>
    <row r="524" spans="1:3" x14ac:dyDescent="0.2">
      <c r="A524" s="39" t="s">
        <v>414</v>
      </c>
      <c r="B524" s="34" t="s">
        <v>732</v>
      </c>
      <c r="C524" s="68"/>
    </row>
    <row r="525" spans="1:3" x14ac:dyDescent="0.2">
      <c r="A525" s="39" t="s">
        <v>421</v>
      </c>
      <c r="B525" s="34" t="s">
        <v>732</v>
      </c>
      <c r="C525" s="68"/>
    </row>
    <row r="526" spans="1:3" x14ac:dyDescent="0.2">
      <c r="A526" s="39" t="s">
        <v>185</v>
      </c>
      <c r="B526" s="34" t="s">
        <v>732</v>
      </c>
      <c r="C526" s="68"/>
    </row>
    <row r="527" spans="1:3" x14ac:dyDescent="0.2">
      <c r="C527" s="68"/>
    </row>
  </sheetData>
  <autoFilter ref="A1:B1" xr:uid="{EA376C46-5C3D-EB4B-A45F-39635427BCAD}">
    <sortState xmlns:xlrd2="http://schemas.microsoft.com/office/spreadsheetml/2017/richdata2" ref="A2:B526">
      <sortCondition ref="B1:B5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GASB Data --&gt;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2025-03-11T23:12:55Z</dcterms:created>
  <dcterms:modified xsi:type="dcterms:W3CDTF">2025-03-13T20:20:48Z</dcterms:modified>
</cp:coreProperties>
</file>